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-my.sharepoint.com/personal/lam_dv2_ortholite_vn/Documents/PROJECT LÂM/DailyFoamingReport/"/>
    </mc:Choice>
  </mc:AlternateContent>
  <xr:revisionPtr revIDLastSave="13711" documentId="8_{C5843DFE-FFB5-42F4-977E-F0929467157D}" xr6:coauthVersionLast="47" xr6:coauthVersionMax="47" xr10:uidLastSave="{E495B674-B7E7-43C1-AA1C-D594B5FE8567}"/>
  <bookViews>
    <workbookView xWindow="-110" yWindow="-110" windowWidth="19420" windowHeight="11500" xr2:uid="{806211C0-19C0-4350-AE76-A0515C921669}"/>
  </bookViews>
  <sheets>
    <sheet name="In đơn" sheetId="1" r:id="rId1"/>
    <sheet name="Data" sheetId="2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Data!$A$1:$J$150</definedName>
    <definedName name="_xlnm.Print_Area" localSheetId="0">'In đơn'!$A$1:$K$24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8" i="1" l="1"/>
  <c r="J8" i="1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C2" i="2"/>
  <c r="B2" i="2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2" i="2"/>
  <c r="D14" i="2" l="1"/>
  <c r="B4" i="1" l="1"/>
  <c r="D4" i="2" l="1"/>
  <c r="J4" i="1"/>
  <c r="D8" i="1" s="1"/>
  <c r="H45" i="2" l="1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 l="1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F5" i="1" l="1"/>
  <c r="B134" i="2" l="1"/>
  <c r="C134" i="2"/>
  <c r="B135" i="2"/>
  <c r="C135" i="2"/>
  <c r="B136" i="2"/>
  <c r="C136" i="2"/>
  <c r="B137" i="2"/>
  <c r="C137" i="2"/>
  <c r="D51" i="2" l="1"/>
  <c r="I51" i="2"/>
  <c r="D52" i="2"/>
  <c r="I52" i="2"/>
  <c r="D53" i="2"/>
  <c r="I53" i="2"/>
  <c r="D54" i="2"/>
  <c r="I54" i="2"/>
  <c r="D55" i="2"/>
  <c r="I55" i="2"/>
  <c r="D56" i="2"/>
  <c r="I56" i="2"/>
  <c r="D57" i="2"/>
  <c r="I57" i="2"/>
  <c r="D58" i="2"/>
  <c r="I58" i="2"/>
  <c r="D59" i="2"/>
  <c r="I59" i="2"/>
  <c r="D60" i="2"/>
  <c r="I60" i="2"/>
  <c r="D61" i="2"/>
  <c r="I61" i="2"/>
  <c r="D62" i="2"/>
  <c r="I62" i="2"/>
  <c r="D63" i="2"/>
  <c r="I63" i="2"/>
  <c r="D64" i="2"/>
  <c r="I64" i="2"/>
  <c r="D65" i="2"/>
  <c r="I65" i="2"/>
  <c r="D66" i="2"/>
  <c r="I66" i="2"/>
  <c r="D67" i="2"/>
  <c r="I67" i="2"/>
  <c r="D68" i="2"/>
  <c r="I68" i="2"/>
  <c r="D69" i="2"/>
  <c r="I69" i="2"/>
  <c r="D70" i="2"/>
  <c r="I70" i="2"/>
  <c r="D71" i="2"/>
  <c r="I71" i="2"/>
  <c r="D72" i="2"/>
  <c r="I72" i="2"/>
  <c r="D73" i="2"/>
  <c r="I73" i="2"/>
  <c r="D74" i="2"/>
  <c r="I74" i="2"/>
  <c r="D75" i="2"/>
  <c r="I75" i="2"/>
  <c r="D76" i="2"/>
  <c r="I76" i="2"/>
  <c r="D77" i="2"/>
  <c r="I77" i="2"/>
  <c r="D78" i="2"/>
  <c r="I78" i="2"/>
  <c r="D79" i="2"/>
  <c r="I79" i="2"/>
  <c r="D80" i="2"/>
  <c r="I80" i="2"/>
  <c r="D81" i="2"/>
  <c r="I81" i="2"/>
  <c r="D82" i="2"/>
  <c r="E82" i="2"/>
  <c r="I82" i="2"/>
  <c r="J82" i="2"/>
  <c r="D83" i="2"/>
  <c r="E83" i="2"/>
  <c r="I83" i="2"/>
  <c r="J83" i="2"/>
  <c r="D84" i="2"/>
  <c r="E84" i="2"/>
  <c r="I84" i="2"/>
  <c r="J84" i="2"/>
  <c r="D85" i="2"/>
  <c r="E85" i="2"/>
  <c r="I85" i="2"/>
  <c r="J85" i="2"/>
  <c r="D86" i="2"/>
  <c r="E86" i="2"/>
  <c r="I86" i="2"/>
  <c r="J86" i="2"/>
  <c r="D87" i="2"/>
  <c r="E87" i="2"/>
  <c r="I87" i="2"/>
  <c r="J87" i="2"/>
  <c r="D88" i="2"/>
  <c r="E88" i="2"/>
  <c r="I88" i="2"/>
  <c r="J88" i="2"/>
  <c r="D89" i="2"/>
  <c r="E89" i="2"/>
  <c r="I89" i="2"/>
  <c r="J89" i="2"/>
  <c r="D90" i="2"/>
  <c r="E90" i="2"/>
  <c r="I90" i="2"/>
  <c r="J90" i="2"/>
  <c r="D91" i="2"/>
  <c r="E91" i="2"/>
  <c r="I91" i="2"/>
  <c r="J91" i="2"/>
  <c r="D92" i="2"/>
  <c r="E92" i="2"/>
  <c r="I92" i="2"/>
  <c r="J92" i="2"/>
  <c r="D93" i="2"/>
  <c r="E93" i="2"/>
  <c r="I93" i="2"/>
  <c r="J93" i="2"/>
  <c r="G82" i="2" l="1"/>
  <c r="G85" i="2"/>
  <c r="F84" i="2"/>
  <c r="G86" i="2"/>
  <c r="G91" i="2"/>
  <c r="F86" i="2"/>
  <c r="F91" i="2"/>
  <c r="G84" i="2"/>
  <c r="G92" i="2"/>
  <c r="G93" i="2"/>
  <c r="F68" i="2"/>
  <c r="F92" i="2"/>
  <c r="G90" i="2"/>
  <c r="F85" i="2"/>
  <c r="F90" i="2"/>
  <c r="G88" i="2"/>
  <c r="F73" i="2"/>
  <c r="F61" i="2"/>
  <c r="F78" i="2"/>
  <c r="F64" i="2"/>
  <c r="F69" i="2"/>
  <c r="G83" i="2"/>
  <c r="F77" i="2"/>
  <c r="F63" i="2"/>
  <c r="F53" i="2"/>
  <c r="F55" i="2"/>
  <c r="F57" i="2"/>
  <c r="F76" i="2"/>
  <c r="F89" i="2"/>
  <c r="G87" i="2"/>
  <c r="F67" i="2"/>
  <c r="F75" i="2"/>
  <c r="F65" i="2"/>
  <c r="F88" i="2"/>
  <c r="F66" i="2"/>
  <c r="F62" i="2"/>
  <c r="F59" i="2"/>
  <c r="F54" i="2"/>
  <c r="F87" i="2"/>
  <c r="F79" i="2"/>
  <c r="F74" i="2"/>
  <c r="F71" i="2"/>
  <c r="F82" i="2"/>
  <c r="F60" i="2"/>
  <c r="F52" i="2"/>
  <c r="F93" i="2"/>
  <c r="F80" i="2"/>
  <c r="F72" i="2"/>
  <c r="F58" i="2"/>
  <c r="F83" i="2"/>
  <c r="G89" i="2"/>
  <c r="F81" i="2"/>
  <c r="F70" i="2"/>
  <c r="F56" i="2"/>
  <c r="F51" i="2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J114" i="2"/>
  <c r="I115" i="2"/>
  <c r="J115" i="2"/>
  <c r="I116" i="2"/>
  <c r="J116" i="2"/>
  <c r="I117" i="2"/>
  <c r="J117" i="2"/>
  <c r="I118" i="2"/>
  <c r="J118" i="2"/>
  <c r="I119" i="2"/>
  <c r="J119" i="2"/>
  <c r="I120" i="2"/>
  <c r="J120" i="2"/>
  <c r="I121" i="2"/>
  <c r="J121" i="2"/>
  <c r="I122" i="2"/>
  <c r="J122" i="2"/>
  <c r="J101" i="2" l="1"/>
  <c r="J100" i="2"/>
  <c r="J107" i="2" l="1"/>
  <c r="J99" i="2"/>
  <c r="J109" i="2"/>
  <c r="J113" i="2"/>
  <c r="J103" i="2"/>
  <c r="J98" i="2"/>
  <c r="J105" i="2"/>
  <c r="J94" i="2"/>
  <c r="J97" i="2"/>
  <c r="J102" i="2"/>
  <c r="J104" i="2"/>
  <c r="J111" i="2"/>
  <c r="J110" i="2"/>
  <c r="J108" i="2"/>
  <c r="J112" i="2"/>
  <c r="J106" i="2"/>
  <c r="J95" i="2" l="1"/>
  <c r="J96" i="2" l="1"/>
  <c r="I2" i="2" l="1"/>
  <c r="B138" i="2" l="1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I123" i="2" l="1"/>
  <c r="J123" i="2"/>
  <c r="I124" i="2"/>
  <c r="J124" i="2"/>
  <c r="I125" i="2"/>
  <c r="J125" i="2"/>
  <c r="I126" i="2"/>
  <c r="J126" i="2"/>
  <c r="I127" i="2"/>
  <c r="J127" i="2"/>
  <c r="I128" i="2"/>
  <c r="J128" i="2"/>
  <c r="I129" i="2"/>
  <c r="J129" i="2"/>
  <c r="I130" i="2"/>
  <c r="J130" i="2"/>
  <c r="I131" i="2"/>
  <c r="J131" i="2"/>
  <c r="I132" i="2"/>
  <c r="J132" i="2"/>
  <c r="I133" i="2"/>
  <c r="J133" i="2"/>
  <c r="I134" i="2"/>
  <c r="J134" i="2"/>
  <c r="I135" i="2"/>
  <c r="J135" i="2"/>
  <c r="I136" i="2"/>
  <c r="J136" i="2"/>
  <c r="I137" i="2"/>
  <c r="J137" i="2"/>
  <c r="I138" i="2"/>
  <c r="J138" i="2"/>
  <c r="I139" i="2"/>
  <c r="J139" i="2"/>
  <c r="I140" i="2"/>
  <c r="J140" i="2"/>
  <c r="I141" i="2"/>
  <c r="J141" i="2"/>
  <c r="I142" i="2"/>
  <c r="J142" i="2"/>
  <c r="I143" i="2"/>
  <c r="J143" i="2"/>
  <c r="I144" i="2"/>
  <c r="J144" i="2"/>
  <c r="I145" i="2"/>
  <c r="J145" i="2"/>
  <c r="I146" i="2"/>
  <c r="J146" i="2"/>
  <c r="I147" i="2"/>
  <c r="J147" i="2"/>
  <c r="I148" i="2"/>
  <c r="J148" i="2"/>
  <c r="I149" i="2"/>
  <c r="J149" i="2"/>
  <c r="I150" i="2"/>
  <c r="J150" i="2"/>
  <c r="H139" i="2" l="1"/>
  <c r="H140" i="2"/>
  <c r="H141" i="2"/>
  <c r="H142" i="2"/>
  <c r="H143" i="2"/>
  <c r="H144" i="2"/>
  <c r="H145" i="2"/>
  <c r="H146" i="2"/>
  <c r="H147" i="2"/>
  <c r="H148" i="2"/>
  <c r="H149" i="2"/>
  <c r="H150" i="2"/>
  <c r="I8" i="1" l="1"/>
  <c r="D133" i="2" l="1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F146" i="2" l="1"/>
  <c r="F140" i="2"/>
  <c r="F134" i="2"/>
  <c r="G145" i="2"/>
  <c r="G141" i="2"/>
  <c r="G146" i="2"/>
  <c r="G140" i="2"/>
  <c r="G134" i="2"/>
  <c r="G149" i="2"/>
  <c r="G144" i="2"/>
  <c r="G138" i="2"/>
  <c r="F150" i="2"/>
  <c r="F144" i="2"/>
  <c r="F138" i="2"/>
  <c r="F149" i="2"/>
  <c r="F143" i="2"/>
  <c r="F137" i="2"/>
  <c r="G139" i="2"/>
  <c r="G147" i="2"/>
  <c r="G135" i="2"/>
  <c r="F135" i="2"/>
  <c r="G148" i="2"/>
  <c r="G133" i="2"/>
  <c r="F148" i="2"/>
  <c r="F145" i="2"/>
  <c r="F139" i="2"/>
  <c r="G150" i="2"/>
  <c r="F142" i="2"/>
  <c r="G143" i="2"/>
  <c r="G137" i="2"/>
  <c r="F136" i="2"/>
  <c r="F147" i="2"/>
  <c r="F141" i="2"/>
  <c r="F133" i="2"/>
  <c r="G142" i="2"/>
  <c r="G136" i="2"/>
  <c r="G130" i="2"/>
  <c r="G127" i="2"/>
  <c r="G124" i="2"/>
  <c r="G126" i="2"/>
  <c r="F123" i="2"/>
  <c r="G125" i="2"/>
  <c r="F130" i="2"/>
  <c r="F127" i="2"/>
  <c r="G132" i="2"/>
  <c r="G129" i="2"/>
  <c r="F132" i="2"/>
  <c r="F128" i="2"/>
  <c r="F125" i="2"/>
  <c r="F129" i="2"/>
  <c r="F124" i="2"/>
  <c r="F126" i="2"/>
  <c r="F131" i="2"/>
  <c r="G123" i="2"/>
  <c r="G131" i="2"/>
  <c r="G128" i="2"/>
  <c r="G122" i="2"/>
  <c r="F122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C8" i="1"/>
  <c r="I6" i="1"/>
  <c r="E6" i="1"/>
  <c r="B6" i="1"/>
  <c r="D10" i="2"/>
  <c r="D11" i="2"/>
  <c r="D12" i="2"/>
  <c r="D13" i="2"/>
  <c r="D5" i="2"/>
  <c r="D15" i="2"/>
  <c r="D16" i="2"/>
  <c r="D17" i="2"/>
  <c r="D18" i="2"/>
  <c r="D19" i="2"/>
  <c r="D6" i="2"/>
  <c r="D7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2" i="2"/>
  <c r="D3" i="2"/>
  <c r="F3" i="2" s="1"/>
  <c r="D8" i="2"/>
  <c r="D9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F5" i="2" l="1"/>
  <c r="F32" i="2"/>
  <c r="F102" i="2"/>
  <c r="F109" i="2"/>
  <c r="G102" i="2"/>
  <c r="F116" i="2"/>
  <c r="F50" i="2"/>
  <c r="F104" i="2"/>
  <c r="F36" i="2"/>
  <c r="F108" i="2"/>
  <c r="F121" i="2"/>
  <c r="G108" i="2"/>
  <c r="F103" i="2"/>
  <c r="F19" i="2"/>
  <c r="G106" i="2"/>
  <c r="G101" i="2"/>
  <c r="G121" i="2"/>
  <c r="F42" i="2"/>
  <c r="F114" i="2"/>
  <c r="G114" i="2"/>
  <c r="F115" i="2"/>
  <c r="F23" i="2"/>
  <c r="G118" i="2"/>
  <c r="F10" i="2"/>
  <c r="F11" i="2"/>
  <c r="F2" i="2"/>
  <c r="F48" i="2"/>
  <c r="F120" i="2"/>
  <c r="G98" i="2"/>
  <c r="F29" i="2"/>
  <c r="F99" i="2"/>
  <c r="G94" i="2"/>
  <c r="F14" i="2"/>
  <c r="G103" i="2"/>
  <c r="F12" i="2"/>
  <c r="F21" i="2"/>
  <c r="G97" i="2"/>
  <c r="F112" i="2"/>
  <c r="G104" i="2"/>
  <c r="F105" i="2"/>
  <c r="G107" i="2"/>
  <c r="G112" i="2"/>
  <c r="F15" i="2"/>
  <c r="G100" i="2"/>
  <c r="F16" i="2"/>
  <c r="F110" i="2"/>
  <c r="F13" i="2"/>
  <c r="F41" i="2"/>
  <c r="G110" i="2"/>
  <c r="F39" i="2"/>
  <c r="F111" i="2"/>
  <c r="F6" i="2"/>
  <c r="F7" i="2"/>
  <c r="F37" i="2"/>
  <c r="F27" i="2"/>
  <c r="F18" i="2"/>
  <c r="F33" i="2"/>
  <c r="F40" i="2"/>
  <c r="G113" i="2"/>
  <c r="G116" i="2"/>
  <c r="F45" i="2"/>
  <c r="F117" i="2"/>
  <c r="G99" i="2"/>
  <c r="F24" i="2"/>
  <c r="F94" i="2"/>
  <c r="G95" i="2"/>
  <c r="F25" i="2"/>
  <c r="F95" i="2"/>
  <c r="F49" i="2"/>
  <c r="F43" i="2"/>
  <c r="F17" i="2"/>
  <c r="G109" i="2"/>
  <c r="F8" i="2"/>
  <c r="G105" i="2"/>
  <c r="G119" i="2"/>
  <c r="F30" i="2"/>
  <c r="F100" i="2"/>
  <c r="F31" i="2"/>
  <c r="F101" i="2"/>
  <c r="F4" i="2"/>
  <c r="F98" i="2"/>
  <c r="G117" i="2"/>
  <c r="F20" i="2"/>
  <c r="G120" i="2"/>
  <c r="F38" i="2"/>
  <c r="G115" i="2"/>
  <c r="G111" i="2"/>
  <c r="F34" i="2"/>
  <c r="F106" i="2"/>
  <c r="F35" i="2"/>
  <c r="F107" i="2"/>
  <c r="F28" i="2"/>
  <c r="F113" i="2"/>
  <c r="F9" i="2"/>
  <c r="F44" i="2"/>
  <c r="F46" i="2"/>
  <c r="F118" i="2"/>
  <c r="F22" i="2"/>
  <c r="F47" i="2"/>
  <c r="F119" i="2"/>
  <c r="F26" i="2"/>
  <c r="F96" i="2"/>
  <c r="F97" i="2"/>
  <c r="G96" i="2"/>
  <c r="J72" i="2" l="1"/>
  <c r="J74" i="2"/>
  <c r="J79" i="2"/>
  <c r="E79" i="2" l="1"/>
  <c r="G79" i="2" s="1"/>
  <c r="E74" i="2"/>
  <c r="G74" i="2" s="1"/>
  <c r="E72" i="2"/>
  <c r="G72" i="2" s="1"/>
  <c r="J73" i="2" l="1"/>
  <c r="E73" i="2" l="1"/>
  <c r="G73" i="2" s="1"/>
  <c r="J76" i="2" l="1"/>
  <c r="E76" i="2" l="1"/>
  <c r="G76" i="2" s="1"/>
  <c r="J77" i="2" l="1"/>
  <c r="E77" i="2" l="1"/>
  <c r="G77" i="2" s="1"/>
  <c r="J78" i="2" l="1"/>
  <c r="E78" i="2" l="1"/>
  <c r="G78" i="2" s="1"/>
  <c r="J80" i="2" l="1"/>
  <c r="J81" i="2"/>
  <c r="E75" i="2"/>
  <c r="G75" i="2" s="1"/>
  <c r="J75" i="2"/>
  <c r="E81" i="2" l="1"/>
  <c r="G81" i="2" s="1"/>
  <c r="E80" i="2"/>
  <c r="G80" i="2" s="1"/>
  <c r="J51" i="2" l="1"/>
  <c r="J55" i="2"/>
  <c r="J63" i="2" l="1"/>
  <c r="J62" i="2"/>
  <c r="J52" i="2"/>
  <c r="J54" i="2"/>
  <c r="J56" i="2"/>
  <c r="J53" i="2"/>
  <c r="E56" i="2" l="1"/>
  <c r="G56" i="2" s="1"/>
  <c r="E54" i="2"/>
  <c r="G54" i="2" s="1"/>
  <c r="E52" i="2"/>
  <c r="G52" i="2" s="1"/>
  <c r="E51" i="2"/>
  <c r="G51" i="2" s="1"/>
  <c r="E55" i="2"/>
  <c r="G55" i="2" s="1"/>
  <c r="E62" i="2"/>
  <c r="G62" i="2" s="1"/>
  <c r="E53" i="2"/>
  <c r="G53" i="2" s="1"/>
  <c r="E63" i="2"/>
  <c r="G63" i="2" s="1"/>
  <c r="J61" i="2" l="1"/>
  <c r="J69" i="2"/>
  <c r="J48" i="2"/>
  <c r="J64" i="2"/>
  <c r="E64" i="2" l="1"/>
  <c r="G64" i="2" s="1"/>
  <c r="E48" i="2"/>
  <c r="G48" i="2" s="1"/>
  <c r="E69" i="2"/>
  <c r="G69" i="2" s="1"/>
  <c r="E61" i="2"/>
  <c r="G61" i="2" s="1"/>
  <c r="J71" i="2" l="1"/>
  <c r="J65" i="2"/>
  <c r="J67" i="2"/>
  <c r="J49" i="2"/>
  <c r="J45" i="2"/>
  <c r="E49" i="2" l="1"/>
  <c r="G49" i="2" s="1"/>
  <c r="E67" i="2"/>
  <c r="G67" i="2" s="1"/>
  <c r="E71" i="2"/>
  <c r="G71" i="2" s="1"/>
  <c r="E45" i="2"/>
  <c r="G45" i="2" s="1"/>
  <c r="E65" i="2"/>
  <c r="G65" i="2" s="1"/>
  <c r="E60" i="2" l="1"/>
  <c r="G60" i="2" s="1"/>
  <c r="J60" i="2"/>
  <c r="J46" i="2" l="1"/>
  <c r="J68" i="2"/>
  <c r="E68" i="2" l="1"/>
  <c r="G68" i="2" s="1"/>
  <c r="E46" i="2"/>
  <c r="G46" i="2" s="1"/>
  <c r="J57" i="2" l="1"/>
  <c r="E57" i="2" l="1"/>
  <c r="G57" i="2" s="1"/>
  <c r="E58" i="2" l="1"/>
  <c r="G58" i="2" s="1"/>
  <c r="J58" i="2"/>
  <c r="E47" i="2" l="1"/>
  <c r="G47" i="2" s="1"/>
  <c r="J47" i="2"/>
  <c r="J70" i="2" l="1"/>
  <c r="E70" i="2" l="1"/>
  <c r="G70" i="2" s="1"/>
  <c r="J59" i="2" l="1"/>
  <c r="J50" i="2"/>
  <c r="E50" i="2" l="1"/>
  <c r="G50" i="2" s="1"/>
  <c r="E59" i="2"/>
  <c r="G59" i="2" s="1"/>
  <c r="E66" i="2" l="1"/>
  <c r="G66" i="2" s="1"/>
  <c r="J66" i="2"/>
  <c r="J35" i="2" l="1"/>
  <c r="E35" i="2" l="1"/>
  <c r="G35" i="2" s="1"/>
  <c r="J44" i="2" l="1"/>
  <c r="E44" i="2" l="1"/>
  <c r="G44" i="2" s="1"/>
  <c r="J36" i="2" l="1"/>
  <c r="E36" i="2" l="1"/>
  <c r="G36" i="2" s="1"/>
  <c r="J43" i="2" l="1"/>
  <c r="J38" i="2"/>
  <c r="J42" i="2" l="1"/>
  <c r="E43" i="2"/>
  <c r="G43" i="2" s="1"/>
  <c r="E38" i="2" l="1"/>
  <c r="G38" i="2" s="1"/>
  <c r="E42" i="2"/>
  <c r="G42" i="2" s="1"/>
  <c r="J37" i="2" l="1"/>
  <c r="J40" i="2" l="1"/>
  <c r="J41" i="2"/>
  <c r="E37" i="2"/>
  <c r="G37" i="2" s="1"/>
  <c r="J39" i="2"/>
  <c r="E41" i="2" l="1"/>
  <c r="G41" i="2" s="1"/>
  <c r="E40" i="2"/>
  <c r="G40" i="2" s="1"/>
  <c r="E39" i="2"/>
  <c r="G39" i="2" s="1"/>
  <c r="J34" i="2" l="1"/>
  <c r="E34" i="2" l="1"/>
  <c r="G34" i="2" s="1"/>
  <c r="J31" i="2" l="1"/>
  <c r="J21" i="2"/>
  <c r="J15" i="2"/>
  <c r="J14" i="2"/>
  <c r="J9" i="2"/>
  <c r="J3" i="2" l="1"/>
  <c r="J13" i="2"/>
  <c r="J8" i="2"/>
  <c r="J11" i="2"/>
  <c r="J12" i="2"/>
  <c r="E9" i="2"/>
  <c r="G9" i="2" s="1"/>
  <c r="J4" i="2"/>
  <c r="J18" i="2"/>
  <c r="J5" i="2"/>
  <c r="E14" i="2"/>
  <c r="G14" i="2" s="1"/>
  <c r="J30" i="2"/>
  <c r="E15" i="2"/>
  <c r="G15" i="2" s="1"/>
  <c r="J7" i="2"/>
  <c r="J6" i="2"/>
  <c r="E21" i="2"/>
  <c r="G21" i="2" s="1"/>
  <c r="J10" i="2"/>
  <c r="E31" i="2"/>
  <c r="G31" i="2" s="1"/>
  <c r="E12" i="2" l="1"/>
  <c r="G12" i="2" s="1"/>
  <c r="E30" i="2"/>
  <c r="G30" i="2" s="1"/>
  <c r="E18" i="2"/>
  <c r="G18" i="2" s="1"/>
  <c r="E10" i="2"/>
  <c r="G10" i="2" s="1"/>
  <c r="E11" i="2"/>
  <c r="G11" i="2" s="1"/>
  <c r="E6" i="2"/>
  <c r="G6" i="2" s="1"/>
  <c r="E5" i="2"/>
  <c r="G5" i="2" s="1"/>
  <c r="E8" i="2"/>
  <c r="G8" i="2" s="1"/>
  <c r="E7" i="2"/>
  <c r="G7" i="2" s="1"/>
  <c r="E4" i="2"/>
  <c r="G4" i="2" s="1"/>
  <c r="E13" i="2"/>
  <c r="G13" i="2" s="1"/>
  <c r="E3" i="2"/>
  <c r="G3" i="2" s="1"/>
  <c r="H8" i="1" l="1"/>
  <c r="B8" i="1"/>
  <c r="J26" i="2" l="1"/>
  <c r="E26" i="2" l="1"/>
  <c r="G26" i="2" s="1"/>
  <c r="J33" i="2" l="1"/>
  <c r="J32" i="2"/>
  <c r="J23" i="2"/>
  <c r="J27" i="2"/>
  <c r="E27" i="2" l="1"/>
  <c r="G27" i="2" s="1"/>
  <c r="E23" i="2"/>
  <c r="G23" i="2" s="1"/>
  <c r="E32" i="2"/>
  <c r="G32" i="2" s="1"/>
  <c r="E33" i="2"/>
  <c r="G33" i="2" s="1"/>
  <c r="J17" i="2" l="1"/>
  <c r="J22" i="2" l="1"/>
  <c r="E17" i="2"/>
  <c r="G17" i="2" s="1"/>
  <c r="E22" i="2" l="1"/>
  <c r="G22" i="2" s="1"/>
  <c r="J28" i="2" l="1"/>
  <c r="J29" i="2" l="1"/>
  <c r="E29" i="2" l="1"/>
  <c r="G29" i="2" s="1"/>
  <c r="E28" i="2" l="1"/>
  <c r="G28" i="2" s="1"/>
  <c r="J25" i="2" l="1"/>
  <c r="J20" i="2" l="1"/>
  <c r="J19" i="2"/>
  <c r="J16" i="2"/>
  <c r="E25" i="2"/>
  <c r="G25" i="2" s="1"/>
  <c r="E16" i="2" l="1"/>
  <c r="G16" i="2" s="1"/>
  <c r="E19" i="2"/>
  <c r="G19" i="2" s="1"/>
  <c r="E20" i="2"/>
  <c r="G20" i="2" s="1"/>
  <c r="J24" i="2" l="1"/>
  <c r="E24" i="2" l="1"/>
  <c r="G24" i="2" s="1"/>
  <c r="J2" i="2" l="1"/>
  <c r="E2" i="2" l="1"/>
  <c r="G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Phong Nha</author>
  </authors>
  <commentList>
    <comment ref="J7" authorId="0" shapeId="0" xr:uid="{20D66AF4-CE52-4C2A-B843-12EE59F4599B}">
      <text>
        <r>
          <rPr>
            <b/>
            <sz val="9"/>
            <color indexed="81"/>
            <rFont val="Tahoma"/>
            <family val="2"/>
          </rPr>
          <t>Le Phong Nha: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M10" authorId="0" shapeId="0" xr:uid="{E630218A-4B42-41D5-8C05-8D4A42FCAA90}">
      <text>
        <r>
          <rPr>
            <b/>
            <sz val="9"/>
            <color indexed="81"/>
            <rFont val="Tahoma"/>
            <family val="2"/>
          </rPr>
          <t>Le Phong Nha:</t>
        </r>
        <r>
          <rPr>
            <sz val="9"/>
            <color indexed="81"/>
            <rFont val="Tahoma"/>
            <family val="2"/>
          </rPr>
          <t xml:space="preserve">
12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<sst xmlns="http://schemas.openxmlformats.org/spreadsheetml/2006/main" count="85" uniqueCount="83">
  <si>
    <t>LỆNH SẢN XUẤT</t>
  </si>
  <si>
    <t>PRODUCTION ORDER</t>
  </si>
  <si>
    <t>1-RM-WIP</t>
  </si>
  <si>
    <t xml:space="preserve">Số hiệu /Form no: </t>
  </si>
  <si>
    <t>FM.F-01/P-02</t>
  </si>
  <si>
    <t>1-RMW</t>
  </si>
  <si>
    <t>Ngày/Date:</t>
  </si>
  <si>
    <t>Mã đơn hàng/NO.Order:</t>
  </si>
  <si>
    <t>Kho/WH:</t>
  </si>
  <si>
    <t>I/ Thông tin đơn hàng / Order Information</t>
  </si>
  <si>
    <t>BRAND:</t>
  </si>
  <si>
    <t>TYPE:</t>
  </si>
  <si>
    <t>Đơn tổng:</t>
  </si>
  <si>
    <t>Firm plan
(PU PVN)</t>
  </si>
  <si>
    <t>Mã Vật Liệu
Bun Code</t>
  </si>
  <si>
    <t>Mã Vật Liệu
Flat sheet  Code</t>
  </si>
  <si>
    <t>Tên Vật Liệu
Material Name</t>
  </si>
  <si>
    <r>
      <t xml:space="preserve">Số lượng đơn hàng
</t>
    </r>
    <r>
      <rPr>
        <b/>
        <i/>
        <sz val="18"/>
        <color theme="1"/>
        <rFont val="Times New Roman"/>
        <family val="1"/>
      </rPr>
      <t>Qty of order (flatsheet)</t>
    </r>
  </si>
  <si>
    <r>
      <t xml:space="preserve">Số lượng 
cần tách
</t>
    </r>
    <r>
      <rPr>
        <b/>
        <i/>
        <sz val="18"/>
        <color theme="1"/>
        <rFont val="Times New Roman"/>
        <family val="1"/>
      </rPr>
      <t>Qty need to splitt
(bun)</t>
    </r>
  </si>
  <si>
    <t>Tuần sản xuất
Started Week</t>
  </si>
  <si>
    <t>Ngày hoàn thành</t>
  </si>
  <si>
    <t>Mức độ ưu tiên
Priority</t>
  </si>
  <si>
    <t>II/  Tiến độ sản xuất / Production Progress</t>
  </si>
  <si>
    <t>Ngày giao Bun
Date</t>
  </si>
  <si>
    <t>Lot của Bun
(ngày sx bun)
Bun Lot No.</t>
  </si>
  <si>
    <t>Số lượng giao
Qty shipped (Bun)</t>
  </si>
  <si>
    <t>Số lượng còn lại
Balance (Bun)</t>
  </si>
  <si>
    <t>Người giao
Ký,Ghi rõ họ tên
Shipper
Sign, full name</t>
  </si>
  <si>
    <t>Người nhận
Ký,Ghi rõ họ tên
Receiver
Sign, full name</t>
  </si>
  <si>
    <t>Ghi chú</t>
  </si>
  <si>
    <t>Ngày tách
Date of splitting</t>
  </si>
  <si>
    <t>Máy tách
No.  machine</t>
  </si>
  <si>
    <t>Họ Tên Người Tách
Sign,Full name</t>
  </si>
  <si>
    <t>Số lượng Đạt (tấm)
Qty OK (sheets)</t>
  </si>
  <si>
    <t>Số lượng NG (tấm)
Qty NG (sheets)</t>
  </si>
  <si>
    <t xml:space="preserve">Số Bun 
yêu cầu bù
Qty of BUN supplement </t>
  </si>
  <si>
    <t>Lý do
Reason</t>
  </si>
  <si>
    <t>Xác nhận của QCI
QCI's confirmation</t>
  </si>
  <si>
    <t>Xác nhận bù
Confirm</t>
  </si>
  <si>
    <t xml:space="preserve">                                                         </t>
  </si>
  <si>
    <t xml:space="preserve">                                                                </t>
  </si>
  <si>
    <t xml:space="preserve"> </t>
  </si>
  <si>
    <t xml:space="preserve">        </t>
  </si>
  <si>
    <t>Ngày giao Đóng gói
Delivery Date to Packing</t>
  </si>
  <si>
    <t>Số lượng giao
Qty shipped
(Sheets)</t>
  </si>
  <si>
    <t>Số lượng còn lại
Balance
(Sheets)</t>
  </si>
  <si>
    <t>Người giao
Ký, Ghi rõ họ tên
Shipper
Sign, full name</t>
  </si>
  <si>
    <t>Người nhận
Ký, Ghi rõ họ tên
Receiver
Sign, full name</t>
  </si>
  <si>
    <t>Kết quả kiểm tra kim loại 1% trên tổng đơn</t>
  </si>
  <si>
    <t>Pass</t>
  </si>
  <si>
    <t>Fail</t>
  </si>
  <si>
    <t>NO.Order</t>
  </si>
  <si>
    <t>file QC check</t>
  </si>
  <si>
    <t>F-2026-05-138</t>
  </si>
  <si>
    <t>F-2026-05-123</t>
  </si>
  <si>
    <t>F-2026-04-216</t>
  </si>
  <si>
    <t>F-2026-05-124</t>
  </si>
  <si>
    <t>F-2026-05-125</t>
  </si>
  <si>
    <t>F-2026-04-130</t>
  </si>
  <si>
    <t>F-2026-04-243</t>
  </si>
  <si>
    <t>F-2026-04-218</t>
  </si>
  <si>
    <t>F-2026-05-133</t>
  </si>
  <si>
    <t>F-2026-05-116</t>
  </si>
  <si>
    <t>F-2026-05-140</t>
  </si>
  <si>
    <t>F-2026-05-134</t>
  </si>
  <si>
    <t>F-2026-05-135-1</t>
  </si>
  <si>
    <t>F-2026-05-135-2</t>
  </si>
  <si>
    <t>F-2026-02-223</t>
  </si>
  <si>
    <t>F-2026-05-61</t>
  </si>
  <si>
    <t>F-2026-05-60</t>
  </si>
  <si>
    <t>F-2026-05-62</t>
  </si>
  <si>
    <t>F-2026-04-440</t>
  </si>
  <si>
    <t>F-2026-04-225</t>
  </si>
  <si>
    <t>F-2026-04-136</t>
  </si>
  <si>
    <t>F-2026-03-488</t>
  </si>
  <si>
    <t>F-2026-05-58</t>
  </si>
  <si>
    <t>F-2026-05-59</t>
  </si>
  <si>
    <t>F-2026-05-63</t>
  </si>
  <si>
    <t>F-2026-05-56</t>
  </si>
  <si>
    <t>F-2026-01-395-1</t>
  </si>
  <si>
    <t>F-2026-04-386</t>
  </si>
  <si>
    <t>F-2026-03-592</t>
  </si>
  <si>
    <t>FPRO-260415-0016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</si>
</sst>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??_);_(@_)"/>
    <numFmt numFmtId="165" formatCode="[$-409]d/mmm;@"/>
  </numFmts>
  <fonts count="27" x14ac:knownFonts="1">
    <font>
      <sz val="11"/>
      <color theme="1"/>
      <name val="Aptos Narrow"/>
      <family val="2"/>
      <scheme val="minor"/>
    </font>
    <font>
      <b/>
      <sz val="36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b/>
      <sz val="20"/>
      <name val="Times New Roman"/>
      <family val="1"/>
    </font>
    <font>
      <sz val="20"/>
      <color rgb="FF00B050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28"/>
      <color rgb="FF0000FF"/>
      <name val="Times New Roman"/>
      <family val="1"/>
    </font>
    <font>
      <sz val="30"/>
      <color rgb="FF0000FF"/>
      <name val="Times New Roman"/>
      <family val="1"/>
    </font>
    <font>
      <sz val="14"/>
      <color rgb="FF0000FF"/>
      <name val="Times New Roman"/>
      <family val="1"/>
    </font>
    <font>
      <b/>
      <sz val="18"/>
      <color theme="1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0"/>
      <color rgb="FF0000FF"/>
      <name val="Times New Roman"/>
      <family val="1"/>
    </font>
    <font>
      <sz val="16"/>
      <name val="Times New Roman"/>
      <family val="1"/>
    </font>
    <font>
      <b/>
      <i/>
      <sz val="18"/>
      <color theme="1"/>
      <name val="Times New Roman"/>
      <family val="1"/>
    </font>
    <font>
      <b/>
      <sz val="25"/>
      <color theme="1"/>
      <name val="Times New Roman"/>
      <family val="1"/>
    </font>
    <font>
      <sz val="18"/>
      <color rgb="FF00B050"/>
      <name val="Times New Roman"/>
      <family val="1"/>
    </font>
    <font>
      <sz val="18"/>
      <color theme="1"/>
      <name val="Times New Roman"/>
      <family val="1"/>
    </font>
    <font>
      <b/>
      <sz val="20"/>
      <color rgb="FF00B050"/>
      <name val="Times New Roman"/>
      <family val="1"/>
    </font>
    <font>
      <sz val="25"/>
      <color theme="1"/>
      <name val="Times New Roman"/>
      <family val="1"/>
    </font>
    <font>
      <b/>
      <sz val="28"/>
      <color rgb="FFFF0000"/>
      <name val="Times New Roman"/>
      <family val="1"/>
    </font>
    <font>
      <b/>
      <sz val="28"/>
      <color theme="1"/>
      <name val="Times New Roman"/>
      <family val="1"/>
    </font>
    <font>
      <b/>
      <sz val="36"/>
      <name val="Times New Roman"/>
      <family val="1"/>
    </font>
    <font>
      <b/>
      <sz val="26"/>
      <color theme="1"/>
      <name val="Times New Roman"/>
      <family val="1"/>
    </font>
    <font>
      <sz val="60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right"/>
    </xf>
    <xf numFmtId="0" fontId="6" fillId="0" borderId="0" xfId="0" applyFont="1"/>
    <xf numFmtId="0" fontId="7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10" fillId="0" borderId="0" xfId="0" applyFont="1"/>
    <xf numFmtId="0" fontId="14" fillId="3" borderId="5" xfId="0" applyFont="1" applyFill="1" applyBorder="1" applyAlignment="1">
      <alignment horizontal="left" vertical="center" wrapText="1"/>
    </xf>
    <xf numFmtId="0" fontId="0" fillId="4" borderId="0" xfId="0" applyFill="1"/>
    <xf numFmtId="0" fontId="15" fillId="0" borderId="5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165" fontId="14" fillId="0" borderId="1" xfId="0" applyNumberFormat="1" applyFont="1" applyBorder="1" applyAlignment="1">
      <alignment vertical="center" wrapText="1"/>
    </xf>
    <xf numFmtId="16" fontId="3" fillId="0" borderId="1" xfId="0" applyNumberFormat="1" applyFont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/>
    <xf numFmtId="165" fontId="20" fillId="0" borderId="0" xfId="0" applyNumberFormat="1" applyFont="1" applyAlignment="1">
      <alignment vertical="center" wrapText="1"/>
    </xf>
    <xf numFmtId="165" fontId="5" fillId="0" borderId="0" xfId="0" applyNumberFormat="1" applyFont="1" applyAlignment="1">
      <alignment vertical="center" wrapText="1"/>
    </xf>
    <xf numFmtId="165" fontId="5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64" fontId="19" fillId="0" borderId="0" xfId="0" applyNumberFormat="1" applyFont="1" applyAlignment="1">
      <alignment wrapText="1"/>
    </xf>
    <xf numFmtId="0" fontId="19" fillId="0" borderId="0" xfId="0" applyFont="1" applyAlignment="1">
      <alignment wrapText="1"/>
    </xf>
    <xf numFmtId="164" fontId="21" fillId="0" borderId="0" xfId="0" applyNumberFormat="1" applyFont="1" applyAlignment="1">
      <alignment wrapText="1"/>
    </xf>
    <xf numFmtId="0" fontId="21" fillId="0" borderId="0" xfId="0" applyFont="1" applyAlignment="1">
      <alignment wrapText="1"/>
    </xf>
    <xf numFmtId="0" fontId="21" fillId="0" borderId="0" xfId="0" applyFont="1"/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 wrapText="1"/>
    </xf>
    <xf numFmtId="0" fontId="24" fillId="0" borderId="0" xfId="0" applyFont="1" applyAlignment="1">
      <alignment horizontal="right" vertical="center"/>
    </xf>
    <xf numFmtId="0" fontId="8" fillId="0" borderId="3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22" fillId="0" borderId="0" xfId="0" applyFont="1" applyAlignment="1">
      <alignment horizontal="right"/>
    </xf>
    <xf numFmtId="0" fontId="7" fillId="0" borderId="1" xfId="0" applyFont="1" applyBorder="1" applyAlignment="1">
      <alignment vertical="center"/>
    </xf>
    <xf numFmtId="0" fontId="25" fillId="0" borderId="0" xfId="0" applyFont="1" applyAlignment="1">
      <alignment horizontal="right"/>
    </xf>
    <xf numFmtId="0" fontId="0" fillId="0" borderId="0" xfId="0" applyAlignment="1">
      <alignment horizontal="left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1" fillId="5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12" xfId="0" applyFont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2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20/07/relationships/rdRichValueWebImage" Target="richData/rdRichValueWebImage.xml"/><Relationship Id="rId5" Type="http://schemas.openxmlformats.org/officeDocument/2006/relationships/externalLink" Target="externalLinks/externalLink3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19" Type="http://schemas.openxmlformats.org/officeDocument/2006/relationships/customXml" Target="../customXml/item3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215900</xdr:colOff>
      <xdr:row>0</xdr:row>
      <xdr:rowOff>234258</xdr:rowOff>
    </xdr:from>
    <xdr:to>
      <xdr:col>1</xdr:col>
      <xdr:colOff>152400</xdr:colOff>
      <xdr:row>1</xdr:row>
      <xdr:rowOff>336551</xdr:rowOff>
    </xdr:to>
    <xdr:pic>
      <xdr:nvPicPr>
        <xdr:cNvPr id="2" name="Picture 30">
          <a:extLst>
            <a:ext uri="{FF2B5EF4-FFF2-40B4-BE49-F238E27FC236}">
              <a16:creationId xmlns:a16="http://schemas.microsoft.com/office/drawing/2014/main" id="{B7D6D7D5-7C9C-4089-A39E-35CB18B87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900" y="234258"/>
          <a:ext cx="2898775" cy="8166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7</xdr:row>
          <xdr:rowOff>552450</xdr:rowOff>
        </xdr:from>
        <xdr:to>
          <xdr:col>29</xdr:col>
          <xdr:colOff>76200</xdr:colOff>
          <xdr:row>9</xdr:row>
          <xdr:rowOff>647700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64592" rIns="155448" bIns="164592" anchor="ctr" upright="1"/>
            <a:lstStyle/>
            <a:p>
              <a:pPr algn="ctr" rtl="0">
                <a:defRPr sz="1000"/>
              </a:pPr>
              <a:r>
                <a:rPr lang="en-US" sz="60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215900</xdr:colOff>
      <xdr:row>0</xdr:row>
      <xdr:rowOff>234258</xdr:rowOff>
    </xdr:from>
    <xdr:to>
      <xdr:col>1</xdr:col>
      <xdr:colOff>152400</xdr:colOff>
      <xdr:row>1</xdr:row>
      <xdr:rowOff>336551</xdr:rowOff>
    </xdr:to>
    <xdr:pic>
      <xdr:nvPicPr>
        <xdr:cNvPr id="3" name="Picture 30">
          <a:extLst>
            <a:ext uri="{FF2B5EF4-FFF2-40B4-BE49-F238E27FC236}">
              <a16:creationId xmlns:a16="http://schemas.microsoft.com/office/drawing/2014/main" id="{59FE80D3-E11C-4523-B198-FA8E3B640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900" y="234258"/>
          <a:ext cx="2898775" cy="8166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sites/foaming/Shared%20Documents/Foaming/4.%20Production%20Planning%20Control%20-%20PIC%20Nha/12.%20Check%20QC/2026/Daily%20QC%20check%202026.xlsx" TargetMode="External"/><Relationship Id="rId2" Type="http://schemas.openxmlformats.org/officeDocument/2006/relationships/externalLinkPath" Target="https://ortholitevietnam.sharepoint.com/sites/foaming/Shared%20Documents/Foaming/4.%20Production%20Planning%20Control%20-%20PIC%20Nha/12.%20Check%20QC/2026/Daily%20QC%20check%202026.xlsx" TargetMode="External"/><Relationship Id="rId1" Type="http://schemas.openxmlformats.org/officeDocument/2006/relationships/externalLinkPath" Target="/sites/foaming/Shared%20Documents/Foaming/4.%20Production%20Planning%20Control%20-%20PIC%20Nha/12.%20Check%20QC/2026/Daily%20QC%20check%202026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sites/foaming/Shared%20Documents/Foaming/4.%20Production%20Planning%20Control%20-%20PIC%20Nha/14.%20WEEKLY%20PLAN/Master%20plan%20new%20format.xlsx" TargetMode="External"/><Relationship Id="rId2" Type="http://schemas.openxmlformats.org/officeDocument/2006/relationships/externalLinkPath" Target="https://ortholitevietnam.sharepoint.com/sites/foaming/Shared%20Documents/Foaming/4.%20Production%20Planning%20Control%20-%20PIC%20Nha/14.%20WEEKLY%20PLAN/Master%20plan%20new%20format.xlsx" TargetMode="External"/><Relationship Id="rId1" Type="http://schemas.openxmlformats.org/officeDocument/2006/relationships/externalLinkPath" Target="/sites/foaming/Shared%20Documents/Foaming/4.%20Production%20Planning%20Control%20-%20PIC%20Nha/14.%20WEEKLY%20PLAN/Master%20plan%20new%20format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sites/foaming/Shared%20Documents/Foaming/4.%20Production%20Planning%20Control%20-%20PIC%20Nha/14.%20WEEKLY%20PLAN/Weekly%20Plan.xlsx" TargetMode="External"/><Relationship Id="rId2" Type="http://schemas.openxmlformats.org/officeDocument/2006/relationships/externalLinkPath" Target="https://ortholitevietnam.sharepoint.com/sites/foaming/Shared%20Documents/Foaming/4.%20Production%20Planning%20Control%20-%20PIC%20Nha/14.%20WEEKLY%20PLAN/Weekly%20Plan.xlsx" TargetMode="External"/><Relationship Id="rId1" Type="http://schemas.openxmlformats.org/officeDocument/2006/relationships/externalLinkPath" Target="/sites/foaming/Shared%20Documents/Foaming/4.%20Production%20Planning%20Control%20-%20PIC%20Nha/14.%20WEEKLY%20PLAN/Weekly%20Plan.xlsx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sites/foaming/Shared%20Documents/Foaming/4.%20Production%20Planning%20Control%20-%20PIC%20Nha/12.%20Check%20QC/2025/Daily%20QC%20check%20-%20new.xlsx" TargetMode="External"/><Relationship Id="rId2" Type="http://schemas.openxmlformats.org/officeDocument/2006/relationships/externalLinkPath" Target="https://ortholitevietnam.sharepoint.com/sites/foaming/Shared%20Documents/Foaming/4.%20Production%20Planning%20Control%20-%20PIC%20Nha/12.%20Check%20QC/2025/Daily%20QC%20check%20-%20new.xlsx" TargetMode="External"/><Relationship Id="rId1" Type="http://schemas.openxmlformats.org/officeDocument/2006/relationships/externalLinkPath" Target="/sites/foaming/Shared%20Documents/Foaming/4.%20Production%20Planning%20Control%20-%20PIC%20Nha/12.%20Check%20QC/2025/Daily%20QC%20check%20-%20ne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QC Check"/>
      <sheetName val="master plan "/>
      <sheetName val="Production Order List"/>
      <sheetName val="master plan  (2)"/>
    </sheetNames>
    <sheetDataSet>
      <sheetData sheetId="0"/>
      <sheetData sheetId="1">
        <row r="1">
          <cell r="A1" t="str">
            <v>Total excel</v>
          </cell>
          <cell r="B1">
            <v>0</v>
          </cell>
          <cell r="C1" t="b">
            <v>0</v>
          </cell>
          <cell r="D1">
            <v>14684</v>
          </cell>
          <cell r="E1"/>
          <cell r="F1" t="str">
            <v>Sample</v>
          </cell>
          <cell r="G1" t="str">
            <v>OID</v>
          </cell>
          <cell r="H1" t="str">
            <v>OIN</v>
          </cell>
          <cell r="I1"/>
          <cell r="J1"/>
          <cell r="K1"/>
          <cell r="L1"/>
          <cell r="M1"/>
        </row>
        <row r="2">
          <cell r="A2" t="str">
            <v>Total system</v>
          </cell>
          <cell r="B2">
            <v>14684</v>
          </cell>
          <cell r="C2">
            <v>45937</v>
          </cell>
          <cell r="D2"/>
          <cell r="E2"/>
          <cell r="F2"/>
          <cell r="G2"/>
          <cell r="H2"/>
          <cell r="I2"/>
          <cell r="J2"/>
          <cell r="K2"/>
          <cell r="L2"/>
          <cell r="M2"/>
        </row>
        <row r="3">
          <cell r="A3"/>
          <cell r="B3"/>
          <cell r="C3"/>
          <cell r="D3"/>
          <cell r="E3"/>
          <cell r="F3">
            <v>1222371</v>
          </cell>
          <cell r="G3">
            <v>1081430</v>
          </cell>
          <cell r="H3">
            <v>567459</v>
          </cell>
          <cell r="I3">
            <v>513055</v>
          </cell>
          <cell r="J3"/>
          <cell r="K3"/>
          <cell r="L3"/>
        </row>
        <row r="4">
          <cell r="A4" t="str">
            <v>NO.Order</v>
          </cell>
          <cell r="B4" t="str">
            <v>Firm plan
(PU PVN)</v>
          </cell>
          <cell r="C4" t="str">
            <v>Bun Code</v>
          </cell>
          <cell r="D4" t="str">
            <v>PU code</v>
          </cell>
          <cell r="E4" t="str">
            <v>Material Name</v>
          </cell>
          <cell r="F4" t="str">
            <v>QTY of Order
(Sheet)</v>
          </cell>
          <cell r="G4" t="str">
            <v>QTY 
 Delivery Plan</v>
          </cell>
          <cell r="H4" t="str">
            <v>QTY
Actual Delivered
(Sheet)</v>
          </cell>
          <cell r="I4" t="str">
            <v>QTY 
not yet 
delivery
(Sheet)</v>
          </cell>
          <cell r="J4" t="str">
            <v>BRAND</v>
          </cell>
          <cell r="K4" t="str">
            <v>POV/SO</v>
          </cell>
          <cell r="L4" t="str">
            <v>Type</v>
          </cell>
          <cell r="M4" t="str">
            <v>W/H
KHO</v>
          </cell>
        </row>
        <row r="5">
          <cell r="A5" t="str">
            <v>F-2026-02-110-1</v>
          </cell>
          <cell r="B5" t="str">
            <v>FPRO-260206-0007</v>
          </cell>
          <cell r="C5" t="str">
            <v>BDB-000097</v>
          </cell>
          <cell r="D5" t="str">
            <v>PVN-002478</v>
          </cell>
          <cell r="E5" t="str">
            <v>OrthoLite Eco LT-Hybrid SEEDPEARL/12-0703TPX Hybrid 0.11D 25+/-4 Asker C 1.1M 2M 4mm</v>
          </cell>
          <cell r="F5">
            <v>3500</v>
          </cell>
          <cell r="G5">
            <v>2951</v>
          </cell>
          <cell r="H5">
            <v>2951</v>
          </cell>
          <cell r="I5">
            <v>0</v>
          </cell>
          <cell r="J5" t="str">
            <v>NEW BALANCE</v>
          </cell>
          <cell r="K5" t="str">
            <v>Forecast</v>
          </cell>
          <cell r="L5" t="str">
            <v>DIE CUT</v>
          </cell>
          <cell r="M5">
            <v>1</v>
          </cell>
        </row>
        <row r="6">
          <cell r="A6" t="str">
            <v>F-2026-02-110-2</v>
          </cell>
          <cell r="B6" t="str">
            <v>FPRO-260206-0007</v>
          </cell>
          <cell r="C6" t="str">
            <v>BDB-000097</v>
          </cell>
          <cell r="D6" t="str">
            <v>PVN-002478</v>
          </cell>
          <cell r="E6" t="str">
            <v>OrthoLite Eco LT-Hybrid SEEDPEARL/12-0703TPX Hybrid 0.11D 25+/-4 Asker C 1.1M 2M 4mm</v>
          </cell>
          <cell r="F6">
            <v>3500</v>
          </cell>
          <cell r="G6">
            <v>549</v>
          </cell>
          <cell r="H6">
            <v>549</v>
          </cell>
          <cell r="I6">
            <v>0</v>
          </cell>
          <cell r="J6" t="str">
            <v>NEW BALANCE</v>
          </cell>
          <cell r="K6" t="str">
            <v>Forecast</v>
          </cell>
          <cell r="L6" t="str">
            <v>DIE CUT</v>
          </cell>
          <cell r="M6">
            <v>1</v>
          </cell>
        </row>
        <row r="7">
          <cell r="A7" t="str">
            <v>F-2026-02-214-1</v>
          </cell>
          <cell r="B7" t="str">
            <v>FPRO-260211-0034</v>
          </cell>
          <cell r="C7" t="str">
            <v>BDB-000123</v>
          </cell>
          <cell r="D7" t="str">
            <v>PVN-003298</v>
          </cell>
          <cell r="E7" t="str">
            <v>OrthoLite Ultra-Hybrid SEEDPEARL/12-0703TPX Hybrid 0.085D 25+/-4 Asker C 1.1M 2M 4mm</v>
          </cell>
          <cell r="F7">
            <v>7000</v>
          </cell>
          <cell r="G7">
            <v>4050</v>
          </cell>
          <cell r="H7">
            <v>4050</v>
          </cell>
          <cell r="I7">
            <v>0</v>
          </cell>
          <cell r="J7" t="str">
            <v>ADIDAS</v>
          </cell>
          <cell r="K7" t="str">
            <v>Forecast</v>
          </cell>
          <cell r="L7" t="str">
            <v>SPLITTING</v>
          </cell>
          <cell r="M7">
            <v>2</v>
          </cell>
        </row>
        <row r="8">
          <cell r="A8" t="str">
            <v>F-2026-02-214-2</v>
          </cell>
          <cell r="B8" t="str">
            <v>FPRO-260211-0034</v>
          </cell>
          <cell r="C8" t="str">
            <v>BDB-000123</v>
          </cell>
          <cell r="D8" t="str">
            <v>PVN-003298</v>
          </cell>
          <cell r="E8" t="str">
            <v>OrthoLite Ultra-Hybrid SEEDPEARL/12-0703TPX Hybrid 0.085D 25+/-4 Asker C 1.1M 2M 4mm</v>
          </cell>
          <cell r="F8">
            <v>7000</v>
          </cell>
          <cell r="G8">
            <v>2950</v>
          </cell>
          <cell r="H8">
            <v>2950</v>
          </cell>
          <cell r="I8">
            <v>0</v>
          </cell>
          <cell r="J8" t="str">
            <v>ADIDAS</v>
          </cell>
          <cell r="K8" t="str">
            <v>Forecast</v>
          </cell>
          <cell r="L8" t="str">
            <v>SPLITTING</v>
          </cell>
          <cell r="M8">
            <v>2</v>
          </cell>
        </row>
        <row r="9">
          <cell r="A9" t="str">
            <v>F-2026-02-254-1</v>
          </cell>
          <cell r="B9" t="str">
            <v>FPRO-260211-0074</v>
          </cell>
          <cell r="C9" t="str">
            <v>BDB-000348</v>
          </cell>
          <cell r="D9" t="str">
            <v>PVN-004195</v>
          </cell>
          <cell r="E9" t="str">
            <v>OrthoLite IMPERIAL SEEDPEARL/12-0703TPX Flat Sheet 0.22D 25+/-4 Asker C 1.1M 1.47M 4mm</v>
          </cell>
          <cell r="F9">
            <v>2000</v>
          </cell>
          <cell r="G9">
            <v>1550</v>
          </cell>
          <cell r="H9">
            <v>1550</v>
          </cell>
          <cell r="I9">
            <v>0</v>
          </cell>
          <cell r="J9" t="str">
            <v>ADIDAS</v>
          </cell>
          <cell r="K9" t="str">
            <v>Forecast</v>
          </cell>
          <cell r="L9" t="str">
            <v>SPLITTING</v>
          </cell>
          <cell r="M9">
            <v>2</v>
          </cell>
        </row>
        <row r="10">
          <cell r="A10" t="str">
            <v>F-2026-02-254-2</v>
          </cell>
          <cell r="B10" t="str">
            <v>FPRO-260211-0074</v>
          </cell>
          <cell r="C10" t="str">
            <v>BDB-000348</v>
          </cell>
          <cell r="D10" t="str">
            <v>PVN-004195</v>
          </cell>
          <cell r="E10" t="str">
            <v>OrthoLite IMPERIAL SEEDPEARL/12-0703TPX Flat Sheet 0.22D 25+/-4 Asker C 1.1M 1.47M 4mm</v>
          </cell>
          <cell r="F10">
            <v>2000</v>
          </cell>
          <cell r="G10">
            <v>450</v>
          </cell>
          <cell r="H10">
            <v>450</v>
          </cell>
          <cell r="I10">
            <v>0</v>
          </cell>
          <cell r="J10" t="str">
            <v>ADIDAS</v>
          </cell>
          <cell r="K10" t="str">
            <v>Forecast</v>
          </cell>
          <cell r="L10" t="str">
            <v>SPLITTING</v>
          </cell>
          <cell r="M10">
            <v>2</v>
          </cell>
        </row>
        <row r="11">
          <cell r="A11" t="str">
            <v>F-2026-02-289-1</v>
          </cell>
          <cell r="B11" t="str">
            <v>FPRO-260212-0040</v>
          </cell>
          <cell r="C11" t="str">
            <v>BDB-000175</v>
          </cell>
          <cell r="D11" t="str">
            <v>PVN-002966</v>
          </cell>
          <cell r="E11" t="str">
            <v>OrthoLite Ultra-Hybrid-Nike SEEDPEARL/12-0703TPX Hybrid 0.085D 25+/-4 Asker C 1.1M 2M 4mm</v>
          </cell>
          <cell r="F11">
            <v>2300</v>
          </cell>
          <cell r="G11">
            <v>755</v>
          </cell>
          <cell r="H11">
            <v>755</v>
          </cell>
          <cell r="I11">
            <v>0</v>
          </cell>
          <cell r="J11" t="str">
            <v>NIKE</v>
          </cell>
          <cell r="K11" t="str">
            <v>Forecast</v>
          </cell>
          <cell r="L11" t="str">
            <v>DIE CUT</v>
          </cell>
          <cell r="M11">
            <v>1</v>
          </cell>
        </row>
        <row r="12">
          <cell r="A12" t="str">
            <v>F-2026-02-289-2</v>
          </cell>
          <cell r="B12" t="str">
            <v>FPRO-260212-0040</v>
          </cell>
          <cell r="C12" t="str">
            <v>BDB-000175</v>
          </cell>
          <cell r="D12" t="str">
            <v>PVN-002966</v>
          </cell>
          <cell r="E12" t="str">
            <v>OrthoLite Ultra-Hybrid-Nike SEEDPEARL/12-0703TPX Hybrid 0.085D 25+/-4 Asker C 1.1M 2M 4mm</v>
          </cell>
          <cell r="F12">
            <v>2300</v>
          </cell>
          <cell r="G12">
            <v>1545</v>
          </cell>
          <cell r="H12">
            <v>1545</v>
          </cell>
          <cell r="I12">
            <v>0</v>
          </cell>
          <cell r="J12" t="str">
            <v>NIKE</v>
          </cell>
          <cell r="K12" t="str">
            <v>Forecast</v>
          </cell>
          <cell r="L12" t="str">
            <v>DIE CUT</v>
          </cell>
          <cell r="M12">
            <v>1</v>
          </cell>
        </row>
        <row r="13">
          <cell r="A13" t="str">
            <v>F-2026-03-293-1</v>
          </cell>
          <cell r="B13" t="str">
            <v>FPRO-260317-0001</v>
          </cell>
          <cell r="C13" t="str">
            <v>BDB-000113</v>
          </cell>
          <cell r="D13" t="str">
            <v>PVN-003414</v>
          </cell>
          <cell r="E13" t="str">
            <v>OrthoLite Regular-Hybrid SEEDPEARL/12-0703TPX Hybrid Flat Sheet 0.11D 25+/-4 Asker C 1.1M 2M 12mm</v>
          </cell>
          <cell r="F13">
            <v>2100</v>
          </cell>
          <cell r="G13">
            <v>1950</v>
          </cell>
          <cell r="H13">
            <v>1950</v>
          </cell>
          <cell r="I13">
            <v>0</v>
          </cell>
          <cell r="J13" t="str">
            <v>ASICS</v>
          </cell>
          <cell r="K13" t="str">
            <v>Forecast</v>
          </cell>
          <cell r="L13" t="str">
            <v>MOLDED</v>
          </cell>
          <cell r="M13" t="str">
            <v>1-RM-WIP</v>
          </cell>
        </row>
        <row r="14">
          <cell r="A14" t="str">
            <v>F-2026-03-293-2</v>
          </cell>
          <cell r="B14" t="str">
            <v>FPRO-260317-0001</v>
          </cell>
          <cell r="C14" t="str">
            <v>BDB-000113</v>
          </cell>
          <cell r="D14" t="str">
            <v>PVN-003414</v>
          </cell>
          <cell r="E14" t="str">
            <v>OrthoLite Regular-Hybrid SEEDPEARL/12-0703TPX Hybrid Flat Sheet 0.11D 25+/-4 Asker C 1.1M 2M 12mm</v>
          </cell>
          <cell r="F14">
            <v>2100</v>
          </cell>
          <cell r="G14">
            <v>150</v>
          </cell>
          <cell r="H14">
            <v>150</v>
          </cell>
          <cell r="I14">
            <v>0</v>
          </cell>
          <cell r="J14" t="str">
            <v>ASICS</v>
          </cell>
          <cell r="K14" t="str">
            <v>Forecast</v>
          </cell>
          <cell r="L14" t="str">
            <v>MOLDED</v>
          </cell>
          <cell r="M14" t="str">
            <v>1-RM-WIP</v>
          </cell>
        </row>
        <row r="15">
          <cell r="A15" t="str">
            <v>F-2026-03-366-1</v>
          </cell>
          <cell r="B15" t="str">
            <v>FPRO-260318-0010</v>
          </cell>
          <cell r="C15" t="str">
            <v>BDB-000113</v>
          </cell>
          <cell r="D15" t="str">
            <v>PVN-002465</v>
          </cell>
          <cell r="E15" t="str">
            <v>OrthoLite Regular-Hybrid SEEDPEARL/12-0703TPX Hybrid Flat Sheet 0.11D 25+/-4 Asker C 1.1M 2M 5mm</v>
          </cell>
          <cell r="F15">
            <v>2500</v>
          </cell>
          <cell r="G15">
            <v>2386</v>
          </cell>
          <cell r="H15">
            <v>2386</v>
          </cell>
          <cell r="I15">
            <v>0</v>
          </cell>
          <cell r="J15" t="str">
            <v>ASICS</v>
          </cell>
          <cell r="K15" t="str">
            <v>Forecast</v>
          </cell>
          <cell r="L15" t="str">
            <v>DIE CUT</v>
          </cell>
          <cell r="M15">
            <v>1</v>
          </cell>
        </row>
        <row r="16">
          <cell r="A16" t="str">
            <v>F-2026-03-366-2</v>
          </cell>
          <cell r="B16" t="str">
            <v>FPRO-260318-0010</v>
          </cell>
          <cell r="C16" t="str">
            <v>BDB-000113</v>
          </cell>
          <cell r="D16" t="str">
            <v>PVN-002465</v>
          </cell>
          <cell r="E16" t="str">
            <v>OrthoLite Regular-Hybrid SEEDPEARL/12-0703TPX Hybrid Flat Sheet 0.11D 25+/-4 Asker C 1.1M 2M 5mm</v>
          </cell>
          <cell r="F16">
            <v>2500</v>
          </cell>
          <cell r="G16">
            <v>114</v>
          </cell>
          <cell r="H16">
            <v>114</v>
          </cell>
          <cell r="I16">
            <v>0</v>
          </cell>
          <cell r="J16" t="str">
            <v>ASICS</v>
          </cell>
          <cell r="K16" t="str">
            <v>Forecast</v>
          </cell>
          <cell r="L16" t="str">
            <v>DIE CUT</v>
          </cell>
          <cell r="M16">
            <v>1</v>
          </cell>
        </row>
        <row r="17">
          <cell r="A17" t="str">
            <v>F-2026-03-368-1</v>
          </cell>
          <cell r="B17" t="str">
            <v>FPRO-260318-0012</v>
          </cell>
          <cell r="C17" t="str">
            <v>BDB-000113</v>
          </cell>
          <cell r="D17" t="str">
            <v>PVN-002465</v>
          </cell>
          <cell r="E17" t="str">
            <v>OrthoLite Regular-Hybrid SEEDPEARL/12-0703TPX Hybrid Flat Sheet 0.11D 25+/-4 Asker C 1.1M 2M 5mm</v>
          </cell>
          <cell r="F17">
            <v>2500</v>
          </cell>
          <cell r="G17">
            <v>2290</v>
          </cell>
          <cell r="H17">
            <v>2290</v>
          </cell>
          <cell r="I17">
            <v>0</v>
          </cell>
          <cell r="J17" t="str">
            <v>ASICS</v>
          </cell>
          <cell r="K17" t="str">
            <v>Forecast</v>
          </cell>
          <cell r="L17" t="str">
            <v>DIE CUT</v>
          </cell>
          <cell r="M17">
            <v>1</v>
          </cell>
        </row>
        <row r="18">
          <cell r="A18" t="str">
            <v>F-2026-03-368-2</v>
          </cell>
          <cell r="B18" t="str">
            <v>FPRO-260318-0012</v>
          </cell>
          <cell r="C18" t="str">
            <v>BDB-000113</v>
          </cell>
          <cell r="D18" t="str">
            <v>PVN-002465</v>
          </cell>
          <cell r="E18" t="str">
            <v>OrthoLite Regular-Hybrid SEEDPEARL/12-0703TPX Hybrid Flat Sheet 0.11D 25+/-4 Asker C 1.1M 2M 5mm</v>
          </cell>
          <cell r="F18">
            <v>2500</v>
          </cell>
          <cell r="G18">
            <v>210</v>
          </cell>
          <cell r="H18">
            <v>210</v>
          </cell>
          <cell r="I18">
            <v>0</v>
          </cell>
          <cell r="J18" t="str">
            <v>ASICS</v>
          </cell>
          <cell r="K18" t="str">
            <v>Forecast</v>
          </cell>
          <cell r="L18" t="str">
            <v>DIE CUT</v>
          </cell>
          <cell r="M18">
            <v>1</v>
          </cell>
        </row>
        <row r="19">
          <cell r="A19" t="str">
            <v>F-2026-03-373-1</v>
          </cell>
          <cell r="B19" t="str">
            <v>FPRO-260318-0017</v>
          </cell>
          <cell r="C19" t="str">
            <v>BDB-000113</v>
          </cell>
          <cell r="D19" t="str">
            <v>PVN-003414</v>
          </cell>
          <cell r="E19" t="str">
            <v>OrthoLite Regular-Hybrid SEEDPEARL/12-0703TPX Hybrid Flat Sheet 0.11D 25+/-4 Asker C 1.1M 2M 12mm</v>
          </cell>
          <cell r="F19">
            <v>3000</v>
          </cell>
          <cell r="G19">
            <v>2048</v>
          </cell>
          <cell r="H19">
            <v>2048</v>
          </cell>
          <cell r="I19">
            <v>0</v>
          </cell>
          <cell r="J19" t="str">
            <v>ASICS</v>
          </cell>
          <cell r="K19" t="str">
            <v>Forecast</v>
          </cell>
          <cell r="L19" t="str">
            <v>MOLDED</v>
          </cell>
          <cell r="M19" t="str">
            <v>1-RM-WIP</v>
          </cell>
        </row>
        <row r="20">
          <cell r="A20" t="str">
            <v>F-2026-03-373-2</v>
          </cell>
          <cell r="B20" t="str">
            <v>FPRO-260318-0017</v>
          </cell>
          <cell r="C20" t="str">
            <v>BDB-000113</v>
          </cell>
          <cell r="D20" t="str">
            <v>PVN-003414</v>
          </cell>
          <cell r="E20" t="str">
            <v>OrthoLite Regular-Hybrid SEEDPEARL/12-0703TPX Hybrid Flat Sheet 0.11D 25+/-4 Asker C 1.1M 2M 12mm</v>
          </cell>
          <cell r="F20">
            <v>3000</v>
          </cell>
          <cell r="G20">
            <v>952</v>
          </cell>
          <cell r="H20">
            <v>952</v>
          </cell>
          <cell r="I20">
            <v>0</v>
          </cell>
          <cell r="J20" t="str">
            <v>ASICS</v>
          </cell>
          <cell r="K20" t="str">
            <v>Forecast</v>
          </cell>
          <cell r="L20" t="str">
            <v>MOLDED</v>
          </cell>
          <cell r="M20" t="str">
            <v>1-RM-WIP</v>
          </cell>
        </row>
        <row r="21">
          <cell r="A21" t="str">
            <v>F-2026-03-375-1</v>
          </cell>
          <cell r="B21" t="str">
            <v>FPRO-260318-0019</v>
          </cell>
          <cell r="C21" t="str">
            <v>BDB-000113</v>
          </cell>
          <cell r="D21" t="str">
            <v>PVN-003414</v>
          </cell>
          <cell r="E21" t="str">
            <v>OrthoLite Regular-Hybrid SEEDPEARL/12-0703TPX Hybrid Flat Sheet 0.11D 25+/-4 Asker C 1.1M 2M 12mm</v>
          </cell>
          <cell r="F21">
            <v>2500</v>
          </cell>
          <cell r="G21">
            <v>1085</v>
          </cell>
          <cell r="H21">
            <v>1085</v>
          </cell>
          <cell r="I21">
            <v>0</v>
          </cell>
          <cell r="J21" t="str">
            <v>ASICS</v>
          </cell>
          <cell r="K21" t="str">
            <v>Forecast</v>
          </cell>
          <cell r="L21" t="str">
            <v>MOLDED</v>
          </cell>
          <cell r="M21" t="str">
            <v>1-RM-WIP</v>
          </cell>
        </row>
        <row r="22">
          <cell r="A22" t="str">
            <v>F-2026-03-375-2</v>
          </cell>
          <cell r="B22" t="str">
            <v>FPRO-260318-0019</v>
          </cell>
          <cell r="C22" t="str">
            <v>BDB-000113</v>
          </cell>
          <cell r="D22" t="str">
            <v>PVN-003414</v>
          </cell>
          <cell r="E22" t="str">
            <v>OrthoLite Regular-Hybrid SEEDPEARL/12-0703TPX Hybrid Flat Sheet 0.11D 25+/-4 Asker C 1.1M 2M 12mm</v>
          </cell>
          <cell r="F22">
            <v>2500</v>
          </cell>
          <cell r="G22">
            <v>1415</v>
          </cell>
          <cell r="H22">
            <v>1415</v>
          </cell>
          <cell r="I22">
            <v>0</v>
          </cell>
          <cell r="J22" t="str">
            <v>ASICS</v>
          </cell>
          <cell r="K22" t="str">
            <v>Forecast</v>
          </cell>
          <cell r="L22" t="str">
            <v>MOLDED</v>
          </cell>
          <cell r="M22" t="str">
            <v>1-RM-WIP</v>
          </cell>
        </row>
        <row r="23">
          <cell r="A23" t="str">
            <v>F-2026-03-377-1</v>
          </cell>
          <cell r="B23" t="str">
            <v>FPRO-260318-0021</v>
          </cell>
          <cell r="C23" t="str">
            <v>BDB-000113</v>
          </cell>
          <cell r="D23" t="str">
            <v>PVN-003414</v>
          </cell>
          <cell r="E23" t="str">
            <v>OrthoLite Regular-Hybrid SEEDPEARL/12-0703TPX Hybrid Flat Sheet 0.11D 25+/-4 Asker C 1.1M 2M 12mm</v>
          </cell>
          <cell r="F23">
            <v>2500</v>
          </cell>
          <cell r="G23">
            <v>900</v>
          </cell>
          <cell r="H23">
            <v>900</v>
          </cell>
          <cell r="I23">
            <v>0</v>
          </cell>
          <cell r="J23" t="str">
            <v>ASICS</v>
          </cell>
          <cell r="K23" t="str">
            <v>Forecast</v>
          </cell>
          <cell r="L23" t="str">
            <v>MOLDED</v>
          </cell>
          <cell r="M23" t="str">
            <v>1-RM-WIP</v>
          </cell>
        </row>
        <row r="24">
          <cell r="A24" t="str">
            <v>F-2026-03-377-2</v>
          </cell>
          <cell r="B24" t="str">
            <v>FPRO-260318-0021</v>
          </cell>
          <cell r="C24" t="str">
            <v>BDB-000113</v>
          </cell>
          <cell r="D24" t="str">
            <v>PVN-003414</v>
          </cell>
          <cell r="E24" t="str">
            <v>OrthoLite Regular-Hybrid SEEDPEARL/12-0703TPX Hybrid Flat Sheet 0.11D 25+/-4 Asker C 1.1M 2M 12mm</v>
          </cell>
          <cell r="F24">
            <v>2500</v>
          </cell>
          <cell r="G24">
            <v>1600</v>
          </cell>
          <cell r="H24">
            <v>1600</v>
          </cell>
          <cell r="I24">
            <v>0</v>
          </cell>
          <cell r="J24" t="str">
            <v>ASICS</v>
          </cell>
          <cell r="K24" t="str">
            <v>Forecast</v>
          </cell>
          <cell r="L24" t="str">
            <v>MOLDED</v>
          </cell>
          <cell r="M24" t="str">
            <v>1-RM-WIP</v>
          </cell>
        </row>
        <row r="25">
          <cell r="A25" t="str">
            <v>F-2026-03-378-1</v>
          </cell>
          <cell r="B25" t="str">
            <v>FPRO-260318-0022</v>
          </cell>
          <cell r="C25" t="str">
            <v>BDB-000113</v>
          </cell>
          <cell r="D25" t="str">
            <v>PVN-003414</v>
          </cell>
          <cell r="E25" t="str">
            <v>OrthoLite Regular-Hybrid SEEDPEARL/12-0703TPX Hybrid Flat Sheet 0.11D 25+/-4 Asker C 1.1M 2M 12mm</v>
          </cell>
          <cell r="F25">
            <v>2500</v>
          </cell>
          <cell r="G25">
            <v>1621</v>
          </cell>
          <cell r="H25">
            <v>1621</v>
          </cell>
          <cell r="I25">
            <v>0</v>
          </cell>
          <cell r="J25" t="str">
            <v>ASICS</v>
          </cell>
          <cell r="K25" t="str">
            <v>Forecast</v>
          </cell>
          <cell r="L25" t="str">
            <v>MOLDED</v>
          </cell>
          <cell r="M25" t="str">
            <v>1-RM-WIP</v>
          </cell>
        </row>
        <row r="26">
          <cell r="A26" t="str">
            <v>F-2026-03-378-2</v>
          </cell>
          <cell r="B26" t="str">
            <v>FPRO-260318-0022</v>
          </cell>
          <cell r="C26" t="str">
            <v>BDB-000113</v>
          </cell>
          <cell r="D26" t="str">
            <v>PVN-003414</v>
          </cell>
          <cell r="E26" t="str">
            <v>OrthoLite Regular-Hybrid SEEDPEARL/12-0703TPX Hybrid Flat Sheet 0.11D 25+/-4 Asker C 1.1M 2M 12mm</v>
          </cell>
          <cell r="F26">
            <v>2500</v>
          </cell>
          <cell r="G26">
            <v>879</v>
          </cell>
          <cell r="H26">
            <v>879</v>
          </cell>
          <cell r="I26">
            <v>0</v>
          </cell>
          <cell r="J26" t="str">
            <v>ASICS</v>
          </cell>
          <cell r="K26" t="str">
            <v>Forecast</v>
          </cell>
          <cell r="L26" t="str">
            <v>MOLDED</v>
          </cell>
          <cell r="M26" t="str">
            <v>1-RM-WIP</v>
          </cell>
        </row>
        <row r="27">
          <cell r="A27" t="str">
            <v>F-2026-03-379-1</v>
          </cell>
          <cell r="B27" t="str">
            <v>FPRO-260318-0023</v>
          </cell>
          <cell r="C27" t="str">
            <v>BDB-000113</v>
          </cell>
          <cell r="D27" t="str">
            <v>PVN-003414</v>
          </cell>
          <cell r="E27" t="str">
            <v>OrthoLite Regular-Hybrid SEEDPEARL/12-0703TPX Hybrid Flat Sheet 0.11D 25+/-4 Asker C 1.1M 2M 12mm</v>
          </cell>
          <cell r="F27">
            <v>2500</v>
          </cell>
          <cell r="G27">
            <v>1976</v>
          </cell>
          <cell r="H27">
            <v>1976</v>
          </cell>
          <cell r="I27">
            <v>0</v>
          </cell>
          <cell r="J27" t="str">
            <v>ASICS</v>
          </cell>
          <cell r="K27" t="str">
            <v>Forecast</v>
          </cell>
          <cell r="L27" t="str">
            <v>MOLDED</v>
          </cell>
          <cell r="M27" t="str">
            <v>1-RM-WIP</v>
          </cell>
        </row>
        <row r="28">
          <cell r="A28" t="str">
            <v>F-2026-03-379-2</v>
          </cell>
          <cell r="B28" t="str">
            <v>FPRO-260318-0023</v>
          </cell>
          <cell r="C28" t="str">
            <v>BDB-000113</v>
          </cell>
          <cell r="D28" t="str">
            <v>PVN-003414</v>
          </cell>
          <cell r="E28" t="str">
            <v>OrthoLite Regular-Hybrid SEEDPEARL/12-0703TPX Hybrid Flat Sheet 0.11D 25+/-4 Asker C 1.1M 2M 12mm</v>
          </cell>
          <cell r="F28">
            <v>2500</v>
          </cell>
          <cell r="G28">
            <v>524</v>
          </cell>
          <cell r="H28">
            <v>524</v>
          </cell>
          <cell r="I28">
            <v>0</v>
          </cell>
          <cell r="J28" t="str">
            <v>ASICS</v>
          </cell>
          <cell r="K28" t="str">
            <v>Forecast</v>
          </cell>
          <cell r="L28" t="str">
            <v>MOLDED</v>
          </cell>
          <cell r="M28" t="str">
            <v>1-RM-WIP</v>
          </cell>
        </row>
        <row r="29">
          <cell r="A29" t="str">
            <v>F-2026-03-384-1</v>
          </cell>
          <cell r="B29" t="str">
            <v>FPRO-260318-0028</v>
          </cell>
          <cell r="C29" t="str">
            <v>BDB-000235</v>
          </cell>
          <cell r="D29" t="str">
            <v>PVN-003576</v>
          </cell>
          <cell r="E29" t="str">
            <v>OrthoLite X-55-Hybrid FOSSIL/17-0909TPX Hybrid Flat Sheet 0.16D 25+/-4 Asker C 1.1M 1.7M 12mm</v>
          </cell>
          <cell r="F29">
            <v>1700</v>
          </cell>
          <cell r="G29">
            <v>450</v>
          </cell>
          <cell r="H29">
            <v>450</v>
          </cell>
          <cell r="I29">
            <v>0</v>
          </cell>
          <cell r="J29" t="str">
            <v>ASICS</v>
          </cell>
          <cell r="K29" t="str">
            <v>Forecast</v>
          </cell>
          <cell r="L29" t="str">
            <v>MOLDED</v>
          </cell>
          <cell r="M29" t="str">
            <v>1-RM-WIP</v>
          </cell>
        </row>
        <row r="30">
          <cell r="A30" t="str">
            <v>F-2026-03-384-2</v>
          </cell>
          <cell r="B30" t="str">
            <v>FPRO-260318-0028</v>
          </cell>
          <cell r="C30" t="str">
            <v>BDB-000235</v>
          </cell>
          <cell r="D30" t="str">
            <v>PVN-003576</v>
          </cell>
          <cell r="E30" t="str">
            <v>OrthoLite X-55-Hybrid FOSSIL/17-0909TPX Hybrid Flat Sheet 0.16D 25+/-4 Asker C 1.1M 1.7M 12mm</v>
          </cell>
          <cell r="F30">
            <v>1700</v>
          </cell>
          <cell r="G30">
            <v>1250</v>
          </cell>
          <cell r="H30">
            <v>1250</v>
          </cell>
          <cell r="I30">
            <v>0</v>
          </cell>
          <cell r="J30" t="str">
            <v>ASICS</v>
          </cell>
          <cell r="K30" t="str">
            <v>Forecast</v>
          </cell>
          <cell r="L30" t="str">
            <v>MOLDED</v>
          </cell>
          <cell r="M30" t="str">
            <v>1-RM-WIP</v>
          </cell>
        </row>
        <row r="31">
          <cell r="A31" t="str">
            <v>F-2026-03-392-1</v>
          </cell>
          <cell r="B31" t="str">
            <v>FPRO-260319-0002</v>
          </cell>
          <cell r="C31" t="str">
            <v>BDB-000113</v>
          </cell>
          <cell r="D31" t="str">
            <v>PVN-003414</v>
          </cell>
          <cell r="E31" t="str">
            <v>OrthoLite Regular-Hybrid SEEDPEARL/12-0703TPX Hybrid Flat Sheet 0.11D 25+/-4 Asker C 1.1M 2M 12mm</v>
          </cell>
          <cell r="F31">
            <v>1750</v>
          </cell>
          <cell r="G31">
            <v>1390</v>
          </cell>
          <cell r="H31">
            <v>1390</v>
          </cell>
          <cell r="I31">
            <v>0</v>
          </cell>
          <cell r="J31" t="str">
            <v>ASICS</v>
          </cell>
          <cell r="K31" t="str">
            <v>Forecast</v>
          </cell>
          <cell r="L31" t="str">
            <v>MOLDED</v>
          </cell>
          <cell r="M31" t="str">
            <v>1-RM-WIP</v>
          </cell>
        </row>
        <row r="32">
          <cell r="A32" t="str">
            <v>F-2026-03-392-2</v>
          </cell>
          <cell r="B32" t="str">
            <v>FPRO-260319-0002</v>
          </cell>
          <cell r="C32" t="str">
            <v>BDB-000113</v>
          </cell>
          <cell r="D32" t="str">
            <v>PVN-003414</v>
          </cell>
          <cell r="E32" t="str">
            <v>OrthoLite Regular-Hybrid SEEDPEARL/12-0703TPX Hybrid Flat Sheet 0.11D 25+/-4 Asker C 1.1M 2M 12mm</v>
          </cell>
          <cell r="F32">
            <v>1750</v>
          </cell>
          <cell r="G32">
            <v>360</v>
          </cell>
          <cell r="H32">
            <v>360</v>
          </cell>
          <cell r="I32">
            <v>0</v>
          </cell>
          <cell r="J32" t="str">
            <v>ASICS</v>
          </cell>
          <cell r="K32" t="str">
            <v>Forecast</v>
          </cell>
          <cell r="L32" t="str">
            <v>MOLDED</v>
          </cell>
          <cell r="M32" t="str">
            <v>1-RM-WIP</v>
          </cell>
        </row>
        <row r="33">
          <cell r="A33" t="str">
            <v>F-2026-03-395-2-1</v>
          </cell>
          <cell r="B33" t="str">
            <v>FPRO-260328-0001</v>
          </cell>
          <cell r="C33" t="str">
            <v>BDB-000113</v>
          </cell>
          <cell r="D33" t="str">
            <v>PVN-002465</v>
          </cell>
          <cell r="E33" t="str">
            <v>OrthoLite Regular-Hybrid SEEDPEARL/12-0703TPX Hybrid Flat Sheet 0.11D 25+/-4 Asker C 1.1M 2M 5mm</v>
          </cell>
          <cell r="F33">
            <v>2500</v>
          </cell>
          <cell r="G33">
            <v>2140</v>
          </cell>
          <cell r="H33">
            <v>2140</v>
          </cell>
          <cell r="I33">
            <v>0</v>
          </cell>
          <cell r="J33" t="str">
            <v>ASICS</v>
          </cell>
          <cell r="K33" t="str">
            <v>Forecast</v>
          </cell>
          <cell r="L33" t="str">
            <v>DIE CUT</v>
          </cell>
          <cell r="M33">
            <v>1</v>
          </cell>
        </row>
        <row r="34">
          <cell r="A34" t="str">
            <v>F-2026-03-395-2-2</v>
          </cell>
          <cell r="B34" t="str">
            <v>FPRO-260328-0001</v>
          </cell>
          <cell r="C34" t="str">
            <v>BDB-000113</v>
          </cell>
          <cell r="D34" t="str">
            <v>PVN-002465</v>
          </cell>
          <cell r="E34" t="str">
            <v>OrthoLite Regular-Hybrid SEEDPEARL/12-0703TPX Hybrid Flat Sheet 0.11D 25+/-4 Asker C 1.1M 2M 5mm</v>
          </cell>
          <cell r="F34">
            <v>2500</v>
          </cell>
          <cell r="G34">
            <v>360</v>
          </cell>
          <cell r="H34">
            <v>360</v>
          </cell>
          <cell r="I34">
            <v>0</v>
          </cell>
          <cell r="J34" t="str">
            <v>ASICS</v>
          </cell>
          <cell r="K34" t="str">
            <v>Forecast</v>
          </cell>
          <cell r="L34" t="str">
            <v>DIE CUT</v>
          </cell>
          <cell r="M34">
            <v>1</v>
          </cell>
        </row>
        <row r="35">
          <cell r="A35" t="str">
            <v>F-2026-03-469-1</v>
          </cell>
          <cell r="B35" t="str">
            <v>FPRO-260324-0041</v>
          </cell>
          <cell r="C35" t="str">
            <v>BDB-000129</v>
          </cell>
          <cell r="D35" t="str">
            <v>PVN-001550</v>
          </cell>
          <cell r="E35" t="str">
            <v>OrthoLite Regular-Nike AIR BLUE/16-4134TPX 0.11D 25+/-4 Asker C 1.1M 1.7M 2mm</v>
          </cell>
          <cell r="F35">
            <v>2500</v>
          </cell>
          <cell r="G35">
            <v>1600</v>
          </cell>
          <cell r="H35">
            <v>1600</v>
          </cell>
          <cell r="I35">
            <v>0</v>
          </cell>
          <cell r="J35" t="str">
            <v>NIKE</v>
          </cell>
          <cell r="K35" t="str">
            <v>Forecast</v>
          </cell>
          <cell r="L35" t="str">
            <v>DIE CUT</v>
          </cell>
          <cell r="M35">
            <v>1</v>
          </cell>
        </row>
        <row r="36">
          <cell r="A36" t="str">
            <v>F-2026-03-469-2</v>
          </cell>
          <cell r="B36" t="str">
            <v>FPRO-260324-0041</v>
          </cell>
          <cell r="C36" t="str">
            <v>BDB-000129</v>
          </cell>
          <cell r="D36" t="str">
            <v>PVN-001550</v>
          </cell>
          <cell r="E36" t="str">
            <v>OrthoLite Regular-Nike AIR BLUE/16-4134TPX 0.11D 25+/-4 Asker C 1.1M 1.7M 2mm</v>
          </cell>
          <cell r="F36">
            <v>2500</v>
          </cell>
          <cell r="G36">
            <v>900</v>
          </cell>
          <cell r="H36">
            <v>900</v>
          </cell>
          <cell r="I36">
            <v>0</v>
          </cell>
          <cell r="J36" t="str">
            <v>NIKE</v>
          </cell>
          <cell r="K36" t="str">
            <v>Forecast</v>
          </cell>
          <cell r="L36" t="str">
            <v>DIE CUT</v>
          </cell>
          <cell r="M36">
            <v>1</v>
          </cell>
        </row>
        <row r="37">
          <cell r="A37" t="str">
            <v>F-2026-04-79-1</v>
          </cell>
          <cell r="B37" t="str">
            <v>FPRO-260406-0010</v>
          </cell>
          <cell r="C37"/>
          <cell r="D37" t="str">
            <v>PVN-003238</v>
          </cell>
          <cell r="E37" t="str">
            <v>OrthoLite Eco LT-Hybrid-Converse SEEDPEARL/12-0703TPX Hybrid 0.11D 25+/-4 Asker C 1.1M 2M 5mm</v>
          </cell>
          <cell r="F37">
            <v>1000</v>
          </cell>
          <cell r="G37">
            <v>950</v>
          </cell>
          <cell r="H37">
            <v>950</v>
          </cell>
          <cell r="I37">
            <v>0</v>
          </cell>
          <cell r="J37" t="str">
            <v>CONVERSE</v>
          </cell>
          <cell r="K37" t="str">
            <v>Forecast</v>
          </cell>
          <cell r="L37" t="str">
            <v>DIE CUT</v>
          </cell>
          <cell r="M37">
            <v>1</v>
          </cell>
        </row>
        <row r="38">
          <cell r="A38" t="str">
            <v>F-2026-04-79-2</v>
          </cell>
          <cell r="B38" t="str">
            <v>FPRO-260406-0010</v>
          </cell>
          <cell r="C38"/>
          <cell r="D38" t="str">
            <v>PVN-003238</v>
          </cell>
          <cell r="E38" t="str">
            <v>OrthoLite Eco LT-Hybrid-Converse SEEDPEARL/12-0703TPX Hybrid 0.11D 25+/-4 Asker C 1.1M 2M 5mm</v>
          </cell>
          <cell r="F38">
            <v>1000</v>
          </cell>
          <cell r="G38">
            <v>50</v>
          </cell>
          <cell r="H38">
            <v>50</v>
          </cell>
          <cell r="I38">
            <v>0</v>
          </cell>
          <cell r="J38" t="str">
            <v>CONVERSE</v>
          </cell>
          <cell r="K38" t="str">
            <v>Forecast</v>
          </cell>
          <cell r="L38" t="str">
            <v>DIE CUT</v>
          </cell>
          <cell r="M38">
            <v>1</v>
          </cell>
        </row>
        <row r="39">
          <cell r="A39" t="str">
            <v>F-2026-04-199-1</v>
          </cell>
          <cell r="B39" t="str">
            <v>RPRO-260416-0271</v>
          </cell>
          <cell r="C39"/>
          <cell r="D39" t="str">
            <v>PVN-001585</v>
          </cell>
          <cell r="E39" t="str">
            <v>OrthoLite Regular-Nike AIR BLUE/16-4134TPX Flat Sheet 0.13D 35+/-4 Asker C 1.1M 2M 6mm</v>
          </cell>
          <cell r="F39">
            <v>851</v>
          </cell>
          <cell r="G39">
            <v>800</v>
          </cell>
          <cell r="H39">
            <v>800</v>
          </cell>
          <cell r="I39">
            <v>0</v>
          </cell>
          <cell r="J39" t="str">
            <v>NIKE</v>
          </cell>
          <cell r="K39" t="str">
            <v>Pr.Sch.R</v>
          </cell>
          <cell r="L39" t="str">
            <v>MOLDED</v>
          </cell>
          <cell r="M39">
            <v>1</v>
          </cell>
        </row>
        <row r="40">
          <cell r="A40" t="str">
            <v>F-2026-04-199-2</v>
          </cell>
          <cell r="B40" t="str">
            <v>RPRO-260416-0271</v>
          </cell>
          <cell r="C40"/>
          <cell r="D40" t="str">
            <v>PVN-001585</v>
          </cell>
          <cell r="E40" t="str">
            <v>OrthoLite Regular-Nike AIR BLUE/16-4134TPX Flat Sheet 0.13D 35+/-4 Asker C 1.1M 2M 6mm</v>
          </cell>
          <cell r="F40">
            <v>851</v>
          </cell>
          <cell r="G40">
            <v>51</v>
          </cell>
          <cell r="H40">
            <v>51</v>
          </cell>
          <cell r="I40">
            <v>0</v>
          </cell>
          <cell r="J40" t="str">
            <v>NIKE</v>
          </cell>
          <cell r="K40" t="str">
            <v>Pr.Sch.R</v>
          </cell>
          <cell r="L40" t="str">
            <v>MOLDED</v>
          </cell>
          <cell r="M40">
            <v>1</v>
          </cell>
        </row>
        <row r="41">
          <cell r="A41" t="str">
            <v>F-2026-03-487-1</v>
          </cell>
          <cell r="B41" t="str">
            <v>FPRO-260324-0059</v>
          </cell>
          <cell r="C41" t="str">
            <v>BDB-000175</v>
          </cell>
          <cell r="D41" t="str">
            <v>PVN-002875</v>
          </cell>
          <cell r="E41" t="str">
            <v>OrthoLite Ultra-Hybrid-Nike SEEDPEARL/12-0703TPX Hybrid 0.085D 25+/-4 Asker C 1.1M 2M 3mm</v>
          </cell>
          <cell r="F41">
            <v>1000</v>
          </cell>
          <cell r="G41">
            <v>845</v>
          </cell>
          <cell r="H41">
            <v>845</v>
          </cell>
          <cell r="I41">
            <v>0</v>
          </cell>
          <cell r="J41" t="str">
            <v>NIKE</v>
          </cell>
          <cell r="K41" t="str">
            <v>Forecast</v>
          </cell>
          <cell r="L41" t="str">
            <v>DIE CUT</v>
          </cell>
          <cell r="M41">
            <v>1</v>
          </cell>
        </row>
        <row r="42">
          <cell r="A42" t="str">
            <v>F-2026-03-487-2</v>
          </cell>
          <cell r="B42" t="str">
            <v>FPRO-260324-0059</v>
          </cell>
          <cell r="C42" t="str">
            <v>BDB-000175</v>
          </cell>
          <cell r="D42" t="str">
            <v>PVN-002875</v>
          </cell>
          <cell r="E42" t="str">
            <v>OrthoLite Ultra-Hybrid-Nike SEEDPEARL/12-0703TPX Hybrid 0.085D 25+/-4 Asker C 1.1M 2M 3mm</v>
          </cell>
          <cell r="F42">
            <v>1000</v>
          </cell>
          <cell r="G42">
            <v>155</v>
          </cell>
          <cell r="H42">
            <v>155</v>
          </cell>
          <cell r="I42">
            <v>0</v>
          </cell>
          <cell r="J42" t="str">
            <v>NIKE</v>
          </cell>
          <cell r="K42" t="str">
            <v>Forecast</v>
          </cell>
          <cell r="L42" t="str">
            <v>DIE CUT</v>
          </cell>
          <cell r="M42">
            <v>1</v>
          </cell>
        </row>
        <row r="43">
          <cell r="A43" t="str">
            <v>F-2026-04-273-1</v>
          </cell>
          <cell r="B43" t="str">
            <v>FPRO-260418-0003</v>
          </cell>
          <cell r="C43"/>
          <cell r="D43" t="str">
            <v>PVN-003238</v>
          </cell>
          <cell r="E43" t="str">
            <v>OrthoLite Eco LT-Hybrid-Converse SEEDPEARL/12-0703TPX Hybrid 0.11D 25+/-4 Asker C 1.1M 2M 5mm</v>
          </cell>
          <cell r="F43">
            <v>2000</v>
          </cell>
          <cell r="G43">
            <v>288</v>
          </cell>
          <cell r="H43">
            <v>288</v>
          </cell>
          <cell r="I43">
            <v>0</v>
          </cell>
          <cell r="J43" t="str">
            <v>CONVERSE</v>
          </cell>
          <cell r="K43" t="str">
            <v>Forecast</v>
          </cell>
          <cell r="L43" t="str">
            <v>DIE CUT</v>
          </cell>
          <cell r="M43">
            <v>1</v>
          </cell>
        </row>
        <row r="44">
          <cell r="A44" t="str">
            <v>F-2026-04-273-2</v>
          </cell>
          <cell r="B44" t="str">
            <v>FPRO-260418-0003</v>
          </cell>
          <cell r="C44"/>
          <cell r="D44" t="str">
            <v>PVN-003238</v>
          </cell>
          <cell r="E44" t="str">
            <v>OrthoLite Eco LT-Hybrid-Converse SEEDPEARL/12-0703TPX Hybrid 0.11D 25+/-4 Asker C 1.1M 2M 5mm</v>
          </cell>
          <cell r="F44">
            <v>2000</v>
          </cell>
          <cell r="G44">
            <v>1712</v>
          </cell>
          <cell r="H44">
            <v>1712</v>
          </cell>
          <cell r="I44">
            <v>0</v>
          </cell>
          <cell r="J44" t="str">
            <v>CONVERSE</v>
          </cell>
          <cell r="K44" t="str">
            <v>Forecast</v>
          </cell>
          <cell r="L44" t="str">
            <v>DIE CUT</v>
          </cell>
          <cell r="M44">
            <v>1</v>
          </cell>
        </row>
        <row r="45">
          <cell r="A45" t="str">
            <v>F-2025-10-254</v>
          </cell>
          <cell r="B45" t="str">
            <v>FPRO-251021-0006</v>
          </cell>
          <cell r="C45" t="str">
            <v>BDB-000161</v>
          </cell>
          <cell r="D45" t="str">
            <v>PVN-001560</v>
          </cell>
          <cell r="E45" t="str">
            <v>OrthoLite Ultra-Nike FOSSIL/17-0909TPX 0.085D 25+/-4 Asker C 1.1M 2M 4mm</v>
          </cell>
          <cell r="F45">
            <v>1000</v>
          </cell>
          <cell r="G45">
            <v>1000</v>
          </cell>
          <cell r="H45">
            <v>1000</v>
          </cell>
          <cell r="I45">
            <v>0</v>
          </cell>
          <cell r="J45" t="str">
            <v>NIKE</v>
          </cell>
          <cell r="K45" t="str">
            <v>Forecast</v>
          </cell>
          <cell r="L45" t="str">
            <v>DIE CUT</v>
          </cell>
          <cell r="M45">
            <v>1</v>
          </cell>
        </row>
        <row r="46">
          <cell r="A46" t="str">
            <v>F-2026-01-240</v>
          </cell>
          <cell r="B46" t="str">
            <v>FPRO-260121-0010</v>
          </cell>
          <cell r="C46" t="str">
            <v>BDB-000217</v>
          </cell>
          <cell r="D46" t="str">
            <v>PVN-003539</v>
          </cell>
          <cell r="E46" t="str">
            <v>OrthoLite X-40-Hybrid SEEDPEARL/12-0703TPX Hybrid Flat Sheet 0.16D 35+/-4 Asker C 1.1M 1.7M 6.2mm</v>
          </cell>
          <cell r="F46">
            <v>1000</v>
          </cell>
          <cell r="G46">
            <v>1000</v>
          </cell>
          <cell r="H46">
            <v>0</v>
          </cell>
          <cell r="I46">
            <v>1000</v>
          </cell>
          <cell r="J46" t="str">
            <v>BROOKS</v>
          </cell>
          <cell r="K46" t="str">
            <v>Forecast</v>
          </cell>
          <cell r="L46" t="str">
            <v>MOLDED</v>
          </cell>
          <cell r="M46">
            <v>1</v>
          </cell>
        </row>
        <row r="47">
          <cell r="A47" t="str">
            <v>F-2026-01-391</v>
          </cell>
          <cell r="B47" t="str">
            <v>FPRO-260127-0020</v>
          </cell>
          <cell r="C47" t="str">
            <v>BDB-000161</v>
          </cell>
          <cell r="D47" t="str">
            <v>PVN-001560</v>
          </cell>
          <cell r="E47" t="str">
            <v>OrthoLite Ultra-Nike FOSSIL/17-0909TPX 0.085D 25+/-4 Asker C 1.1M 2M 4mm</v>
          </cell>
          <cell r="F47">
            <v>1000</v>
          </cell>
          <cell r="G47">
            <v>1000</v>
          </cell>
          <cell r="H47">
            <v>1000</v>
          </cell>
          <cell r="I47">
            <v>0</v>
          </cell>
          <cell r="J47" t="str">
            <v>NIKE</v>
          </cell>
          <cell r="K47" t="str">
            <v>Forecast</v>
          </cell>
          <cell r="L47" t="str">
            <v>DIE CUT</v>
          </cell>
          <cell r="M47">
            <v>1</v>
          </cell>
        </row>
        <row r="48">
          <cell r="A48" t="str">
            <v>F-2026-01-393-1</v>
          </cell>
          <cell r="B48" t="str">
            <v>FPRO-260127-0022</v>
          </cell>
          <cell r="C48" t="str">
            <v>BDB-000160</v>
          </cell>
          <cell r="D48" t="str">
            <v>PVN-001562</v>
          </cell>
          <cell r="E48" t="str">
            <v>OrthoLite Ultra-Nike LIME GREEN/14-0452TPX 0.085D 25+/-4 Asker C 1.1M 2M 4mm</v>
          </cell>
          <cell r="F48">
            <v>2500</v>
          </cell>
          <cell r="G48">
            <v>1500</v>
          </cell>
          <cell r="H48">
            <v>1500</v>
          </cell>
          <cell r="I48">
            <v>0</v>
          </cell>
          <cell r="J48" t="str">
            <v>NIKE</v>
          </cell>
          <cell r="K48" t="str">
            <v>Forecast</v>
          </cell>
          <cell r="L48" t="str">
            <v>DIE CUT</v>
          </cell>
          <cell r="M48">
            <v>1</v>
          </cell>
        </row>
        <row r="49">
          <cell r="A49" t="str">
            <v>F-2026-01-393-2</v>
          </cell>
          <cell r="B49" t="str">
            <v>FPRO-260401-0010</v>
          </cell>
          <cell r="C49" t="str">
            <v>BDB-000160</v>
          </cell>
          <cell r="D49" t="str">
            <v>PVN-001562</v>
          </cell>
          <cell r="E49" t="str">
            <v>OrthoLite Ultra-Nike LIME GREEN/14-0452TPX 0.085D 25+/-4 Asker C 1.1M 2M 4mm</v>
          </cell>
          <cell r="F49">
            <v>1000</v>
          </cell>
          <cell r="G49">
            <v>500</v>
          </cell>
          <cell r="H49">
            <v>0</v>
          </cell>
          <cell r="I49">
            <v>500</v>
          </cell>
          <cell r="J49" t="str">
            <v>NIKE</v>
          </cell>
          <cell r="K49" t="str">
            <v>Forecast</v>
          </cell>
          <cell r="L49" t="str">
            <v>DIE CUT</v>
          </cell>
          <cell r="M49" t="str">
            <v>1-SLT</v>
          </cell>
        </row>
        <row r="50">
          <cell r="A50" t="str">
            <v>F-2026-01-393-3</v>
          </cell>
          <cell r="B50" t="str">
            <v>FPRO-260507-0001</v>
          </cell>
          <cell r="C50" t="str">
            <v>BDB-000160</v>
          </cell>
          <cell r="D50" t="str">
            <v>PVN-001562</v>
          </cell>
          <cell r="E50" t="str">
            <v>OrthoLite Ultra-Nike LIME GREEN/14-0452TPX 0.085D 25+/-4 Asker C 1.1M 2M 4mm</v>
          </cell>
          <cell r="F50">
            <v>1000</v>
          </cell>
          <cell r="G50">
            <v>500</v>
          </cell>
          <cell r="H50">
            <v>0</v>
          </cell>
          <cell r="I50">
            <v>500</v>
          </cell>
          <cell r="J50" t="str">
            <v>NIKE</v>
          </cell>
          <cell r="K50" t="str">
            <v>Forecast</v>
          </cell>
          <cell r="L50" t="str">
            <v>DIE CUT</v>
          </cell>
          <cell r="M50" t="str">
            <v>1-SLT</v>
          </cell>
        </row>
        <row r="51">
          <cell r="A51" t="str">
            <v>F-2026-01-394-1</v>
          </cell>
          <cell r="B51" t="str">
            <v>FPRO-260127-0023</v>
          </cell>
          <cell r="C51" t="str">
            <v>BDB-000160</v>
          </cell>
          <cell r="D51" t="str">
            <v>PVN-001562</v>
          </cell>
          <cell r="E51" t="str">
            <v>OrthoLite Ultra-Nike LIME GREEN/14-0452TPX 0.085D 25+/-4 Asker C 1.1M 2M 4mm</v>
          </cell>
          <cell r="F51">
            <v>1000</v>
          </cell>
          <cell r="G51">
            <v>1000</v>
          </cell>
          <cell r="H51">
            <v>1000</v>
          </cell>
          <cell r="I51">
            <v>0</v>
          </cell>
          <cell r="J51" t="str">
            <v>NIKE</v>
          </cell>
          <cell r="K51" t="str">
            <v>Forecast</v>
          </cell>
          <cell r="L51" t="str">
            <v>DIE CUT</v>
          </cell>
          <cell r="M51" t="str">
            <v>1-SLT</v>
          </cell>
        </row>
        <row r="52">
          <cell r="A52" t="str">
            <v>F-2026-01-394-2-1</v>
          </cell>
          <cell r="B52" t="str">
            <v>FPRO-260327-0007</v>
          </cell>
          <cell r="C52" t="str">
            <v>BDB-000160</v>
          </cell>
          <cell r="D52" t="str">
            <v>PVN-001562</v>
          </cell>
          <cell r="E52" t="str">
            <v>OrthoLite Ultra-Nike LIME GREEN/14-0452TPX 0.085D 25+/-4 Asker C 1.1M 2M 4mm</v>
          </cell>
          <cell r="F52">
            <v>1500</v>
          </cell>
          <cell r="G52">
            <v>500</v>
          </cell>
          <cell r="H52">
            <v>500</v>
          </cell>
          <cell r="I52">
            <v>0</v>
          </cell>
          <cell r="J52" t="str">
            <v>NIKE</v>
          </cell>
          <cell r="K52" t="str">
            <v>Forecast</v>
          </cell>
          <cell r="L52" t="str">
            <v>DIE CUT</v>
          </cell>
          <cell r="M52" t="str">
            <v>1-SLT</v>
          </cell>
        </row>
        <row r="53">
          <cell r="A53" t="str">
            <v>F-2026-01-394-2-2</v>
          </cell>
          <cell r="B53" t="str">
            <v>FPRO-260406-0014</v>
          </cell>
          <cell r="C53" t="str">
            <v>BDB-000160</v>
          </cell>
          <cell r="D53" t="str">
            <v>PVN-001562</v>
          </cell>
          <cell r="E53" t="str">
            <v>OrthoLite Ultra-Nike LIME GREEN/14-0452TPX 0.085D 25+/-4 Asker C 1.1M 2M 4mm</v>
          </cell>
          <cell r="F53">
            <v>1500</v>
          </cell>
          <cell r="G53">
            <v>1000</v>
          </cell>
          <cell r="H53">
            <v>0</v>
          </cell>
          <cell r="I53">
            <v>1000</v>
          </cell>
          <cell r="J53" t="str">
            <v>NIKE</v>
          </cell>
          <cell r="K53" t="str">
            <v>Forecast</v>
          </cell>
          <cell r="L53" t="str">
            <v>DIE CUT</v>
          </cell>
          <cell r="M53">
            <v>1</v>
          </cell>
        </row>
        <row r="54">
          <cell r="A54" t="str">
            <v>F-2026-01-395-1</v>
          </cell>
          <cell r="B54" t="str">
            <v>FPRO-260127-0024</v>
          </cell>
          <cell r="C54" t="str">
            <v>BDB-000160</v>
          </cell>
          <cell r="D54" t="str">
            <v>PVN-001562</v>
          </cell>
          <cell r="E54" t="str">
            <v>OrthoLite Ultra-Nike LIME GREEN/14-0452TPX 0.085D 25+/-4 Asker C 1.1M 2M 4mm</v>
          </cell>
          <cell r="F54">
            <v>2500</v>
          </cell>
          <cell r="G54">
            <v>1000</v>
          </cell>
          <cell r="H54">
            <v>0</v>
          </cell>
          <cell r="I54">
            <v>1000</v>
          </cell>
          <cell r="J54" t="str">
            <v>NIKE</v>
          </cell>
          <cell r="K54" t="str">
            <v>Forecast</v>
          </cell>
          <cell r="L54" t="str">
            <v>DIE CUT</v>
          </cell>
          <cell r="M54">
            <v>1</v>
          </cell>
        </row>
        <row r="55">
          <cell r="A55" t="str">
            <v>F-2026-01-395-2</v>
          </cell>
          <cell r="B55" t="str">
            <v>FPRO-260401-0013</v>
          </cell>
          <cell r="C55" t="str">
            <v>BDB-000160</v>
          </cell>
          <cell r="D55" t="str">
            <v>PVN-001562</v>
          </cell>
          <cell r="E55" t="str">
            <v>OrthoLite Ultra-Nike LIME GREEN/14-0452TPX 0.085D 25+/-4 Asker C 1.1M 2M 4mm</v>
          </cell>
          <cell r="F55">
            <v>2500</v>
          </cell>
          <cell r="G55">
            <v>1500</v>
          </cell>
          <cell r="H55">
            <v>1500</v>
          </cell>
          <cell r="I55">
            <v>0</v>
          </cell>
          <cell r="J55" t="str">
            <v>NIKE</v>
          </cell>
          <cell r="K55" t="str">
            <v>Forecast</v>
          </cell>
          <cell r="L55" t="str">
            <v>DIE CUT</v>
          </cell>
          <cell r="M55">
            <v>1</v>
          </cell>
        </row>
        <row r="56">
          <cell r="A56" t="str">
            <v>F-2026-01-431-2</v>
          </cell>
          <cell r="B56" t="str">
            <v>FPRO-260309-0002</v>
          </cell>
          <cell r="C56" t="str">
            <v>BDB-000218</v>
          </cell>
          <cell r="D56" t="str">
            <v>PVN-003488</v>
          </cell>
          <cell r="E56" t="str">
            <v>OrthoLite Ultra-Nike SEEDPEARL/12-0703TPX 0.085D 5-10 Asker C 1.1M 2M 4mm</v>
          </cell>
          <cell r="F56">
            <v>1000</v>
          </cell>
          <cell r="G56">
            <v>500</v>
          </cell>
          <cell r="H56">
            <v>500</v>
          </cell>
          <cell r="I56">
            <v>0</v>
          </cell>
          <cell r="J56" t="str">
            <v>NIKE</v>
          </cell>
          <cell r="K56" t="str">
            <v>Forecast</v>
          </cell>
          <cell r="L56" t="str">
            <v>DIE CUT</v>
          </cell>
          <cell r="M56">
            <v>1</v>
          </cell>
        </row>
        <row r="57">
          <cell r="A57" t="str">
            <v>F-2026-01-483</v>
          </cell>
          <cell r="B57" t="str">
            <v>FPRO-260130-0006</v>
          </cell>
          <cell r="C57" t="str">
            <v>BDB-000011</v>
          </cell>
          <cell r="D57" t="str">
            <v>PVN-000242</v>
          </cell>
          <cell r="E57" t="str">
            <v>OrthoLite Regular AIR BLUE/16-4134TPX Flat Sheet 0.13D 35+/-4 Asker C 1.1M 2M 2mm</v>
          </cell>
          <cell r="F57">
            <v>1000</v>
          </cell>
          <cell r="G57">
            <v>1000</v>
          </cell>
          <cell r="H57">
            <v>0</v>
          </cell>
          <cell r="I57">
            <v>1000</v>
          </cell>
          <cell r="J57" t="str">
            <v>ASICS</v>
          </cell>
          <cell r="K57" t="str">
            <v>Forecast</v>
          </cell>
          <cell r="L57" t="str">
            <v>SPLITTING</v>
          </cell>
          <cell r="M57">
            <v>2</v>
          </cell>
        </row>
        <row r="58">
          <cell r="A58" t="str">
            <v>F-2026-01-486</v>
          </cell>
          <cell r="B58" t="str">
            <v>FPRO-260130-0009</v>
          </cell>
          <cell r="C58" t="str">
            <v>BDB-000011</v>
          </cell>
          <cell r="D58" t="str">
            <v>PVN-000258</v>
          </cell>
          <cell r="E58" t="str">
            <v>OrthoLite Regular AIR BLUE/16-4134TPX Flat Sheet 0.13D 35+/-4 Asker C 1.1M 2M 2.5mm</v>
          </cell>
          <cell r="F58">
            <v>2500</v>
          </cell>
          <cell r="G58">
            <v>2500</v>
          </cell>
          <cell r="H58">
            <v>0</v>
          </cell>
          <cell r="I58">
            <v>2500</v>
          </cell>
          <cell r="J58" t="str">
            <v>ASICS</v>
          </cell>
          <cell r="K58" t="str">
            <v>Forecast</v>
          </cell>
          <cell r="L58" t="str">
            <v>SPLITTING</v>
          </cell>
          <cell r="M58">
            <v>2</v>
          </cell>
        </row>
        <row r="59">
          <cell r="A59" t="str">
            <v>F-2026-01-488</v>
          </cell>
          <cell r="B59" t="str">
            <v>FPRO-260130-0011</v>
          </cell>
          <cell r="C59" t="str">
            <v>BDB-000011</v>
          </cell>
          <cell r="D59" t="str">
            <v>PVN-000258</v>
          </cell>
          <cell r="E59" t="str">
            <v>OrthoLite Regular AIR BLUE/16-4134TPX Flat Sheet 0.13D 35+/-4 Asker C 1.1M 2M 2.5mm</v>
          </cell>
          <cell r="F59">
            <v>2500</v>
          </cell>
          <cell r="G59">
            <v>2500</v>
          </cell>
          <cell r="H59">
            <v>2500</v>
          </cell>
          <cell r="I59">
            <v>0</v>
          </cell>
          <cell r="J59" t="str">
            <v>ASICS</v>
          </cell>
          <cell r="K59" t="str">
            <v>Forecast</v>
          </cell>
          <cell r="L59" t="str">
            <v>SPLITTING</v>
          </cell>
          <cell r="M59">
            <v>2</v>
          </cell>
        </row>
        <row r="60">
          <cell r="A60" t="str">
            <v>F-2026-01-489-1</v>
          </cell>
          <cell r="B60" t="str">
            <v>FPRO-260130-0012</v>
          </cell>
          <cell r="C60" t="str">
            <v>BDB-000011</v>
          </cell>
          <cell r="D60" t="str">
            <v>PVN-000258</v>
          </cell>
          <cell r="E60" t="str">
            <v>OrthoLite Regular AIR BLUE/16-4134TPX Flat Sheet 0.13D 35+/-4 Asker C 1.1M 2M 2.5mm</v>
          </cell>
          <cell r="F60">
            <v>2500</v>
          </cell>
          <cell r="G60">
            <v>1000</v>
          </cell>
          <cell r="H60">
            <v>1000</v>
          </cell>
          <cell r="I60">
            <v>0</v>
          </cell>
          <cell r="J60" t="str">
            <v>ASICS</v>
          </cell>
          <cell r="K60" t="str">
            <v>Forecast</v>
          </cell>
          <cell r="L60" t="str">
            <v>SPLITTING</v>
          </cell>
          <cell r="M60">
            <v>2</v>
          </cell>
        </row>
        <row r="61">
          <cell r="A61" t="str">
            <v>F-2026-01-489-2</v>
          </cell>
          <cell r="B61" t="str">
            <v>FPRO-260423-0001</v>
          </cell>
          <cell r="C61" t="str">
            <v>BDB-000011</v>
          </cell>
          <cell r="D61" t="str">
            <v>PVN-000258</v>
          </cell>
          <cell r="E61" t="str">
            <v>OrthoLite Regular AIR BLUE/16-4134TPX Flat Sheet 0.13D 35+/-4 Asker C 1.1M 2M 2.5mm</v>
          </cell>
          <cell r="F61">
            <v>2500</v>
          </cell>
          <cell r="G61">
            <v>1500</v>
          </cell>
          <cell r="H61">
            <v>1500</v>
          </cell>
          <cell r="I61">
            <v>0</v>
          </cell>
          <cell r="J61" t="str">
            <v>ASICS</v>
          </cell>
          <cell r="K61" t="str">
            <v>Forecast</v>
          </cell>
          <cell r="L61" t="str">
            <v>SPLITTING</v>
          </cell>
          <cell r="M61">
            <v>2</v>
          </cell>
        </row>
        <row r="62">
          <cell r="A62" t="str">
            <v>F-2026-01-490-1</v>
          </cell>
          <cell r="B62" t="str">
            <v>FPRO-260130-0013</v>
          </cell>
          <cell r="C62" t="str">
            <v>BDB-000011</v>
          </cell>
          <cell r="D62" t="str">
            <v>PVN-000258</v>
          </cell>
          <cell r="E62" t="str">
            <v>OrthoLite Regular AIR BLUE/16-4134TPX Flat Sheet 0.13D 35+/-4 Asker C 1.1M 2M 2.5mm</v>
          </cell>
          <cell r="F62">
            <v>2500</v>
          </cell>
          <cell r="G62">
            <v>1000</v>
          </cell>
          <cell r="H62">
            <v>1000</v>
          </cell>
          <cell r="I62">
            <v>0</v>
          </cell>
          <cell r="J62" t="str">
            <v>ASICS</v>
          </cell>
          <cell r="K62" t="str">
            <v>Forecast</v>
          </cell>
          <cell r="L62" t="str">
            <v>SPLITTING</v>
          </cell>
          <cell r="M62">
            <v>2</v>
          </cell>
        </row>
        <row r="63">
          <cell r="A63" t="str">
            <v>F-2026-01-490-2</v>
          </cell>
          <cell r="B63" t="str">
            <v>FPRO-260406-0013</v>
          </cell>
          <cell r="C63" t="str">
            <v>BDB-000011</v>
          </cell>
          <cell r="D63" t="str">
            <v>PVN-000258</v>
          </cell>
          <cell r="E63" t="str">
            <v>OrthoLite Regular AIR BLUE/16-4134TPX Flat Sheet 0.13D 35+/-4 Asker C 1.1M 2M 2.5mm</v>
          </cell>
          <cell r="F63">
            <v>2500</v>
          </cell>
          <cell r="G63">
            <v>1500</v>
          </cell>
          <cell r="H63">
            <v>1500</v>
          </cell>
          <cell r="I63">
            <v>0</v>
          </cell>
          <cell r="J63" t="str">
            <v>ASICS</v>
          </cell>
          <cell r="K63" t="str">
            <v>Forecast</v>
          </cell>
          <cell r="L63" t="str">
            <v>SPLITTING</v>
          </cell>
          <cell r="M63">
            <v>2</v>
          </cell>
        </row>
        <row r="64">
          <cell r="A64" t="str">
            <v>F-2026-01-491</v>
          </cell>
          <cell r="B64" t="str">
            <v>FPRO-260130-0014</v>
          </cell>
          <cell r="C64" t="str">
            <v>BDB-000011</v>
          </cell>
          <cell r="D64" t="str">
            <v>PVN-000258</v>
          </cell>
          <cell r="E64" t="str">
            <v>OrthoLite Regular AIR BLUE/16-4134TPX Flat Sheet 0.13D 35+/-4 Asker C 1.1M 2M 2.5mm</v>
          </cell>
          <cell r="F64">
            <v>2000</v>
          </cell>
          <cell r="G64">
            <v>2000</v>
          </cell>
          <cell r="H64">
            <v>0</v>
          </cell>
          <cell r="I64">
            <v>2000</v>
          </cell>
          <cell r="J64" t="str">
            <v>ASICS</v>
          </cell>
          <cell r="K64" t="str">
            <v>Forecast</v>
          </cell>
          <cell r="L64" t="str">
            <v>SPLITTING</v>
          </cell>
          <cell r="M64">
            <v>2</v>
          </cell>
        </row>
        <row r="65">
          <cell r="A65" t="str">
            <v>F-2026-01-500</v>
          </cell>
          <cell r="B65" t="str">
            <v>FPRO-260130-0023</v>
          </cell>
          <cell r="C65" t="str">
            <v>BDB-000113</v>
          </cell>
          <cell r="D65" t="str">
            <v>PVN-002501</v>
          </cell>
          <cell r="E65" t="str">
            <v>OrthoLite Regular-Hybrid SEEDPEARL/12-0703TPX Hybrid Flat Sheet 0.11D 25+/-4 Asker C 1.1M 2M 2mm</v>
          </cell>
          <cell r="F65">
            <v>1000</v>
          </cell>
          <cell r="G65">
            <v>1000</v>
          </cell>
          <cell r="H65">
            <v>1000</v>
          </cell>
          <cell r="I65">
            <v>0</v>
          </cell>
          <cell r="J65" t="str">
            <v>ASICS</v>
          </cell>
          <cell r="K65" t="str">
            <v>Forecast</v>
          </cell>
          <cell r="L65" t="str">
            <v>SPLITTING</v>
          </cell>
          <cell r="M65">
            <v>2</v>
          </cell>
        </row>
        <row r="66">
          <cell r="A66" t="str">
            <v>F-2026-01-501-1</v>
          </cell>
          <cell r="B66" t="str">
            <v>FPRO-260130-0024</v>
          </cell>
          <cell r="C66" t="str">
            <v>BDB-000113</v>
          </cell>
          <cell r="D66" t="str">
            <v>PVN-002501</v>
          </cell>
          <cell r="E66" t="str">
            <v>OrthoLite Regular-Hybrid SEEDPEARL/12-0703TPX Hybrid Flat Sheet 0.11D 25+/-4 Asker C 1.1M 2M 2mm</v>
          </cell>
          <cell r="F66">
            <v>1000</v>
          </cell>
          <cell r="G66">
            <v>740</v>
          </cell>
          <cell r="H66">
            <v>740</v>
          </cell>
          <cell r="I66">
            <v>0</v>
          </cell>
          <cell r="J66" t="str">
            <v>ASICS</v>
          </cell>
          <cell r="K66" t="str">
            <v>Forecast</v>
          </cell>
          <cell r="L66" t="str">
            <v>SPLITTING</v>
          </cell>
          <cell r="M66">
            <v>2</v>
          </cell>
        </row>
        <row r="67">
          <cell r="A67" t="str">
            <v>F-2026-01-501-2</v>
          </cell>
          <cell r="B67" t="str">
            <v>FPRO-260130-0024</v>
          </cell>
          <cell r="C67" t="str">
            <v>BDB-000113</v>
          </cell>
          <cell r="D67" t="str">
            <v>PVN-002501</v>
          </cell>
          <cell r="E67" t="str">
            <v>OrthoLite Regular-Hybrid SEEDPEARL/12-0703TPX Hybrid Flat Sheet 0.11D 25+/-4 Asker C 1.1M 2M 2mm</v>
          </cell>
          <cell r="F67">
            <v>1000</v>
          </cell>
          <cell r="G67">
            <v>260</v>
          </cell>
          <cell r="H67">
            <v>260</v>
          </cell>
          <cell r="I67">
            <v>0</v>
          </cell>
          <cell r="J67" t="str">
            <v>ASICS</v>
          </cell>
          <cell r="K67" t="str">
            <v>Forecast</v>
          </cell>
          <cell r="L67" t="str">
            <v>SPLITTING</v>
          </cell>
          <cell r="M67">
            <v>2</v>
          </cell>
        </row>
        <row r="68">
          <cell r="A68" t="str">
            <v>F-2026-01-503</v>
          </cell>
          <cell r="B68" t="str">
            <v>FPRO-260130-0026</v>
          </cell>
          <cell r="C68" t="str">
            <v>BDB-000113</v>
          </cell>
          <cell r="D68" t="str">
            <v>PVN-002501</v>
          </cell>
          <cell r="E68" t="str">
            <v>OrthoLite Regular-Hybrid SEEDPEARL/12-0703TPX Hybrid Flat Sheet 0.11D 25+/-4 Asker C 1.1M 2M 2mm</v>
          </cell>
          <cell r="F68">
            <v>1000</v>
          </cell>
          <cell r="G68">
            <v>1000</v>
          </cell>
          <cell r="H68">
            <v>1000</v>
          </cell>
          <cell r="I68">
            <v>0</v>
          </cell>
          <cell r="J68" t="str">
            <v>ASICS</v>
          </cell>
          <cell r="K68" t="str">
            <v>Forecast</v>
          </cell>
          <cell r="L68" t="str">
            <v>SPLITTING</v>
          </cell>
          <cell r="M68">
            <v>2</v>
          </cell>
        </row>
        <row r="69">
          <cell r="A69" t="str">
            <v>F-2026-01-504</v>
          </cell>
          <cell r="B69" t="str">
            <v>FPRO-260130-0027</v>
          </cell>
          <cell r="C69" t="str">
            <v>BDB-000113</v>
          </cell>
          <cell r="D69" t="str">
            <v>PVN-002501</v>
          </cell>
          <cell r="E69" t="str">
            <v>OrthoLite Regular-Hybrid SEEDPEARL/12-0703TPX Hybrid Flat Sheet 0.11D 25+/-4 Asker C 1.1M 2M 2mm</v>
          </cell>
          <cell r="F69">
            <v>1000</v>
          </cell>
          <cell r="G69">
            <v>1000</v>
          </cell>
          <cell r="H69">
            <v>1000</v>
          </cell>
          <cell r="I69">
            <v>0</v>
          </cell>
          <cell r="J69" t="str">
            <v>ASICS</v>
          </cell>
          <cell r="K69" t="str">
            <v>Forecast</v>
          </cell>
          <cell r="L69" t="str">
            <v>SPLITTING</v>
          </cell>
          <cell r="M69">
            <v>2</v>
          </cell>
        </row>
        <row r="70">
          <cell r="A70" t="str">
            <v>F-2026-01-505</v>
          </cell>
          <cell r="B70" t="str">
            <v>FPRO-260130-0028</v>
          </cell>
          <cell r="C70" t="str">
            <v>BDB-000113</v>
          </cell>
          <cell r="D70" t="str">
            <v>PVN-002501</v>
          </cell>
          <cell r="E70" t="str">
            <v>OrthoLite Regular-Hybrid SEEDPEARL/12-0703TPX Hybrid Flat Sheet 0.11D 25+/-4 Asker C 1.1M 2M 2mm</v>
          </cell>
          <cell r="F70">
            <v>1000</v>
          </cell>
          <cell r="G70">
            <v>1000</v>
          </cell>
          <cell r="H70">
            <v>1000</v>
          </cell>
          <cell r="I70">
            <v>0</v>
          </cell>
          <cell r="J70" t="str">
            <v>ASICS</v>
          </cell>
          <cell r="K70" t="str">
            <v>Forecast</v>
          </cell>
          <cell r="L70" t="str">
            <v>SPLITTING</v>
          </cell>
          <cell r="M70">
            <v>2</v>
          </cell>
        </row>
        <row r="71">
          <cell r="A71" t="str">
            <v>F-2026-02-108</v>
          </cell>
          <cell r="B71" t="str">
            <v>FPRO-260206-0005</v>
          </cell>
          <cell r="C71" t="str">
            <v>BDB-000097</v>
          </cell>
          <cell r="D71" t="str">
            <v>PVN-003671</v>
          </cell>
          <cell r="E71" t="str">
            <v>OrthoLite Eco LT-Hybrid SEEDPEARL/12-0703TPX Hybrid 0.11D 25+/-4 Asker C 1.1M 2M 13mm</v>
          </cell>
          <cell r="F71">
            <v>303</v>
          </cell>
          <cell r="G71">
            <v>303</v>
          </cell>
          <cell r="H71">
            <v>303</v>
          </cell>
          <cell r="I71">
            <v>0</v>
          </cell>
          <cell r="J71" t="str">
            <v>NEW BALANCE</v>
          </cell>
          <cell r="K71" t="str">
            <v>Forecast</v>
          </cell>
          <cell r="L71" t="str">
            <v>MOLDED</v>
          </cell>
          <cell r="M71">
            <v>1</v>
          </cell>
        </row>
        <row r="72">
          <cell r="A72" t="str">
            <v>F-2026-02-109</v>
          </cell>
          <cell r="B72" t="str">
            <v>FPRO-260206-0006</v>
          </cell>
          <cell r="C72" t="str">
            <v>BDB-000097</v>
          </cell>
          <cell r="D72" t="str">
            <v>PVN-002478</v>
          </cell>
          <cell r="E72" t="str">
            <v>OrthoLite Eco LT-Hybrid SEEDPEARL/12-0703TPX Hybrid 0.11D 25+/-4 Asker C 1.1M 2M 4mm</v>
          </cell>
          <cell r="F72">
            <v>3600</v>
          </cell>
          <cell r="G72">
            <v>3600</v>
          </cell>
          <cell r="H72">
            <v>3600</v>
          </cell>
          <cell r="I72">
            <v>0</v>
          </cell>
          <cell r="J72" t="str">
            <v>NEW BALANCE</v>
          </cell>
          <cell r="K72" t="str">
            <v>Forecast</v>
          </cell>
          <cell r="L72" t="str">
            <v>DIE CUT</v>
          </cell>
          <cell r="M72">
            <v>1</v>
          </cell>
        </row>
        <row r="73">
          <cell r="A73" t="str">
            <v>F-2026-02-111</v>
          </cell>
          <cell r="B73" t="str">
            <v>FPRO-260206-0008</v>
          </cell>
          <cell r="C73" t="str">
            <v>BDB-000097</v>
          </cell>
          <cell r="D73" t="str">
            <v>PVN-002478</v>
          </cell>
          <cell r="E73" t="str">
            <v>OrthoLite Eco LT-Hybrid SEEDPEARL/12-0703TPX Hybrid 0.11D 25+/-4 Asker C 1.1M 2M 4mm</v>
          </cell>
          <cell r="F73">
            <v>3500</v>
          </cell>
          <cell r="G73">
            <v>3500</v>
          </cell>
          <cell r="H73">
            <v>3500</v>
          </cell>
          <cell r="I73">
            <v>0</v>
          </cell>
          <cell r="J73" t="str">
            <v>NEW BALANCE</v>
          </cell>
          <cell r="K73" t="str">
            <v>Forecast</v>
          </cell>
          <cell r="L73" t="str">
            <v>DIE CUT</v>
          </cell>
          <cell r="M73">
            <v>1</v>
          </cell>
        </row>
        <row r="74">
          <cell r="A74" t="str">
            <v>F-2026-02-112</v>
          </cell>
          <cell r="B74" t="str">
            <v>FPRO-260206-0009</v>
          </cell>
          <cell r="C74" t="str">
            <v>BDB-000097</v>
          </cell>
          <cell r="D74" t="str">
            <v>PVN-002478</v>
          </cell>
          <cell r="E74" t="str">
            <v>OrthoLite Eco LT-Hybrid SEEDPEARL/12-0703TPX Hybrid 0.11D 25+/-4 Asker C 1.1M 2M 4mm</v>
          </cell>
          <cell r="F74">
            <v>3500</v>
          </cell>
          <cell r="G74">
            <v>3500</v>
          </cell>
          <cell r="H74">
            <v>3500</v>
          </cell>
          <cell r="I74">
            <v>0</v>
          </cell>
          <cell r="J74" t="str">
            <v>NEW BALANCE</v>
          </cell>
          <cell r="K74" t="str">
            <v>Forecast</v>
          </cell>
          <cell r="L74" t="str">
            <v>DIE CUT</v>
          </cell>
          <cell r="M74">
            <v>1</v>
          </cell>
        </row>
        <row r="75">
          <cell r="A75" t="str">
            <v>F-2026-02-177</v>
          </cell>
          <cell r="B75" t="str">
            <v>FPRO-260210-0003</v>
          </cell>
          <cell r="C75" t="str">
            <v>BDB-000209</v>
          </cell>
          <cell r="D75" t="str">
            <v>PVN-003537</v>
          </cell>
          <cell r="E75" t="str">
            <v>OrthoLite HybridPlus-Recycled MINT GREEN/11-4805TPX Hybrid 0.12D 25+/-4 Asker C 1.1M 2M 4.5mm</v>
          </cell>
          <cell r="F75">
            <v>5000</v>
          </cell>
          <cell r="G75">
            <v>5000</v>
          </cell>
          <cell r="H75">
            <v>5000</v>
          </cell>
          <cell r="I75">
            <v>0</v>
          </cell>
          <cell r="J75" t="str">
            <v>ON RUNNING</v>
          </cell>
          <cell r="K75" t="str">
            <v>Forecast</v>
          </cell>
          <cell r="L75" t="str">
            <v>MOLDED</v>
          </cell>
          <cell r="M75">
            <v>1</v>
          </cell>
        </row>
        <row r="76">
          <cell r="A76" t="str">
            <v>F-2026-02-178</v>
          </cell>
          <cell r="B76" t="str">
            <v>FPRO-260210-0004</v>
          </cell>
          <cell r="C76" t="str">
            <v>BDB-000209</v>
          </cell>
          <cell r="D76" t="str">
            <v>PVN-003537</v>
          </cell>
          <cell r="E76" t="str">
            <v>OrthoLite HybridPlus-Recycled MINT GREEN/11-4805TPX Hybrid 0.12D 25+/-4 Asker C 1.1M 2M 4.5mm</v>
          </cell>
          <cell r="F76">
            <v>5000</v>
          </cell>
          <cell r="G76">
            <v>5000</v>
          </cell>
          <cell r="H76">
            <v>5000</v>
          </cell>
          <cell r="I76">
            <v>0</v>
          </cell>
          <cell r="J76" t="str">
            <v>ON RUNNING</v>
          </cell>
          <cell r="K76" t="str">
            <v>Forecast</v>
          </cell>
          <cell r="L76" t="str">
            <v>MOLDED</v>
          </cell>
          <cell r="M76">
            <v>1</v>
          </cell>
        </row>
        <row r="77">
          <cell r="A77" t="str">
            <v>F-2026-02-179</v>
          </cell>
          <cell r="B77" t="str">
            <v>FPRO-260210-0005</v>
          </cell>
          <cell r="C77" t="str">
            <v>BDB-000209</v>
          </cell>
          <cell r="D77" t="str">
            <v>PVN-003537</v>
          </cell>
          <cell r="E77" t="str">
            <v>OrthoLite HybridPlus-Recycled MINT GREEN/11-4805TPX Hybrid 0.12D 25+/-4 Asker C 1.1M 2M 4.5mm</v>
          </cell>
          <cell r="F77">
            <v>4000</v>
          </cell>
          <cell r="G77">
            <v>4000</v>
          </cell>
          <cell r="H77">
            <v>4000</v>
          </cell>
          <cell r="I77">
            <v>0</v>
          </cell>
          <cell r="J77" t="str">
            <v>ON RUNNING</v>
          </cell>
          <cell r="K77" t="str">
            <v>Forecast</v>
          </cell>
          <cell r="L77" t="str">
            <v>MOLDED</v>
          </cell>
          <cell r="M77">
            <v>1</v>
          </cell>
        </row>
        <row r="78">
          <cell r="A78" t="str">
            <v>F-2026-02-185</v>
          </cell>
          <cell r="B78" t="str">
            <v>FPRO-260211-0018</v>
          </cell>
          <cell r="C78" t="str">
            <v>BDB-000217</v>
          </cell>
          <cell r="D78" t="str">
            <v>PVN-003539</v>
          </cell>
          <cell r="E78" t="str">
            <v>OrthoLite X-40-Hybrid SEEDPEARL/12-0703TPX Hybrid Flat Sheet 0.16D 35+/-4 Asker C 1.1M 1.7M 6.2mm</v>
          </cell>
          <cell r="F78">
            <v>1250</v>
          </cell>
          <cell r="G78">
            <v>1250</v>
          </cell>
          <cell r="H78">
            <v>0</v>
          </cell>
          <cell r="I78">
            <v>1250</v>
          </cell>
          <cell r="J78" t="str">
            <v>BROOKS</v>
          </cell>
          <cell r="K78" t="str">
            <v>Forecast</v>
          </cell>
          <cell r="L78" t="str">
            <v>MOLDED</v>
          </cell>
          <cell r="M78">
            <v>1</v>
          </cell>
        </row>
        <row r="79">
          <cell r="A79" t="str">
            <v>F-2026-02-186</v>
          </cell>
          <cell r="B79" t="str">
            <v>FPRO-260211-0019</v>
          </cell>
          <cell r="C79" t="str">
            <v>BDB-000217</v>
          </cell>
          <cell r="D79" t="str">
            <v>PVN-003539</v>
          </cell>
          <cell r="E79" t="str">
            <v>OrthoLite X-40-Hybrid SEEDPEARL/12-0703TPX Hybrid Flat Sheet 0.16D 35+/-4 Asker C 1.1M 1.7M 6.2mm</v>
          </cell>
          <cell r="F79">
            <v>1000</v>
          </cell>
          <cell r="G79">
            <v>1000</v>
          </cell>
          <cell r="H79">
            <v>0</v>
          </cell>
          <cell r="I79">
            <v>1000</v>
          </cell>
          <cell r="J79" t="str">
            <v>BROOKS</v>
          </cell>
          <cell r="K79" t="str">
            <v>Forecast</v>
          </cell>
          <cell r="L79" t="str">
            <v>MOLDED</v>
          </cell>
          <cell r="M79">
            <v>1</v>
          </cell>
        </row>
        <row r="80">
          <cell r="A80" t="str">
            <v>F-2026-02-187</v>
          </cell>
          <cell r="B80" t="str">
            <v>FPRO-260211-0020</v>
          </cell>
          <cell r="C80" t="str">
            <v>BDB-000217</v>
          </cell>
          <cell r="D80" t="str">
            <v>PVN-003539</v>
          </cell>
          <cell r="E80" t="str">
            <v>OrthoLite X-40-Hybrid SEEDPEARL/12-0703TPX Hybrid Flat Sheet 0.16D 35+/-4 Asker C 1.1M 1.7M 6.2mm</v>
          </cell>
          <cell r="F80">
            <v>1000</v>
          </cell>
          <cell r="G80">
            <v>1000</v>
          </cell>
          <cell r="H80">
            <v>0</v>
          </cell>
          <cell r="I80">
            <v>1000</v>
          </cell>
          <cell r="J80" t="str">
            <v>BROOKS</v>
          </cell>
          <cell r="K80" t="str">
            <v>Forecast</v>
          </cell>
          <cell r="L80" t="str">
            <v>MOLDED</v>
          </cell>
          <cell r="M80">
            <v>1</v>
          </cell>
        </row>
        <row r="81">
          <cell r="A81" t="str">
            <v>F-2026-02-188</v>
          </cell>
          <cell r="B81" t="str">
            <v>FPRO-260211-0021</v>
          </cell>
          <cell r="C81" t="str">
            <v>BDB-000217</v>
          </cell>
          <cell r="D81" t="str">
            <v>PVN-003539</v>
          </cell>
          <cell r="E81" t="str">
            <v>OrthoLite X-40-Hybrid SEEDPEARL/12-0703TPX Hybrid Flat Sheet 0.16D 35+/-4 Asker C 1.1M 1.7M 6.2mm</v>
          </cell>
          <cell r="F81">
            <v>1000</v>
          </cell>
          <cell r="G81">
            <v>1000</v>
          </cell>
          <cell r="H81">
            <v>0</v>
          </cell>
          <cell r="I81">
            <v>1000</v>
          </cell>
          <cell r="J81" t="str">
            <v>BROOKS</v>
          </cell>
          <cell r="K81" t="str">
            <v>Forecast</v>
          </cell>
          <cell r="L81" t="str">
            <v>MOLDED</v>
          </cell>
          <cell r="M81">
            <v>1</v>
          </cell>
        </row>
        <row r="82">
          <cell r="A82" t="str">
            <v>F-2026-02-189</v>
          </cell>
          <cell r="B82" t="str">
            <v>FPRO-260211-0022</v>
          </cell>
          <cell r="C82" t="str">
            <v>BDB-000217</v>
          </cell>
          <cell r="D82" t="str">
            <v>PVN-003539</v>
          </cell>
          <cell r="E82" t="str">
            <v>OrthoLite X-40-Hybrid SEEDPEARL/12-0703TPX Hybrid Flat Sheet 0.16D 35+/-4 Asker C 1.1M 1.7M 6.2mm</v>
          </cell>
          <cell r="F82">
            <v>1000</v>
          </cell>
          <cell r="G82">
            <v>1000</v>
          </cell>
          <cell r="H82">
            <v>0</v>
          </cell>
          <cell r="I82">
            <v>1000</v>
          </cell>
          <cell r="J82" t="str">
            <v>BROOKS</v>
          </cell>
          <cell r="K82" t="str">
            <v>Forecast</v>
          </cell>
          <cell r="L82" t="str">
            <v>MOLDED</v>
          </cell>
          <cell r="M82">
            <v>1</v>
          </cell>
        </row>
        <row r="83">
          <cell r="A83" t="str">
            <v>F-2026-02-190</v>
          </cell>
          <cell r="B83" t="str">
            <v>FPRO-260211-0010</v>
          </cell>
          <cell r="C83" t="str">
            <v>BDB-000123</v>
          </cell>
          <cell r="D83" t="str">
            <v>PVN-002973</v>
          </cell>
          <cell r="E83" t="str">
            <v>OrthoLite Ultra-Hybrid SEEDPEARL/12-0703TPX Hybrid 0.085D 25+/-4 Asker C 1.1M 2M 4.5mm</v>
          </cell>
          <cell r="F83">
            <v>1500</v>
          </cell>
          <cell r="G83">
            <v>1500</v>
          </cell>
          <cell r="H83">
            <v>1500</v>
          </cell>
          <cell r="I83">
            <v>0</v>
          </cell>
          <cell r="J83" t="str">
            <v>SALOMON</v>
          </cell>
          <cell r="K83" t="str">
            <v>Forecast</v>
          </cell>
          <cell r="L83" t="str">
            <v>MOLDED</v>
          </cell>
          <cell r="M83">
            <v>1</v>
          </cell>
        </row>
        <row r="84">
          <cell r="A84" t="str">
            <v>F-2026-02-191</v>
          </cell>
          <cell r="B84" t="str">
            <v>FPRO-260211-0011</v>
          </cell>
          <cell r="C84" t="str">
            <v>BDB-000123</v>
          </cell>
          <cell r="D84" t="str">
            <v>PVN-002973</v>
          </cell>
          <cell r="E84" t="str">
            <v>OrthoLite Ultra-Hybrid SEEDPEARL/12-0703TPX Hybrid 0.085D 25+/-4 Asker C 1.1M 2M 4.5mm</v>
          </cell>
          <cell r="F84">
            <v>1500</v>
          </cell>
          <cell r="G84">
            <v>1500</v>
          </cell>
          <cell r="H84">
            <v>1500</v>
          </cell>
          <cell r="I84">
            <v>0</v>
          </cell>
          <cell r="J84" t="str">
            <v>SALOMON</v>
          </cell>
          <cell r="K84" t="str">
            <v>Forecast</v>
          </cell>
          <cell r="L84" t="str">
            <v>MOLDED</v>
          </cell>
          <cell r="M84">
            <v>1</v>
          </cell>
        </row>
        <row r="85">
          <cell r="A85" t="str">
            <v>F-2026-02-192</v>
          </cell>
          <cell r="B85" t="str">
            <v>FPRO-260211-0012</v>
          </cell>
          <cell r="C85" t="str">
            <v>BDB-000123</v>
          </cell>
          <cell r="D85" t="str">
            <v>PVN-002973</v>
          </cell>
          <cell r="E85" t="str">
            <v>OrthoLite Ultra-Hybrid SEEDPEARL/12-0703TPX Hybrid 0.085D 25+/-4 Asker C 1.1M 2M 4.5mm</v>
          </cell>
          <cell r="F85">
            <v>300</v>
          </cell>
          <cell r="G85">
            <v>300</v>
          </cell>
          <cell r="H85">
            <v>300</v>
          </cell>
          <cell r="I85">
            <v>0</v>
          </cell>
          <cell r="J85" t="str">
            <v>SALOMON</v>
          </cell>
          <cell r="K85" t="str">
            <v>Forecast</v>
          </cell>
          <cell r="L85" t="str">
            <v>MOLDED</v>
          </cell>
          <cell r="M85">
            <v>1</v>
          </cell>
        </row>
        <row r="86">
          <cell r="A86" t="str">
            <v>F-2026-02-193</v>
          </cell>
          <cell r="B86" t="str">
            <v>FPRO-260211-0013</v>
          </cell>
          <cell r="C86" t="str">
            <v>BDB-000123</v>
          </cell>
          <cell r="D86" t="str">
            <v>PVN-003298</v>
          </cell>
          <cell r="E86" t="str">
            <v>OrthoLite Ultra-Hybrid SEEDPEARL/12-0703TPX Hybrid 0.085D 25+/-4 Asker C 1.1M 2M 4mm</v>
          </cell>
          <cell r="F86">
            <v>7000</v>
          </cell>
          <cell r="G86">
            <v>7000</v>
          </cell>
          <cell r="H86">
            <v>7000</v>
          </cell>
          <cell r="I86">
            <v>0</v>
          </cell>
          <cell r="J86" t="str">
            <v>SALOMON</v>
          </cell>
          <cell r="K86" t="str">
            <v>Forecast</v>
          </cell>
          <cell r="L86" t="str">
            <v>LAMINATING</v>
          </cell>
          <cell r="M86">
            <v>1</v>
          </cell>
        </row>
        <row r="87">
          <cell r="A87" t="str">
            <v>F-2026-02-194</v>
          </cell>
          <cell r="B87" t="str">
            <v>FPRO-260211-0014</v>
          </cell>
          <cell r="C87" t="str">
            <v>BDB-000123</v>
          </cell>
          <cell r="D87" t="str">
            <v>PVN-003298</v>
          </cell>
          <cell r="E87" t="str">
            <v>OrthoLite Ultra-Hybrid SEEDPEARL/12-0703TPX Hybrid 0.085D 25+/-4 Asker C 1.1M 2M 4mm</v>
          </cell>
          <cell r="F87">
            <v>7000</v>
          </cell>
          <cell r="G87">
            <v>7000</v>
          </cell>
          <cell r="H87">
            <v>7000</v>
          </cell>
          <cell r="I87">
            <v>0</v>
          </cell>
          <cell r="J87" t="str">
            <v>SALOMON</v>
          </cell>
          <cell r="K87" t="str">
            <v>Forecast</v>
          </cell>
          <cell r="L87" t="str">
            <v>LAMINATING</v>
          </cell>
          <cell r="M87">
            <v>1</v>
          </cell>
        </row>
        <row r="88">
          <cell r="A88" t="str">
            <v>F-2026-02-195</v>
          </cell>
          <cell r="B88" t="str">
            <v>FPRO-260211-0015</v>
          </cell>
          <cell r="C88" t="str">
            <v>BDB-000123</v>
          </cell>
          <cell r="D88" t="str">
            <v>PVN-003298</v>
          </cell>
          <cell r="E88" t="str">
            <v>OrthoLite Ultra-Hybrid SEEDPEARL/12-0703TPX Hybrid 0.085D 25+/-4 Asker C 1.1M 2M 4mm</v>
          </cell>
          <cell r="F88">
            <v>7000</v>
          </cell>
          <cell r="G88">
            <v>7000</v>
          </cell>
          <cell r="H88">
            <v>7000</v>
          </cell>
          <cell r="I88">
            <v>0</v>
          </cell>
          <cell r="J88" t="str">
            <v>SALOMON</v>
          </cell>
          <cell r="K88" t="str">
            <v>Forecast</v>
          </cell>
          <cell r="L88" t="str">
            <v>LAMINATING</v>
          </cell>
          <cell r="M88">
            <v>1</v>
          </cell>
        </row>
        <row r="89">
          <cell r="A89" t="str">
            <v>F-2026-02-196</v>
          </cell>
          <cell r="B89" t="str">
            <v>FPRO-260211-0016</v>
          </cell>
          <cell r="C89" t="str">
            <v>BDB-000123</v>
          </cell>
          <cell r="D89" t="str">
            <v>PVN-003298</v>
          </cell>
          <cell r="E89" t="str">
            <v>OrthoLite Ultra-Hybrid SEEDPEARL/12-0703TPX Hybrid 0.085D 25+/-4 Asker C 1.1M 2M 4mm</v>
          </cell>
          <cell r="F89">
            <v>1700</v>
          </cell>
          <cell r="G89">
            <v>1700</v>
          </cell>
          <cell r="H89">
            <v>1700</v>
          </cell>
          <cell r="I89">
            <v>0</v>
          </cell>
          <cell r="J89" t="str">
            <v>SALOMON</v>
          </cell>
          <cell r="K89" t="str">
            <v>Forecast</v>
          </cell>
          <cell r="L89" t="str">
            <v>LAMINATING</v>
          </cell>
          <cell r="M89">
            <v>1</v>
          </cell>
        </row>
        <row r="90">
          <cell r="A90" t="str">
            <v>F-2026-02-212</v>
          </cell>
          <cell r="B90" t="str">
            <v>FPRO-260211-0032</v>
          </cell>
          <cell r="C90" t="str">
            <v>BDB-000123</v>
          </cell>
          <cell r="D90" t="str">
            <v>PVN-003298</v>
          </cell>
          <cell r="E90" t="str">
            <v>OrthoLite Ultra-Hybrid SEEDPEARL/12-0703TPX Hybrid 0.085D 25+/-4 Asker C 1.1M 2M 4mm</v>
          </cell>
          <cell r="F90">
            <v>7000</v>
          </cell>
          <cell r="G90">
            <v>7000</v>
          </cell>
          <cell r="H90">
            <v>7000</v>
          </cell>
          <cell r="I90">
            <v>0</v>
          </cell>
          <cell r="J90" t="str">
            <v>ADIDAS</v>
          </cell>
          <cell r="K90" t="str">
            <v>Forecast</v>
          </cell>
          <cell r="L90" t="str">
            <v>SPLITTING</v>
          </cell>
          <cell r="M90">
            <v>2</v>
          </cell>
        </row>
        <row r="91">
          <cell r="A91" t="str">
            <v>F-2026-02-213</v>
          </cell>
          <cell r="B91" t="str">
            <v>FPRO-260211-0033</v>
          </cell>
          <cell r="C91" t="str">
            <v>BDB-000123</v>
          </cell>
          <cell r="D91" t="str">
            <v>PVN-003298</v>
          </cell>
          <cell r="E91" t="str">
            <v>OrthoLite Ultra-Hybrid SEEDPEARL/12-0703TPX Hybrid 0.085D 25+/-4 Asker C 1.1M 2M 4mm</v>
          </cell>
          <cell r="F91">
            <v>7000</v>
          </cell>
          <cell r="G91">
            <v>7000</v>
          </cell>
          <cell r="H91">
            <v>7000</v>
          </cell>
          <cell r="I91">
            <v>0</v>
          </cell>
          <cell r="J91" t="str">
            <v>ADIDAS</v>
          </cell>
          <cell r="K91" t="str">
            <v>Forecast</v>
          </cell>
          <cell r="L91" t="str">
            <v>SPLITTING</v>
          </cell>
          <cell r="M91">
            <v>2</v>
          </cell>
        </row>
        <row r="92">
          <cell r="A92" t="str">
            <v>F-2026-02-215</v>
          </cell>
          <cell r="B92" t="str">
            <v>FPRO-260211-0035</v>
          </cell>
          <cell r="C92" t="str">
            <v>BDB-000123</v>
          </cell>
          <cell r="D92" t="str">
            <v>PVN-003298</v>
          </cell>
          <cell r="E92" t="str">
            <v>OrthoLite Ultra-Hybrid SEEDPEARL/12-0703TPX Hybrid 0.085D 25+/-4 Asker C 1.1M 2M 4mm</v>
          </cell>
          <cell r="F92">
            <v>7000</v>
          </cell>
          <cell r="G92">
            <v>7000</v>
          </cell>
          <cell r="H92">
            <v>7000</v>
          </cell>
          <cell r="I92">
            <v>0</v>
          </cell>
          <cell r="J92" t="str">
            <v>ADIDAS</v>
          </cell>
          <cell r="K92" t="str">
            <v>Forecast</v>
          </cell>
          <cell r="L92" t="str">
            <v>SPLITTING</v>
          </cell>
          <cell r="M92">
            <v>2</v>
          </cell>
        </row>
        <row r="93">
          <cell r="A93" t="str">
            <v>F-2026-02-216-1</v>
          </cell>
          <cell r="B93" t="str">
            <v>FPRO-260211-0036</v>
          </cell>
          <cell r="C93" t="str">
            <v>BDB-000123</v>
          </cell>
          <cell r="D93" t="str">
            <v>PVN-003298</v>
          </cell>
          <cell r="E93" t="str">
            <v>OrthoLite Ultra-Hybrid SEEDPEARL/12-0703TPX Hybrid 0.085D 25+/-4 Asker C 1.1M 2M 4mm</v>
          </cell>
          <cell r="F93">
            <v>7000</v>
          </cell>
          <cell r="G93">
            <v>2000</v>
          </cell>
          <cell r="H93">
            <v>2000</v>
          </cell>
          <cell r="I93">
            <v>0</v>
          </cell>
          <cell r="J93" t="str">
            <v>ADIDAS</v>
          </cell>
          <cell r="K93" t="str">
            <v>Forecast</v>
          </cell>
          <cell r="L93" t="str">
            <v>SPLITTING</v>
          </cell>
          <cell r="M93">
            <v>2</v>
          </cell>
        </row>
        <row r="94">
          <cell r="A94" t="str">
            <v>F-2026-02-216-2</v>
          </cell>
          <cell r="B94" t="str">
            <v>FPRO-260401-0011</v>
          </cell>
          <cell r="C94" t="str">
            <v>BDB-000123</v>
          </cell>
          <cell r="D94" t="str">
            <v>PVN-003298</v>
          </cell>
          <cell r="E94" t="str">
            <v>OrthoLite Ultra-Hybrid SEEDPEARL/12-0703TPX Hybrid 0.085D 25+/-4 Asker C 1.1M 2M 4mm</v>
          </cell>
          <cell r="F94">
            <v>7000</v>
          </cell>
          <cell r="G94">
            <v>5000</v>
          </cell>
          <cell r="H94">
            <v>5000</v>
          </cell>
          <cell r="I94">
            <v>0</v>
          </cell>
          <cell r="J94" t="str">
            <v>ADIDAS</v>
          </cell>
          <cell r="K94" t="str">
            <v>Forecast</v>
          </cell>
          <cell r="L94" t="str">
            <v>SPLITTING</v>
          </cell>
          <cell r="M94">
            <v>2</v>
          </cell>
        </row>
        <row r="95">
          <cell r="A95" t="str">
            <v>F-2026-02-217</v>
          </cell>
          <cell r="B95" t="str">
            <v>FPRO-260211-0037</v>
          </cell>
          <cell r="C95" t="str">
            <v>BDB-000123</v>
          </cell>
          <cell r="D95" t="str">
            <v>PVN-003298</v>
          </cell>
          <cell r="E95" t="str">
            <v>OrthoLite Ultra-Hybrid SEEDPEARL/12-0703TPX Hybrid 0.085D 25+/-4 Asker C 1.1M 2M 4mm</v>
          </cell>
          <cell r="F95">
            <v>7000</v>
          </cell>
          <cell r="G95">
            <v>7000</v>
          </cell>
          <cell r="H95">
            <v>7000</v>
          </cell>
          <cell r="I95">
            <v>0</v>
          </cell>
          <cell r="J95" t="str">
            <v>ADIDAS</v>
          </cell>
          <cell r="K95" t="str">
            <v>Forecast</v>
          </cell>
          <cell r="L95" t="str">
            <v>SPLITTING</v>
          </cell>
          <cell r="M95">
            <v>2</v>
          </cell>
        </row>
        <row r="96">
          <cell r="A96" t="str">
            <v>F-2026-02-218-1</v>
          </cell>
          <cell r="B96" t="str">
            <v>FPRO-260211-0038</v>
          </cell>
          <cell r="C96" t="str">
            <v>BDB-000123</v>
          </cell>
          <cell r="D96" t="str">
            <v>PVN-003298</v>
          </cell>
          <cell r="E96" t="str">
            <v>OrthoLite Ultra-Hybrid SEEDPEARL/12-0703TPX Hybrid 0.085D 25+/-4 Asker C 1.1M 2M 4mm</v>
          </cell>
          <cell r="F96">
            <v>7000</v>
          </cell>
          <cell r="G96">
            <v>5650</v>
          </cell>
          <cell r="H96">
            <v>5650</v>
          </cell>
          <cell r="I96">
            <v>0</v>
          </cell>
          <cell r="J96" t="str">
            <v>ADIDAS</v>
          </cell>
          <cell r="K96" t="str">
            <v>Forecast</v>
          </cell>
          <cell r="L96" t="str">
            <v>SPLITTING</v>
          </cell>
          <cell r="M96">
            <v>2</v>
          </cell>
        </row>
        <row r="97">
          <cell r="A97" t="str">
            <v>F-2026-02-218-2</v>
          </cell>
          <cell r="B97" t="str">
            <v>FPRO-260211-0038</v>
          </cell>
          <cell r="C97" t="str">
            <v>BDB-000123</v>
          </cell>
          <cell r="D97" t="str">
            <v>PVN-003298</v>
          </cell>
          <cell r="E97" t="str">
            <v>OrthoLite Ultra-Hybrid SEEDPEARL/12-0703TPX Hybrid 0.085D 25+/-4 Asker C 1.1M 2M 4mm</v>
          </cell>
          <cell r="F97">
            <v>7000</v>
          </cell>
          <cell r="G97">
            <v>1350</v>
          </cell>
          <cell r="H97">
            <v>1350</v>
          </cell>
          <cell r="I97">
            <v>0</v>
          </cell>
          <cell r="J97" t="str">
            <v>ADIDAS</v>
          </cell>
          <cell r="K97" t="str">
            <v>Forecast</v>
          </cell>
          <cell r="L97" t="str">
            <v>SPLITTING</v>
          </cell>
          <cell r="M97">
            <v>2</v>
          </cell>
        </row>
        <row r="98">
          <cell r="A98" t="str">
            <v>F-2026-02-219</v>
          </cell>
          <cell r="B98" t="str">
            <v>FPRO-260211-0039</v>
          </cell>
          <cell r="C98" t="str">
            <v>BDB-000123</v>
          </cell>
          <cell r="D98" t="str">
            <v>PVN-003298</v>
          </cell>
          <cell r="E98" t="str">
            <v>OrthoLite Ultra-Hybrid SEEDPEARL/12-0703TPX Hybrid 0.085D 25+/-4 Asker C 1.1M 2M 4mm</v>
          </cell>
          <cell r="F98">
            <v>7000</v>
          </cell>
          <cell r="G98">
            <v>7000</v>
          </cell>
          <cell r="H98">
            <v>7000</v>
          </cell>
          <cell r="I98">
            <v>0</v>
          </cell>
          <cell r="J98" t="str">
            <v>ADIDAS</v>
          </cell>
          <cell r="K98" t="str">
            <v>Forecast</v>
          </cell>
          <cell r="L98" t="str">
            <v>SPLITTING</v>
          </cell>
          <cell r="M98">
            <v>2</v>
          </cell>
        </row>
        <row r="99">
          <cell r="A99" t="str">
            <v>F-2026-02-220</v>
          </cell>
          <cell r="B99" t="str">
            <v>FPRO-260211-0040</v>
          </cell>
          <cell r="C99" t="str">
            <v>BDB-000123</v>
          </cell>
          <cell r="D99" t="str">
            <v>PVN-003298</v>
          </cell>
          <cell r="E99" t="str">
            <v>OrthoLite Ultra-Hybrid SEEDPEARL/12-0703TPX Hybrid 0.085D 25+/-4 Asker C 1.1M 2M 4mm</v>
          </cell>
          <cell r="F99">
            <v>7000</v>
          </cell>
          <cell r="G99">
            <v>7000</v>
          </cell>
          <cell r="H99">
            <v>7000</v>
          </cell>
          <cell r="I99">
            <v>0</v>
          </cell>
          <cell r="J99" t="str">
            <v>ADIDAS</v>
          </cell>
          <cell r="K99" t="str">
            <v>Forecast</v>
          </cell>
          <cell r="L99" t="str">
            <v>SPLITTING</v>
          </cell>
          <cell r="M99">
            <v>2</v>
          </cell>
        </row>
        <row r="100">
          <cell r="A100" t="str">
            <v>F-2026-02-221-1</v>
          </cell>
          <cell r="B100" t="str">
            <v>FPRO-260211-0041</v>
          </cell>
          <cell r="C100" t="str">
            <v>BDB-000123</v>
          </cell>
          <cell r="D100" t="str">
            <v>PVN-003298</v>
          </cell>
          <cell r="E100" t="str">
            <v>OrthoLite Ultra-Hybrid SEEDPEARL/12-0703TPX Hybrid 0.085D 25+/-4 Asker C 1.1M 2M 4mm</v>
          </cell>
          <cell r="F100">
            <v>7000</v>
          </cell>
          <cell r="G100">
            <v>3498</v>
          </cell>
          <cell r="H100">
            <v>3498</v>
          </cell>
          <cell r="I100">
            <v>0</v>
          </cell>
          <cell r="J100" t="str">
            <v>ADIDAS</v>
          </cell>
          <cell r="K100" t="str">
            <v>Forecast</v>
          </cell>
          <cell r="L100" t="str">
            <v>SPLITTING</v>
          </cell>
          <cell r="M100">
            <v>2</v>
          </cell>
        </row>
        <row r="101">
          <cell r="A101" t="str">
            <v>F-2026-02-221-2</v>
          </cell>
          <cell r="B101" t="str">
            <v>FPRO-260211-0041</v>
          </cell>
          <cell r="C101" t="str">
            <v>BDB-000123</v>
          </cell>
          <cell r="D101" t="str">
            <v>PVN-003298</v>
          </cell>
          <cell r="E101" t="str">
            <v>OrthoLite Ultra-Hybrid SEEDPEARL/12-0703TPX Hybrid 0.085D 25+/-4 Asker C 1.1M 2M 4mm</v>
          </cell>
          <cell r="F101">
            <v>7000</v>
          </cell>
          <cell r="G101">
            <v>900</v>
          </cell>
          <cell r="H101">
            <v>900</v>
          </cell>
          <cell r="I101">
            <v>0</v>
          </cell>
          <cell r="J101" t="str">
            <v>ADIDAS</v>
          </cell>
          <cell r="K101" t="str">
            <v>Forecast</v>
          </cell>
          <cell r="L101" t="str">
            <v>SPLITTING</v>
          </cell>
          <cell r="M101">
            <v>2</v>
          </cell>
        </row>
        <row r="102">
          <cell r="A102" t="str">
            <v>F-2026-02-221-3</v>
          </cell>
          <cell r="B102" t="str">
            <v>FPRO-260211-0041</v>
          </cell>
          <cell r="C102" t="str">
            <v>BDB-000123</v>
          </cell>
          <cell r="D102" t="str">
            <v>PVN-003298</v>
          </cell>
          <cell r="E102" t="str">
            <v>OrthoLite Ultra-Hybrid SEEDPEARL/12-0703TPX Hybrid 0.085D 25+/-4 Asker C 1.1M 2M 4mm</v>
          </cell>
          <cell r="F102">
            <v>7000</v>
          </cell>
          <cell r="G102">
            <v>2602</v>
          </cell>
          <cell r="H102">
            <v>2602</v>
          </cell>
          <cell r="I102">
            <v>0</v>
          </cell>
          <cell r="J102" t="str">
            <v>ADIDAS</v>
          </cell>
          <cell r="K102" t="str">
            <v>Forecast</v>
          </cell>
          <cell r="L102" t="str">
            <v>SPLITTING</v>
          </cell>
          <cell r="M102">
            <v>2</v>
          </cell>
        </row>
        <row r="103">
          <cell r="A103" t="str">
            <v>F-2026-02-222</v>
          </cell>
          <cell r="B103" t="str">
            <v>FPRO-260211-0042</v>
          </cell>
          <cell r="C103" t="str">
            <v>BDB-000123</v>
          </cell>
          <cell r="D103" t="str">
            <v>PVN-003298</v>
          </cell>
          <cell r="E103" t="str">
            <v>OrthoLite Ultra-Hybrid SEEDPEARL/12-0703TPX Hybrid 0.085D 25+/-4 Asker C 1.1M 2M 4mm</v>
          </cell>
          <cell r="F103">
            <v>7000</v>
          </cell>
          <cell r="G103">
            <v>7000</v>
          </cell>
          <cell r="H103">
            <v>0</v>
          </cell>
          <cell r="I103">
            <v>7000</v>
          </cell>
          <cell r="J103" t="str">
            <v>ADIDAS</v>
          </cell>
          <cell r="K103" t="str">
            <v>Forecast</v>
          </cell>
          <cell r="L103" t="str">
            <v>SPLITTING</v>
          </cell>
          <cell r="M103">
            <v>2</v>
          </cell>
        </row>
        <row r="104">
          <cell r="A104" t="str">
            <v>F-2026-02-223</v>
          </cell>
          <cell r="B104" t="str">
            <v>FPRO-260211-0043</v>
          </cell>
          <cell r="C104" t="str">
            <v>BDB-000123</v>
          </cell>
          <cell r="D104" t="str">
            <v>PVN-003298</v>
          </cell>
          <cell r="E104" t="str">
            <v>OrthoLite Ultra-Hybrid SEEDPEARL/12-0703TPX Hybrid 0.085D 25+/-4 Asker C 1.1M 2M 4mm</v>
          </cell>
          <cell r="F104">
            <v>7000</v>
          </cell>
          <cell r="G104">
            <v>7000</v>
          </cell>
          <cell r="H104">
            <v>0</v>
          </cell>
          <cell r="I104">
            <v>7000</v>
          </cell>
          <cell r="J104" t="str">
            <v>ADIDAS</v>
          </cell>
          <cell r="K104" t="str">
            <v>Forecast</v>
          </cell>
          <cell r="L104" t="str">
            <v>SPLITTING</v>
          </cell>
          <cell r="M104">
            <v>2</v>
          </cell>
        </row>
        <row r="105">
          <cell r="A105" t="str">
            <v>F-2026-02-224</v>
          </cell>
          <cell r="B105" t="str">
            <v>FPRO-260211-0044</v>
          </cell>
          <cell r="C105" t="str">
            <v>BDB-000123</v>
          </cell>
          <cell r="D105" t="str">
            <v>PVN-003298</v>
          </cell>
          <cell r="E105" t="str">
            <v>OrthoLite Ultra-Hybrid SEEDPEARL/12-0703TPX Hybrid 0.085D 25+/-4 Asker C 1.1M 2M 4mm</v>
          </cell>
          <cell r="F105">
            <v>7000</v>
          </cell>
          <cell r="G105">
            <v>7000</v>
          </cell>
          <cell r="H105">
            <v>7000</v>
          </cell>
          <cell r="I105">
            <v>0</v>
          </cell>
          <cell r="J105" t="str">
            <v>ADIDAS</v>
          </cell>
          <cell r="K105" t="str">
            <v>Forecast</v>
          </cell>
          <cell r="L105" t="str">
            <v>SPLITTING</v>
          </cell>
          <cell r="M105">
            <v>2</v>
          </cell>
        </row>
        <row r="106">
          <cell r="A106" t="str">
            <v>F-2026-02-225</v>
          </cell>
          <cell r="B106" t="str">
            <v>FPRO-260211-0045</v>
          </cell>
          <cell r="C106" t="str">
            <v>BDB-000123</v>
          </cell>
          <cell r="D106" t="str">
            <v>PVN-003298</v>
          </cell>
          <cell r="E106" t="str">
            <v>OrthoLite Ultra-Hybrid SEEDPEARL/12-0703TPX Hybrid 0.085D 25+/-4 Asker C 1.1M 2M 4mm</v>
          </cell>
          <cell r="F106">
            <v>3000</v>
          </cell>
          <cell r="G106">
            <v>3000</v>
          </cell>
          <cell r="H106">
            <v>3000</v>
          </cell>
          <cell r="I106">
            <v>0</v>
          </cell>
          <cell r="J106" t="str">
            <v>ADIDAS</v>
          </cell>
          <cell r="K106" t="str">
            <v>Forecast</v>
          </cell>
          <cell r="L106" t="str">
            <v>SPLITTING</v>
          </cell>
          <cell r="M106">
            <v>2</v>
          </cell>
        </row>
        <row r="107">
          <cell r="A107" t="str">
            <v>F-2026-02-229</v>
          </cell>
          <cell r="B107" t="str">
            <v>FPRO-260211-0049</v>
          </cell>
          <cell r="C107" t="str">
            <v>BDB-000123</v>
          </cell>
          <cell r="D107" t="str">
            <v>PVN-003299</v>
          </cell>
          <cell r="E107" t="str">
            <v>OrthoLite Ultra-Hybrid SEEDPEARL/12-0703TPX Hybrid 0.085D 25+/-4 Asker C 1.1M 2M 3mm</v>
          </cell>
          <cell r="F107">
            <v>7000</v>
          </cell>
          <cell r="G107">
            <v>7000</v>
          </cell>
          <cell r="H107">
            <v>7000</v>
          </cell>
          <cell r="I107">
            <v>0</v>
          </cell>
          <cell r="J107" t="str">
            <v>ADIDAS</v>
          </cell>
          <cell r="K107" t="str">
            <v>Forecast</v>
          </cell>
          <cell r="L107" t="str">
            <v>SPLITTING</v>
          </cell>
          <cell r="M107">
            <v>2</v>
          </cell>
        </row>
        <row r="108">
          <cell r="A108" t="str">
            <v>F-2026-02-231</v>
          </cell>
          <cell r="B108" t="str">
            <v>FPRO-260211-0051</v>
          </cell>
          <cell r="C108" t="str">
            <v>BDB-000123</v>
          </cell>
          <cell r="D108" t="str">
            <v>PVN-003299</v>
          </cell>
          <cell r="E108" t="str">
            <v>OrthoLite Ultra-Hybrid SEEDPEARL/12-0703TPX Hybrid 0.085D 25+/-4 Asker C 1.1M 2M 3mm</v>
          </cell>
          <cell r="F108">
            <v>7000</v>
          </cell>
          <cell r="G108">
            <v>7000</v>
          </cell>
          <cell r="H108">
            <v>7000</v>
          </cell>
          <cell r="I108">
            <v>0</v>
          </cell>
          <cell r="J108" t="str">
            <v>ADIDAS</v>
          </cell>
          <cell r="K108" t="str">
            <v>Forecast</v>
          </cell>
          <cell r="L108" t="str">
            <v>SPLITTING</v>
          </cell>
          <cell r="M108">
            <v>2</v>
          </cell>
        </row>
        <row r="109">
          <cell r="A109" t="str">
            <v>F-2026-02-232</v>
          </cell>
          <cell r="B109" t="str">
            <v>FPRO-260211-0052</v>
          </cell>
          <cell r="C109" t="str">
            <v>BDB-000123</v>
          </cell>
          <cell r="D109" t="str">
            <v>PVN-003299</v>
          </cell>
          <cell r="E109" t="str">
            <v>OrthoLite Ultra-Hybrid SEEDPEARL/12-0703TPX Hybrid 0.085D 25+/-4 Asker C 1.1M 2M 3mm</v>
          </cell>
          <cell r="F109">
            <v>7000</v>
          </cell>
          <cell r="G109">
            <v>7000</v>
          </cell>
          <cell r="H109">
            <v>7000</v>
          </cell>
          <cell r="I109">
            <v>0</v>
          </cell>
          <cell r="J109" t="str">
            <v>ADIDAS</v>
          </cell>
          <cell r="K109" t="str">
            <v>Forecast</v>
          </cell>
          <cell r="L109" t="str">
            <v>SPLITTING</v>
          </cell>
          <cell r="M109">
            <v>2</v>
          </cell>
        </row>
        <row r="110">
          <cell r="A110" t="str">
            <v>F-2026-02-233</v>
          </cell>
          <cell r="B110" t="str">
            <v>FPRO-260211-0053</v>
          </cell>
          <cell r="C110" t="str">
            <v>BDB-000123</v>
          </cell>
          <cell r="D110" t="str">
            <v>PVN-003299</v>
          </cell>
          <cell r="E110" t="str">
            <v>OrthoLite Ultra-Hybrid SEEDPEARL/12-0703TPX Hybrid 0.085D 25+/-4 Asker C 1.1M 2M 3mm</v>
          </cell>
          <cell r="F110">
            <v>7000</v>
          </cell>
          <cell r="G110">
            <v>7000</v>
          </cell>
          <cell r="H110">
            <v>7000</v>
          </cell>
          <cell r="I110">
            <v>0</v>
          </cell>
          <cell r="J110" t="str">
            <v>ADIDAS</v>
          </cell>
          <cell r="K110" t="str">
            <v>Forecast</v>
          </cell>
          <cell r="L110" t="str">
            <v>SPLITTING</v>
          </cell>
          <cell r="M110">
            <v>2</v>
          </cell>
        </row>
        <row r="111">
          <cell r="A111" t="str">
            <v>F-2026-02-234</v>
          </cell>
          <cell r="B111" t="str">
            <v>FPRO-260211-0054</v>
          </cell>
          <cell r="C111" t="str">
            <v>BDB-000123</v>
          </cell>
          <cell r="D111" t="str">
            <v>PVN-003299</v>
          </cell>
          <cell r="E111" t="str">
            <v>OrthoLite Ultra-Hybrid SEEDPEARL/12-0703TPX Hybrid 0.085D 25+/-4 Asker C 1.1M 2M 3mm</v>
          </cell>
          <cell r="F111">
            <v>7000</v>
          </cell>
          <cell r="G111">
            <v>7000</v>
          </cell>
          <cell r="H111">
            <v>7000</v>
          </cell>
          <cell r="I111">
            <v>0</v>
          </cell>
          <cell r="J111" t="str">
            <v>ADIDAS</v>
          </cell>
          <cell r="K111" t="str">
            <v>Forecast</v>
          </cell>
          <cell r="L111" t="str">
            <v>SPLITTING</v>
          </cell>
          <cell r="M111">
            <v>2</v>
          </cell>
        </row>
        <row r="112">
          <cell r="A112" t="str">
            <v>F-2026-02-235</v>
          </cell>
          <cell r="B112" t="str">
            <v>FPRO-260211-0055</v>
          </cell>
          <cell r="C112" t="str">
            <v>BDB-000123</v>
          </cell>
          <cell r="D112" t="str">
            <v>PVN-003299</v>
          </cell>
          <cell r="E112" t="str">
            <v>OrthoLite Ultra-Hybrid SEEDPEARL/12-0703TPX Hybrid 0.085D 25+/-4 Asker C 1.1M 2M 3mm</v>
          </cell>
          <cell r="F112">
            <v>7000</v>
          </cell>
          <cell r="G112">
            <v>7000</v>
          </cell>
          <cell r="H112">
            <v>0</v>
          </cell>
          <cell r="I112">
            <v>7000</v>
          </cell>
          <cell r="J112" t="str">
            <v>ADIDAS</v>
          </cell>
          <cell r="K112" t="str">
            <v>Forecast</v>
          </cell>
          <cell r="L112" t="str">
            <v>SPLITTING</v>
          </cell>
          <cell r="M112">
            <v>2</v>
          </cell>
        </row>
        <row r="113">
          <cell r="A113" t="str">
            <v>F-2026-02-236</v>
          </cell>
          <cell r="B113" t="str">
            <v>FPRO-260211-0056</v>
          </cell>
          <cell r="C113" t="str">
            <v>BDB-000123</v>
          </cell>
          <cell r="D113" t="str">
            <v>PVN-003299</v>
          </cell>
          <cell r="E113" t="str">
            <v>OrthoLite Ultra-Hybrid SEEDPEARL/12-0703TPX Hybrid 0.085D 25+/-4 Asker C 1.1M 2M 3mm</v>
          </cell>
          <cell r="F113">
            <v>7000</v>
          </cell>
          <cell r="G113">
            <v>7000</v>
          </cell>
          <cell r="H113">
            <v>7000</v>
          </cell>
          <cell r="I113">
            <v>0</v>
          </cell>
          <cell r="J113" t="str">
            <v>ADIDAS</v>
          </cell>
          <cell r="K113" t="str">
            <v>Forecast</v>
          </cell>
          <cell r="L113" t="str">
            <v>SPLITTING</v>
          </cell>
          <cell r="M113">
            <v>2</v>
          </cell>
        </row>
        <row r="114">
          <cell r="A114" t="str">
            <v>F-2026-02-237-1</v>
          </cell>
          <cell r="B114" t="str">
            <v>FPRO-260211-0057</v>
          </cell>
          <cell r="C114" t="str">
            <v>BDB-000123</v>
          </cell>
          <cell r="D114" t="str">
            <v>PVN-003299</v>
          </cell>
          <cell r="E114" t="str">
            <v>OrthoLite Ultra-Hybrid SEEDPEARL/12-0703TPX Hybrid 0.085D 25+/-4 Asker C 1.1M 2M 3mm</v>
          </cell>
          <cell r="F114">
            <v>7000</v>
          </cell>
          <cell r="G114">
            <v>3000</v>
          </cell>
          <cell r="H114">
            <v>3000</v>
          </cell>
          <cell r="I114">
            <v>0</v>
          </cell>
          <cell r="J114" t="str">
            <v>ADIDAS</v>
          </cell>
          <cell r="K114" t="str">
            <v>Forecast</v>
          </cell>
          <cell r="L114" t="str">
            <v>SPLITTING</v>
          </cell>
          <cell r="M114">
            <v>2</v>
          </cell>
        </row>
        <row r="115">
          <cell r="A115" t="str">
            <v>F-2026-02-237-2</v>
          </cell>
          <cell r="B115" t="str">
            <v>FPRO-260420-0001</v>
          </cell>
          <cell r="C115" t="str">
            <v>BDB-000123</v>
          </cell>
          <cell r="D115" t="str">
            <v>PVN-003299</v>
          </cell>
          <cell r="E115" t="str">
            <v>OrthoLite Ultra-Hybrid SEEDPEARL/12-0703TPX Hybrid 0.085D 25+/-4 Asker C 1.1M 2M 3mm</v>
          </cell>
          <cell r="F115">
            <v>7000</v>
          </cell>
          <cell r="G115">
            <v>4000</v>
          </cell>
          <cell r="H115">
            <v>4000</v>
          </cell>
          <cell r="I115">
            <v>0</v>
          </cell>
          <cell r="J115" t="str">
            <v>ADIDAS</v>
          </cell>
          <cell r="K115" t="str">
            <v>Forecast</v>
          </cell>
          <cell r="L115" t="str">
            <v>SPLITTING</v>
          </cell>
          <cell r="M115">
            <v>2</v>
          </cell>
        </row>
        <row r="116">
          <cell r="A116" t="str">
            <v>F-2026-02-238</v>
          </cell>
          <cell r="B116" t="str">
            <v>FPRO-260211-0058</v>
          </cell>
          <cell r="C116" t="str">
            <v>BDB-000123</v>
          </cell>
          <cell r="D116" t="str">
            <v>PVN-003299</v>
          </cell>
          <cell r="E116" t="str">
            <v>OrthoLite Ultra-Hybrid SEEDPEARL/12-0703TPX Hybrid 0.085D 25+/-4 Asker C 1.1M 2M 3mm</v>
          </cell>
          <cell r="F116">
            <v>1000</v>
          </cell>
          <cell r="G116">
            <v>1000</v>
          </cell>
          <cell r="H116">
            <v>1000</v>
          </cell>
          <cell r="I116">
            <v>0</v>
          </cell>
          <cell r="J116" t="str">
            <v>ADIDAS</v>
          </cell>
          <cell r="K116" t="str">
            <v>Forecast</v>
          </cell>
          <cell r="L116" t="str">
            <v>SPLITTING</v>
          </cell>
          <cell r="M116">
            <v>2</v>
          </cell>
        </row>
        <row r="117">
          <cell r="A117" t="str">
            <v>F-2026-02-246</v>
          </cell>
          <cell r="B117" t="str">
            <v>FPRO-260211-0066</v>
          </cell>
          <cell r="C117" t="str">
            <v>BDB-000076</v>
          </cell>
          <cell r="D117" t="str">
            <v>PVN-003448</v>
          </cell>
          <cell r="E117" t="str">
            <v>OrthoLite X-25 BILLIARD/16-5427TPX 0.12D 20+/-4 Asker C 1.1M 2M 6.2mm</v>
          </cell>
          <cell r="F117">
            <v>500</v>
          </cell>
          <cell r="G117">
            <v>500</v>
          </cell>
          <cell r="H117">
            <v>500</v>
          </cell>
          <cell r="I117">
            <v>0</v>
          </cell>
          <cell r="J117" t="str">
            <v>ADIDAS</v>
          </cell>
          <cell r="K117" t="str">
            <v>Forecast</v>
          </cell>
          <cell r="L117" t="str">
            <v>MOLDED</v>
          </cell>
          <cell r="M117">
            <v>1</v>
          </cell>
        </row>
        <row r="118">
          <cell r="A118" t="str">
            <v>F-2026-02-251</v>
          </cell>
          <cell r="B118" t="str">
            <v>FPRO-260211-0071</v>
          </cell>
          <cell r="C118" t="str">
            <v>BDB-000348</v>
          </cell>
          <cell r="D118" t="str">
            <v>PVN-004195</v>
          </cell>
          <cell r="E118" t="str">
            <v>OrthoLite IMPERIAL SEEDPEARL/12-0703TPX Flat Sheet 0.22D 25+/-4 Asker C 1.1M 1.47M 4mm</v>
          </cell>
          <cell r="F118">
            <v>3000</v>
          </cell>
          <cell r="G118">
            <v>3000</v>
          </cell>
          <cell r="H118">
            <v>3000</v>
          </cell>
          <cell r="I118">
            <v>0</v>
          </cell>
          <cell r="J118" t="str">
            <v>ADIDAS</v>
          </cell>
          <cell r="K118" t="str">
            <v>Forecast</v>
          </cell>
          <cell r="L118" t="str">
            <v>SPLITTING</v>
          </cell>
          <cell r="M118">
            <v>2</v>
          </cell>
        </row>
        <row r="119">
          <cell r="A119" t="str">
            <v>F-2026-02-252</v>
          </cell>
          <cell r="B119" t="str">
            <v>FPRO-260211-0072</v>
          </cell>
          <cell r="C119" t="str">
            <v>BDB-000348</v>
          </cell>
          <cell r="D119" t="str">
            <v>PVN-004195</v>
          </cell>
          <cell r="E119" t="str">
            <v>OrthoLite IMPERIAL SEEDPEARL/12-0703TPX Flat Sheet 0.22D 25+/-4 Asker C 1.1M 1.47M 4mm</v>
          </cell>
          <cell r="F119">
            <v>3000</v>
          </cell>
          <cell r="G119">
            <v>3000</v>
          </cell>
          <cell r="H119">
            <v>3000</v>
          </cell>
          <cell r="I119">
            <v>0</v>
          </cell>
          <cell r="J119" t="str">
            <v>ADIDAS</v>
          </cell>
          <cell r="K119" t="str">
            <v>Forecast</v>
          </cell>
          <cell r="L119" t="str">
            <v>SPLITTING</v>
          </cell>
          <cell r="M119">
            <v>2</v>
          </cell>
        </row>
        <row r="120">
          <cell r="A120" t="str">
            <v>F-2026-02-253</v>
          </cell>
          <cell r="B120" t="str">
            <v>FPRO-260211-0073</v>
          </cell>
          <cell r="C120" t="str">
            <v>BDB-000348</v>
          </cell>
          <cell r="D120" t="str">
            <v>PVN-004195</v>
          </cell>
          <cell r="E120" t="str">
            <v>OrthoLite IMPERIAL SEEDPEARL/12-0703TPX Flat Sheet 0.22D 25+/-4 Asker C 1.1M 1.47M 4mm</v>
          </cell>
          <cell r="F120">
            <v>3000</v>
          </cell>
          <cell r="G120">
            <v>3000</v>
          </cell>
          <cell r="H120">
            <v>3000</v>
          </cell>
          <cell r="I120">
            <v>0</v>
          </cell>
          <cell r="J120" t="str">
            <v>ADIDAS</v>
          </cell>
          <cell r="K120" t="str">
            <v>Forecast</v>
          </cell>
          <cell r="L120" t="str">
            <v>SPLITTING</v>
          </cell>
          <cell r="M120">
            <v>2</v>
          </cell>
        </row>
        <row r="121">
          <cell r="A121" t="str">
            <v>F-2026-02-256</v>
          </cell>
          <cell r="B121" t="str">
            <v>FPRO-260211-0076</v>
          </cell>
          <cell r="C121" t="str">
            <v>BDB-000348</v>
          </cell>
          <cell r="D121" t="str">
            <v>PVN-004210</v>
          </cell>
          <cell r="E121" t="str">
            <v>OrthoLite IMPERIAL SEEDPEARL/12-0703TPX Flat Sheet 0.22D 25+/-4 Asker C 1.1M 1.47M 5mm</v>
          </cell>
          <cell r="F121">
            <v>2302</v>
          </cell>
          <cell r="G121">
            <v>2302</v>
          </cell>
          <cell r="H121">
            <v>2302</v>
          </cell>
          <cell r="I121">
            <v>0</v>
          </cell>
          <cell r="J121" t="str">
            <v>ADIDAS</v>
          </cell>
          <cell r="K121" t="str">
            <v>Forecast</v>
          </cell>
          <cell r="L121" t="str">
            <v>SPLITTING</v>
          </cell>
          <cell r="M121">
            <v>2</v>
          </cell>
        </row>
        <row r="122">
          <cell r="A122" t="str">
            <v>F-2026-02-284-1</v>
          </cell>
          <cell r="B122" t="str">
            <v>FPRO-260212-0035</v>
          </cell>
          <cell r="C122" t="str">
            <v>BDB-000162</v>
          </cell>
          <cell r="D122" t="str">
            <v>PVN-001566</v>
          </cell>
          <cell r="E122" t="str">
            <v>OrthoLite Ultra-Nike SEEDPEARL/12-0703TPX 0.085D 25+/-4 Asker C 1.1M 2M 4mm</v>
          </cell>
          <cell r="F122">
            <v>2600</v>
          </cell>
          <cell r="G122">
            <v>1600</v>
          </cell>
          <cell r="H122">
            <v>1600</v>
          </cell>
          <cell r="I122">
            <v>0</v>
          </cell>
          <cell r="J122" t="str">
            <v>NIKE</v>
          </cell>
          <cell r="K122" t="str">
            <v>Forecast</v>
          </cell>
          <cell r="L122" t="str">
            <v>DIE CUT</v>
          </cell>
          <cell r="M122" t="str">
            <v>1-SLT</v>
          </cell>
        </row>
        <row r="123">
          <cell r="A123" t="str">
            <v>F-2026-02-284-2</v>
          </cell>
          <cell r="B123" t="str">
            <v>FPRO-260327-0008</v>
          </cell>
          <cell r="C123" t="str">
            <v>BDB-000162</v>
          </cell>
          <cell r="D123" t="str">
            <v>PVN-001566</v>
          </cell>
          <cell r="E123" t="str">
            <v>OrthoLite Ultra-Nike SEEDPEARL/12-0703TPX 0.085D 25+/-4 Asker C 1.1M 2M 4mm</v>
          </cell>
          <cell r="F123">
            <v>2600</v>
          </cell>
          <cell r="G123">
            <v>1000</v>
          </cell>
          <cell r="H123">
            <v>1000</v>
          </cell>
          <cell r="I123">
            <v>0</v>
          </cell>
          <cell r="J123" t="str">
            <v>NIKE</v>
          </cell>
          <cell r="K123" t="str">
            <v>Forecast</v>
          </cell>
          <cell r="L123" t="str">
            <v>DIE CUT</v>
          </cell>
          <cell r="M123" t="str">
            <v>1-SLT</v>
          </cell>
        </row>
        <row r="124">
          <cell r="A124" t="str">
            <v>F-2026-02-285-1-1</v>
          </cell>
          <cell r="B124" t="str">
            <v>FPRO-260212-0036</v>
          </cell>
          <cell r="C124" t="str">
            <v>BDB-000160</v>
          </cell>
          <cell r="D124" t="str">
            <v>PVN-001562</v>
          </cell>
          <cell r="E124" t="str">
            <v>OrthoLite Ultra-Nike LIME GREEN/14-0452TPX 0.085D 25+/-4 Asker C 1.1M 2M 4mm</v>
          </cell>
          <cell r="F124">
            <v>500</v>
          </cell>
          <cell r="G124">
            <v>500</v>
          </cell>
          <cell r="H124">
            <v>0</v>
          </cell>
          <cell r="I124">
            <v>500</v>
          </cell>
          <cell r="J124" t="str">
            <v>NIKE</v>
          </cell>
          <cell r="K124" t="str">
            <v>Forecast</v>
          </cell>
          <cell r="L124" t="str">
            <v>DIE CUT</v>
          </cell>
          <cell r="M124" t="str">
            <v>1-SLT</v>
          </cell>
        </row>
        <row r="125">
          <cell r="A125" t="str">
            <v>F-2026-02-285-1-2</v>
          </cell>
          <cell r="B125" t="str">
            <v>FPRO-260507-0002</v>
          </cell>
          <cell r="C125" t="str">
            <v>BDB-000160</v>
          </cell>
          <cell r="D125" t="str">
            <v>PVN-001562</v>
          </cell>
          <cell r="E125" t="str">
            <v>OrthoLite Ultra-Nike LIME GREEN/14-0452TPX 0.085D 25+/-4 Asker C 1.1M 2M 4mm</v>
          </cell>
          <cell r="F125">
            <v>500</v>
          </cell>
          <cell r="G125">
            <v>500</v>
          </cell>
          <cell r="H125">
            <v>0</v>
          </cell>
          <cell r="I125">
            <v>500</v>
          </cell>
          <cell r="J125" t="str">
            <v>NIKE</v>
          </cell>
          <cell r="K125" t="str">
            <v>Forecast</v>
          </cell>
          <cell r="L125" t="str">
            <v>DIE CUT</v>
          </cell>
          <cell r="M125" t="str">
            <v>1-SLT</v>
          </cell>
        </row>
        <row r="126">
          <cell r="A126" t="str">
            <v>F-2026-02-285-1-3</v>
          </cell>
          <cell r="B126" t="str">
            <v>FPRO-260507-0003</v>
          </cell>
          <cell r="C126" t="str">
            <v>BDB-000160</v>
          </cell>
          <cell r="D126" t="str">
            <v>PVN-001562</v>
          </cell>
          <cell r="E126" t="str">
            <v>OrthoLite Ultra-Nike LIME GREEN/14-0452TPX 0.085D 25+/-4 Asker C 1.1M 2M 4mm</v>
          </cell>
          <cell r="F126">
            <v>750</v>
          </cell>
          <cell r="G126">
            <v>750</v>
          </cell>
          <cell r="H126">
            <v>0</v>
          </cell>
          <cell r="I126">
            <v>750</v>
          </cell>
          <cell r="J126" t="str">
            <v>NIKE</v>
          </cell>
          <cell r="K126" t="str">
            <v>Forecast</v>
          </cell>
          <cell r="L126" t="str">
            <v>DIE CUT</v>
          </cell>
          <cell r="M126" t="str">
            <v>1-SLT</v>
          </cell>
        </row>
        <row r="127">
          <cell r="A127" t="str">
            <v>F-2026-02-285-2</v>
          </cell>
          <cell r="B127" t="str">
            <v>FPRO-260420-0002</v>
          </cell>
          <cell r="C127" t="str">
            <v>BDB-000160</v>
          </cell>
          <cell r="D127" t="str">
            <v>PVN-001562</v>
          </cell>
          <cell r="E127" t="str">
            <v>OrthoLite Ultra-Nike LIME GREEN/14-0452TPX 0.085D 25+/-4 Asker C 1.1M 2M 4mm</v>
          </cell>
          <cell r="F127">
            <v>1000</v>
          </cell>
          <cell r="G127">
            <v>1000</v>
          </cell>
          <cell r="H127">
            <v>0</v>
          </cell>
          <cell r="I127">
            <v>1000</v>
          </cell>
          <cell r="J127" t="str">
            <v>NIKE</v>
          </cell>
          <cell r="K127" t="str">
            <v>Forecast</v>
          </cell>
          <cell r="L127" t="str">
            <v>DIE CUT</v>
          </cell>
          <cell r="M127">
            <v>1</v>
          </cell>
        </row>
        <row r="128">
          <cell r="A128" t="str">
            <v>F-2026-02-286</v>
          </cell>
          <cell r="B128" t="str">
            <v>FPRO-260212-0037</v>
          </cell>
          <cell r="C128" t="str">
            <v>BDB-000175</v>
          </cell>
          <cell r="D128" t="str">
            <v>PVN-002966</v>
          </cell>
          <cell r="E128" t="str">
            <v>OrthoLite Ultra-Hybrid-Nike SEEDPEARL/12-0703TPX Hybrid 0.085D 25+/-4 Asker C 1.1M 2M 4mm</v>
          </cell>
          <cell r="F128">
            <v>3500</v>
          </cell>
          <cell r="G128">
            <v>3500</v>
          </cell>
          <cell r="H128">
            <v>3500</v>
          </cell>
          <cell r="I128">
            <v>0</v>
          </cell>
          <cell r="J128" t="str">
            <v>NIKE</v>
          </cell>
          <cell r="K128" t="str">
            <v>Forecast</v>
          </cell>
          <cell r="L128" t="str">
            <v>DIE CUT</v>
          </cell>
          <cell r="M128">
            <v>1</v>
          </cell>
        </row>
        <row r="129">
          <cell r="A129" t="str">
            <v>F-2026-02-287</v>
          </cell>
          <cell r="B129" t="str">
            <v>FPRO-260212-0038</v>
          </cell>
          <cell r="C129" t="str">
            <v>BDB-000175</v>
          </cell>
          <cell r="D129" t="str">
            <v>PVN-002966</v>
          </cell>
          <cell r="E129" t="str">
            <v>OrthoLite Ultra-Hybrid-Nike SEEDPEARL/12-0703TPX Hybrid 0.085D 25+/-4 Asker C 1.1M 2M 4mm</v>
          </cell>
          <cell r="F129">
            <v>3500</v>
          </cell>
          <cell r="G129">
            <v>3500</v>
          </cell>
          <cell r="H129">
            <v>3500</v>
          </cell>
          <cell r="I129">
            <v>0</v>
          </cell>
          <cell r="J129" t="str">
            <v>NIKE</v>
          </cell>
          <cell r="K129" t="str">
            <v>Forecast</v>
          </cell>
          <cell r="L129" t="str">
            <v>DIE CUT</v>
          </cell>
          <cell r="M129">
            <v>1</v>
          </cell>
        </row>
        <row r="130">
          <cell r="A130" t="str">
            <v>F-2026-02-288</v>
          </cell>
          <cell r="B130" t="str">
            <v>FPRO-260212-0039</v>
          </cell>
          <cell r="C130" t="str">
            <v>BDB-000175</v>
          </cell>
          <cell r="D130" t="str">
            <v>PVN-002966</v>
          </cell>
          <cell r="E130" t="str">
            <v>OrthoLite Ultra-Hybrid-Nike SEEDPEARL/12-0703TPX Hybrid 0.085D 25+/-4 Asker C 1.1M 2M 4mm</v>
          </cell>
          <cell r="F130">
            <v>3500</v>
          </cell>
          <cell r="G130">
            <v>3500</v>
          </cell>
          <cell r="H130">
            <v>0</v>
          </cell>
          <cell r="I130">
            <v>3500</v>
          </cell>
          <cell r="J130" t="str">
            <v>NIKE</v>
          </cell>
          <cell r="K130" t="str">
            <v>Forecast</v>
          </cell>
          <cell r="L130" t="str">
            <v>DIE CUT</v>
          </cell>
          <cell r="M130">
            <v>1</v>
          </cell>
        </row>
        <row r="131">
          <cell r="A131" t="str">
            <v>F-2026-02-292</v>
          </cell>
          <cell r="B131" t="str">
            <v>FPRO-260212-0043</v>
          </cell>
          <cell r="C131" t="str">
            <v>BDB-000164</v>
          </cell>
          <cell r="D131" t="str">
            <v>PVN-001618</v>
          </cell>
          <cell r="E131" t="str">
            <v>OrthoLite Ultra-Nike GREY/17-1501TPX 0.085D 25+/-4 Asker C 1.1M 2M 4mm</v>
          </cell>
          <cell r="F131">
            <v>500</v>
          </cell>
          <cell r="G131">
            <v>500</v>
          </cell>
          <cell r="H131">
            <v>500</v>
          </cell>
          <cell r="I131">
            <v>0</v>
          </cell>
          <cell r="J131" t="str">
            <v>NIKE</v>
          </cell>
          <cell r="K131" t="str">
            <v>Forecast</v>
          </cell>
          <cell r="L131" t="str">
            <v>DIE CUT</v>
          </cell>
          <cell r="M131">
            <v>1</v>
          </cell>
        </row>
        <row r="132">
          <cell r="A132" t="str">
            <v>F-2026-02-293</v>
          </cell>
          <cell r="B132" t="str">
            <v>FPRO-260212-0044</v>
          </cell>
          <cell r="C132" t="str">
            <v>BDB-000164</v>
          </cell>
          <cell r="D132" t="str">
            <v>PVN-001618</v>
          </cell>
          <cell r="E132" t="str">
            <v>OrthoLite Ultra-Nike GREY/17-1501TPX 0.085D 25+/-4 Asker C 1.1M 2M 4mm</v>
          </cell>
          <cell r="F132">
            <v>500</v>
          </cell>
          <cell r="G132">
            <v>500</v>
          </cell>
          <cell r="H132">
            <v>500</v>
          </cell>
          <cell r="I132">
            <v>0</v>
          </cell>
          <cell r="J132" t="str">
            <v>NIKE</v>
          </cell>
          <cell r="K132" t="str">
            <v>Forecast</v>
          </cell>
          <cell r="L132" t="str">
            <v>DIE CUT</v>
          </cell>
          <cell r="M132">
            <v>1</v>
          </cell>
        </row>
        <row r="133">
          <cell r="A133" t="str">
            <v>F-2026-02-294</v>
          </cell>
          <cell r="B133" t="str">
            <v>FPRO-260212-0045</v>
          </cell>
          <cell r="C133" t="str">
            <v>BDB-000164</v>
          </cell>
          <cell r="D133" t="str">
            <v>PVN-001618</v>
          </cell>
          <cell r="E133" t="str">
            <v>OrthoLite Ultra-Nike GREY/17-1501TPX 0.085D 25+/-4 Asker C 1.1M 2M 4mm</v>
          </cell>
          <cell r="F133">
            <v>500</v>
          </cell>
          <cell r="G133">
            <v>500</v>
          </cell>
          <cell r="H133">
            <v>500</v>
          </cell>
          <cell r="I133">
            <v>0</v>
          </cell>
          <cell r="J133" t="str">
            <v>NIKE</v>
          </cell>
          <cell r="K133" t="str">
            <v>Forecast</v>
          </cell>
          <cell r="L133" t="str">
            <v>DIE CUT</v>
          </cell>
          <cell r="M133">
            <v>1</v>
          </cell>
        </row>
        <row r="134">
          <cell r="A134" t="str">
            <v>F-2026-02-295</v>
          </cell>
          <cell r="B134" t="str">
            <v>FPRO-260212-0046</v>
          </cell>
          <cell r="C134" t="str">
            <v>BDB-000164</v>
          </cell>
          <cell r="D134" t="str">
            <v>PVN-001618</v>
          </cell>
          <cell r="E134" t="str">
            <v>OrthoLite Ultra-Nike GREY/17-1501TPX 0.085D 25+/-4 Asker C 1.1M 2M 4mm</v>
          </cell>
          <cell r="F134">
            <v>500</v>
          </cell>
          <cell r="G134">
            <v>500</v>
          </cell>
          <cell r="H134">
            <v>0</v>
          </cell>
          <cell r="I134">
            <v>500</v>
          </cell>
          <cell r="J134" t="str">
            <v>NIKE</v>
          </cell>
          <cell r="K134" t="str">
            <v>Forecast</v>
          </cell>
          <cell r="L134" t="str">
            <v>DIE CUT</v>
          </cell>
          <cell r="M134">
            <v>1</v>
          </cell>
        </row>
        <row r="135">
          <cell r="A135" t="str">
            <v>F-2026-02-296</v>
          </cell>
          <cell r="B135" t="str">
            <v>FPRO-260212-0047</v>
          </cell>
          <cell r="C135" t="str">
            <v>BDB-000164</v>
          </cell>
          <cell r="D135" t="str">
            <v>PVN-001618</v>
          </cell>
          <cell r="E135" t="str">
            <v>OrthoLite Ultra-Nike GREY/17-1501TPX 0.085D 25+/-4 Asker C 1.1M 2M 4mm</v>
          </cell>
          <cell r="F135">
            <v>500</v>
          </cell>
          <cell r="G135">
            <v>500</v>
          </cell>
          <cell r="H135">
            <v>500</v>
          </cell>
          <cell r="I135">
            <v>0</v>
          </cell>
          <cell r="J135" t="str">
            <v>NIKE</v>
          </cell>
          <cell r="K135" t="str">
            <v>Forecast</v>
          </cell>
          <cell r="L135" t="str">
            <v>DIE CUT</v>
          </cell>
          <cell r="M135">
            <v>1</v>
          </cell>
        </row>
        <row r="136">
          <cell r="A136" t="str">
            <v>F-2026-02-297</v>
          </cell>
          <cell r="B136" t="str">
            <v>FPRO-260212-0048</v>
          </cell>
          <cell r="C136" t="str">
            <v>BDB-000164</v>
          </cell>
          <cell r="D136" t="str">
            <v>PVN-001618</v>
          </cell>
          <cell r="E136" t="str">
            <v>OrthoLite Ultra-Nike GREY/17-1501TPX 0.085D 25+/-4 Asker C 1.1M 2M 4mm</v>
          </cell>
          <cell r="F136">
            <v>500</v>
          </cell>
          <cell r="G136">
            <v>500</v>
          </cell>
          <cell r="H136">
            <v>500</v>
          </cell>
          <cell r="I136">
            <v>0</v>
          </cell>
          <cell r="J136" t="str">
            <v>NIKE</v>
          </cell>
          <cell r="K136" t="str">
            <v>Forecast</v>
          </cell>
          <cell r="L136" t="str">
            <v>DIE CUT</v>
          </cell>
          <cell r="M136">
            <v>1</v>
          </cell>
        </row>
        <row r="137">
          <cell r="A137" t="str">
            <v>F-2026-02-298</v>
          </cell>
          <cell r="B137" t="str">
            <v>FPRO-260212-0049</v>
          </cell>
          <cell r="C137" t="str">
            <v>BDB-000164</v>
          </cell>
          <cell r="D137" t="str">
            <v>PVN-001618</v>
          </cell>
          <cell r="E137" t="str">
            <v>OrthoLite Ultra-Nike GREY/17-1501TPX 0.085D 25+/-4 Asker C 1.1M 2M 4mm</v>
          </cell>
          <cell r="F137">
            <v>500</v>
          </cell>
          <cell r="G137">
            <v>500</v>
          </cell>
          <cell r="H137">
            <v>500</v>
          </cell>
          <cell r="I137">
            <v>0</v>
          </cell>
          <cell r="J137" t="str">
            <v>NIKE</v>
          </cell>
          <cell r="K137" t="str">
            <v>Forecast</v>
          </cell>
          <cell r="L137" t="str">
            <v>DIE CUT</v>
          </cell>
          <cell r="M137">
            <v>1</v>
          </cell>
        </row>
        <row r="138">
          <cell r="A138" t="str">
            <v>F-2026-02-299</v>
          </cell>
          <cell r="B138" t="str">
            <v>FPRO-260212-0050</v>
          </cell>
          <cell r="C138" t="str">
            <v>BDB-000164</v>
          </cell>
          <cell r="D138" t="str">
            <v>PVN-001618</v>
          </cell>
          <cell r="E138" t="str">
            <v>OrthoLite Ultra-Nike GREY/17-1501TPX 0.085D 25+/-4 Asker C 1.1M 2M 4mm</v>
          </cell>
          <cell r="F138">
            <v>500</v>
          </cell>
          <cell r="G138">
            <v>500</v>
          </cell>
          <cell r="H138">
            <v>0</v>
          </cell>
          <cell r="I138">
            <v>500</v>
          </cell>
          <cell r="J138" t="str">
            <v>NIKE</v>
          </cell>
          <cell r="K138" t="str">
            <v>Forecast</v>
          </cell>
          <cell r="L138" t="str">
            <v>DIE CUT</v>
          </cell>
          <cell r="M138">
            <v>1</v>
          </cell>
        </row>
        <row r="139">
          <cell r="A139" t="str">
            <v>F-2026-02-303</v>
          </cell>
          <cell r="B139" t="str">
            <v>FPRO-260212-0054</v>
          </cell>
          <cell r="C139" t="str">
            <v>BDB-000161</v>
          </cell>
          <cell r="D139" t="str">
            <v>PVN-001560</v>
          </cell>
          <cell r="E139" t="str">
            <v>OrthoLite Ultra-Nike FOSSIL/17-0909TPX 0.085D 25+/-4 Asker C 1.1M 2M 4mm</v>
          </cell>
          <cell r="F139">
            <v>1000</v>
          </cell>
          <cell r="G139">
            <v>1000</v>
          </cell>
          <cell r="H139">
            <v>1000</v>
          </cell>
          <cell r="I139">
            <v>0</v>
          </cell>
          <cell r="J139" t="str">
            <v>NIKE</v>
          </cell>
          <cell r="K139" t="str">
            <v>Forecast</v>
          </cell>
          <cell r="L139" t="str">
            <v>DIE CUT</v>
          </cell>
          <cell r="M139">
            <v>1</v>
          </cell>
        </row>
        <row r="140">
          <cell r="A140" t="str">
            <v>F-2026-02-304</v>
          </cell>
          <cell r="B140" t="str">
            <v>FPRO-260212-0055</v>
          </cell>
          <cell r="C140" t="str">
            <v>BDB-000161</v>
          </cell>
          <cell r="D140" t="str">
            <v>PVN-001560</v>
          </cell>
          <cell r="E140" t="str">
            <v>OrthoLite Ultra-Nike FOSSIL/17-0909TPX 0.085D 25+/-4 Asker C 1.1M 2M 4mm</v>
          </cell>
          <cell r="F140">
            <v>1000</v>
          </cell>
          <cell r="G140">
            <v>1000</v>
          </cell>
          <cell r="H140">
            <v>1000</v>
          </cell>
          <cell r="I140">
            <v>0</v>
          </cell>
          <cell r="J140" t="str">
            <v>NIKE</v>
          </cell>
          <cell r="K140" t="str">
            <v>Forecast</v>
          </cell>
          <cell r="L140" t="str">
            <v>DIE CUT</v>
          </cell>
          <cell r="M140">
            <v>1</v>
          </cell>
        </row>
        <row r="141">
          <cell r="A141" t="str">
            <v>F-2026-02-306</v>
          </cell>
          <cell r="B141" t="str">
            <v>FPRO-260212-0003</v>
          </cell>
          <cell r="C141" t="str">
            <v>BDB-000259</v>
          </cell>
          <cell r="D141" t="str">
            <v>PVN-003684</v>
          </cell>
          <cell r="E141" t="str">
            <v>OrthoLite Nike PP002 GLACIER GRAY/14-4102TPX Flat Sheet 0.145D 25+/-4 asker C 1.1M 2M 4.2mm</v>
          </cell>
          <cell r="F141">
            <v>2500</v>
          </cell>
          <cell r="G141">
            <v>2500</v>
          </cell>
          <cell r="H141">
            <v>2500</v>
          </cell>
          <cell r="I141">
            <v>0</v>
          </cell>
          <cell r="J141" t="str">
            <v>NIKE</v>
          </cell>
          <cell r="K141" t="str">
            <v>Forecast</v>
          </cell>
          <cell r="L141" t="str">
            <v>MOLDED</v>
          </cell>
          <cell r="M141" t="str">
            <v>1-SLT</v>
          </cell>
        </row>
        <row r="142">
          <cell r="A142" t="str">
            <v>F-2026-02-307-1</v>
          </cell>
          <cell r="B142" t="str">
            <v>FPRO-260212-0004</v>
          </cell>
          <cell r="C142" t="str">
            <v>BDB-000259</v>
          </cell>
          <cell r="D142" t="str">
            <v>PVN-003684</v>
          </cell>
          <cell r="E142" t="str">
            <v>OrthoLite Nike PP002 GLACIER GRAY/14-4102TPX Flat Sheet 0.145D 25+/-4 asker C 1.1M 2M 4.2mm</v>
          </cell>
          <cell r="F142">
            <v>2200</v>
          </cell>
          <cell r="G142">
            <v>1000</v>
          </cell>
          <cell r="H142">
            <v>0</v>
          </cell>
          <cell r="I142">
            <v>1000</v>
          </cell>
          <cell r="J142" t="str">
            <v>NIKE</v>
          </cell>
          <cell r="K142" t="str">
            <v>Forecast</v>
          </cell>
          <cell r="L142" t="str">
            <v>MOLDED</v>
          </cell>
          <cell r="M142" t="str">
            <v>1-SLT</v>
          </cell>
        </row>
        <row r="143">
          <cell r="A143" t="str">
            <v>F-2026-02-307-2</v>
          </cell>
          <cell r="B143" t="str">
            <v>FPRO-260401-0009</v>
          </cell>
          <cell r="C143" t="str">
            <v>BDB-000259</v>
          </cell>
          <cell r="D143" t="str">
            <v>PVN-003684</v>
          </cell>
          <cell r="E143" t="str">
            <v>OrthoLite Nike PP002 GLACIER GRAY/14-4102TPX Flat Sheet 0.145D 25+/-4 asker C 1.1M 2M 4.2mm</v>
          </cell>
          <cell r="F143">
            <v>2200</v>
          </cell>
          <cell r="G143">
            <v>1200</v>
          </cell>
          <cell r="H143">
            <v>0</v>
          </cell>
          <cell r="I143">
            <v>1200</v>
          </cell>
          <cell r="J143" t="str">
            <v>NIKE</v>
          </cell>
          <cell r="K143" t="str">
            <v>Forecast</v>
          </cell>
          <cell r="L143" t="str">
            <v>MOLDED</v>
          </cell>
          <cell r="M143" t="str">
            <v>1-SLT</v>
          </cell>
        </row>
        <row r="144">
          <cell r="A144" t="str">
            <v>F-2026-02-310</v>
          </cell>
          <cell r="B144" t="str">
            <v>FPRO-260212-0007</v>
          </cell>
          <cell r="C144" t="str">
            <v>BDB-000129</v>
          </cell>
          <cell r="D144" t="str">
            <v>PVN-001550</v>
          </cell>
          <cell r="E144" t="str">
            <v>OrthoLite Regular-Nike AIR BLUE/16-4134TPX 0.11D 25+/-4 Asker C 1.1M 1.7M 2mm</v>
          </cell>
          <cell r="F144">
            <v>4000</v>
          </cell>
          <cell r="G144">
            <v>4000</v>
          </cell>
          <cell r="H144">
            <v>4000</v>
          </cell>
          <cell r="I144">
            <v>0</v>
          </cell>
          <cell r="J144" t="str">
            <v>NIKE</v>
          </cell>
          <cell r="K144" t="str">
            <v>Forecast</v>
          </cell>
          <cell r="L144" t="str">
            <v>DIE CUT</v>
          </cell>
          <cell r="M144">
            <v>1</v>
          </cell>
        </row>
        <row r="145">
          <cell r="A145" t="str">
            <v>F-2026-02-311</v>
          </cell>
          <cell r="B145" t="str">
            <v>FPRO-260212-0008</v>
          </cell>
          <cell r="C145" t="str">
            <v>BDB-000129</v>
          </cell>
          <cell r="D145" t="str">
            <v>PVN-001550</v>
          </cell>
          <cell r="E145" t="str">
            <v>OrthoLite Regular-Nike AIR BLUE/16-4134TPX 0.11D 25+/-4 Asker C 1.1M 1.7M 2mm</v>
          </cell>
          <cell r="F145">
            <v>4000</v>
          </cell>
          <cell r="G145">
            <v>4000</v>
          </cell>
          <cell r="H145">
            <v>4000</v>
          </cell>
          <cell r="I145">
            <v>0</v>
          </cell>
          <cell r="J145" t="str">
            <v>NIKE</v>
          </cell>
          <cell r="K145" t="str">
            <v>Forecast</v>
          </cell>
          <cell r="L145" t="str">
            <v>DIE CUT</v>
          </cell>
          <cell r="M145">
            <v>1</v>
          </cell>
        </row>
        <row r="146">
          <cell r="A146" t="str">
            <v>F-2026-02-315</v>
          </cell>
          <cell r="B146" t="str">
            <v>FPRO-260212-0012</v>
          </cell>
          <cell r="C146" t="str">
            <v>BDB-000163</v>
          </cell>
          <cell r="D146" t="str">
            <v>PVN-001556</v>
          </cell>
          <cell r="E146" t="str">
            <v>OrthoLite Ultra-Nike YELLOW/13-0858TPX 0.085D 25+/-4 Asker C 1.1M 2M 4mm</v>
          </cell>
          <cell r="F146">
            <v>1500</v>
          </cell>
          <cell r="G146">
            <v>1500</v>
          </cell>
          <cell r="H146">
            <v>1500</v>
          </cell>
          <cell r="I146">
            <v>0</v>
          </cell>
          <cell r="J146" t="str">
            <v>NIKE</v>
          </cell>
          <cell r="K146" t="str">
            <v>Forecast</v>
          </cell>
          <cell r="L146" t="str">
            <v>DIE CUT</v>
          </cell>
          <cell r="M146">
            <v>1</v>
          </cell>
        </row>
        <row r="147">
          <cell r="A147" t="str">
            <v>F-2026-02-316</v>
          </cell>
          <cell r="B147" t="str">
            <v>FPRO-260212-0013</v>
          </cell>
          <cell r="C147" t="str">
            <v>BDB-000163</v>
          </cell>
          <cell r="D147" t="str">
            <v>PVN-001556</v>
          </cell>
          <cell r="E147" t="str">
            <v>OrthoLite Ultra-Nike YELLOW/13-0858TPX 0.085D 25+/-4 Asker C 1.1M 2M 4mm</v>
          </cell>
          <cell r="F147">
            <v>1500</v>
          </cell>
          <cell r="G147">
            <v>1500</v>
          </cell>
          <cell r="H147">
            <v>0</v>
          </cell>
          <cell r="I147">
            <v>1500</v>
          </cell>
          <cell r="J147" t="str">
            <v>NIKE</v>
          </cell>
          <cell r="K147" t="str">
            <v>Forecast</v>
          </cell>
          <cell r="L147" t="str">
            <v>DIE CUT</v>
          </cell>
          <cell r="M147">
            <v>1</v>
          </cell>
        </row>
        <row r="148">
          <cell r="A148" t="str">
            <v>F-2026-02-317</v>
          </cell>
          <cell r="B148" t="str">
            <v>FPRO-260212-0014</v>
          </cell>
          <cell r="C148" t="str">
            <v>BDB-000163</v>
          </cell>
          <cell r="D148" t="str">
            <v>PVN-001556</v>
          </cell>
          <cell r="E148" t="str">
            <v>OrthoLite Ultra-Nike YELLOW/13-0858TPX 0.085D 25+/-4 Asker C 1.1M 2M 4mm</v>
          </cell>
          <cell r="F148">
            <v>1500</v>
          </cell>
          <cell r="G148">
            <v>1500</v>
          </cell>
          <cell r="H148">
            <v>1500</v>
          </cell>
          <cell r="I148">
            <v>0</v>
          </cell>
          <cell r="J148" t="str">
            <v>NIKE</v>
          </cell>
          <cell r="K148" t="str">
            <v>Forecast</v>
          </cell>
          <cell r="L148" t="str">
            <v>DIE CUT</v>
          </cell>
          <cell r="M148">
            <v>1</v>
          </cell>
        </row>
        <row r="149">
          <cell r="A149" t="str">
            <v>F-2026-02-318</v>
          </cell>
          <cell r="B149" t="str">
            <v>FPRO-260212-0015</v>
          </cell>
          <cell r="C149" t="str">
            <v>BDB-000163</v>
          </cell>
          <cell r="D149" t="str">
            <v>PVN-001556</v>
          </cell>
          <cell r="E149" t="str">
            <v>OrthoLite Ultra-Nike YELLOW/13-0858TPX 0.085D 25+/-4 Asker C 1.1M 2M 4mm</v>
          </cell>
          <cell r="F149">
            <v>800</v>
          </cell>
          <cell r="G149">
            <v>800</v>
          </cell>
          <cell r="H149">
            <v>800</v>
          </cell>
          <cell r="I149">
            <v>0</v>
          </cell>
          <cell r="J149" t="str">
            <v>NIKE</v>
          </cell>
          <cell r="K149" t="str">
            <v>Forecast</v>
          </cell>
          <cell r="L149" t="str">
            <v>DIE CUT</v>
          </cell>
          <cell r="M149">
            <v>1</v>
          </cell>
        </row>
        <row r="150">
          <cell r="A150" t="str">
            <v>F-2026-02-319</v>
          </cell>
          <cell r="B150" t="str">
            <v>FPRO-260212-0016</v>
          </cell>
          <cell r="C150" t="str">
            <v>BDB-000175</v>
          </cell>
          <cell r="D150" t="str">
            <v>PVN-002875</v>
          </cell>
          <cell r="E150" t="str">
            <v>OrthoLite Ultra-Hybrid-Nike SEEDPEARL/12-0703TPX Hybrid 0.085D 25+/-4 Asker C 1.1M 2M 3mm</v>
          </cell>
          <cell r="F150">
            <v>955</v>
          </cell>
          <cell r="G150">
            <v>955</v>
          </cell>
          <cell r="H150">
            <v>955</v>
          </cell>
          <cell r="I150">
            <v>0</v>
          </cell>
          <cell r="J150" t="str">
            <v>NIKE</v>
          </cell>
          <cell r="K150" t="str">
            <v>Forecast</v>
          </cell>
          <cell r="L150" t="str">
            <v>DIE CUT</v>
          </cell>
          <cell r="M150">
            <v>1</v>
          </cell>
        </row>
        <row r="151">
          <cell r="A151" t="str">
            <v>F-2026-02-322</v>
          </cell>
          <cell r="B151" t="str">
            <v>FPRO-260212-0019</v>
          </cell>
          <cell r="C151" t="str">
            <v>BDB-000157</v>
          </cell>
          <cell r="D151" t="str">
            <v>PVN-003573</v>
          </cell>
          <cell r="E151" t="str">
            <v>OrthoLite X-35-Hybrid-Nike SEEDPEARL/12-0703TPX Hybrid 0.145D 25+/-4 Asker C 1.1M 2M 4.2mm</v>
          </cell>
          <cell r="F151">
            <v>3000</v>
          </cell>
          <cell r="G151">
            <v>3000</v>
          </cell>
          <cell r="H151">
            <v>3000</v>
          </cell>
          <cell r="I151">
            <v>0</v>
          </cell>
          <cell r="J151" t="str">
            <v>NIKE</v>
          </cell>
          <cell r="K151" t="str">
            <v>Forecast</v>
          </cell>
          <cell r="L151" t="str">
            <v>MOLDED</v>
          </cell>
          <cell r="M151">
            <v>1</v>
          </cell>
        </row>
        <row r="152">
          <cell r="A152" t="str">
            <v>F-2026-02-323</v>
          </cell>
          <cell r="B152" t="str">
            <v>FPRO-260212-0020</v>
          </cell>
          <cell r="C152" t="str">
            <v>BDB-000157</v>
          </cell>
          <cell r="D152" t="str">
            <v>PVN-003573</v>
          </cell>
          <cell r="E152" t="str">
            <v>OrthoLite X-35-Hybrid-Nike SEEDPEARL/12-0703TPX Hybrid 0.145D 25+/-4 Asker C 1.1M 2M 4.2mm</v>
          </cell>
          <cell r="F152">
            <v>3000</v>
          </cell>
          <cell r="G152">
            <v>3000</v>
          </cell>
          <cell r="H152">
            <v>3000</v>
          </cell>
          <cell r="I152">
            <v>0</v>
          </cell>
          <cell r="J152" t="str">
            <v>NIKE</v>
          </cell>
          <cell r="K152" t="str">
            <v>Forecast</v>
          </cell>
          <cell r="L152" t="str">
            <v>MOLDED</v>
          </cell>
          <cell r="M152">
            <v>1</v>
          </cell>
        </row>
        <row r="153">
          <cell r="A153" t="str">
            <v>F-2026-02-324</v>
          </cell>
          <cell r="B153" t="str">
            <v>FPRO-260212-0021</v>
          </cell>
          <cell r="C153" t="str">
            <v>BDB-000157</v>
          </cell>
          <cell r="D153" t="str">
            <v>PVN-003573</v>
          </cell>
          <cell r="E153" t="str">
            <v>OrthoLite X-35-Hybrid-Nike SEEDPEARL/12-0703TPX Hybrid 0.145D 25+/-4 Asker C 1.1M 2M 4.2mm</v>
          </cell>
          <cell r="F153">
            <v>1550</v>
          </cell>
          <cell r="G153">
            <v>1550</v>
          </cell>
          <cell r="H153">
            <v>1550</v>
          </cell>
          <cell r="I153">
            <v>0</v>
          </cell>
          <cell r="J153" t="str">
            <v>NIKE</v>
          </cell>
          <cell r="K153" t="str">
            <v>Forecast</v>
          </cell>
          <cell r="L153" t="str">
            <v>MOLDED</v>
          </cell>
          <cell r="M153">
            <v>1</v>
          </cell>
        </row>
        <row r="154">
          <cell r="A154" t="str">
            <v>F-2026-02-371</v>
          </cell>
          <cell r="B154" t="str">
            <v>FPRO-260227-0005</v>
          </cell>
          <cell r="C154" t="str">
            <v>BDB-000362</v>
          </cell>
          <cell r="D154" t="str">
            <v>PVN-004259</v>
          </cell>
          <cell r="E154" t="str">
            <v>OrthoLite X-60-Hybrid SEEDPEARL/12-0703TPX Hybrid Flat Sheet 0.19D 28+/-4 Asker C 1.1M 1.7M 12mm</v>
          </cell>
          <cell r="F154">
            <v>950</v>
          </cell>
          <cell r="G154">
            <v>950</v>
          </cell>
          <cell r="H154">
            <v>0</v>
          </cell>
          <cell r="I154">
            <v>950</v>
          </cell>
          <cell r="J154" t="str">
            <v>BROOKS</v>
          </cell>
          <cell r="K154" t="str">
            <v>Forecast</v>
          </cell>
          <cell r="L154" t="str">
            <v>MOLDED</v>
          </cell>
          <cell r="M154">
            <v>1</v>
          </cell>
        </row>
        <row r="155">
          <cell r="A155" t="str">
            <v>F-2026-02-373-2</v>
          </cell>
          <cell r="B155" t="str">
            <v>FPRO-260309-0003</v>
          </cell>
          <cell r="C155" t="str">
            <v>BDB-000209</v>
          </cell>
          <cell r="D155" t="str">
            <v>PVN-003462</v>
          </cell>
          <cell r="E155" t="str">
            <v>OrthoLite HybridPlus-Recycled MINT GREEN/11-4805TPX Hybrid 0.12D 25+/-4 Asker C 1.1M 2M 12mm</v>
          </cell>
          <cell r="F155">
            <v>1000</v>
          </cell>
          <cell r="G155">
            <v>500</v>
          </cell>
          <cell r="H155">
            <v>500</v>
          </cell>
          <cell r="I155">
            <v>0</v>
          </cell>
          <cell r="J155" t="str">
            <v>BROOKS</v>
          </cell>
          <cell r="K155" t="str">
            <v>Forecast</v>
          </cell>
          <cell r="L155" t="str">
            <v>MOLDED</v>
          </cell>
          <cell r="M155">
            <v>1</v>
          </cell>
        </row>
        <row r="156">
          <cell r="A156" t="str">
            <v>F-2026-02-373-3</v>
          </cell>
          <cell r="B156" t="str">
            <v>FPRO-260324-0010</v>
          </cell>
          <cell r="C156" t="str">
            <v>BDB-000209</v>
          </cell>
          <cell r="D156" t="str">
            <v>PVN-003462</v>
          </cell>
          <cell r="E156" t="str">
            <v>OrthoLite HybridPlus-Recycled MINT GREEN/11-4805TPX Hybrid 0.12D 25+/-4 Asker C 1.1M 2M 12mm</v>
          </cell>
          <cell r="F156">
            <v>1000</v>
          </cell>
          <cell r="G156">
            <v>500</v>
          </cell>
          <cell r="H156">
            <v>500</v>
          </cell>
          <cell r="I156">
            <v>0</v>
          </cell>
          <cell r="J156" t="str">
            <v>BROOKS</v>
          </cell>
          <cell r="K156" t="str">
            <v>Forecast</v>
          </cell>
          <cell r="L156" t="str">
            <v>MOLDED</v>
          </cell>
          <cell r="M156">
            <v>1</v>
          </cell>
        </row>
        <row r="157">
          <cell r="A157" t="str">
            <v>F-2026-02-374-2</v>
          </cell>
          <cell r="B157" t="str">
            <v>FPRO-260327-0009</v>
          </cell>
          <cell r="C157" t="str">
            <v>BDB-000347</v>
          </cell>
          <cell r="D157" t="str">
            <v>PVN-004192</v>
          </cell>
          <cell r="E157" t="str">
            <v>OrthoLite X-55-Hybrid SEEDPEARL/12-0703TPX Hybrid 0.16D 25+/-4 Asker C 1.1M 2M 12mm</v>
          </cell>
          <cell r="F157">
            <v>1600</v>
          </cell>
          <cell r="G157">
            <v>600</v>
          </cell>
          <cell r="H157">
            <v>0</v>
          </cell>
          <cell r="I157">
            <v>600</v>
          </cell>
          <cell r="J157" t="str">
            <v>BROOKS</v>
          </cell>
          <cell r="K157" t="str">
            <v>Forecast</v>
          </cell>
          <cell r="L157" t="str">
            <v>MOLDED</v>
          </cell>
          <cell r="M157">
            <v>1</v>
          </cell>
        </row>
        <row r="158">
          <cell r="A158" t="str">
            <v>F-2026-02-375</v>
          </cell>
          <cell r="B158" t="str">
            <v>FPRO-260227-0009</v>
          </cell>
          <cell r="C158" t="str">
            <v>BDB-000347</v>
          </cell>
          <cell r="D158" t="str">
            <v>PVN-004192</v>
          </cell>
          <cell r="E158" t="str">
            <v>OrthoLite X-55-Hybrid SEEDPEARL/12-0703TPX Hybrid 0.16D 25+/-4 Asker C 1.1M 2M 12mm</v>
          </cell>
          <cell r="F158">
            <v>1000</v>
          </cell>
          <cell r="G158">
            <v>1000</v>
          </cell>
          <cell r="H158">
            <v>0</v>
          </cell>
          <cell r="I158">
            <v>1000</v>
          </cell>
          <cell r="J158" t="str">
            <v>BROOKS</v>
          </cell>
          <cell r="K158" t="str">
            <v>Forecast</v>
          </cell>
          <cell r="L158" t="str">
            <v>MOLDED</v>
          </cell>
          <cell r="M158">
            <v>1</v>
          </cell>
        </row>
        <row r="159">
          <cell r="A159" t="str">
            <v>F-2026-03-51</v>
          </cell>
          <cell r="B159" t="str">
            <v>FPRO-260303-0004</v>
          </cell>
          <cell r="C159" t="str">
            <v>BDB-000200</v>
          </cell>
          <cell r="D159" t="str">
            <v>PVN-003420</v>
          </cell>
          <cell r="E159" t="str">
            <v>OrthoLite Ultra SEEDPEARL/12-0703TPX Flat Sheet 0.085D 78-90 Asker F 1.1M 2M 6mm</v>
          </cell>
          <cell r="F159">
            <v>550</v>
          </cell>
          <cell r="G159">
            <v>550</v>
          </cell>
          <cell r="H159">
            <v>550</v>
          </cell>
          <cell r="I159">
            <v>0</v>
          </cell>
          <cell r="J159" t="str">
            <v>ADIDAS</v>
          </cell>
          <cell r="K159" t="str">
            <v>Forecast</v>
          </cell>
          <cell r="L159" t="str">
            <v>SPLITTING</v>
          </cell>
          <cell r="M159">
            <v>2</v>
          </cell>
        </row>
        <row r="160">
          <cell r="A160" t="str">
            <v>OIN-2026.03.03-01</v>
          </cell>
          <cell r="B160" t="str">
            <v>RPRO-260309-0378</v>
          </cell>
          <cell r="C160" t="str">
            <v>BDB-000123</v>
          </cell>
          <cell r="D160" t="str">
            <v>PVN-003784</v>
          </cell>
          <cell r="E160" t="str">
            <v>[116-311] Ultra Hybrid 25+/-4 Asker C 0.085D Seedpearl 12-0703 Tpx 1.10M X 2.00M 47mm</v>
          </cell>
          <cell r="F160">
            <v>1319</v>
          </cell>
          <cell r="G160">
            <v>1319</v>
          </cell>
          <cell r="H160">
            <v>1319</v>
          </cell>
          <cell r="I160">
            <v>0</v>
          </cell>
          <cell r="J160" t="str">
            <v>KICKERS</v>
          </cell>
          <cell r="K160" t="str">
            <v>PO-6793-SO-260304-0106</v>
          </cell>
          <cell r="L160" t="str">
            <v>FLAT SHEET</v>
          </cell>
          <cell r="M160">
            <v>2</v>
          </cell>
        </row>
        <row r="161">
          <cell r="A161" t="str">
            <v>OIN-2026.03.03-02</v>
          </cell>
          <cell r="B161" t="str">
            <v>RPRO-260309-0394</v>
          </cell>
          <cell r="C161" t="str">
            <v>BDB-000058</v>
          </cell>
          <cell r="D161" t="str">
            <v>PVN-003780</v>
          </cell>
          <cell r="E161" t="str">
            <v>[116-361] Ultra 25+/-4 Asker C 0.085D Green 16-5932 Tpx 1.10M X 2.00M 47mm</v>
          </cell>
          <cell r="F161">
            <v>531</v>
          </cell>
          <cell r="G161">
            <v>531</v>
          </cell>
          <cell r="H161">
            <v>531</v>
          </cell>
          <cell r="I161">
            <v>0</v>
          </cell>
          <cell r="J161" t="str">
            <v>CLARKS</v>
          </cell>
          <cell r="K161" t="str">
            <v>PO-6793-SO-260304-0107</v>
          </cell>
          <cell r="L161" t="str">
            <v>FLAT SHEET</v>
          </cell>
          <cell r="M161">
            <v>2</v>
          </cell>
        </row>
        <row r="162">
          <cell r="A162" t="str">
            <v>OIN-2026.03.03-03</v>
          </cell>
          <cell r="B162" t="str">
            <v>RPRO-260309-0395</v>
          </cell>
          <cell r="C162" t="str">
            <v>BDB-000364</v>
          </cell>
          <cell r="D162" t="str">
            <v>PVN-004262</v>
          </cell>
          <cell r="E162" t="str">
            <v>[116-12921] Ultra Hybrid 15+/-4 Asker C 0.085D Neutral Grey 17-4402 Tpx 1.10M X 2.00M 47mm</v>
          </cell>
          <cell r="F162">
            <v>53</v>
          </cell>
          <cell r="G162">
            <v>53</v>
          </cell>
          <cell r="H162">
            <v>53</v>
          </cell>
          <cell r="I162">
            <v>0</v>
          </cell>
          <cell r="J162" t="str">
            <v>BUGATTI</v>
          </cell>
          <cell r="K162" t="str">
            <v>PO-6793-SO-260304-0108</v>
          </cell>
          <cell r="L162" t="str">
            <v>FLAT SHEET</v>
          </cell>
          <cell r="M162">
            <v>2</v>
          </cell>
        </row>
        <row r="163">
          <cell r="A163" t="str">
            <v>OIN-2026.03.03-04</v>
          </cell>
          <cell r="B163" t="str">
            <v>RPRO-260309-0396</v>
          </cell>
          <cell r="C163" t="str">
            <v>BDB-000025</v>
          </cell>
          <cell r="D163" t="str">
            <v>PVN-003785</v>
          </cell>
          <cell r="E163" t="str">
            <v>[116-247] Regular 25+/-4 Asker C 0.11D Green 16-5932 Tpx 1.10M X 2.00M 47mm</v>
          </cell>
          <cell r="F163">
            <v>31</v>
          </cell>
          <cell r="G163">
            <v>31</v>
          </cell>
          <cell r="H163">
            <v>31</v>
          </cell>
          <cell r="I163">
            <v>0</v>
          </cell>
          <cell r="J163" t="str">
            <v>BARKER</v>
          </cell>
          <cell r="K163" t="str">
            <v>PO-6793-SO-260304-0110</v>
          </cell>
          <cell r="L163" t="str">
            <v>FLAT SHEET</v>
          </cell>
          <cell r="M163">
            <v>2</v>
          </cell>
        </row>
        <row r="164">
          <cell r="A164" t="str">
            <v>OIN-2026.03.06-01</v>
          </cell>
          <cell r="B164" t="str">
            <v>RPRO-260309-0397</v>
          </cell>
          <cell r="C164" t="str">
            <v>BDB-000164</v>
          </cell>
          <cell r="D164" t="str">
            <v>PVN-004253</v>
          </cell>
          <cell r="E164" t="str">
            <v>[116-12728] Ultra Nike 25+/-4 Asker C 0.085D Grey 17-1501 Tpx 1.10M X 2.00M 47mm</v>
          </cell>
          <cell r="F164">
            <v>16</v>
          </cell>
          <cell r="G164">
            <v>16</v>
          </cell>
          <cell r="H164">
            <v>16</v>
          </cell>
          <cell r="I164">
            <v>0</v>
          </cell>
          <cell r="J164" t="str">
            <v>NIKE</v>
          </cell>
          <cell r="K164" t="str">
            <v>PO-6808-SO-260306-0152</v>
          </cell>
          <cell r="L164" t="str">
            <v>FLAT SHEET</v>
          </cell>
          <cell r="M164">
            <v>2</v>
          </cell>
        </row>
        <row r="165">
          <cell r="A165" t="str">
            <v>F-2026-03-155</v>
          </cell>
          <cell r="B165" t="str">
            <v>RPRO-260309-0665</v>
          </cell>
          <cell r="C165" t="str">
            <v>BDB-000060</v>
          </cell>
          <cell r="D165" t="str">
            <v>PVN-004054</v>
          </cell>
          <cell r="E165" t="str">
            <v>OrthoLite Ultra BURNT SIENNA/17-1544TPX Flat Sheet 0.085D 25+/-4 Asker C 1.1M 2M 13mm</v>
          </cell>
          <cell r="F165">
            <v>250</v>
          </cell>
          <cell r="G165">
            <v>250</v>
          </cell>
          <cell r="H165">
            <v>250</v>
          </cell>
          <cell r="I165">
            <v>0</v>
          </cell>
          <cell r="J165" t="str">
            <v>KUIU</v>
          </cell>
          <cell r="K165" t="str">
            <v>Pr.Sch.R</v>
          </cell>
          <cell r="L165" t="str">
            <v>OTHERS</v>
          </cell>
          <cell r="M165">
            <v>1</v>
          </cell>
        </row>
        <row r="166">
          <cell r="A166" t="str">
            <v>F-2026-03-165</v>
          </cell>
          <cell r="B166" t="str">
            <v>RPRO-260310-0455</v>
          </cell>
          <cell r="C166" t="str">
            <v>BDB-000113</v>
          </cell>
          <cell r="D166" t="str">
            <v>PVN-003414</v>
          </cell>
          <cell r="E166" t="str">
            <v>OrthoLite Regular-Hybrid SEEDPEARL/12-0703TPX Hybrid Flat Sheet 0.11D 25+/-4 Asker C 1.1M 2M 12mm</v>
          </cell>
          <cell r="F166">
            <v>737</v>
          </cell>
          <cell r="G166">
            <v>737</v>
          </cell>
          <cell r="H166">
            <v>737</v>
          </cell>
          <cell r="I166">
            <v>0</v>
          </cell>
          <cell r="J166" t="str">
            <v>ASICS</v>
          </cell>
          <cell r="K166" t="str">
            <v>Pr.Sch.R</v>
          </cell>
          <cell r="L166" t="str">
            <v>MOLDED</v>
          </cell>
          <cell r="M166" t="str">
            <v>1-RM-WIP</v>
          </cell>
        </row>
        <row r="167">
          <cell r="A167" t="str">
            <v>OIN-2026.03.07-01</v>
          </cell>
          <cell r="B167" t="str">
            <v>RPRO-260311-0207</v>
          </cell>
          <cell r="C167" t="str">
            <v>BDB-000102</v>
          </cell>
          <cell r="D167" t="str">
            <v>PVN-003821</v>
          </cell>
          <cell r="E167" t="str">
            <v>[118-467] Eco Lite Hybrid 35+/-4 Asker C 0.13D Lime Green 14-0452 Tpx 1.10M X 2.00M 47mm</v>
          </cell>
          <cell r="F167">
            <v>10</v>
          </cell>
          <cell r="G167">
            <v>10</v>
          </cell>
          <cell r="H167">
            <v>10</v>
          </cell>
          <cell r="I167">
            <v>0</v>
          </cell>
          <cell r="J167" t="str">
            <v>Geox</v>
          </cell>
          <cell r="K167" t="str">
            <v>PO-6824-SO-260309-0040</v>
          </cell>
          <cell r="L167" t="str">
            <v>FLAT SHEET</v>
          </cell>
          <cell r="M167">
            <v>2</v>
          </cell>
        </row>
        <row r="168">
          <cell r="A168" t="str">
            <v>OIN-2026.03.07-02</v>
          </cell>
          <cell r="B168" t="str">
            <v>RPRO-260311-0208</v>
          </cell>
          <cell r="C168" t="str">
            <v>BDB-000356</v>
          </cell>
          <cell r="D168" t="str">
            <v>PVN-004232</v>
          </cell>
          <cell r="E168" t="str">
            <v>[116-12300] Eco Lite 15+/-4 Asker C 0.11D Lime Green 14-0452 Tpx 1.10M X 2.00M 47mm</v>
          </cell>
          <cell r="F168">
            <v>10</v>
          </cell>
          <cell r="G168">
            <v>10</v>
          </cell>
          <cell r="H168">
            <v>10</v>
          </cell>
          <cell r="I168">
            <v>0</v>
          </cell>
          <cell r="J168" t="str">
            <v>JOOP</v>
          </cell>
          <cell r="K168" t="str">
            <v>PO-6824-SO-260309-0041</v>
          </cell>
          <cell r="L168" t="str">
            <v>FLAT SHEET</v>
          </cell>
          <cell r="M168">
            <v>2</v>
          </cell>
        </row>
        <row r="169">
          <cell r="A169" t="str">
            <v>OIN-2026.03.09-01</v>
          </cell>
          <cell r="B169" t="str">
            <v>RPRO-260311-0209</v>
          </cell>
          <cell r="C169" t="str">
            <v>BDB-000123</v>
          </cell>
          <cell r="D169" t="str">
            <v>PVN-003784</v>
          </cell>
          <cell r="E169" t="str">
            <v>[116-311] Ultra Hybrid 25+/-4 Asker C 0.085D Seedpearl 12-0703 Tpx 1.10M X 2.00M 47mm</v>
          </cell>
          <cell r="F169">
            <v>532</v>
          </cell>
          <cell r="G169">
            <v>532</v>
          </cell>
          <cell r="H169">
            <v>532</v>
          </cell>
          <cell r="I169">
            <v>0</v>
          </cell>
          <cell r="J169" t="str">
            <v>ADIDAS</v>
          </cell>
          <cell r="K169" t="str">
            <v>PO-6834-SO-260309-0253</v>
          </cell>
          <cell r="L169" t="str">
            <v>FLAT SHEET</v>
          </cell>
          <cell r="M169">
            <v>2</v>
          </cell>
        </row>
        <row r="170">
          <cell r="A170" t="str">
            <v>F-2026-03-185-1</v>
          </cell>
          <cell r="B170" t="str">
            <v>FPRO-260309-0001</v>
          </cell>
          <cell r="C170" t="str">
            <v>BDB-000125</v>
          </cell>
          <cell r="D170" t="str">
            <v>PVN-002413</v>
          </cell>
          <cell r="E170" t="str">
            <v>OrthoLite Regular-Nike AIR BLUE/16-4134TPX 0.11D 25+/-4 Asker C 1.1M 2M 4.2mm</v>
          </cell>
          <cell r="F170">
            <v>3100</v>
          </cell>
          <cell r="G170">
            <v>1000</v>
          </cell>
          <cell r="H170">
            <v>1000</v>
          </cell>
          <cell r="I170">
            <v>0</v>
          </cell>
          <cell r="J170" t="str">
            <v>NIKE</v>
          </cell>
          <cell r="K170" t="str">
            <v>Forecast</v>
          </cell>
          <cell r="L170" t="str">
            <v>DIE CUT</v>
          </cell>
          <cell r="M170" t="str">
            <v>1-SLT</v>
          </cell>
        </row>
        <row r="171">
          <cell r="A171" t="str">
            <v>F-2026-03-185-2</v>
          </cell>
          <cell r="B171" t="str">
            <v>FPRO-260413-0001</v>
          </cell>
          <cell r="C171" t="str">
            <v>BDB-000125</v>
          </cell>
          <cell r="D171" t="str">
            <v>PVN-002413</v>
          </cell>
          <cell r="E171" t="str">
            <v>OrthoLite Regular-Nike AIR BLUE/16-4134TPX 0.11D 25+/-4 Asker C 1.1M 2M 4.2mm</v>
          </cell>
          <cell r="F171">
            <v>3100</v>
          </cell>
          <cell r="G171">
            <v>2100</v>
          </cell>
          <cell r="H171">
            <v>0</v>
          </cell>
          <cell r="I171">
            <v>2100</v>
          </cell>
          <cell r="J171" t="str">
            <v>NIKE</v>
          </cell>
          <cell r="K171" t="str">
            <v>Forecast</v>
          </cell>
          <cell r="L171" t="str">
            <v>DIE CUT</v>
          </cell>
          <cell r="M171" t="str">
            <v>1-SLT</v>
          </cell>
        </row>
        <row r="172">
          <cell r="A172" t="str">
            <v>F-2026-03-188-1</v>
          </cell>
          <cell r="B172" t="str">
            <v>FPRO-260310-0025</v>
          </cell>
          <cell r="C172" t="str">
            <v>BDB-000097</v>
          </cell>
          <cell r="D172" t="str">
            <v>PVN-002478</v>
          </cell>
          <cell r="E172" t="str">
            <v>OrthoLite Eco LT-Hybrid SEEDPEARL/12-0703TPX Hybrid 0.11D 25+/-4 Asker C 1.1M 2M 4mm</v>
          </cell>
          <cell r="F172">
            <v>2000</v>
          </cell>
          <cell r="G172">
            <v>2000</v>
          </cell>
          <cell r="H172">
            <v>2000</v>
          </cell>
          <cell r="I172">
            <v>0</v>
          </cell>
          <cell r="J172" t="str">
            <v>NEW BALANCE</v>
          </cell>
          <cell r="K172" t="str">
            <v>Forecast</v>
          </cell>
          <cell r="L172" t="str">
            <v>MOLDED</v>
          </cell>
          <cell r="M172">
            <v>1</v>
          </cell>
        </row>
        <row r="173">
          <cell r="A173" t="str">
            <v>F-2026-03-188-2-1</v>
          </cell>
          <cell r="B173" t="str">
            <v>FPRO-260416-0001</v>
          </cell>
          <cell r="C173" t="str">
            <v>BDB-000097</v>
          </cell>
          <cell r="D173" t="str">
            <v>PVN-002478</v>
          </cell>
          <cell r="E173" t="str">
            <v>OrthoLite Eco LT-Hybrid SEEDPEARL/12-0703TPX Hybrid 0.11D 25+/-4 Asker C 1.1M 2M 4mm</v>
          </cell>
          <cell r="F173">
            <v>2000</v>
          </cell>
          <cell r="G173">
            <v>865</v>
          </cell>
          <cell r="H173">
            <v>865</v>
          </cell>
          <cell r="I173">
            <v>0</v>
          </cell>
          <cell r="J173" t="str">
            <v>NEW BALANCE</v>
          </cell>
          <cell r="K173" t="str">
            <v>Forecast</v>
          </cell>
          <cell r="L173" t="str">
            <v>MOLDED</v>
          </cell>
          <cell r="M173">
            <v>1</v>
          </cell>
        </row>
        <row r="174">
          <cell r="A174" t="str">
            <v>F-2026-03-188-2-2</v>
          </cell>
          <cell r="B174" t="str">
            <v>FPRO-260416-0001</v>
          </cell>
          <cell r="C174" t="str">
            <v>BDB-000097</v>
          </cell>
          <cell r="D174" t="str">
            <v>PVN-002478</v>
          </cell>
          <cell r="E174" t="str">
            <v>OrthoLite Eco LT-Hybrid SEEDPEARL/12-0703TPX Hybrid 0.11D 25+/-4 Asker C 1.1M 2M 4mm</v>
          </cell>
          <cell r="F174">
            <v>2000</v>
          </cell>
          <cell r="G174">
            <v>743</v>
          </cell>
          <cell r="H174">
            <v>743</v>
          </cell>
          <cell r="I174">
            <v>0</v>
          </cell>
          <cell r="J174" t="str">
            <v>NEW BALANCE</v>
          </cell>
          <cell r="K174" t="str">
            <v>Forecast</v>
          </cell>
          <cell r="L174" t="str">
            <v>MOLDED</v>
          </cell>
          <cell r="M174">
            <v>1</v>
          </cell>
        </row>
        <row r="175">
          <cell r="A175" t="str">
            <v>F-2026-03-188-2-3</v>
          </cell>
          <cell r="B175" t="str">
            <v>FPRO-260416-0001</v>
          </cell>
          <cell r="C175" t="str">
            <v>BDB-000097</v>
          </cell>
          <cell r="D175" t="str">
            <v>PVN-002478</v>
          </cell>
          <cell r="E175" t="str">
            <v>OrthoLite Eco LT-Hybrid SEEDPEARL/12-0703TPX Hybrid 0.11D 25+/-4 Asker C 1.1M 2M 4mm</v>
          </cell>
          <cell r="F175">
            <v>2000</v>
          </cell>
          <cell r="G175">
            <v>392</v>
          </cell>
          <cell r="H175">
            <v>392</v>
          </cell>
          <cell r="I175">
            <v>0</v>
          </cell>
          <cell r="J175" t="str">
            <v>NEW BALANCE</v>
          </cell>
          <cell r="K175" t="str">
            <v>Forecast</v>
          </cell>
          <cell r="L175" t="str">
            <v>MOLDED</v>
          </cell>
          <cell r="M175">
            <v>1</v>
          </cell>
        </row>
        <row r="176">
          <cell r="A176" t="str">
            <v>F-2026-03-189</v>
          </cell>
          <cell r="B176" t="str">
            <v>FPRO-260310-0026</v>
          </cell>
          <cell r="C176" t="str">
            <v>BDB-000097</v>
          </cell>
          <cell r="D176" t="str">
            <v>PVN-002478</v>
          </cell>
          <cell r="E176" t="str">
            <v>OrthoLite Eco LT-Hybrid SEEDPEARL/12-0703TPX Hybrid 0.11D 25+/-4 Asker C 1.1M 2M 4mm</v>
          </cell>
          <cell r="F176">
            <v>3500</v>
          </cell>
          <cell r="G176">
            <v>3500</v>
          </cell>
          <cell r="H176">
            <v>0</v>
          </cell>
          <cell r="I176">
            <v>3500</v>
          </cell>
          <cell r="J176" t="str">
            <v>NEW BALANCE</v>
          </cell>
          <cell r="K176" t="str">
            <v>Forecast</v>
          </cell>
          <cell r="L176" t="str">
            <v>DIE CUT</v>
          </cell>
          <cell r="M176">
            <v>1</v>
          </cell>
        </row>
        <row r="177">
          <cell r="A177" t="str">
            <v>F-2026-03-190</v>
          </cell>
          <cell r="B177" t="str">
            <v>FPRO-260310-0027</v>
          </cell>
          <cell r="C177" t="str">
            <v>BDB-000097</v>
          </cell>
          <cell r="D177" t="str">
            <v>PVN-002478</v>
          </cell>
          <cell r="E177" t="str">
            <v>OrthoLite Eco LT-Hybrid SEEDPEARL/12-0703TPX Hybrid 0.11D 25+/-4 Asker C 1.1M 2M 4mm</v>
          </cell>
          <cell r="F177">
            <v>3500</v>
          </cell>
          <cell r="G177">
            <v>3500</v>
          </cell>
          <cell r="H177">
            <v>3500</v>
          </cell>
          <cell r="I177">
            <v>0</v>
          </cell>
          <cell r="J177" t="str">
            <v>NEW BALANCE</v>
          </cell>
          <cell r="K177" t="str">
            <v>Forecast</v>
          </cell>
          <cell r="L177" t="str">
            <v>DIE CUT</v>
          </cell>
          <cell r="M177">
            <v>1</v>
          </cell>
        </row>
        <row r="178">
          <cell r="A178" t="str">
            <v>F-2026-03-191</v>
          </cell>
          <cell r="B178" t="str">
            <v>FPRO-260310-0028</v>
          </cell>
          <cell r="C178" t="str">
            <v>BDB-000097</v>
          </cell>
          <cell r="D178" t="str">
            <v>PVN-002478</v>
          </cell>
          <cell r="E178" t="str">
            <v>OrthoLite Eco LT-Hybrid SEEDPEARL/12-0703TPX Hybrid 0.11D 25+/-4 Asker C 1.1M 2M 4mm</v>
          </cell>
          <cell r="F178">
            <v>3500</v>
          </cell>
          <cell r="G178">
            <v>3500</v>
          </cell>
          <cell r="H178">
            <v>0</v>
          </cell>
          <cell r="I178">
            <v>3500</v>
          </cell>
          <cell r="J178" t="str">
            <v>NEW BALANCE</v>
          </cell>
          <cell r="K178" t="str">
            <v>Forecast</v>
          </cell>
          <cell r="L178" t="str">
            <v>DIE CUT</v>
          </cell>
          <cell r="M178">
            <v>1</v>
          </cell>
        </row>
        <row r="179">
          <cell r="A179" t="str">
            <v>F-2026-03-228</v>
          </cell>
          <cell r="B179" t="str">
            <v>RPRO-260312-0267</v>
          </cell>
          <cell r="C179" t="str">
            <v>BDB-000147</v>
          </cell>
          <cell r="D179" t="str">
            <v>PVN-002753</v>
          </cell>
          <cell r="E179" t="str">
            <v>OrthoLite Regular-Hybrid-Nike YELLOW/13-0858TPX Hybrid Flat Sheet 0.11D 25+/-4 Asker C 1.1M 2M 4mm</v>
          </cell>
          <cell r="F179">
            <v>105</v>
          </cell>
          <cell r="G179">
            <v>105</v>
          </cell>
          <cell r="H179">
            <v>105</v>
          </cell>
          <cell r="I179">
            <v>0</v>
          </cell>
          <cell r="J179" t="str">
            <v>NIKE</v>
          </cell>
          <cell r="K179" t="str">
            <v>Pr.Sch.R</v>
          </cell>
          <cell r="L179" t="str">
            <v>DIE CUT</v>
          </cell>
          <cell r="M179">
            <v>1</v>
          </cell>
        </row>
        <row r="180">
          <cell r="A180" t="str">
            <v>F-2026-03-230</v>
          </cell>
          <cell r="B180" t="str">
            <v>RPRO-260313-0363</v>
          </cell>
          <cell r="C180" t="str">
            <v>BDB-000101</v>
          </cell>
          <cell r="D180" t="str">
            <v>PVN-003628</v>
          </cell>
          <cell r="E180" t="str">
            <v>OrthoLite Eco LT-Hybrid FOSSIL/17-0909TPX Hybrid Flat Sheet 0.13D 35+/-4 Asker C 1.1M 2M 2.5mm</v>
          </cell>
          <cell r="F180">
            <v>112</v>
          </cell>
          <cell r="G180">
            <v>112</v>
          </cell>
          <cell r="H180">
            <v>112</v>
          </cell>
          <cell r="I180">
            <v>0</v>
          </cell>
          <cell r="J180"/>
          <cell r="K180" t="str">
            <v>MPS</v>
          </cell>
          <cell r="L180" t="str">
            <v>SPLITTING</v>
          </cell>
          <cell r="M180">
            <v>2</v>
          </cell>
        </row>
        <row r="181">
          <cell r="A181" t="str">
            <v>OIN-2026.03.11-01</v>
          </cell>
          <cell r="B181" t="str">
            <v>RPRO-260323-0189</v>
          </cell>
          <cell r="C181" t="str">
            <v>BDB-000102</v>
          </cell>
          <cell r="D181" t="str">
            <v>PVN-003821</v>
          </cell>
          <cell r="E181" t="str">
            <v>[118-467] Eco Lite Hybrid 35+/-4 Asker C 0.13D Lime Green 14-0452 Tpx 1.10M X 2.00M 47mm</v>
          </cell>
          <cell r="F181">
            <v>15</v>
          </cell>
          <cell r="G181">
            <v>15</v>
          </cell>
          <cell r="H181">
            <v>15</v>
          </cell>
          <cell r="I181">
            <v>0</v>
          </cell>
          <cell r="J181" t="str">
            <v>Geox</v>
          </cell>
          <cell r="K181" t="str">
            <v>PO-6852-SO-260312-0165</v>
          </cell>
          <cell r="L181" t="str">
            <v>FLAT SHEET</v>
          </cell>
          <cell r="M181">
            <v>2</v>
          </cell>
        </row>
        <row r="182">
          <cell r="A182" t="str">
            <v>OIN-2026.03.13-01</v>
          </cell>
          <cell r="B182" t="str">
            <v>RPRO-260323-0190</v>
          </cell>
          <cell r="C182" t="str">
            <v>BDB-000102</v>
          </cell>
          <cell r="D182" t="str">
            <v>PVN-003821</v>
          </cell>
          <cell r="E182" t="str">
            <v>[118-467] Eco Lite Hybrid 35+/-4 Asker C 0.13D Lime Green 14-0452 Tpx 1.10M X 2.00M 47mm</v>
          </cell>
          <cell r="F182">
            <v>2</v>
          </cell>
          <cell r="G182">
            <v>2</v>
          </cell>
          <cell r="H182">
            <v>2</v>
          </cell>
          <cell r="I182">
            <v>0</v>
          </cell>
          <cell r="J182" t="str">
            <v>Geox</v>
          </cell>
          <cell r="K182" t="str">
            <v>PO-6871-SO-260313-0049</v>
          </cell>
          <cell r="L182" t="str">
            <v>FLAT SHEET</v>
          </cell>
          <cell r="M182">
            <v>2</v>
          </cell>
        </row>
        <row r="183">
          <cell r="A183" t="str">
            <v>F-2026-03-244</v>
          </cell>
          <cell r="B183" t="str">
            <v>RPRO-260316-0663</v>
          </cell>
          <cell r="C183" t="str">
            <v>BDB-000058</v>
          </cell>
          <cell r="D183" t="str">
            <v>PVN-001277</v>
          </cell>
          <cell r="E183" t="str">
            <v>OrthoLite Ultra GREEN/16-5932TPX Flat Sheet 0.085D 25+/-4 Asker C 1.1M 2M 4mm</v>
          </cell>
          <cell r="F183">
            <v>1575</v>
          </cell>
          <cell r="G183">
            <v>1575</v>
          </cell>
          <cell r="H183">
            <v>1575</v>
          </cell>
          <cell r="I183">
            <v>0</v>
          </cell>
          <cell r="J183"/>
          <cell r="K183" t="str">
            <v>MPS</v>
          </cell>
          <cell r="L183" t="str">
            <v>SPLITTING</v>
          </cell>
          <cell r="M183">
            <v>2</v>
          </cell>
        </row>
        <row r="184">
          <cell r="A184" t="str">
            <v>F-2026-03-247</v>
          </cell>
          <cell r="B184" t="str">
            <v>RPRO-260316-0666</v>
          </cell>
          <cell r="C184" t="str">
            <v>BDB-000348</v>
          </cell>
          <cell r="D184" t="str">
            <v>PVN-004210</v>
          </cell>
          <cell r="E184" t="str">
            <v>OrthoLite IMPERIAL SEEDPEARL/12-0703TPX Flat Sheet 0.22D 25+/-4 Asker C 1.1M 1.47M 5mm</v>
          </cell>
          <cell r="F184">
            <v>252</v>
          </cell>
          <cell r="G184">
            <v>252</v>
          </cell>
          <cell r="H184">
            <v>252</v>
          </cell>
          <cell r="I184">
            <v>0</v>
          </cell>
          <cell r="J184"/>
          <cell r="K184" t="str">
            <v>MPS</v>
          </cell>
          <cell r="L184" t="str">
            <v>SPLITTING</v>
          </cell>
          <cell r="M184">
            <v>2</v>
          </cell>
        </row>
        <row r="185">
          <cell r="A185" t="str">
            <v>F-2026-03-264</v>
          </cell>
          <cell r="B185" t="str">
            <v>RPRO-260317-0091</v>
          </cell>
          <cell r="C185" t="str">
            <v>BDB-000057</v>
          </cell>
          <cell r="D185" t="str">
            <v>PVN-000925</v>
          </cell>
          <cell r="E185" t="str">
            <v>OrthoLite Ultra YELLOW/13-0858TPX Flat Sheet 0.085D 25+/-4 Asker C 1.1M 2M 5mm</v>
          </cell>
          <cell r="F185">
            <v>56</v>
          </cell>
          <cell r="G185">
            <v>56</v>
          </cell>
          <cell r="H185">
            <v>56</v>
          </cell>
          <cell r="I185">
            <v>0</v>
          </cell>
          <cell r="J185"/>
          <cell r="K185" t="str">
            <v>MPS</v>
          </cell>
          <cell r="L185" t="str">
            <v>SPLITTING</v>
          </cell>
          <cell r="M185">
            <v>2</v>
          </cell>
        </row>
        <row r="186">
          <cell r="A186" t="str">
            <v>F-2026-03-267</v>
          </cell>
          <cell r="B186" t="str">
            <v>RPRO-260317-0094</v>
          </cell>
          <cell r="C186" t="str">
            <v>BDB-000348</v>
          </cell>
          <cell r="D186" t="str">
            <v>PVN-004210</v>
          </cell>
          <cell r="E186" t="str">
            <v>OrthoLite IMPERIAL SEEDPEARL/12-0703TPX Flat Sheet 0.22D 25+/-4 Asker C 1.1M 1.47M 5mm</v>
          </cell>
          <cell r="F186">
            <v>224</v>
          </cell>
          <cell r="G186">
            <v>224</v>
          </cell>
          <cell r="H186">
            <v>224</v>
          </cell>
          <cell r="I186">
            <v>0</v>
          </cell>
          <cell r="J186"/>
          <cell r="K186" t="str">
            <v>MPS</v>
          </cell>
          <cell r="L186" t="str">
            <v>SPLITTING</v>
          </cell>
          <cell r="M186">
            <v>2</v>
          </cell>
        </row>
        <row r="187">
          <cell r="A187" t="str">
            <v>F-2026-03-268</v>
          </cell>
          <cell r="B187" t="str">
            <v>RPRO-260317-0095</v>
          </cell>
          <cell r="C187" t="str">
            <v>BDB-000129</v>
          </cell>
          <cell r="D187" t="str">
            <v>PVN-001550</v>
          </cell>
          <cell r="E187" t="str">
            <v>OrthoLite Regular-Nike AIR BLUE/16-4134TPX Flat Sheet 0.11D 25+/-4 Asker C 1.1M 1.7M 2mm</v>
          </cell>
          <cell r="F187">
            <v>280</v>
          </cell>
          <cell r="G187">
            <v>280</v>
          </cell>
          <cell r="H187">
            <v>280</v>
          </cell>
          <cell r="I187">
            <v>0</v>
          </cell>
          <cell r="J187" t="str">
            <v>NIKE</v>
          </cell>
          <cell r="K187" t="str">
            <v>Pr.Sch.R</v>
          </cell>
          <cell r="L187" t="str">
            <v>LAMINATING</v>
          </cell>
          <cell r="M187" t="str">
            <v>1-SLT</v>
          </cell>
        </row>
        <row r="188">
          <cell r="A188" t="str">
            <v>F-2026-03-271</v>
          </cell>
          <cell r="B188" t="str">
            <v>RPRO-260317-0098</v>
          </cell>
          <cell r="C188" t="str">
            <v>BDB-000346</v>
          </cell>
          <cell r="D188" t="str">
            <v>PVN-004188</v>
          </cell>
          <cell r="E188" t="str">
            <v>OrthoLite Float NEUTRAL GRAY/17-4402TPX Flat Sheet 0.12D 21+/-4 Asker C 1.1M 1.47M 5.5mm</v>
          </cell>
          <cell r="F188">
            <v>50</v>
          </cell>
          <cell r="G188">
            <v>50</v>
          </cell>
          <cell r="H188">
            <v>50</v>
          </cell>
          <cell r="I188">
            <v>0</v>
          </cell>
          <cell r="J188" t="str">
            <v>PUMA</v>
          </cell>
          <cell r="K188" t="str">
            <v>Pr.Sch.R</v>
          </cell>
          <cell r="L188" t="str">
            <v>MOLDED</v>
          </cell>
          <cell r="M188">
            <v>1</v>
          </cell>
        </row>
        <row r="189">
          <cell r="A189" t="str">
            <v>F-2026-03-275</v>
          </cell>
          <cell r="B189" t="str">
            <v>RPRO-260317-0102</v>
          </cell>
          <cell r="C189" t="str">
            <v>BDB-000273</v>
          </cell>
          <cell r="D189" t="str">
            <v>PVN-004138</v>
          </cell>
          <cell r="E189" t="str">
            <v>OrthoLite X-40-Hybrid SEEDPEARL/12-0703TPX Hybrid Flat Sheet 0.16D 25+/-4 Asker C 1.1M 2M 5.5mm</v>
          </cell>
          <cell r="F189">
            <v>75</v>
          </cell>
          <cell r="G189">
            <v>75</v>
          </cell>
          <cell r="H189">
            <v>75</v>
          </cell>
          <cell r="I189">
            <v>0</v>
          </cell>
          <cell r="J189" t="str">
            <v>ON RUNNING</v>
          </cell>
          <cell r="K189" t="str">
            <v>Pr.Sch.R</v>
          </cell>
          <cell r="L189" t="str">
            <v>MOLDED</v>
          </cell>
          <cell r="M189">
            <v>1</v>
          </cell>
        </row>
        <row r="190">
          <cell r="A190" t="str">
            <v>F-2026-03-276</v>
          </cell>
          <cell r="B190" t="str">
            <v>RPRO-260317-0103</v>
          </cell>
          <cell r="C190" t="str">
            <v>BDB-000218</v>
          </cell>
          <cell r="D190" t="str">
            <v>PVN-003488</v>
          </cell>
          <cell r="E190" t="str">
            <v>OrthoLite Ultra-Nike SEEDPEARL/12-0703TPX Flat Sheet 0.085D 5-10 Asker C 1.1M 2M 4mm</v>
          </cell>
          <cell r="F190">
            <v>140</v>
          </cell>
          <cell r="G190">
            <v>140</v>
          </cell>
          <cell r="H190">
            <v>140</v>
          </cell>
          <cell r="I190">
            <v>0</v>
          </cell>
          <cell r="J190" t="str">
            <v>NIKE</v>
          </cell>
          <cell r="K190" t="str">
            <v>Pr.Sch.R</v>
          </cell>
          <cell r="L190" t="str">
            <v>DIE CUT</v>
          </cell>
          <cell r="M190">
            <v>1</v>
          </cell>
        </row>
        <row r="191">
          <cell r="A191" t="str">
            <v>F-2026-03-282</v>
          </cell>
          <cell r="B191" t="str">
            <v>RPRO-260317-0109</v>
          </cell>
          <cell r="C191" t="str">
            <v>BDB-000313</v>
          </cell>
          <cell r="D191" t="str">
            <v>PVN-004061</v>
          </cell>
          <cell r="E191" t="str">
            <v>OrthoLite X-55 RED/19-1764TPX Flat Sheet 0.16D 25+/-4 Asker C 1.1M 1.47M 18mm</v>
          </cell>
          <cell r="F191">
            <v>14</v>
          </cell>
          <cell r="G191">
            <v>14</v>
          </cell>
          <cell r="H191">
            <v>14</v>
          </cell>
          <cell r="I191">
            <v>0</v>
          </cell>
          <cell r="J191" t="str">
            <v>WILSON</v>
          </cell>
          <cell r="K191" t="str">
            <v>Pr.Sch.R</v>
          </cell>
          <cell r="L191" t="str">
            <v>MOLDED</v>
          </cell>
          <cell r="M191">
            <v>1</v>
          </cell>
        </row>
        <row r="192">
          <cell r="A192" t="str">
            <v>F-2026-03-288</v>
          </cell>
          <cell r="B192" t="str">
            <v>RPRO-260317-0115</v>
          </cell>
          <cell r="C192" t="str">
            <v>BDB-000319</v>
          </cell>
          <cell r="D192" t="str">
            <v>PVN-004081</v>
          </cell>
          <cell r="E192" t="str">
            <v>OrthoLite X-40-Hybrid-Nike SEEDPEARL/12-0703TPX Hybrid Flat Sheet 0.16D 25+/-4 Asker C 1.1M 2M 6mm</v>
          </cell>
          <cell r="F192">
            <v>23</v>
          </cell>
          <cell r="G192">
            <v>23</v>
          </cell>
          <cell r="H192">
            <v>23</v>
          </cell>
          <cell r="I192">
            <v>0</v>
          </cell>
          <cell r="J192" t="str">
            <v>NIKE</v>
          </cell>
          <cell r="K192" t="str">
            <v>Pr.Sch.R</v>
          </cell>
          <cell r="L192" t="str">
            <v>MOLDED</v>
          </cell>
          <cell r="M192">
            <v>1</v>
          </cell>
        </row>
        <row r="193">
          <cell r="A193" t="str">
            <v>F-2026-03-292</v>
          </cell>
          <cell r="B193" t="str">
            <v>FPRO-260317-0002</v>
          </cell>
          <cell r="C193" t="str">
            <v>BDB-000234</v>
          </cell>
          <cell r="D193" t="str">
            <v>PVN-003581</v>
          </cell>
          <cell r="E193" t="str">
            <v>OrthoLite X-30-Hybrid BROWN SUGAR/17-1134TPX Hybrid Flat Sheet 0.13D 25+/-4 Asker C 1.1M 2M 12mm</v>
          </cell>
          <cell r="F193">
            <v>900</v>
          </cell>
          <cell r="G193">
            <v>900</v>
          </cell>
          <cell r="H193">
            <v>900</v>
          </cell>
          <cell r="I193">
            <v>0</v>
          </cell>
          <cell r="J193" t="str">
            <v>ASICS</v>
          </cell>
          <cell r="K193" t="str">
            <v>Forecast</v>
          </cell>
          <cell r="L193" t="str">
            <v>MOLDED</v>
          </cell>
          <cell r="M193" t="str">
            <v>1-RM-WIP</v>
          </cell>
        </row>
        <row r="194">
          <cell r="A194" t="str">
            <v>F-2026-03-296</v>
          </cell>
          <cell r="B194" t="str">
            <v>FPRO-260317-0005</v>
          </cell>
          <cell r="C194" t="str">
            <v>BDB-000113</v>
          </cell>
          <cell r="D194" t="str">
            <v>PVN-002465</v>
          </cell>
          <cell r="E194" t="str">
            <v>OrthoLite Regular-Hybrid SEEDPEARL/12-0703TPX Hybrid Flat Sheet 0.11D 25+/-4 Asker C 1.1M 2M 5mm</v>
          </cell>
          <cell r="F194">
            <v>2500</v>
          </cell>
          <cell r="G194">
            <v>2500</v>
          </cell>
          <cell r="H194">
            <v>2500</v>
          </cell>
          <cell r="I194">
            <v>0</v>
          </cell>
          <cell r="J194" t="str">
            <v>ASICS</v>
          </cell>
          <cell r="K194" t="str">
            <v>Forecast</v>
          </cell>
          <cell r="L194" t="str">
            <v>DIE CUT</v>
          </cell>
          <cell r="M194">
            <v>1</v>
          </cell>
        </row>
        <row r="195">
          <cell r="A195" t="str">
            <v>F-2026-03-297</v>
          </cell>
          <cell r="B195" t="str">
            <v>FPRO-260317-0006</v>
          </cell>
          <cell r="C195" t="str">
            <v>BDB-000113</v>
          </cell>
          <cell r="D195" t="str">
            <v>PVN-002465</v>
          </cell>
          <cell r="E195" t="str">
            <v>OrthoLite Regular-Hybrid SEEDPEARL/12-0703TPX Hybrid Flat Sheet 0.11D 25+/-4 Asker C 1.1M 2M 5mm</v>
          </cell>
          <cell r="F195">
            <v>2500</v>
          </cell>
          <cell r="G195">
            <v>2500</v>
          </cell>
          <cell r="H195">
            <v>2500</v>
          </cell>
          <cell r="I195">
            <v>0</v>
          </cell>
          <cell r="J195" t="str">
            <v>ASICS</v>
          </cell>
          <cell r="K195" t="str">
            <v>Forecast</v>
          </cell>
          <cell r="L195" t="str">
            <v>DIE CUT</v>
          </cell>
          <cell r="M195">
            <v>1</v>
          </cell>
        </row>
        <row r="196">
          <cell r="A196" t="str">
            <v>F-2026-03-298</v>
          </cell>
          <cell r="B196" t="str">
            <v>FPRO-260317-0007</v>
          </cell>
          <cell r="C196" t="str">
            <v>BDB-000113</v>
          </cell>
          <cell r="D196" t="str">
            <v>PVN-002465</v>
          </cell>
          <cell r="E196" t="str">
            <v>OrthoLite Regular-Hybrid SEEDPEARL/12-0703TPX Hybrid Flat Sheet 0.11D 25+/-4 Asker C 1.1M 2M 5mm</v>
          </cell>
          <cell r="F196">
            <v>2500</v>
          </cell>
          <cell r="G196">
            <v>2500</v>
          </cell>
          <cell r="H196">
            <v>2500</v>
          </cell>
          <cell r="I196">
            <v>0</v>
          </cell>
          <cell r="J196" t="str">
            <v>ASICS</v>
          </cell>
          <cell r="K196" t="str">
            <v>Forecast</v>
          </cell>
          <cell r="L196" t="str">
            <v>DIE CUT</v>
          </cell>
          <cell r="M196" t="str">
            <v>1-SLT</v>
          </cell>
        </row>
        <row r="197">
          <cell r="A197" t="str">
            <v>F-2026-03-299</v>
          </cell>
          <cell r="B197" t="str">
            <v>FPRO-260317-0008</v>
          </cell>
          <cell r="C197" t="str">
            <v>BDB-000113</v>
          </cell>
          <cell r="D197" t="str">
            <v>PVN-002465</v>
          </cell>
          <cell r="E197" t="str">
            <v>OrthoLite Regular-Hybrid SEEDPEARL/12-0703TPX Hybrid Flat Sheet 0.11D 25+/-4 Asker C 1.1M 2M 5mm</v>
          </cell>
          <cell r="F197">
            <v>2500</v>
          </cell>
          <cell r="G197">
            <v>2500</v>
          </cell>
          <cell r="H197">
            <v>2500</v>
          </cell>
          <cell r="I197">
            <v>0</v>
          </cell>
          <cell r="J197" t="str">
            <v>ASICS</v>
          </cell>
          <cell r="K197" t="str">
            <v>Forecast</v>
          </cell>
          <cell r="L197" t="str">
            <v>DIE CUT</v>
          </cell>
          <cell r="M197">
            <v>1</v>
          </cell>
        </row>
        <row r="198">
          <cell r="A198" t="str">
            <v>F-2026-03-305</v>
          </cell>
          <cell r="B198" t="str">
            <v>RPRO-260319-0537</v>
          </cell>
          <cell r="C198" t="str">
            <v>BDB-000123</v>
          </cell>
          <cell r="D198" t="str">
            <v>PVN-002539</v>
          </cell>
          <cell r="E198" t="str">
            <v>OrthoLite Ultra-Hybrid SEEDPEARL/12-0703TPX Hybrid Flat Sheet 0.085D 25+/-4 Asker C 1.1M 2M 5mm</v>
          </cell>
          <cell r="F198">
            <v>84</v>
          </cell>
          <cell r="G198">
            <v>84</v>
          </cell>
          <cell r="H198">
            <v>84</v>
          </cell>
          <cell r="I198">
            <v>0</v>
          </cell>
          <cell r="J198"/>
          <cell r="K198" t="str">
            <v>MPS</v>
          </cell>
          <cell r="L198" t="str">
            <v>SPLITTING</v>
          </cell>
          <cell r="M198">
            <v>2</v>
          </cell>
        </row>
        <row r="199">
          <cell r="A199" t="str">
            <v>F-2026-03-311</v>
          </cell>
          <cell r="B199" t="str">
            <v>RPRO-260319-0543</v>
          </cell>
          <cell r="C199" t="str">
            <v>BDB-000129</v>
          </cell>
          <cell r="D199" t="str">
            <v>PVN-001550</v>
          </cell>
          <cell r="E199" t="str">
            <v>OrthoLite Regular-Nike AIR BLUE/16-4134TPX Flat Sheet 0.11D 25+/-4 Asker C 1.1M 1.7M 2mm</v>
          </cell>
          <cell r="F199">
            <v>1610</v>
          </cell>
          <cell r="G199">
            <v>1610</v>
          </cell>
          <cell r="H199">
            <v>1610</v>
          </cell>
          <cell r="I199">
            <v>0</v>
          </cell>
          <cell r="J199" t="str">
            <v>NIKE</v>
          </cell>
          <cell r="K199" t="str">
            <v>Pr.Sch.R</v>
          </cell>
          <cell r="L199" t="str">
            <v>LAMINATING</v>
          </cell>
          <cell r="M199">
            <v>1</v>
          </cell>
        </row>
        <row r="200">
          <cell r="A200" t="str">
            <v>F-2026-03-312</v>
          </cell>
          <cell r="B200" t="str">
            <v>RPRO-260319-0544</v>
          </cell>
          <cell r="C200" t="str">
            <v>BDB-000162</v>
          </cell>
          <cell r="D200" t="str">
            <v>PVN-001566</v>
          </cell>
          <cell r="E200" t="str">
            <v>OrthoLite Ultra-Nike SEEDPEARL/12-0703TPX Flat Sheet 0.085D 25+/-4 Asker C 1.1M 2M 4mm</v>
          </cell>
          <cell r="F200">
            <v>2000</v>
          </cell>
          <cell r="G200">
            <v>2000</v>
          </cell>
          <cell r="H200">
            <v>2000</v>
          </cell>
          <cell r="I200">
            <v>0</v>
          </cell>
          <cell r="J200" t="str">
            <v>NIKE</v>
          </cell>
          <cell r="K200" t="str">
            <v>Pr.Sch.R</v>
          </cell>
          <cell r="L200" t="str">
            <v>DIE CUT</v>
          </cell>
          <cell r="M200">
            <v>1</v>
          </cell>
        </row>
        <row r="201">
          <cell r="A201" t="str">
            <v>F-2026-03-313</v>
          </cell>
          <cell r="B201" t="str">
            <v>RPRO-260319-0545</v>
          </cell>
          <cell r="C201" t="str">
            <v>BDB-000162</v>
          </cell>
          <cell r="D201" t="str">
            <v>PVN-001566</v>
          </cell>
          <cell r="E201" t="str">
            <v>OrthoLite Ultra-Nike SEEDPEARL/12-0703TPX Flat Sheet 0.085D 25+/-4 Asker C 1.1M 2M 4mm</v>
          </cell>
          <cell r="F201">
            <v>2620</v>
          </cell>
          <cell r="G201">
            <v>2620</v>
          </cell>
          <cell r="H201">
            <v>2620</v>
          </cell>
          <cell r="I201">
            <v>0</v>
          </cell>
          <cell r="J201" t="str">
            <v>NIKE</v>
          </cell>
          <cell r="K201" t="str">
            <v>Pr.Sch.R</v>
          </cell>
          <cell r="L201" t="str">
            <v>DIE CUT</v>
          </cell>
          <cell r="M201">
            <v>1</v>
          </cell>
        </row>
        <row r="202">
          <cell r="A202" t="str">
            <v>F-2026-03-315</v>
          </cell>
          <cell r="B202" t="str">
            <v>RPRO-260319-0547</v>
          </cell>
          <cell r="C202" t="str">
            <v>BDB-000346</v>
          </cell>
          <cell r="D202" t="str">
            <v>PVN-004188</v>
          </cell>
          <cell r="E202" t="str">
            <v>OrthoLite Float NEUTRAL GRAY/17-4402TPX Flat Sheet 0.12D 21+/-4 Asker C 1.1M 1.47M 5.5mm</v>
          </cell>
          <cell r="F202">
            <v>375</v>
          </cell>
          <cell r="G202">
            <v>375</v>
          </cell>
          <cell r="H202">
            <v>375</v>
          </cell>
          <cell r="I202">
            <v>0</v>
          </cell>
          <cell r="J202" t="str">
            <v>PUMA</v>
          </cell>
          <cell r="K202" t="str">
            <v>Pr.Sch.R</v>
          </cell>
          <cell r="L202" t="str">
            <v>MOLDED</v>
          </cell>
          <cell r="M202">
            <v>1</v>
          </cell>
        </row>
        <row r="203">
          <cell r="A203" t="str">
            <v>F-2026-03-316</v>
          </cell>
          <cell r="B203" t="str">
            <v>RPRO-260319-0548</v>
          </cell>
          <cell r="C203" t="str">
            <v>BDB-000339</v>
          </cell>
          <cell r="D203" t="str">
            <v>PVN-004178</v>
          </cell>
          <cell r="E203" t="str">
            <v>OrthoLite Float NEUTRAL GRAY/17-4402TPX Flat Sheet 0.12D 21+/-4 Asker C 1.1M 2M 5.5mm</v>
          </cell>
          <cell r="F203">
            <v>850</v>
          </cell>
          <cell r="G203">
            <v>850</v>
          </cell>
          <cell r="H203">
            <v>850</v>
          </cell>
          <cell r="I203">
            <v>0</v>
          </cell>
          <cell r="J203" t="str">
            <v>PUMA</v>
          </cell>
          <cell r="K203" t="str">
            <v>Pr.Sch.R</v>
          </cell>
          <cell r="L203" t="str">
            <v>MOLDED</v>
          </cell>
          <cell r="M203">
            <v>1</v>
          </cell>
        </row>
        <row r="204">
          <cell r="A204" t="str">
            <v>F-2026-03-317</v>
          </cell>
          <cell r="B204" t="str">
            <v>RPRO-260319-0549</v>
          </cell>
          <cell r="C204" t="str">
            <v>BDB-000209</v>
          </cell>
          <cell r="D204" t="str">
            <v>PVN-003461</v>
          </cell>
          <cell r="E204" t="str">
            <v>OrthoLite HybridPlus-Recycled MINT GREEN/11-4805TPX Hybrid Flat Sheet 0.12D 25+/-4 Asker C 1.1M 2M 11mm</v>
          </cell>
          <cell r="F204">
            <v>120</v>
          </cell>
          <cell r="G204">
            <v>120</v>
          </cell>
          <cell r="H204">
            <v>120</v>
          </cell>
          <cell r="I204">
            <v>0</v>
          </cell>
          <cell r="J204" t="str">
            <v>AKU</v>
          </cell>
          <cell r="K204" t="str">
            <v>Pr.Sch.R</v>
          </cell>
          <cell r="L204" t="str">
            <v>MOLDED</v>
          </cell>
          <cell r="M204">
            <v>1</v>
          </cell>
        </row>
        <row r="205">
          <cell r="A205" t="str">
            <v>F-2026-03-319</v>
          </cell>
          <cell r="B205" t="str">
            <v>RPRO-260319-0551</v>
          </cell>
          <cell r="C205" t="str">
            <v>BDB-000218</v>
          </cell>
          <cell r="D205" t="str">
            <v>PVN-003488</v>
          </cell>
          <cell r="E205" t="str">
            <v>OrthoLite Ultra-Nike SEEDPEARL/12-0703TPX Flat Sheet 0.085D 5-10 Asker C 1.1M 2M 4mm</v>
          </cell>
          <cell r="F205">
            <v>420</v>
          </cell>
          <cell r="G205">
            <v>420</v>
          </cell>
          <cell r="H205">
            <v>420</v>
          </cell>
          <cell r="I205">
            <v>0</v>
          </cell>
          <cell r="J205" t="str">
            <v>NIKE</v>
          </cell>
          <cell r="K205" t="str">
            <v>Pr.Sch.R</v>
          </cell>
          <cell r="L205" t="str">
            <v>DIE CUT</v>
          </cell>
          <cell r="M205">
            <v>1</v>
          </cell>
        </row>
        <row r="206">
          <cell r="A206" t="str">
            <v>F-2026-03-322</v>
          </cell>
          <cell r="B206" t="str">
            <v>RPRO-260319-0554</v>
          </cell>
          <cell r="C206" t="str">
            <v>BDB-000125</v>
          </cell>
          <cell r="D206" t="str">
            <v>PVN-002413</v>
          </cell>
          <cell r="E206" t="str">
            <v>OrthoLite Regular-Nike AIR BLUE/16-4134TPX Flat Sheet 0.11D 25+/-4 Asker C 1.1M 2M 4.2mm</v>
          </cell>
          <cell r="F206">
            <v>3498</v>
          </cell>
          <cell r="G206">
            <v>3498</v>
          </cell>
          <cell r="H206">
            <v>3498</v>
          </cell>
          <cell r="I206">
            <v>0</v>
          </cell>
          <cell r="J206" t="str">
            <v>NIKE</v>
          </cell>
          <cell r="K206" t="str">
            <v>Pr.Sch.R</v>
          </cell>
          <cell r="L206" t="str">
            <v>MOLDED</v>
          </cell>
          <cell r="M206">
            <v>1</v>
          </cell>
        </row>
        <row r="207">
          <cell r="A207" t="str">
            <v>F-2026-03-324</v>
          </cell>
          <cell r="B207" t="str">
            <v>RPRO-260319-0556</v>
          </cell>
          <cell r="C207" t="str">
            <v>BDB-000156</v>
          </cell>
          <cell r="D207" t="str">
            <v>PVN-003243</v>
          </cell>
          <cell r="E207" t="str">
            <v>OrthoLite X-35-Hybrid-Nike AMAZON/18-6024TPX Hybrid Flat Sheet 0.145D 25+/-4 Asker C 1.1M 2M 5.2mm</v>
          </cell>
          <cell r="F207">
            <v>78</v>
          </cell>
          <cell r="G207">
            <v>78</v>
          </cell>
          <cell r="H207">
            <v>78</v>
          </cell>
          <cell r="I207">
            <v>0</v>
          </cell>
          <cell r="J207" t="str">
            <v>NIKE</v>
          </cell>
          <cell r="K207" t="str">
            <v>Pr.Sch.R</v>
          </cell>
          <cell r="L207" t="str">
            <v>MOLDED</v>
          </cell>
          <cell r="M207">
            <v>1</v>
          </cell>
        </row>
        <row r="208">
          <cell r="A208" t="str">
            <v>F-2026-03-336</v>
          </cell>
          <cell r="B208" t="str">
            <v>RPRO-260319-0568</v>
          </cell>
          <cell r="C208" t="str">
            <v>BDB-000321</v>
          </cell>
          <cell r="D208" t="str">
            <v>PVN-004105</v>
          </cell>
          <cell r="E208" t="str">
            <v>OrthoLite Float BLUE ATOLL/16-4535TPX Flat Sheet 0.12D 21+/-4 Asker C 1.1M 2M 4mm</v>
          </cell>
          <cell r="F208">
            <v>35</v>
          </cell>
          <cell r="G208">
            <v>35</v>
          </cell>
          <cell r="H208">
            <v>35</v>
          </cell>
          <cell r="I208">
            <v>0</v>
          </cell>
          <cell r="J208" t="str">
            <v>DESCENTE</v>
          </cell>
          <cell r="K208" t="str">
            <v>Pr.Sch.R</v>
          </cell>
          <cell r="L208" t="str">
            <v>DIE CUT</v>
          </cell>
          <cell r="M208">
            <v>1</v>
          </cell>
        </row>
        <row r="209">
          <cell r="A209" t="str">
            <v>F-2026-03-339</v>
          </cell>
          <cell r="B209" t="str">
            <v>RPRO-260320-0668</v>
          </cell>
          <cell r="C209" t="str">
            <v>BDB-000058</v>
          </cell>
          <cell r="D209" t="str">
            <v>PVN-001277</v>
          </cell>
          <cell r="E209" t="str">
            <v>OrthoLite Ultra GREEN/16-5932TPX Flat Sheet 0.085D 25+/-4 Asker C 1.1M 2M 4mm</v>
          </cell>
          <cell r="F209">
            <v>210</v>
          </cell>
          <cell r="G209">
            <v>210</v>
          </cell>
          <cell r="H209">
            <v>210</v>
          </cell>
          <cell r="I209">
            <v>0</v>
          </cell>
          <cell r="J209"/>
          <cell r="K209" t="str">
            <v>MPS</v>
          </cell>
          <cell r="L209" t="str">
            <v>SPLITTING</v>
          </cell>
          <cell r="M209">
            <v>2</v>
          </cell>
        </row>
        <row r="210">
          <cell r="A210" t="str">
            <v>F-2026-03-340</v>
          </cell>
          <cell r="B210" t="str">
            <v>RPRO-260320-0669</v>
          </cell>
          <cell r="C210" t="str">
            <v>BDB-000353</v>
          </cell>
          <cell r="D210" t="str">
            <v>PVN-004219</v>
          </cell>
          <cell r="E210" t="str">
            <v>OrthoLite Regular SEEDPEARL/12-0703TPX Flat Sheet 0.13D 35+/-4 Asker C 1.1M 1.47M 4mm</v>
          </cell>
          <cell r="F210">
            <v>280</v>
          </cell>
          <cell r="G210">
            <v>280</v>
          </cell>
          <cell r="H210">
            <v>280</v>
          </cell>
          <cell r="I210">
            <v>0</v>
          </cell>
          <cell r="J210"/>
          <cell r="K210" t="str">
            <v>MPS</v>
          </cell>
          <cell r="L210" t="str">
            <v>SPLITTING</v>
          </cell>
          <cell r="M210">
            <v>2</v>
          </cell>
        </row>
        <row r="211">
          <cell r="A211" t="str">
            <v>F-2026-03-341</v>
          </cell>
          <cell r="B211" t="str">
            <v>RPRO-260320-0670</v>
          </cell>
          <cell r="C211" t="str">
            <v>BDB-000162</v>
          </cell>
          <cell r="D211" t="str">
            <v>PVN-001566</v>
          </cell>
          <cell r="E211" t="str">
            <v>OrthoLite Ultra-Nike SEEDPEARL/12-0703TPX Flat Sheet 0.085D 25+/-4 Asker C 1.1M 2M 4mm</v>
          </cell>
          <cell r="F211">
            <v>245</v>
          </cell>
          <cell r="G211">
            <v>245</v>
          </cell>
          <cell r="H211">
            <v>245</v>
          </cell>
          <cell r="I211">
            <v>0</v>
          </cell>
          <cell r="J211" t="str">
            <v>NIKE</v>
          </cell>
          <cell r="K211" t="str">
            <v>Pr.Sch.R</v>
          </cell>
          <cell r="L211" t="str">
            <v>DIE CUT</v>
          </cell>
          <cell r="M211">
            <v>1</v>
          </cell>
        </row>
        <row r="212">
          <cell r="A212" t="str">
            <v>F-2026-03-343</v>
          </cell>
          <cell r="B212" t="str">
            <v>RPRO-260320-0672</v>
          </cell>
          <cell r="C212" t="str">
            <v>BDB-000346</v>
          </cell>
          <cell r="D212" t="str">
            <v>PVN-004188</v>
          </cell>
          <cell r="E212" t="str">
            <v>OrthoLite Float NEUTRAL GRAY/17-4402TPX Flat Sheet 0.12D 21+/-4 Asker C 1.1M 1.47M 5.5mm</v>
          </cell>
          <cell r="F212">
            <v>25</v>
          </cell>
          <cell r="G212">
            <v>25</v>
          </cell>
          <cell r="H212">
            <v>25</v>
          </cell>
          <cell r="I212">
            <v>0</v>
          </cell>
          <cell r="J212" t="str">
            <v>PUMA</v>
          </cell>
          <cell r="K212" t="str">
            <v>Pr.Sch.R</v>
          </cell>
          <cell r="L212" t="str">
            <v>MOLDED</v>
          </cell>
          <cell r="M212">
            <v>1</v>
          </cell>
        </row>
        <row r="213">
          <cell r="A213" t="str">
            <v>F-2026-03-345</v>
          </cell>
          <cell r="B213" t="str">
            <v>RPRO-260320-0674</v>
          </cell>
          <cell r="C213" t="str">
            <v>BDB-000363</v>
          </cell>
          <cell r="D213" t="str">
            <v>PVN-004260</v>
          </cell>
          <cell r="E213" t="str">
            <v>OrthoLite HybridPlus-Recycled MINT GREEN/11-4805TPX Hybrid Flat Sheet 0.12D 35+/-4 Asker C 1.1M 2M 5.5mm</v>
          </cell>
          <cell r="F213">
            <v>175</v>
          </cell>
          <cell r="G213">
            <v>175</v>
          </cell>
          <cell r="H213">
            <v>175</v>
          </cell>
          <cell r="I213">
            <v>0</v>
          </cell>
          <cell r="J213" t="str">
            <v>ON RUNNING</v>
          </cell>
          <cell r="K213" t="str">
            <v>Pr.Sch.R</v>
          </cell>
          <cell r="L213" t="str">
            <v>MOLDED</v>
          </cell>
          <cell r="M213">
            <v>1</v>
          </cell>
        </row>
        <row r="214">
          <cell r="A214" t="str">
            <v>F-2026-03-346</v>
          </cell>
          <cell r="B214" t="str">
            <v>RPRO-260320-0675</v>
          </cell>
          <cell r="C214" t="str">
            <v>BDB-000273</v>
          </cell>
          <cell r="D214" t="str">
            <v>PVN-004138</v>
          </cell>
          <cell r="E214" t="str">
            <v>OrthoLite X-40-Hybrid SEEDPEARL/12-0703TPX Hybrid Flat Sheet 0.16D 25+/-4 Asker C 1.1M 2M 5.5mm</v>
          </cell>
          <cell r="F214">
            <v>1375</v>
          </cell>
          <cell r="G214">
            <v>1375</v>
          </cell>
          <cell r="H214">
            <v>1375</v>
          </cell>
          <cell r="I214">
            <v>0</v>
          </cell>
          <cell r="J214" t="str">
            <v>ON RUNNING</v>
          </cell>
          <cell r="K214" t="str">
            <v>Pr.Sch.R</v>
          </cell>
          <cell r="L214" t="str">
            <v>MOLDED</v>
          </cell>
          <cell r="M214">
            <v>1</v>
          </cell>
        </row>
        <row r="215">
          <cell r="A215" t="str">
            <v>F-2026-03-348</v>
          </cell>
          <cell r="B215" t="str">
            <v>RPRO-260320-0677</v>
          </cell>
          <cell r="C215" t="str">
            <v>BDB-000229</v>
          </cell>
          <cell r="D215" t="str">
            <v>PVN-003878</v>
          </cell>
          <cell r="E215" t="str">
            <v>OrthoLite Ultra-Hybrid SEEDPEARL/12-0703TPX Hybrid Flat Sheet 0.095D 33+/-4 Asker C 1.1M 2M 4mm</v>
          </cell>
          <cell r="F215">
            <v>35</v>
          </cell>
          <cell r="G215">
            <v>35</v>
          </cell>
          <cell r="H215">
            <v>35</v>
          </cell>
          <cell r="I215">
            <v>0</v>
          </cell>
          <cell r="J215" t="str">
            <v>ON RUNNING</v>
          </cell>
          <cell r="K215" t="str">
            <v>Pr.Sch.R</v>
          </cell>
          <cell r="L215" t="str">
            <v>DIE CUT</v>
          </cell>
          <cell r="M215">
            <v>1</v>
          </cell>
        </row>
        <row r="216">
          <cell r="A216" t="str">
            <v>F-2026-03-349</v>
          </cell>
          <cell r="B216" t="str">
            <v>RPRO-260320-0678</v>
          </cell>
          <cell r="C216" t="str">
            <v>BDB-000355</v>
          </cell>
          <cell r="D216" t="str">
            <v>PVN-004231</v>
          </cell>
          <cell r="E216" t="str">
            <v>OrthoLite HybridPlus-Recycled CASTLEROCK/18-0201TPX Hybrid Flat Sheet 0.12D 25+/-4 Asker C 1.1M 2M 4.5mm</v>
          </cell>
          <cell r="F216">
            <v>1736</v>
          </cell>
          <cell r="G216">
            <v>1736</v>
          </cell>
          <cell r="H216">
            <v>1736</v>
          </cell>
          <cell r="I216">
            <v>0</v>
          </cell>
          <cell r="J216" t="str">
            <v>ON RUNNING</v>
          </cell>
          <cell r="K216" t="str">
            <v>Pr.Sch.R</v>
          </cell>
          <cell r="L216" t="str">
            <v>MOLDED</v>
          </cell>
          <cell r="M216">
            <v>1</v>
          </cell>
        </row>
        <row r="217">
          <cell r="A217" t="str">
            <v>F-2026-03-350</v>
          </cell>
          <cell r="B217" t="str">
            <v>RPRO-260320-0679</v>
          </cell>
          <cell r="C217" t="str">
            <v>BDB-000076</v>
          </cell>
          <cell r="D217" t="str">
            <v>PVN-004091</v>
          </cell>
          <cell r="E217" t="str">
            <v>OrthoLite X-25 BILLIARD/16-5427TPX Flat Sheet 0.12D 20+/-4 Asker C 1.1M 2M 3.5mm</v>
          </cell>
          <cell r="F217">
            <v>320</v>
          </cell>
          <cell r="G217">
            <v>320</v>
          </cell>
          <cell r="H217">
            <v>320</v>
          </cell>
          <cell r="I217">
            <v>0</v>
          </cell>
          <cell r="J217" t="str">
            <v>BROOKS</v>
          </cell>
          <cell r="K217" t="str">
            <v>Pr.Sch.R</v>
          </cell>
          <cell r="L217" t="str">
            <v>MOLDED</v>
          </cell>
          <cell r="M217">
            <v>1</v>
          </cell>
        </row>
        <row r="218">
          <cell r="A218" t="str">
            <v>F-2026-03-353</v>
          </cell>
          <cell r="B218" t="str">
            <v>RPRO-260320-0682</v>
          </cell>
          <cell r="C218" t="str">
            <v>BDB-000077</v>
          </cell>
          <cell r="D218" t="str">
            <v>PVN-004147</v>
          </cell>
          <cell r="E218" t="str">
            <v>OrthoLite X-25 SEEDPEARL/12-0703TPX Flat Sheet 0.12D 20+/-4 Asker C 1.1M 2M 5.5mm</v>
          </cell>
          <cell r="F218">
            <v>150</v>
          </cell>
          <cell r="G218">
            <v>150</v>
          </cell>
          <cell r="H218">
            <v>150</v>
          </cell>
          <cell r="I218">
            <v>0</v>
          </cell>
          <cell r="J218" t="str">
            <v>ON RUNNING</v>
          </cell>
          <cell r="K218" t="str">
            <v>Pr.Sch.R</v>
          </cell>
          <cell r="L218" t="str">
            <v>MOLDED</v>
          </cell>
          <cell r="M218">
            <v>1</v>
          </cell>
        </row>
        <row r="219">
          <cell r="A219" t="str">
            <v>F-2026-03-355</v>
          </cell>
          <cell r="B219" t="str">
            <v>RPRO-260320-0684</v>
          </cell>
          <cell r="C219" t="str">
            <v>BDB-000319</v>
          </cell>
          <cell r="D219" t="str">
            <v>PVN-004081</v>
          </cell>
          <cell r="E219" t="str">
            <v>OrthoLite X-40-Hybrid-Nike SEEDPEARL/12-0703TPX Hybrid Flat Sheet 0.16D 25+/-4 Asker C 1.1M 2M 6mm</v>
          </cell>
          <cell r="F219">
            <v>138</v>
          </cell>
          <cell r="G219">
            <v>138</v>
          </cell>
          <cell r="H219">
            <v>138</v>
          </cell>
          <cell r="I219">
            <v>0</v>
          </cell>
          <cell r="J219" t="str">
            <v>NIKE</v>
          </cell>
          <cell r="K219" t="str">
            <v>Pr.Sch.R</v>
          </cell>
          <cell r="L219" t="str">
            <v>MOLDED</v>
          </cell>
          <cell r="M219">
            <v>1</v>
          </cell>
        </row>
        <row r="220">
          <cell r="A220" t="str">
            <v>F-2026-03-357</v>
          </cell>
          <cell r="B220" t="str">
            <v>FPRO-260318-0001</v>
          </cell>
          <cell r="C220" t="str">
            <v>BDB-000011</v>
          </cell>
          <cell r="D220" t="str">
            <v>PVN-000121</v>
          </cell>
          <cell r="E220" t="str">
            <v>OrthoLite Regular AIR BLUE/16-4134TPX Flat Sheet 0.13D 35+/-4 Asker C 1.1M 2M 12mm</v>
          </cell>
          <cell r="F220">
            <v>500</v>
          </cell>
          <cell r="G220">
            <v>500</v>
          </cell>
          <cell r="H220">
            <v>500</v>
          </cell>
          <cell r="I220">
            <v>0</v>
          </cell>
          <cell r="J220" t="str">
            <v>ASICS</v>
          </cell>
          <cell r="K220" t="str">
            <v>Forecast</v>
          </cell>
          <cell r="L220" t="str">
            <v>MOLDED</v>
          </cell>
          <cell r="M220" t="str">
            <v>1-RM-WIP</v>
          </cell>
        </row>
        <row r="221">
          <cell r="A221" t="str">
            <v>F-2026-03-358-1</v>
          </cell>
          <cell r="B221" t="str">
            <v>FPRO-260318-0002</v>
          </cell>
          <cell r="C221" t="str">
            <v>BDB-000011</v>
          </cell>
          <cell r="D221" t="str">
            <v>PVN-000242</v>
          </cell>
          <cell r="E221" t="str">
            <v>OrthoLite Regular AIR BLUE/16-4134TPX Flat Sheet 0.13D 35+/-4 Asker C 1.1M 2M 2mm</v>
          </cell>
          <cell r="F221">
            <v>1000</v>
          </cell>
          <cell r="G221">
            <v>500</v>
          </cell>
          <cell r="H221">
            <v>0</v>
          </cell>
          <cell r="I221">
            <v>500</v>
          </cell>
          <cell r="J221" t="str">
            <v>ASICS</v>
          </cell>
          <cell r="K221" t="str">
            <v>Forecast</v>
          </cell>
          <cell r="L221" t="str">
            <v>SPLITTING</v>
          </cell>
          <cell r="M221">
            <v>2</v>
          </cell>
        </row>
        <row r="222">
          <cell r="A222" t="str">
            <v>F-2026-03-358-2</v>
          </cell>
          <cell r="B222" t="str">
            <v>FPRO-260507-0004</v>
          </cell>
          <cell r="C222" t="str">
            <v>BDB-000011</v>
          </cell>
          <cell r="D222" t="str">
            <v>PVN-000242</v>
          </cell>
          <cell r="E222" t="str">
            <v>OrthoLite Regular AIR BLUE/16-4134TPX Flat Sheet 0.13D 35+/-4 Asker C 1.1M 2M 2mm</v>
          </cell>
          <cell r="F222">
            <v>1000</v>
          </cell>
          <cell r="G222">
            <v>500</v>
          </cell>
          <cell r="H222">
            <v>0</v>
          </cell>
          <cell r="I222">
            <v>500</v>
          </cell>
          <cell r="J222" t="str">
            <v>ASICS</v>
          </cell>
          <cell r="K222" t="str">
            <v>Forecast</v>
          </cell>
          <cell r="L222" t="str">
            <v>SPLITTING</v>
          </cell>
          <cell r="M222">
            <v>2</v>
          </cell>
        </row>
        <row r="223">
          <cell r="A223" t="str">
            <v>F-2026-03-359</v>
          </cell>
          <cell r="B223" t="str">
            <v>FPRO-260318-0003</v>
          </cell>
          <cell r="C223" t="str">
            <v>BDB-000011</v>
          </cell>
          <cell r="D223" t="str">
            <v>PVN-000242</v>
          </cell>
          <cell r="E223" t="str">
            <v>OrthoLite Regular AIR BLUE/16-4134TPX Flat Sheet 0.13D 35+/-4 Asker C 1.1M 2M 2mm</v>
          </cell>
          <cell r="F223">
            <v>1000</v>
          </cell>
          <cell r="G223">
            <v>1000</v>
          </cell>
          <cell r="H223">
            <v>0</v>
          </cell>
          <cell r="I223">
            <v>1000</v>
          </cell>
          <cell r="J223" t="str">
            <v>ASICS</v>
          </cell>
          <cell r="K223" t="str">
            <v>Forecast</v>
          </cell>
          <cell r="L223" t="str">
            <v>SPLITTING</v>
          </cell>
          <cell r="M223">
            <v>2</v>
          </cell>
        </row>
        <row r="224">
          <cell r="A224" t="str">
            <v>F-2026-03-360</v>
          </cell>
          <cell r="B224" t="str">
            <v>FPRO-260318-0004</v>
          </cell>
          <cell r="C224" t="str">
            <v>BDB-000011</v>
          </cell>
          <cell r="D224" t="str">
            <v>PVN-000242</v>
          </cell>
          <cell r="E224" t="str">
            <v>OrthoLite Regular AIR BLUE/16-4134TPX Flat Sheet 0.13D 35+/-4 Asker C 1.1M 2M 2mm</v>
          </cell>
          <cell r="F224">
            <v>500</v>
          </cell>
          <cell r="G224">
            <v>500</v>
          </cell>
          <cell r="H224">
            <v>0</v>
          </cell>
          <cell r="I224">
            <v>500</v>
          </cell>
          <cell r="J224" t="str">
            <v>ASICS</v>
          </cell>
          <cell r="K224" t="str">
            <v>Forecast</v>
          </cell>
          <cell r="L224" t="str">
            <v>SPLITTING</v>
          </cell>
          <cell r="M224">
            <v>2</v>
          </cell>
        </row>
        <row r="225">
          <cell r="A225" t="str">
            <v>F-2026-03-361-1</v>
          </cell>
          <cell r="B225" t="str">
            <v>FPRO-260318-0005</v>
          </cell>
          <cell r="C225" t="str">
            <v>BDB-000008</v>
          </cell>
          <cell r="D225" t="str">
            <v>PVN-000505</v>
          </cell>
          <cell r="E225" t="str">
            <v>OrthoLite Regular LIME GREEN/14-0452TPX Flat Sheet 0.11D 25+/-4 Asker C 1.1M 2M 12mm</v>
          </cell>
          <cell r="F225">
            <v>500</v>
          </cell>
          <cell r="G225">
            <v>200</v>
          </cell>
          <cell r="H225">
            <v>200</v>
          </cell>
          <cell r="I225">
            <v>0</v>
          </cell>
          <cell r="J225" t="str">
            <v>ASICS</v>
          </cell>
          <cell r="K225" t="str">
            <v>Forecast</v>
          </cell>
          <cell r="L225" t="str">
            <v>MOLDED</v>
          </cell>
          <cell r="M225" t="str">
            <v>1-RM-WIP</v>
          </cell>
        </row>
        <row r="226">
          <cell r="A226" t="str">
            <v>F-2026-03-361-2</v>
          </cell>
          <cell r="B226" t="str">
            <v>FPRO-260330-0005</v>
          </cell>
          <cell r="C226" t="str">
            <v>BDB-000008</v>
          </cell>
          <cell r="D226" t="str">
            <v>PVN-000505</v>
          </cell>
          <cell r="E226" t="str">
            <v>OrthoLite Regular LIME GREEN/14-0452TPX Flat Sheet 0.11D 25+/-4 Asker C 1.1M 2M 12mm</v>
          </cell>
          <cell r="F226">
            <v>500</v>
          </cell>
          <cell r="G226">
            <v>300</v>
          </cell>
          <cell r="H226">
            <v>300</v>
          </cell>
          <cell r="I226">
            <v>0</v>
          </cell>
          <cell r="J226" t="str">
            <v>ASICS</v>
          </cell>
          <cell r="K226" t="str">
            <v>Forecast</v>
          </cell>
          <cell r="L226" t="str">
            <v>MOLDED</v>
          </cell>
          <cell r="M226" t="str">
            <v>1-RM-WIP</v>
          </cell>
        </row>
        <row r="227">
          <cell r="A227" t="str">
            <v>F-2026-03-363</v>
          </cell>
          <cell r="B227" t="str">
            <v>FPRO-260318-0007</v>
          </cell>
          <cell r="C227" t="str">
            <v>BDB-000057</v>
          </cell>
          <cell r="D227" t="str">
            <v>PVN-000925</v>
          </cell>
          <cell r="E227" t="str">
            <v>OrthoLite Ultra YELLOW/13-0858TPX Flat Sheet 0.085D 25+/-4 Asker C 1.1M 2M 5mm</v>
          </cell>
          <cell r="F227">
            <v>500</v>
          </cell>
          <cell r="G227">
            <v>500</v>
          </cell>
          <cell r="H227">
            <v>500</v>
          </cell>
          <cell r="I227">
            <v>0</v>
          </cell>
          <cell r="J227" t="str">
            <v>ASICS</v>
          </cell>
          <cell r="K227" t="str">
            <v>Forecast</v>
          </cell>
          <cell r="L227" t="str">
            <v>LAMINATING</v>
          </cell>
          <cell r="M227">
            <v>1</v>
          </cell>
        </row>
        <row r="228">
          <cell r="A228" t="str">
            <v>F-2026-03-364-1</v>
          </cell>
          <cell r="B228" t="str">
            <v>FPRO-260318-0008</v>
          </cell>
          <cell r="C228" t="str">
            <v>BDB-000113</v>
          </cell>
          <cell r="D228" t="str">
            <v>PVN-002465</v>
          </cell>
          <cell r="E228" t="str">
            <v>OrthoLite Regular-Hybrid SEEDPEARL/12-0703TPX Hybrid Flat Sheet 0.11D 25+/-4 Asker C 1.1M 2M 5mm</v>
          </cell>
          <cell r="F228">
            <v>2500</v>
          </cell>
          <cell r="G228">
            <v>1636</v>
          </cell>
          <cell r="H228">
            <v>1636</v>
          </cell>
          <cell r="I228">
            <v>0</v>
          </cell>
          <cell r="J228" t="str">
            <v>ASICS</v>
          </cell>
          <cell r="K228" t="str">
            <v>Forecast</v>
          </cell>
          <cell r="L228" t="str">
            <v>DIE CUT</v>
          </cell>
          <cell r="M228">
            <v>1</v>
          </cell>
        </row>
        <row r="229">
          <cell r="A229" t="str">
            <v>F-2026-03-364-2</v>
          </cell>
          <cell r="B229" t="str">
            <v>FPRO-260318-0008</v>
          </cell>
          <cell r="C229" t="str">
            <v>BDB-000113</v>
          </cell>
          <cell r="D229" t="str">
            <v>PVN-002465</v>
          </cell>
          <cell r="E229" t="str">
            <v>OrthoLite Regular-Hybrid SEEDPEARL/12-0703TPX Hybrid Flat Sheet 0.11D 25+/-4 Asker C 1.1M 2M 5mm</v>
          </cell>
          <cell r="F229">
            <v>2500</v>
          </cell>
          <cell r="G229">
            <v>2500</v>
          </cell>
          <cell r="H229">
            <v>720</v>
          </cell>
          <cell r="I229">
            <v>864</v>
          </cell>
          <cell r="J229" t="str">
            <v>ASICS</v>
          </cell>
          <cell r="K229" t="str">
            <v>Forecast</v>
          </cell>
          <cell r="L229" t="str">
            <v>DIE CUT</v>
          </cell>
          <cell r="M229">
            <v>1</v>
          </cell>
        </row>
        <row r="230">
          <cell r="A230" t="str">
            <v>F-2026-03-365</v>
          </cell>
          <cell r="B230" t="str">
            <v>FPRO-260318-0009</v>
          </cell>
          <cell r="C230" t="str">
            <v>BDB-000113</v>
          </cell>
          <cell r="D230" t="str">
            <v>PVN-002465</v>
          </cell>
          <cell r="E230" t="str">
            <v>OrthoLite Regular-Hybrid SEEDPEARL/12-0703TPX Hybrid Flat Sheet 0.11D 25+/-4 Asker C 1.1M 2M 5mm</v>
          </cell>
          <cell r="F230">
            <v>2500</v>
          </cell>
          <cell r="G230">
            <v>2500</v>
          </cell>
          <cell r="H230">
            <v>2500</v>
          </cell>
          <cell r="I230">
            <v>0</v>
          </cell>
          <cell r="J230" t="str">
            <v>ASICS</v>
          </cell>
          <cell r="K230" t="str">
            <v>Forecast</v>
          </cell>
          <cell r="L230" t="str">
            <v>DIE CUT</v>
          </cell>
          <cell r="M230" t="str">
            <v>1-SLT</v>
          </cell>
        </row>
        <row r="231">
          <cell r="A231" t="str">
            <v>F-2026-03-367</v>
          </cell>
          <cell r="B231" t="str">
            <v>FPRO-260318-0011</v>
          </cell>
          <cell r="C231" t="str">
            <v>BDB-000113</v>
          </cell>
          <cell r="D231" t="str">
            <v>PVN-002465</v>
          </cell>
          <cell r="E231" t="str">
            <v>OrthoLite Regular-Hybrid SEEDPEARL/12-0703TPX Hybrid Flat Sheet 0.11D 25+/-4 Asker C 1.1M 2M 5mm</v>
          </cell>
          <cell r="F231">
            <v>2500</v>
          </cell>
          <cell r="G231">
            <v>2500</v>
          </cell>
          <cell r="H231">
            <v>2500</v>
          </cell>
          <cell r="I231">
            <v>0</v>
          </cell>
          <cell r="J231" t="str">
            <v>ASICS</v>
          </cell>
          <cell r="K231" t="str">
            <v>Forecast</v>
          </cell>
          <cell r="L231" t="str">
            <v>DIE CUT</v>
          </cell>
          <cell r="M231" t="str">
            <v>1-SLT</v>
          </cell>
        </row>
        <row r="232">
          <cell r="A232" t="str">
            <v>F-2026-03-369</v>
          </cell>
          <cell r="B232" t="str">
            <v>FPRO-260318-0013</v>
          </cell>
          <cell r="C232" t="str">
            <v>BDB-000113</v>
          </cell>
          <cell r="D232" t="str">
            <v>PVN-002465</v>
          </cell>
          <cell r="E232" t="str">
            <v>OrthoLite Regular-Hybrid SEEDPEARL/12-0703TPX Hybrid Flat Sheet 0.11D 25+/-4 Asker C 1.1M 2M 5mm</v>
          </cell>
          <cell r="F232">
            <v>2000</v>
          </cell>
          <cell r="G232">
            <v>2000</v>
          </cell>
          <cell r="H232">
            <v>0</v>
          </cell>
          <cell r="I232">
            <v>2000</v>
          </cell>
          <cell r="J232" t="str">
            <v>ASICS</v>
          </cell>
          <cell r="K232" t="str">
            <v>Forecast</v>
          </cell>
          <cell r="L232" t="str">
            <v>DIE CUT</v>
          </cell>
          <cell r="M232">
            <v>1</v>
          </cell>
        </row>
        <row r="233">
          <cell r="A233" t="str">
            <v>F-2026-03-370</v>
          </cell>
          <cell r="B233" t="str">
            <v>FPRO-260318-0014</v>
          </cell>
          <cell r="C233" t="str">
            <v>BDB-000051</v>
          </cell>
          <cell r="D233" t="str">
            <v>PVN-003319</v>
          </cell>
          <cell r="E233" t="str">
            <v>OrthoLite X-40 TRUE BLUE/19-4057TPX Flat Sheet 0.16D 25+/-4 Asker C 1.1M 1.7M 12mm</v>
          </cell>
          <cell r="F233">
            <v>300</v>
          </cell>
          <cell r="G233">
            <v>300</v>
          </cell>
          <cell r="H233">
            <v>300</v>
          </cell>
          <cell r="I233">
            <v>0</v>
          </cell>
          <cell r="J233" t="str">
            <v>ASICS</v>
          </cell>
          <cell r="K233" t="str">
            <v>Forecast</v>
          </cell>
          <cell r="L233" t="str">
            <v>MOLDED</v>
          </cell>
          <cell r="M233" t="str">
            <v>1-RM-WIP</v>
          </cell>
        </row>
        <row r="234">
          <cell r="A234" t="str">
            <v>F-2026-03-371</v>
          </cell>
          <cell r="B234" t="str">
            <v>FPRO-260318-0015</v>
          </cell>
          <cell r="C234" t="str">
            <v>BDB-000051</v>
          </cell>
          <cell r="D234" t="str">
            <v>PVN-003319</v>
          </cell>
          <cell r="E234" t="str">
            <v>OrthoLite X-40 TRUE BLUE/19-4057TPX Flat Sheet 0.16D 25+/-4 Asker C 1.1M 1.7M 12mm</v>
          </cell>
          <cell r="F234">
            <v>300</v>
          </cell>
          <cell r="G234">
            <v>300</v>
          </cell>
          <cell r="H234">
            <v>300</v>
          </cell>
          <cell r="I234">
            <v>0</v>
          </cell>
          <cell r="J234" t="str">
            <v>ASICS</v>
          </cell>
          <cell r="K234" t="str">
            <v>Forecast</v>
          </cell>
          <cell r="L234" t="str">
            <v>MOLDED</v>
          </cell>
          <cell r="M234" t="str">
            <v>1-RM-WIP</v>
          </cell>
        </row>
        <row r="235">
          <cell r="A235" t="str">
            <v>F-2026-03-372</v>
          </cell>
          <cell r="B235" t="str">
            <v>FPRO-260318-0016</v>
          </cell>
          <cell r="C235" t="str">
            <v>BDB-000051</v>
          </cell>
          <cell r="D235" t="str">
            <v>PVN-003319</v>
          </cell>
          <cell r="E235" t="str">
            <v>OrthoLite X-40 TRUE BLUE/19-4057TPX Flat Sheet 0.16D 25+/-4 Asker C 1.1M 1.7M 12mm</v>
          </cell>
          <cell r="F235">
            <v>300</v>
          </cell>
          <cell r="G235">
            <v>300</v>
          </cell>
          <cell r="H235">
            <v>300</v>
          </cell>
          <cell r="I235">
            <v>0</v>
          </cell>
          <cell r="J235" t="str">
            <v>ASICS</v>
          </cell>
          <cell r="K235" t="str">
            <v>Forecast</v>
          </cell>
          <cell r="L235" t="str">
            <v>MOLDED</v>
          </cell>
          <cell r="M235" t="str">
            <v>1-RM-WIP</v>
          </cell>
        </row>
        <row r="236">
          <cell r="A236" t="str">
            <v>F-2026-03-374-1</v>
          </cell>
          <cell r="B236" t="str">
            <v>FPRO-260318-0018</v>
          </cell>
          <cell r="C236" t="str">
            <v>BDB-000113</v>
          </cell>
          <cell r="D236" t="str">
            <v>PVN-003414</v>
          </cell>
          <cell r="E236" t="str">
            <v>OrthoLite Regular-Hybrid SEEDPEARL/12-0703TPX Hybrid Flat Sheet 0.11D 25+/-4 Asker C 1.1M 2M 12mm</v>
          </cell>
          <cell r="F236">
            <v>2500</v>
          </cell>
          <cell r="G236">
            <v>1900</v>
          </cell>
          <cell r="H236">
            <v>0</v>
          </cell>
          <cell r="I236">
            <v>1900</v>
          </cell>
          <cell r="J236" t="str">
            <v>ASICS</v>
          </cell>
          <cell r="K236" t="str">
            <v>Forecast</v>
          </cell>
          <cell r="L236" t="str">
            <v>MOLDED</v>
          </cell>
          <cell r="M236" t="str">
            <v>1-RM-WIP</v>
          </cell>
        </row>
        <row r="237">
          <cell r="A237" t="str">
            <v>F-2026-03-374-2</v>
          </cell>
          <cell r="B237" t="str">
            <v>FPRO-260318-0018</v>
          </cell>
          <cell r="C237" t="str">
            <v>BDB-000113</v>
          </cell>
          <cell r="D237" t="str">
            <v>PVN-003414</v>
          </cell>
          <cell r="E237" t="str">
            <v>OrthoLite Regular-Hybrid SEEDPEARL/12-0703TPX Hybrid Flat Sheet 0.11D 25+/-4 Asker C 1.1M 2M 12mm</v>
          </cell>
          <cell r="F237">
            <v>2500</v>
          </cell>
          <cell r="G237">
            <v>600</v>
          </cell>
          <cell r="H237">
            <v>0</v>
          </cell>
          <cell r="I237">
            <v>600</v>
          </cell>
          <cell r="J237" t="str">
            <v>ASICS</v>
          </cell>
          <cell r="K237" t="str">
            <v>Forecast</v>
          </cell>
          <cell r="L237" t="str">
            <v>MOLDED</v>
          </cell>
          <cell r="M237" t="str">
            <v>1-RM-WIP</v>
          </cell>
        </row>
        <row r="238">
          <cell r="A238" t="str">
            <v>F-2026-03-376</v>
          </cell>
          <cell r="B238" t="str">
            <v>FPRO-260318-0020</v>
          </cell>
          <cell r="C238" t="str">
            <v>BDB-000113</v>
          </cell>
          <cell r="D238" t="str">
            <v>PVN-003414</v>
          </cell>
          <cell r="E238" t="str">
            <v>OrthoLite Regular-Hybrid SEEDPEARL/12-0703TPX Hybrid Flat Sheet 0.11D 25+/-4 Asker C 1.1M 2M 12mm</v>
          </cell>
          <cell r="F238">
            <v>2500</v>
          </cell>
          <cell r="G238">
            <v>2500</v>
          </cell>
          <cell r="H238">
            <v>0</v>
          </cell>
          <cell r="I238">
            <v>2500</v>
          </cell>
          <cell r="J238" t="str">
            <v>ASICS</v>
          </cell>
          <cell r="K238" t="str">
            <v>Forecast</v>
          </cell>
          <cell r="L238" t="str">
            <v>MOLDED</v>
          </cell>
          <cell r="M238" t="str">
            <v>1-RM-WIP</v>
          </cell>
        </row>
        <row r="239">
          <cell r="A239" t="str">
            <v>F-2026-03-380-1</v>
          </cell>
          <cell r="B239" t="str">
            <v>FPRO-260318-0024</v>
          </cell>
          <cell r="C239" t="str">
            <v>BDB-000113</v>
          </cell>
          <cell r="D239" t="str">
            <v>PVN-003414</v>
          </cell>
          <cell r="E239" t="str">
            <v>OrthoLite Regular-Hybrid SEEDPEARL/12-0703TPX Hybrid Flat Sheet 0.11D 25+/-4 Asker C 1.1M 2M 12mm</v>
          </cell>
          <cell r="F239">
            <v>2500</v>
          </cell>
          <cell r="G239">
            <v>1032</v>
          </cell>
          <cell r="H239">
            <v>1032</v>
          </cell>
          <cell r="I239">
            <v>0</v>
          </cell>
          <cell r="J239" t="str">
            <v>ASICS</v>
          </cell>
          <cell r="K239" t="str">
            <v>Forecast</v>
          </cell>
          <cell r="L239" t="str">
            <v>MOLDED</v>
          </cell>
          <cell r="M239" t="str">
            <v>1-RM-WIP</v>
          </cell>
        </row>
        <row r="240">
          <cell r="A240" t="str">
            <v>F-2026-03-380-2</v>
          </cell>
          <cell r="B240" t="str">
            <v>FPRO-260318-0024</v>
          </cell>
          <cell r="C240" t="str">
            <v>BDB-000113</v>
          </cell>
          <cell r="D240" t="str">
            <v>PVN-003414</v>
          </cell>
          <cell r="E240" t="str">
            <v>OrthoLite Regular-Hybrid SEEDPEARL/12-0703TPX Hybrid Flat Sheet 0.11D 25+/-4 Asker C 1.1M 2M 12mm</v>
          </cell>
          <cell r="F240">
            <v>2500</v>
          </cell>
          <cell r="G240">
            <v>1318</v>
          </cell>
          <cell r="H240">
            <v>1318</v>
          </cell>
          <cell r="I240">
            <v>0</v>
          </cell>
          <cell r="J240" t="str">
            <v>ASICS</v>
          </cell>
          <cell r="K240" t="str">
            <v>Forecast</v>
          </cell>
          <cell r="L240" t="str">
            <v>MOLDED</v>
          </cell>
          <cell r="M240" t="str">
            <v>1-RM-WIP</v>
          </cell>
        </row>
        <row r="241">
          <cell r="A241" t="str">
            <v>F-2026-03-380-3</v>
          </cell>
          <cell r="B241" t="str">
            <v>FPRO-260318-0024</v>
          </cell>
          <cell r="C241" t="str">
            <v>BDB-000113</v>
          </cell>
          <cell r="D241" t="str">
            <v>PVN-003414</v>
          </cell>
          <cell r="E241" t="str">
            <v>OrthoLite Regular-Hybrid SEEDPEARL/12-0703TPX Hybrid Flat Sheet 0.11D 25+/-4 Asker C 1.1M 2M 12mm</v>
          </cell>
          <cell r="F241">
            <v>2500</v>
          </cell>
          <cell r="G241">
            <v>150</v>
          </cell>
          <cell r="H241">
            <v>150</v>
          </cell>
          <cell r="I241">
            <v>0</v>
          </cell>
          <cell r="J241" t="str">
            <v>ASICS</v>
          </cell>
          <cell r="K241" t="str">
            <v>Forecast</v>
          </cell>
          <cell r="L241" t="str">
            <v>MOLDED</v>
          </cell>
          <cell r="M241" t="str">
            <v>1-RM-WIP</v>
          </cell>
        </row>
        <row r="242">
          <cell r="A242" t="str">
            <v>F-2026-03-381</v>
          </cell>
          <cell r="B242" t="str">
            <v>FPRO-260318-0025</v>
          </cell>
          <cell r="C242" t="str">
            <v>BDB-000113</v>
          </cell>
          <cell r="D242" t="str">
            <v>PVN-003414</v>
          </cell>
          <cell r="E242" t="str">
            <v>OrthoLite Regular-Hybrid SEEDPEARL/12-0703TPX Hybrid Flat Sheet 0.11D 25+/-4 Asker C 1.1M 2M 12mm</v>
          </cell>
          <cell r="F242">
            <v>2500</v>
          </cell>
          <cell r="G242">
            <v>2500</v>
          </cell>
          <cell r="H242">
            <v>2500</v>
          </cell>
          <cell r="I242">
            <v>0</v>
          </cell>
          <cell r="J242" t="str">
            <v>ASICS</v>
          </cell>
          <cell r="K242" t="str">
            <v>Forecast</v>
          </cell>
          <cell r="L242" t="str">
            <v>MOLDED</v>
          </cell>
          <cell r="M242" t="str">
            <v>Giao 1000pcs SLT, 1500pcs RM</v>
          </cell>
        </row>
        <row r="243">
          <cell r="A243" t="str">
            <v>F-2026-03-382</v>
          </cell>
          <cell r="B243" t="str">
            <v>FPRO-260318-0026</v>
          </cell>
          <cell r="C243" t="str">
            <v>BDB-000235</v>
          </cell>
          <cell r="D243" t="str">
            <v>PVN-003576</v>
          </cell>
          <cell r="E243" t="str">
            <v>OrthoLite X-55-Hybrid FOSSIL/17-0909TPX Hybrid Flat Sheet 0.16D 25+/-4 Asker C 1.1M 1.7M 12mm</v>
          </cell>
          <cell r="F243">
            <v>2000</v>
          </cell>
          <cell r="G243">
            <v>2000</v>
          </cell>
          <cell r="H243">
            <v>2000</v>
          </cell>
          <cell r="I243">
            <v>0</v>
          </cell>
          <cell r="J243" t="str">
            <v>ASICS</v>
          </cell>
          <cell r="K243" t="str">
            <v>Forecast</v>
          </cell>
          <cell r="L243" t="str">
            <v>MOLDED</v>
          </cell>
          <cell r="M243" t="str">
            <v>1-RM-WIP</v>
          </cell>
        </row>
        <row r="244">
          <cell r="A244" t="str">
            <v>F-2026-03-383</v>
          </cell>
          <cell r="B244" t="str">
            <v>FPRO-260318-0027</v>
          </cell>
          <cell r="C244" t="str">
            <v>BDB-000235</v>
          </cell>
          <cell r="D244" t="str">
            <v>PVN-003576</v>
          </cell>
          <cell r="E244" t="str">
            <v>OrthoLite X-55-Hybrid FOSSIL/17-0909TPX Hybrid Flat Sheet 0.16D 25+/-4 Asker C 1.1M 1.7M 12mm</v>
          </cell>
          <cell r="F244">
            <v>2000</v>
          </cell>
          <cell r="G244">
            <v>2000</v>
          </cell>
          <cell r="H244">
            <v>2000</v>
          </cell>
          <cell r="I244">
            <v>0</v>
          </cell>
          <cell r="J244" t="str">
            <v>ASICS</v>
          </cell>
          <cell r="K244" t="str">
            <v>Forecast</v>
          </cell>
          <cell r="L244" t="str">
            <v>MOLDED</v>
          </cell>
          <cell r="M244" t="str">
            <v>1-RM-WIP</v>
          </cell>
        </row>
        <row r="245">
          <cell r="A245" t="str">
            <v>F-2026-03-385</v>
          </cell>
          <cell r="B245" t="str">
            <v>FPRO-260318-0029</v>
          </cell>
          <cell r="C245" t="str">
            <v>BDB-000234</v>
          </cell>
          <cell r="D245" t="str">
            <v>PVN-003581</v>
          </cell>
          <cell r="E245" t="str">
            <v>OrthoLite X-30-Hybrid BROWN SUGAR/17-1134TPX Hybrid Flat Sheet 0.13D 25+/-4 Asker C 1.1M 2M 12mm</v>
          </cell>
          <cell r="F245">
            <v>1000</v>
          </cell>
          <cell r="G245">
            <v>1000</v>
          </cell>
          <cell r="H245">
            <v>1000</v>
          </cell>
          <cell r="I245">
            <v>0</v>
          </cell>
          <cell r="J245" t="str">
            <v>ASICS</v>
          </cell>
          <cell r="K245" t="str">
            <v>Forecast</v>
          </cell>
          <cell r="L245" t="str">
            <v>MOLDED</v>
          </cell>
          <cell r="M245" t="str">
            <v>1-RM-WIP</v>
          </cell>
        </row>
        <row r="246">
          <cell r="A246" t="str">
            <v>F-2026-03-386</v>
          </cell>
          <cell r="B246" t="str">
            <v>FPRO-260318-0030</v>
          </cell>
          <cell r="C246" t="str">
            <v>BDB-000234</v>
          </cell>
          <cell r="D246" t="str">
            <v>PVN-003581</v>
          </cell>
          <cell r="E246" t="str">
            <v>OrthoLite X-30-Hybrid BROWN SUGAR/17-1134TPX Hybrid Flat Sheet 0.13D 25+/-4 Asker C 1.1M 2M 12mm</v>
          </cell>
          <cell r="F246">
            <v>1000</v>
          </cell>
          <cell r="G246">
            <v>1000</v>
          </cell>
          <cell r="H246">
            <v>0</v>
          </cell>
          <cell r="I246">
            <v>1000</v>
          </cell>
          <cell r="J246" t="str">
            <v>ASICS</v>
          </cell>
          <cell r="K246" t="str">
            <v>Forecast</v>
          </cell>
          <cell r="L246" t="str">
            <v>MOLDED</v>
          </cell>
          <cell r="M246" t="str">
            <v>1-RM-WIP</v>
          </cell>
        </row>
        <row r="247">
          <cell r="A247" t="str">
            <v>F-2026-03-387</v>
          </cell>
          <cell r="B247" t="str">
            <v>FPRO-260318-0031</v>
          </cell>
          <cell r="C247" t="str">
            <v>BDB-000234</v>
          </cell>
          <cell r="D247" t="str">
            <v>PVN-003581</v>
          </cell>
          <cell r="E247" t="str">
            <v>OrthoLite X-30-Hybrid BROWN SUGAR/17-1134TPX Hybrid Flat Sheet 0.13D 25+/-4 Asker C 1.1M 2M 12mm</v>
          </cell>
          <cell r="F247">
            <v>1000</v>
          </cell>
          <cell r="G247">
            <v>1000</v>
          </cell>
          <cell r="H247">
            <v>0</v>
          </cell>
          <cell r="I247">
            <v>1000</v>
          </cell>
          <cell r="J247" t="str">
            <v>ASICS</v>
          </cell>
          <cell r="K247" t="str">
            <v>Forecast</v>
          </cell>
          <cell r="L247" t="str">
            <v>MOLDED</v>
          </cell>
          <cell r="M247" t="str">
            <v>1-RM-WIP</v>
          </cell>
        </row>
        <row r="248">
          <cell r="A248" t="str">
            <v>F-2026-03-388</v>
          </cell>
          <cell r="B248" t="str">
            <v>FPRO-260318-0032</v>
          </cell>
          <cell r="C248" t="str">
            <v>BDB-000234</v>
          </cell>
          <cell r="D248" t="str">
            <v>PVN-003581</v>
          </cell>
          <cell r="E248" t="str">
            <v>OrthoLite X-30-Hybrid BROWN SUGAR/17-1134TPX Hybrid Flat Sheet 0.13D 25+/-4 Asker C 1.1M 2M 12mm</v>
          </cell>
          <cell r="F248">
            <v>700</v>
          </cell>
          <cell r="G248">
            <v>700</v>
          </cell>
          <cell r="H248">
            <v>582</v>
          </cell>
          <cell r="I248">
            <v>118</v>
          </cell>
          <cell r="J248" t="str">
            <v>ASICS</v>
          </cell>
          <cell r="K248" t="str">
            <v>Forecast</v>
          </cell>
          <cell r="L248" t="str">
            <v>MOLDED</v>
          </cell>
          <cell r="M248" t="str">
            <v>1-SLT-WIP</v>
          </cell>
        </row>
        <row r="249">
          <cell r="A249" t="str">
            <v>F-2026-03-389</v>
          </cell>
          <cell r="B249" t="str">
            <v>FPRO-260318-0033</v>
          </cell>
          <cell r="C249" t="str">
            <v>BDB-000052</v>
          </cell>
          <cell r="D249" t="str">
            <v>PVN-003603</v>
          </cell>
          <cell r="E249" t="str">
            <v>OrthoLite X-40 TRUE BLUE/19-4057TPX Flat Sheet 0.16D 25+/-4 Asker C 1.1M 1.47M 12mm</v>
          </cell>
          <cell r="F249">
            <v>400</v>
          </cell>
          <cell r="G249">
            <v>400</v>
          </cell>
          <cell r="H249">
            <v>400</v>
          </cell>
          <cell r="I249">
            <v>0</v>
          </cell>
          <cell r="J249" t="str">
            <v>ASICS</v>
          </cell>
          <cell r="K249" t="str">
            <v>Forecast</v>
          </cell>
          <cell r="L249" t="str">
            <v>MOLDED</v>
          </cell>
          <cell r="M249" t="str">
            <v>1-RM-WIP</v>
          </cell>
        </row>
        <row r="250">
          <cell r="A250" t="str">
            <v>F-2026-03-390</v>
          </cell>
          <cell r="B250" t="str">
            <v>FPRO-260318-0034</v>
          </cell>
          <cell r="C250" t="str">
            <v>BDB-000052</v>
          </cell>
          <cell r="D250" t="str">
            <v>PVN-003603</v>
          </cell>
          <cell r="E250" t="str">
            <v>OrthoLite X-40 TRUE BLUE/19-4057TPX Flat Sheet 0.16D 25+/-4 Asker C 1.1M 1.47M 12mm</v>
          </cell>
          <cell r="F250">
            <v>400</v>
          </cell>
          <cell r="G250">
            <v>400</v>
          </cell>
          <cell r="H250">
            <v>400</v>
          </cell>
          <cell r="I250">
            <v>0</v>
          </cell>
          <cell r="J250" t="str">
            <v>ASICS</v>
          </cell>
          <cell r="K250" t="str">
            <v>Forecast</v>
          </cell>
          <cell r="L250" t="str">
            <v>MOLDED</v>
          </cell>
          <cell r="M250" t="str">
            <v>1-RM-WIP</v>
          </cell>
        </row>
        <row r="251">
          <cell r="A251" t="str">
            <v>F-2026-03-391</v>
          </cell>
          <cell r="B251" t="str">
            <v>FPRO-260319-0001</v>
          </cell>
          <cell r="C251" t="str">
            <v>BDB-000113</v>
          </cell>
          <cell r="D251" t="str">
            <v>PVN-003414</v>
          </cell>
          <cell r="E251" t="str">
            <v>OrthoLite Regular-Hybrid SEEDPEARL/12-0703TPX Hybrid Flat Sheet 0.11D 25+/-4 Asker C 1.1M 2M 12mm</v>
          </cell>
          <cell r="F251">
            <v>2500</v>
          </cell>
          <cell r="G251">
            <v>2500</v>
          </cell>
          <cell r="H251">
            <v>2500</v>
          </cell>
          <cell r="I251">
            <v>0</v>
          </cell>
          <cell r="J251" t="str">
            <v>ASICS</v>
          </cell>
          <cell r="K251" t="str">
            <v>Forecast</v>
          </cell>
          <cell r="L251" t="str">
            <v>MOLDED</v>
          </cell>
          <cell r="M251" t="str">
            <v>1-SLT</v>
          </cell>
        </row>
        <row r="252">
          <cell r="A252" t="str">
            <v>F-2026-03-393</v>
          </cell>
          <cell r="B252" t="str">
            <v>FPRO-260319-0003</v>
          </cell>
          <cell r="C252" t="str">
            <v>BDB-000234</v>
          </cell>
          <cell r="D252" t="str">
            <v>PVN-003581</v>
          </cell>
          <cell r="E252" t="str">
            <v>OrthoLite X-30-Hybrid BROWN SUGAR/17-1134TPX Hybrid Flat Sheet 0.13D 25+/-4 Asker C 1.1M 2M 12mm</v>
          </cell>
          <cell r="F252">
            <v>1000</v>
          </cell>
          <cell r="G252">
            <v>1000</v>
          </cell>
          <cell r="H252">
            <v>1000</v>
          </cell>
          <cell r="I252">
            <v>0</v>
          </cell>
          <cell r="J252" t="str">
            <v>ASICS</v>
          </cell>
          <cell r="K252" t="str">
            <v>Forecast</v>
          </cell>
          <cell r="L252" t="str">
            <v>MOLDED</v>
          </cell>
          <cell r="M252" t="str">
            <v>1-SLT</v>
          </cell>
        </row>
        <row r="253">
          <cell r="A253" t="str">
            <v>F-2026-03-394</v>
          </cell>
          <cell r="B253" t="str">
            <v>FPRO-260319-0004</v>
          </cell>
          <cell r="C253" t="str">
            <v>BDB-000234</v>
          </cell>
          <cell r="D253" t="str">
            <v>PVN-003581</v>
          </cell>
          <cell r="E253" t="str">
            <v>OrthoLite X-30-Hybrid BROWN SUGAR/17-1134TPX Hybrid Flat Sheet 0.13D 25+/-4 Asker C 1.1M 2M 12mm</v>
          </cell>
          <cell r="F253">
            <v>320</v>
          </cell>
          <cell r="G253">
            <v>320</v>
          </cell>
          <cell r="H253">
            <v>320</v>
          </cell>
          <cell r="I253">
            <v>0</v>
          </cell>
          <cell r="J253" t="str">
            <v>ASICS</v>
          </cell>
          <cell r="K253" t="str">
            <v>Forecast</v>
          </cell>
          <cell r="L253" t="str">
            <v>MOLDED</v>
          </cell>
          <cell r="M253" t="str">
            <v>1-RM-WIP</v>
          </cell>
        </row>
        <row r="254">
          <cell r="A254" t="str">
            <v>F-2026-03-396</v>
          </cell>
          <cell r="B254" t="str">
            <v>FPRO-260319-0006</v>
          </cell>
          <cell r="C254" t="str">
            <v>BDB-000113</v>
          </cell>
          <cell r="D254" t="str">
            <v>PVN-002465</v>
          </cell>
          <cell r="E254" t="str">
            <v>OrthoLite Regular-Hybrid SEEDPEARL/12-0703TPX Hybrid Flat Sheet 0.11D 25+/-4 Asker C 1.1M 2M 5mm</v>
          </cell>
          <cell r="F254">
            <v>3000</v>
          </cell>
          <cell r="G254">
            <v>3000</v>
          </cell>
          <cell r="H254">
            <v>3000</v>
          </cell>
          <cell r="I254">
            <v>0</v>
          </cell>
          <cell r="J254" t="str">
            <v>ASICS</v>
          </cell>
          <cell r="K254" t="str">
            <v>Forecast</v>
          </cell>
          <cell r="L254" t="str">
            <v>DIE CUT</v>
          </cell>
          <cell r="M254" t="str">
            <v>1-SLT</v>
          </cell>
        </row>
        <row r="255">
          <cell r="A255" t="str">
            <v>OIN-2026.03.17-01</v>
          </cell>
          <cell r="B255" t="str">
            <v>RPRO-260323-0194</v>
          </cell>
          <cell r="C255" t="str">
            <v>BDB-000097</v>
          </cell>
          <cell r="D255" t="str">
            <v>PVN-003977</v>
          </cell>
          <cell r="E255" t="str">
            <v>[116-3829] Eco Lite Hybrid 25+/-4 Asker C 0.11D Seedpearl 12-0703 Tpx 1.10M X 2.00M 47mm</v>
          </cell>
          <cell r="F255">
            <v>43</v>
          </cell>
          <cell r="G255">
            <v>43</v>
          </cell>
          <cell r="H255">
            <v>43</v>
          </cell>
          <cell r="I255">
            <v>0</v>
          </cell>
          <cell r="J255" t="str">
            <v>Geox</v>
          </cell>
          <cell r="K255" t="str">
            <v>PO-6900-SO-260319-0555</v>
          </cell>
          <cell r="L255" t="str">
            <v>FLAT SHEET</v>
          </cell>
          <cell r="M255">
            <v>2</v>
          </cell>
        </row>
        <row r="256">
          <cell r="A256" t="str">
            <v>OIN-2026.03.17-02</v>
          </cell>
          <cell r="B256" t="str">
            <v>RPRO-260323-0195</v>
          </cell>
          <cell r="C256" t="str">
            <v>BDB-000102</v>
          </cell>
          <cell r="D256" t="str">
            <v>PVN-003821</v>
          </cell>
          <cell r="E256" t="str">
            <v>[118-467] Eco Lite Hybrid 35+/-4 Asker C 0.13D Lime Green 14-0452 Tpx 1.10M X 2.00M 47mm</v>
          </cell>
          <cell r="F256">
            <v>21</v>
          </cell>
          <cell r="G256">
            <v>21</v>
          </cell>
          <cell r="H256">
            <v>21</v>
          </cell>
          <cell r="I256">
            <v>0</v>
          </cell>
          <cell r="J256" t="str">
            <v>Geox</v>
          </cell>
          <cell r="K256" t="str">
            <v>PO-6900-SO-260319-0556</v>
          </cell>
          <cell r="L256" t="str">
            <v>FLAT SHEET</v>
          </cell>
          <cell r="M256">
            <v>2</v>
          </cell>
        </row>
        <row r="257">
          <cell r="A257" t="str">
            <v>OIN-2026.03.18-01</v>
          </cell>
          <cell r="B257" t="str">
            <v>RPRO-260323-0191</v>
          </cell>
          <cell r="C257" t="str">
            <v>BDB-000078</v>
          </cell>
          <cell r="D257" t="str">
            <v>PVN-003912</v>
          </cell>
          <cell r="E257" t="str">
            <v>[116-1517] X 30 25+/-4 Asker C 0.13D Red 19-1764 Tpx 1.10M X 2.00M 47mm</v>
          </cell>
          <cell r="F257">
            <v>106</v>
          </cell>
          <cell r="G257">
            <v>106</v>
          </cell>
          <cell r="H257">
            <v>106</v>
          </cell>
          <cell r="I257">
            <v>0</v>
          </cell>
          <cell r="J257" t="str">
            <v>BATA</v>
          </cell>
          <cell r="K257" t="str">
            <v>PO-6915-SO-260319-0552</v>
          </cell>
          <cell r="L257" t="str">
            <v>FLAT SHEET</v>
          </cell>
          <cell r="M257">
            <v>2</v>
          </cell>
        </row>
        <row r="258">
          <cell r="A258" t="str">
            <v>OIN-2026.03.18-02</v>
          </cell>
          <cell r="B258" t="str">
            <v>RPRO-260323-0192</v>
          </cell>
          <cell r="C258" t="str">
            <v>BDB-000001</v>
          </cell>
          <cell r="D258" t="str">
            <v>PVN-003935</v>
          </cell>
          <cell r="E258" t="str">
            <v>[116-205] Regular 15+/-4 Asker C 0.11D Burnt Sienna 17-1544 Tpx 1.10M X 2.00M 47mm</v>
          </cell>
          <cell r="F258">
            <v>26</v>
          </cell>
          <cell r="G258">
            <v>26</v>
          </cell>
          <cell r="H258">
            <v>26</v>
          </cell>
          <cell r="I258">
            <v>0</v>
          </cell>
          <cell r="J258" t="str">
            <v>CLARKS</v>
          </cell>
          <cell r="K258" t="str">
            <v>PO-6915-SO-260319-0553</v>
          </cell>
          <cell r="L258" t="str">
            <v>FLAT SHEET</v>
          </cell>
          <cell r="M258">
            <v>2</v>
          </cell>
        </row>
        <row r="259">
          <cell r="A259" t="str">
            <v>OIN-2026.03.18-03</v>
          </cell>
          <cell r="B259" t="str">
            <v>RPRO-260323-0193</v>
          </cell>
          <cell r="C259" t="str">
            <v>BDB-000025</v>
          </cell>
          <cell r="D259" t="str">
            <v>PVN-003785</v>
          </cell>
          <cell r="E259" t="str">
            <v>[116-247] Regular 25+/-4 Asker C 0.11D Green 16-5932 Tpx 1.10M X 2.00M 47mm</v>
          </cell>
          <cell r="F259">
            <v>13</v>
          </cell>
          <cell r="G259">
            <v>13</v>
          </cell>
          <cell r="H259">
            <v>13</v>
          </cell>
          <cell r="I259">
            <v>0</v>
          </cell>
          <cell r="J259" t="str">
            <v>CLARKS</v>
          </cell>
          <cell r="K259" t="str">
            <v>PO-6915-SO-260319-0554</v>
          </cell>
          <cell r="L259" t="str">
            <v>FLAT SHEET</v>
          </cell>
          <cell r="M259">
            <v>2</v>
          </cell>
        </row>
        <row r="260">
          <cell r="A260" t="str">
            <v>OIN-2026.03.18-04</v>
          </cell>
          <cell r="B260" t="str">
            <v>RPRO-260323-0197</v>
          </cell>
          <cell r="C260" t="str">
            <v>BDB-000020</v>
          </cell>
          <cell r="D260" t="str">
            <v>PVN-004180</v>
          </cell>
          <cell r="E260" t="str">
            <v>[116-013] Regular 35+/-4 Asker C 0.13D Red 19-1764 Tpx 1.10M X 2.00M 12.5mm</v>
          </cell>
          <cell r="F260">
            <v>190</v>
          </cell>
          <cell r="G260">
            <v>190</v>
          </cell>
          <cell r="H260">
            <v>190</v>
          </cell>
          <cell r="I260">
            <v>0</v>
          </cell>
          <cell r="J260" t="str">
            <v>HUGO BOSS</v>
          </cell>
          <cell r="K260" t="str">
            <v>PO-6915-SO-260320-0124</v>
          </cell>
          <cell r="L260" t="str">
            <v>FLAT SHEET</v>
          </cell>
          <cell r="M260">
            <v>2</v>
          </cell>
        </row>
        <row r="261">
          <cell r="A261" t="str">
            <v>F-2026-03-397</v>
          </cell>
          <cell r="B261" t="str">
            <v>RPRO-260323-0428</v>
          </cell>
          <cell r="C261" t="str">
            <v>BDB-000067</v>
          </cell>
          <cell r="D261" t="str">
            <v>PVN-004301</v>
          </cell>
          <cell r="E261" t="str">
            <v>OrthoLite Ultra SEEDPEARL/12-0703TPX 0.085D 25+/-4 Asker C 1.1M 2M 2mm</v>
          </cell>
          <cell r="F261">
            <v>140</v>
          </cell>
          <cell r="G261">
            <v>140</v>
          </cell>
          <cell r="H261">
            <v>140</v>
          </cell>
          <cell r="I261">
            <v>0</v>
          </cell>
          <cell r="J261"/>
          <cell r="K261" t="str">
            <v>MPS</v>
          </cell>
          <cell r="L261" t="str">
            <v>SPLITTING</v>
          </cell>
          <cell r="M261">
            <v>2</v>
          </cell>
        </row>
        <row r="262">
          <cell r="A262" t="str">
            <v>F-2026-03-398</v>
          </cell>
          <cell r="B262" t="str">
            <v>RPRO-260323-0429</v>
          </cell>
          <cell r="C262" t="str">
            <v>BDB-000016</v>
          </cell>
          <cell r="D262" t="str">
            <v>PVN-000458</v>
          </cell>
          <cell r="E262" t="str">
            <v>OrthoLite Regular GREEN/16-5932TPX Flat Sheet 0.13D 35+/-4 Asker C 1.1M 2M 3mm</v>
          </cell>
          <cell r="F262">
            <v>230</v>
          </cell>
          <cell r="G262">
            <v>230</v>
          </cell>
          <cell r="H262">
            <v>230</v>
          </cell>
          <cell r="I262">
            <v>0</v>
          </cell>
          <cell r="J262"/>
          <cell r="K262" t="str">
            <v>MPS</v>
          </cell>
          <cell r="L262" t="str">
            <v>SPLITTING</v>
          </cell>
          <cell r="M262">
            <v>2</v>
          </cell>
        </row>
        <row r="263">
          <cell r="A263" t="str">
            <v>F-2026-03-399</v>
          </cell>
          <cell r="B263" t="str">
            <v>RPRO-260323-0430</v>
          </cell>
          <cell r="C263" t="str">
            <v>BDB-000123</v>
          </cell>
          <cell r="D263" t="str">
            <v>PVN-003300</v>
          </cell>
          <cell r="E263" t="str">
            <v>OrthoLite Ultra-Hybrid SEEDPEARL/12-0703TPX Hybrid Flat Sheet 0.085D 25+/-4 Asker C 1.1M 2M 2mm</v>
          </cell>
          <cell r="F263">
            <v>70</v>
          </cell>
          <cell r="G263">
            <v>70</v>
          </cell>
          <cell r="H263">
            <v>70</v>
          </cell>
          <cell r="I263">
            <v>0</v>
          </cell>
          <cell r="J263"/>
          <cell r="K263" t="str">
            <v>MPS</v>
          </cell>
          <cell r="L263" t="str">
            <v>SPLITTING</v>
          </cell>
          <cell r="M263">
            <v>2</v>
          </cell>
        </row>
        <row r="264">
          <cell r="A264" t="str">
            <v>F-2026-03-400</v>
          </cell>
          <cell r="B264" t="str">
            <v>RPRO-260323-0431</v>
          </cell>
          <cell r="C264" t="str">
            <v>BDB-000305</v>
          </cell>
          <cell r="D264" t="str">
            <v>PVN-004000</v>
          </cell>
          <cell r="E264" t="str">
            <v>OrthoLite X-35-Nike YELLOW/13-0858TPX Flat Sheet 0.145D 25+/-4 Asker C 1.1M 2M 5.5mm</v>
          </cell>
          <cell r="F264">
            <v>50</v>
          </cell>
          <cell r="G264">
            <v>50</v>
          </cell>
          <cell r="H264">
            <v>50</v>
          </cell>
          <cell r="I264">
            <v>0</v>
          </cell>
          <cell r="J264"/>
          <cell r="K264" t="str">
            <v>MPS</v>
          </cell>
          <cell r="L264" t="str">
            <v>SPLITTING</v>
          </cell>
          <cell r="M264">
            <v>2</v>
          </cell>
        </row>
        <row r="265">
          <cell r="A265" t="str">
            <v>F-2026-03-401</v>
          </cell>
          <cell r="B265" t="str">
            <v>RPRO-260323-0432</v>
          </cell>
          <cell r="C265" t="str">
            <v>BDB-000348</v>
          </cell>
          <cell r="D265" t="str">
            <v>PVN-004210</v>
          </cell>
          <cell r="E265" t="str">
            <v>OrthoLite IMPERIAL SEEDPEARL/12-0703TPX Flat Sheet 0.22D 25+/-4 Asker C 1.1M 1.47M 5mm</v>
          </cell>
          <cell r="F265">
            <v>168</v>
          </cell>
          <cell r="G265">
            <v>168</v>
          </cell>
          <cell r="H265">
            <v>168</v>
          </cell>
          <cell r="I265">
            <v>0</v>
          </cell>
          <cell r="J265"/>
          <cell r="K265" t="str">
            <v>MPS</v>
          </cell>
          <cell r="L265" t="str">
            <v>SPLITTING</v>
          </cell>
          <cell r="M265">
            <v>2</v>
          </cell>
        </row>
        <row r="266">
          <cell r="A266" t="str">
            <v>F-2026-03-402</v>
          </cell>
          <cell r="B266" t="str">
            <v>RPRO-260323-0433</v>
          </cell>
          <cell r="C266" t="str">
            <v>BDB-000057</v>
          </cell>
          <cell r="D266" t="str">
            <v>PVN-001236</v>
          </cell>
          <cell r="E266" t="str">
            <v>OrthoLite Ultra YELLOW/13-0858TPX 0.085D 25+/-4 Asker C 1.1M 2M 3.5mm</v>
          </cell>
          <cell r="F266">
            <v>7</v>
          </cell>
          <cell r="G266">
            <v>7</v>
          </cell>
          <cell r="H266">
            <v>7</v>
          </cell>
          <cell r="I266">
            <v>0</v>
          </cell>
          <cell r="J266"/>
          <cell r="K266" t="str">
            <v>MPS</v>
          </cell>
          <cell r="L266" t="str">
            <v>SPLITTING</v>
          </cell>
          <cell r="M266">
            <v>2</v>
          </cell>
        </row>
        <row r="267">
          <cell r="A267" t="str">
            <v>F-2026-03-403</v>
          </cell>
          <cell r="B267" t="str">
            <v>RPRO-260323-0434</v>
          </cell>
          <cell r="C267" t="str">
            <v>BDB-000129</v>
          </cell>
          <cell r="D267" t="str">
            <v>PVN-001550</v>
          </cell>
          <cell r="E267" t="str">
            <v>OrthoLite Regular-Nike AIR BLUE/16-4134TPX Flat Sheet 0.11D 25+/-4 Asker C 1.1M 1.7M 2mm</v>
          </cell>
          <cell r="F267">
            <v>350</v>
          </cell>
          <cell r="G267">
            <v>350</v>
          </cell>
          <cell r="H267">
            <v>350</v>
          </cell>
          <cell r="I267">
            <v>0</v>
          </cell>
          <cell r="J267" t="str">
            <v>NIKE</v>
          </cell>
          <cell r="K267" t="str">
            <v>Pr.Sch.R</v>
          </cell>
          <cell r="L267" t="str">
            <v>LAMINATING</v>
          </cell>
          <cell r="M267">
            <v>1</v>
          </cell>
        </row>
        <row r="268">
          <cell r="A268" t="str">
            <v>F-2026-03-404</v>
          </cell>
          <cell r="B268" t="str">
            <v>RPRO-260323-0435</v>
          </cell>
          <cell r="C268" t="str">
            <v>BDB-000162</v>
          </cell>
          <cell r="D268" t="str">
            <v>PVN-001566</v>
          </cell>
          <cell r="E268" t="str">
            <v>OrthoLite Ultra-Nike SEEDPEARL/12-0703TPX Flat Sheet 0.085D 25+/-4 Asker C 1.1M 2M 4mm</v>
          </cell>
          <cell r="F268">
            <v>1295</v>
          </cell>
          <cell r="G268">
            <v>1295</v>
          </cell>
          <cell r="H268">
            <v>1295</v>
          </cell>
          <cell r="I268">
            <v>0</v>
          </cell>
          <cell r="J268" t="str">
            <v>NIKE</v>
          </cell>
          <cell r="K268" t="str">
            <v>Pr.Sch.R</v>
          </cell>
          <cell r="L268" t="str">
            <v>DIE CUT</v>
          </cell>
          <cell r="M268">
            <v>1</v>
          </cell>
        </row>
        <row r="269">
          <cell r="A269" t="str">
            <v>F-2026-03-405</v>
          </cell>
          <cell r="B269" t="str">
            <v>RPRO-260323-0436</v>
          </cell>
          <cell r="C269" t="str">
            <v>BDB-000336</v>
          </cell>
          <cell r="D269" t="str">
            <v>PVN-004168</v>
          </cell>
          <cell r="E269" t="str">
            <v>OrthoLite X-40-Nike SEEDPEARL/12-0703TPX Flat Sheet 0.16D 35+/-4 Asker C 1.1M 2M 4.5mm</v>
          </cell>
          <cell r="F269">
            <v>31</v>
          </cell>
          <cell r="G269">
            <v>31</v>
          </cell>
          <cell r="H269">
            <v>31</v>
          </cell>
          <cell r="I269">
            <v>0</v>
          </cell>
          <cell r="J269" t="str">
            <v>NIKE</v>
          </cell>
          <cell r="K269" t="str">
            <v>Pr.Sch.R</v>
          </cell>
          <cell r="L269" t="str">
            <v>MOLDED</v>
          </cell>
          <cell r="M269">
            <v>1</v>
          </cell>
        </row>
        <row r="270">
          <cell r="A270" t="str">
            <v>F-2026-03-406</v>
          </cell>
          <cell r="B270" t="str">
            <v>RPRO-260323-0437</v>
          </cell>
          <cell r="C270" t="str">
            <v>BDB-000123</v>
          </cell>
          <cell r="D270" t="str">
            <v>PVN-002539</v>
          </cell>
          <cell r="E270" t="str">
            <v>OrthoLite Ultra-Hybrid SEEDPEARL/12-0703TPX Hybrid Flat Sheet 0.085D 25+/-4 Asker C 1.1M 2M 5mm</v>
          </cell>
          <cell r="F270">
            <v>28</v>
          </cell>
          <cell r="G270">
            <v>28</v>
          </cell>
          <cell r="H270">
            <v>28</v>
          </cell>
          <cell r="I270">
            <v>0</v>
          </cell>
          <cell r="J270" t="str">
            <v>BROOKS</v>
          </cell>
          <cell r="K270" t="str">
            <v>Pr.Sch.R</v>
          </cell>
          <cell r="L270" t="str">
            <v>DIE CUT</v>
          </cell>
          <cell r="M270">
            <v>1</v>
          </cell>
        </row>
        <row r="271">
          <cell r="A271" t="str">
            <v>F-2026-03-407</v>
          </cell>
          <cell r="B271" t="str">
            <v>RPRO-260323-0438</v>
          </cell>
          <cell r="C271" t="str">
            <v>BDB-000126</v>
          </cell>
          <cell r="D271" t="str">
            <v>PVN-002325</v>
          </cell>
          <cell r="E271" t="str">
            <v>OrthoLite Regular-Nike RED/19-1764TPX Flat Sheet 0.11D 25+/-4 Asker C 1.1M 2M 5.2mm</v>
          </cell>
          <cell r="F271">
            <v>26</v>
          </cell>
          <cell r="G271">
            <v>26</v>
          </cell>
          <cell r="H271">
            <v>26</v>
          </cell>
          <cell r="I271">
            <v>0</v>
          </cell>
          <cell r="J271" t="str">
            <v>NIKE</v>
          </cell>
          <cell r="K271" t="str">
            <v>Pr.Sch.R</v>
          </cell>
          <cell r="L271" t="str">
            <v>MOLDED</v>
          </cell>
          <cell r="M271">
            <v>1</v>
          </cell>
        </row>
        <row r="272">
          <cell r="A272" t="str">
            <v>F-2026-03-408</v>
          </cell>
          <cell r="B272" t="str">
            <v>RPRO-260323-0439</v>
          </cell>
          <cell r="C272" t="str">
            <v>BDB-000125</v>
          </cell>
          <cell r="D272" t="str">
            <v>PVN-002413</v>
          </cell>
          <cell r="E272" t="str">
            <v>OrthoLite Regular-Nike AIR BLUE/16-4134TPX Flat Sheet 0.11D 25+/-4 Asker C 1.1M 2M 4.2mm</v>
          </cell>
          <cell r="F272">
            <v>660</v>
          </cell>
          <cell r="G272">
            <v>660</v>
          </cell>
          <cell r="H272">
            <v>660</v>
          </cell>
          <cell r="I272">
            <v>0</v>
          </cell>
          <cell r="J272" t="str">
            <v>NIKE</v>
          </cell>
          <cell r="K272" t="str">
            <v>Pr.Sch.R</v>
          </cell>
          <cell r="L272" t="str">
            <v>MOLDED</v>
          </cell>
          <cell r="M272">
            <v>1</v>
          </cell>
        </row>
        <row r="273">
          <cell r="A273" t="str">
            <v>F-2026-03-410</v>
          </cell>
          <cell r="B273" t="str">
            <v>RPRO-260323-0441</v>
          </cell>
          <cell r="C273" t="str">
            <v>BDB-000113</v>
          </cell>
          <cell r="D273" t="str">
            <v>PVN-002515</v>
          </cell>
          <cell r="E273" t="str">
            <v>OrthoLite Regular-Hybrid SEEDPEARL/12-0703TPX Hybrid Flat Sheet 0.11D 25+/-4 Asker C 1.1M 2M 11mm</v>
          </cell>
          <cell r="F273">
            <v>12</v>
          </cell>
          <cell r="G273">
            <v>12</v>
          </cell>
          <cell r="H273">
            <v>12</v>
          </cell>
          <cell r="I273">
            <v>0</v>
          </cell>
          <cell r="J273" t="str">
            <v>ASICS</v>
          </cell>
          <cell r="K273" t="str">
            <v>Pr.Sch.R</v>
          </cell>
          <cell r="L273" t="str">
            <v>MOLDED</v>
          </cell>
          <cell r="M273">
            <v>1</v>
          </cell>
        </row>
        <row r="274">
          <cell r="A274" t="str">
            <v>F-2026-03-411</v>
          </cell>
          <cell r="B274" t="str">
            <v>RPRO-260323-0442</v>
          </cell>
          <cell r="C274" t="str">
            <v>BDB-000156</v>
          </cell>
          <cell r="D274" t="str">
            <v>PVN-003243</v>
          </cell>
          <cell r="E274" t="str">
            <v>OrthoLite X-35-Hybrid-Nike AMAZON/18-6024TPX Hybrid Flat Sheet 0.145D 25+/-4 Asker C 1.1M 2M 5.2mm</v>
          </cell>
          <cell r="F274">
            <v>26</v>
          </cell>
          <cell r="G274">
            <v>26</v>
          </cell>
          <cell r="H274">
            <v>26</v>
          </cell>
          <cell r="I274">
            <v>0</v>
          </cell>
          <cell r="J274" t="str">
            <v>NIKE</v>
          </cell>
          <cell r="K274" t="str">
            <v>Pr.Sch.R</v>
          </cell>
          <cell r="L274" t="str">
            <v>MOLDED</v>
          </cell>
          <cell r="M274">
            <v>1</v>
          </cell>
        </row>
        <row r="275">
          <cell r="A275" t="str">
            <v>F-2026-03-412</v>
          </cell>
          <cell r="B275" t="str">
            <v>RPRO-260323-0443</v>
          </cell>
          <cell r="C275" t="str">
            <v>BDB-000046</v>
          </cell>
          <cell r="D275" t="str">
            <v>PVN-000448</v>
          </cell>
          <cell r="E275" t="str">
            <v>OrthoLite Regular RED/19-1764TPX Flat Sheet 0.13D 35+/-4 Asker C 1.1M 1.47M 4mm</v>
          </cell>
          <cell r="F275">
            <v>70</v>
          </cell>
          <cell r="G275">
            <v>70</v>
          </cell>
          <cell r="H275">
            <v>70</v>
          </cell>
          <cell r="I275">
            <v>0</v>
          </cell>
          <cell r="J275" t="str">
            <v>REEBOK</v>
          </cell>
          <cell r="K275" t="str">
            <v>Pr.Sch.R</v>
          </cell>
          <cell r="L275" t="str">
            <v>DIE CUT</v>
          </cell>
          <cell r="M275">
            <v>1</v>
          </cell>
        </row>
        <row r="276">
          <cell r="A276" t="str">
            <v>F-2026-03-414</v>
          </cell>
          <cell r="B276" t="str">
            <v>RPRO-260323-0445</v>
          </cell>
          <cell r="C276" t="str">
            <v>BDB-000057</v>
          </cell>
          <cell r="D276" t="str">
            <v>PVN-001126</v>
          </cell>
          <cell r="E276" t="str">
            <v>OrthoLite Ultra YELLOW/13-0858TPX Flat Sheet 0.085D 25+/-4 Asker C 1.1M 2M 11mm</v>
          </cell>
          <cell r="F276">
            <v>12</v>
          </cell>
          <cell r="G276">
            <v>12</v>
          </cell>
          <cell r="H276">
            <v>12</v>
          </cell>
          <cell r="I276">
            <v>0</v>
          </cell>
          <cell r="J276" t="str">
            <v>GARMONT</v>
          </cell>
          <cell r="K276" t="str">
            <v>Pr.Sch.R</v>
          </cell>
          <cell r="L276" t="str">
            <v>MOLDED</v>
          </cell>
          <cell r="M276">
            <v>1</v>
          </cell>
        </row>
        <row r="277">
          <cell r="A277" t="str">
            <v>F-2026-03-415</v>
          </cell>
          <cell r="B277" t="str">
            <v>RPRO-260323-0446</v>
          </cell>
          <cell r="C277" t="str">
            <v>BDB-000266</v>
          </cell>
          <cell r="D277" t="str">
            <v>PVN-003732</v>
          </cell>
          <cell r="E277" t="str">
            <v>OrthoLite Regular BLACK/19-4007TPX Flat Sheet 0.15D 45+/-4 Asker C 1.1M 1.7M 2mm</v>
          </cell>
          <cell r="F277">
            <v>70</v>
          </cell>
          <cell r="G277">
            <v>70</v>
          </cell>
          <cell r="H277">
            <v>70</v>
          </cell>
          <cell r="I277">
            <v>0</v>
          </cell>
          <cell r="J277" t="str">
            <v>GARMONT</v>
          </cell>
          <cell r="K277" t="str">
            <v>Pr.Sch.R</v>
          </cell>
          <cell r="L277" t="str">
            <v>MOLDED</v>
          </cell>
          <cell r="M277">
            <v>1</v>
          </cell>
        </row>
        <row r="278">
          <cell r="A278" t="str">
            <v>F-2026-03-417</v>
          </cell>
          <cell r="B278" t="str">
            <v>RPRO-260324-0563</v>
          </cell>
          <cell r="C278" t="str">
            <v>BDB-000353</v>
          </cell>
          <cell r="D278" t="str">
            <v>PVN-004350</v>
          </cell>
          <cell r="E278" t="str">
            <v>OrthoLite Regular SEEDPEARL/12-0703TPX Flat Sheet 0.13D 35+/-4 Asker C 1.1M 1.47M 13mm</v>
          </cell>
          <cell r="F278">
            <v>30</v>
          </cell>
          <cell r="G278">
            <v>30</v>
          </cell>
          <cell r="H278">
            <v>30</v>
          </cell>
          <cell r="I278">
            <v>0</v>
          </cell>
          <cell r="J278"/>
          <cell r="K278" t="str">
            <v>MPS</v>
          </cell>
          <cell r="L278" t="str">
            <v>SPLITTING</v>
          </cell>
          <cell r="M278">
            <v>2</v>
          </cell>
        </row>
        <row r="279">
          <cell r="A279" t="str">
            <v>F-2026-03-418</v>
          </cell>
          <cell r="B279" t="str">
            <v>RPRO-260324-0564</v>
          </cell>
          <cell r="C279" t="str">
            <v>BDB-000339</v>
          </cell>
          <cell r="D279" t="str">
            <v>PVN-004178</v>
          </cell>
          <cell r="E279" t="str">
            <v>OrthoLite Float NEUTRAL GRAY/17-4402TPX Flat Sheet 0.12D 21+/-4 Asker C 1.1M 2M 5.5mm</v>
          </cell>
          <cell r="F279">
            <v>50</v>
          </cell>
          <cell r="G279">
            <v>50</v>
          </cell>
          <cell r="H279">
            <v>50</v>
          </cell>
          <cell r="I279">
            <v>0</v>
          </cell>
          <cell r="J279" t="str">
            <v>PUMA</v>
          </cell>
          <cell r="K279" t="str">
            <v>Pr.Sch.R</v>
          </cell>
          <cell r="L279" t="str">
            <v>MOLDED</v>
          </cell>
          <cell r="M279">
            <v>1</v>
          </cell>
        </row>
        <row r="280">
          <cell r="A280" t="str">
            <v>F-2026-03-419</v>
          </cell>
          <cell r="B280" t="str">
            <v>RPRO-260324-0565</v>
          </cell>
          <cell r="C280" t="str">
            <v>BDB-000336</v>
          </cell>
          <cell r="D280" t="str">
            <v>PVN-004168</v>
          </cell>
          <cell r="E280" t="str">
            <v>OrthoLite X-40-Nike SEEDPEARL/12-0703TPX Flat Sheet 0.16D 35+/-4 Asker C 1.1M 2M 4.5mm</v>
          </cell>
          <cell r="F280">
            <v>248</v>
          </cell>
          <cell r="G280">
            <v>248</v>
          </cell>
          <cell r="H280">
            <v>248</v>
          </cell>
          <cell r="I280">
            <v>0</v>
          </cell>
          <cell r="J280" t="str">
            <v>NIKE</v>
          </cell>
          <cell r="K280" t="str">
            <v>Pr.Sch.R</v>
          </cell>
          <cell r="L280" t="str">
            <v>MOLDED</v>
          </cell>
          <cell r="M280">
            <v>1</v>
          </cell>
        </row>
        <row r="281">
          <cell r="A281" t="str">
            <v>F-2026-03-420</v>
          </cell>
          <cell r="B281" t="str">
            <v>RPRO-260324-0566</v>
          </cell>
          <cell r="C281" t="str">
            <v>BDB-000123</v>
          </cell>
          <cell r="D281" t="str">
            <v>PVN-002539</v>
          </cell>
          <cell r="E281" t="str">
            <v>OrthoLite Ultra-Hybrid SEEDPEARL/12-0703TPX Hybrid Flat Sheet 0.085D 25+/-4 Asker C 1.1M 2M 5mm</v>
          </cell>
          <cell r="F281">
            <v>196</v>
          </cell>
          <cell r="G281">
            <v>196</v>
          </cell>
          <cell r="H281">
            <v>196</v>
          </cell>
          <cell r="I281">
            <v>0</v>
          </cell>
          <cell r="J281" t="str">
            <v>BROOKS</v>
          </cell>
          <cell r="K281" t="str">
            <v>Pr.Sch.R</v>
          </cell>
          <cell r="L281" t="str">
            <v>DIE CUT</v>
          </cell>
          <cell r="M281">
            <v>1</v>
          </cell>
        </row>
        <row r="282">
          <cell r="A282" t="str">
            <v>F-2026-03-421</v>
          </cell>
          <cell r="B282" t="str">
            <v>RPRO-260324-0567</v>
          </cell>
          <cell r="C282" t="str">
            <v>BDB-000181</v>
          </cell>
          <cell r="D282" t="str">
            <v>PVN-003238</v>
          </cell>
          <cell r="E282" t="str">
            <v>OrthoLite Eco LT-Hybrid-Converse SEEDPEARL/12-0703TPX Hybrid Flat Sheet 0.11D 25+/-4 Asker C 1.1M 2M 5mm</v>
          </cell>
          <cell r="F282">
            <v>112</v>
          </cell>
          <cell r="G282">
            <v>112</v>
          </cell>
          <cell r="H282">
            <v>112</v>
          </cell>
          <cell r="I282">
            <v>0</v>
          </cell>
          <cell r="J282" t="str">
            <v>CONVERSE</v>
          </cell>
          <cell r="K282" t="str">
            <v>Pr.Sch.R</v>
          </cell>
          <cell r="L282" t="str">
            <v>DIE CUT</v>
          </cell>
          <cell r="M282">
            <v>1</v>
          </cell>
        </row>
        <row r="283">
          <cell r="A283" t="str">
            <v>F-2026-03-422</v>
          </cell>
          <cell r="B283" t="str">
            <v>RPRO-260324-0568</v>
          </cell>
          <cell r="C283" t="str">
            <v>BDB-000255</v>
          </cell>
          <cell r="D283" t="str">
            <v>PVN-003730</v>
          </cell>
          <cell r="E283" t="str">
            <v>OrthoLite Regular GREY/17-1501TPX Flat Sheet 0.15D 45+/-4 Asker C 1.1M 1.7M 2mm</v>
          </cell>
          <cell r="F283">
            <v>140</v>
          </cell>
          <cell r="G283">
            <v>140</v>
          </cell>
          <cell r="H283">
            <v>140</v>
          </cell>
          <cell r="I283">
            <v>0</v>
          </cell>
          <cell r="J283" t="str">
            <v>OBOZ</v>
          </cell>
          <cell r="K283" t="str">
            <v>Pr.Sch.R</v>
          </cell>
          <cell r="L283" t="str">
            <v>MOLDED</v>
          </cell>
          <cell r="M283">
            <v>1</v>
          </cell>
        </row>
        <row r="284">
          <cell r="A284" t="str">
            <v>F-2026-03-423</v>
          </cell>
          <cell r="B284" t="str">
            <v>RPRO-260324-0569</v>
          </cell>
          <cell r="C284" t="str">
            <v>BDB-000217</v>
          </cell>
          <cell r="D284" t="str">
            <v>PVN-003733</v>
          </cell>
          <cell r="E284" t="str">
            <v>OrthoLite X-40-Hybrid SEEDPEARL/12-0703TPX Hybrid Flat Sheet 0.16D 35+/-4 Asker C 1.1M 1.7M 12.5mm</v>
          </cell>
          <cell r="F284">
            <v>110</v>
          </cell>
          <cell r="G284">
            <v>110</v>
          </cell>
          <cell r="H284">
            <v>110</v>
          </cell>
          <cell r="I284">
            <v>0</v>
          </cell>
          <cell r="J284" t="str">
            <v>OBOZ</v>
          </cell>
          <cell r="K284" t="str">
            <v>Pr.Sch.R</v>
          </cell>
          <cell r="L284" t="str">
            <v>MOLDED</v>
          </cell>
          <cell r="M284">
            <v>1</v>
          </cell>
        </row>
        <row r="285">
          <cell r="A285" t="str">
            <v>F-2026-03-424</v>
          </cell>
          <cell r="B285" t="str">
            <v>RPRO-260324-0570</v>
          </cell>
          <cell r="C285" t="str">
            <v>BDB-000282</v>
          </cell>
          <cell r="D285" t="str">
            <v>PVN-003834</v>
          </cell>
          <cell r="E285" t="str">
            <v>OrthoLite X-40-Hybrid SEEDPEARL/12-0703TPX Hybrid Flat Sheet 0.16D 35+/-4 Asker C 1.1M 2M 12.5mm</v>
          </cell>
          <cell r="F285">
            <v>40</v>
          </cell>
          <cell r="G285">
            <v>40</v>
          </cell>
          <cell r="H285">
            <v>40</v>
          </cell>
          <cell r="I285">
            <v>0</v>
          </cell>
          <cell r="J285" t="str">
            <v>OBOZ</v>
          </cell>
          <cell r="K285" t="str">
            <v>Pr.Sch.R</v>
          </cell>
          <cell r="L285" t="str">
            <v>MOLDED</v>
          </cell>
          <cell r="M285">
            <v>1</v>
          </cell>
        </row>
        <row r="286">
          <cell r="A286" t="str">
            <v>F-2026-03-425</v>
          </cell>
          <cell r="B286" t="str">
            <v>RPRO-260324-0571</v>
          </cell>
          <cell r="C286" t="str">
            <v>BDB-000313</v>
          </cell>
          <cell r="D286" t="str">
            <v>PVN-004061</v>
          </cell>
          <cell r="E286" t="str">
            <v>OrthoLite X-55 RED/19-1764TPX Flat Sheet 0.16D 25+/-4 Asker C 1.1M 1.47M 18mm</v>
          </cell>
          <cell r="F286">
            <v>14</v>
          </cell>
          <cell r="G286">
            <v>14</v>
          </cell>
          <cell r="H286">
            <v>14</v>
          </cell>
          <cell r="I286">
            <v>0</v>
          </cell>
          <cell r="J286" t="str">
            <v>WILSON</v>
          </cell>
          <cell r="K286" t="str">
            <v>Pr.Sch.R</v>
          </cell>
          <cell r="L286" t="str">
            <v>MOLDED</v>
          </cell>
          <cell r="M286">
            <v>1</v>
          </cell>
        </row>
        <row r="287">
          <cell r="A287" t="str">
            <v>F-2026-03-426</v>
          </cell>
          <cell r="B287" t="str">
            <v>RPRO-260324-0572</v>
          </cell>
          <cell r="C287" t="str">
            <v>BDB-000229</v>
          </cell>
          <cell r="D287" t="str">
            <v>PVN-003692</v>
          </cell>
          <cell r="E287" t="str">
            <v>OrthoLite Ultra-Hybrid SEEDPEARL/12-0703TPX Hybrid Flat Sheet 0.095D 33+/-4 Asker C 1.1M 2M 15.5mm</v>
          </cell>
          <cell r="F287">
            <v>168</v>
          </cell>
          <cell r="G287">
            <v>168</v>
          </cell>
          <cell r="H287">
            <v>168</v>
          </cell>
          <cell r="I287">
            <v>0</v>
          </cell>
          <cell r="J287" t="str">
            <v>GARMONT</v>
          </cell>
          <cell r="K287" t="str">
            <v>Pr.Sch.R</v>
          </cell>
          <cell r="L287" t="str">
            <v>MOLDED</v>
          </cell>
          <cell r="M287">
            <v>1</v>
          </cell>
        </row>
        <row r="288">
          <cell r="A288" t="str">
            <v>F-2026-03-427</v>
          </cell>
          <cell r="B288" t="str">
            <v>RPRO-260324-0573</v>
          </cell>
          <cell r="C288" t="str">
            <v>BDB-000188</v>
          </cell>
          <cell r="D288" t="str">
            <v>PVN-003479</v>
          </cell>
          <cell r="E288" t="str">
            <v>OrthoLite Ultra-Hybrid SEEDPEARL/12-0703TPX Hybrid Flat Sheet 0.085D 25+/-4 Asker C 1.1M 1.47M 4mm</v>
          </cell>
          <cell r="F288">
            <v>560</v>
          </cell>
          <cell r="G288">
            <v>560</v>
          </cell>
          <cell r="H288">
            <v>560</v>
          </cell>
          <cell r="I288">
            <v>0</v>
          </cell>
          <cell r="J288" t="str">
            <v>SALOMON</v>
          </cell>
          <cell r="K288" t="str">
            <v>Pr.Sch.R</v>
          </cell>
          <cell r="L288" t="str">
            <v>LAMINATING</v>
          </cell>
          <cell r="M288">
            <v>1</v>
          </cell>
        </row>
        <row r="289">
          <cell r="A289" t="str">
            <v>F-2026-03-428</v>
          </cell>
          <cell r="B289" t="str">
            <v>RPRO-260324-0574</v>
          </cell>
          <cell r="C289" t="str">
            <v>BDB-000154</v>
          </cell>
          <cell r="D289" t="str">
            <v>PVN-003347</v>
          </cell>
          <cell r="E289" t="str">
            <v>OrthoLite X-40-Nike TRUE BLUE/19-4057TPX Flat Sheet 0.16D 35+/-4 Asker C 1.1M 1.7M 4mm</v>
          </cell>
          <cell r="F289">
            <v>35</v>
          </cell>
          <cell r="G289">
            <v>35</v>
          </cell>
          <cell r="H289">
            <v>35</v>
          </cell>
          <cell r="I289">
            <v>0</v>
          </cell>
          <cell r="J289" t="str">
            <v>NIKE</v>
          </cell>
          <cell r="K289" t="str">
            <v>Pr.Sch.R</v>
          </cell>
          <cell r="L289" t="str">
            <v>LAMINATING</v>
          </cell>
          <cell r="M289">
            <v>1</v>
          </cell>
        </row>
        <row r="290">
          <cell r="A290" t="str">
            <v>F-2026-03-429</v>
          </cell>
          <cell r="B290" t="str">
            <v>RPRO-260324-0575</v>
          </cell>
          <cell r="C290" t="str">
            <v>BDB-000339</v>
          </cell>
          <cell r="D290" t="str">
            <v>PVN-004223</v>
          </cell>
          <cell r="E290" t="str">
            <v>OrthoLite Float NEUTRAL GRAY/17-4402TPX Flat Sheet 0.12D 21+/-4 Asker C 1.1M 2M 5mm</v>
          </cell>
          <cell r="F290">
            <v>140</v>
          </cell>
          <cell r="G290">
            <v>140</v>
          </cell>
          <cell r="H290">
            <v>140</v>
          </cell>
          <cell r="I290">
            <v>0</v>
          </cell>
          <cell r="J290" t="str">
            <v>PUMA</v>
          </cell>
          <cell r="K290" t="str">
            <v>Pr.Sch.R</v>
          </cell>
          <cell r="L290" t="str">
            <v>DIE CUT</v>
          </cell>
          <cell r="M290">
            <v>1</v>
          </cell>
        </row>
        <row r="291">
          <cell r="A291" t="str">
            <v>F-2026-03-430</v>
          </cell>
          <cell r="B291" t="str">
            <v>FPRO-260324-0001</v>
          </cell>
          <cell r="C291" t="str">
            <v>BDB-000162</v>
          </cell>
          <cell r="D291" t="str">
            <v>PVN-001566</v>
          </cell>
          <cell r="E291" t="str">
            <v>OrthoLite Ultra-Nike SEEDPEARL/12-0703TPX 0.085D 25+/-4 Asker C 1.1M 2M 4mm</v>
          </cell>
          <cell r="F291">
            <v>2000</v>
          </cell>
          <cell r="G291">
            <v>2000</v>
          </cell>
          <cell r="H291">
            <v>2000</v>
          </cell>
          <cell r="I291">
            <v>0</v>
          </cell>
          <cell r="J291" t="str">
            <v>NIKE</v>
          </cell>
          <cell r="K291" t="str">
            <v>Forecast</v>
          </cell>
          <cell r="L291" t="str">
            <v>DIE CUT</v>
          </cell>
          <cell r="M291">
            <v>1</v>
          </cell>
        </row>
        <row r="292">
          <cell r="A292" t="str">
            <v>F-2026-03-431</v>
          </cell>
          <cell r="B292" t="str">
            <v>FPRO-260324-0002</v>
          </cell>
          <cell r="C292" t="str">
            <v>BDB-000162</v>
          </cell>
          <cell r="D292" t="str">
            <v>PVN-001566</v>
          </cell>
          <cell r="E292" t="str">
            <v>OrthoLite Ultra-Nike SEEDPEARL/12-0703TPX 0.085D 25+/-4 Asker C 1.1M 2M 4mm</v>
          </cell>
          <cell r="F292">
            <v>2000</v>
          </cell>
          <cell r="G292">
            <v>2000</v>
          </cell>
          <cell r="H292">
            <v>2000</v>
          </cell>
          <cell r="I292">
            <v>0</v>
          </cell>
          <cell r="J292" t="str">
            <v>NIKE</v>
          </cell>
          <cell r="K292" t="str">
            <v>Forecast</v>
          </cell>
          <cell r="L292" t="str">
            <v>DIE CUT</v>
          </cell>
          <cell r="M292">
            <v>1</v>
          </cell>
        </row>
        <row r="293">
          <cell r="A293" t="str">
            <v>F-2026-03-432</v>
          </cell>
          <cell r="B293" t="str">
            <v>FPRO-260324-0003</v>
          </cell>
          <cell r="C293" t="str">
            <v>BDB-000162</v>
          </cell>
          <cell r="D293" t="str">
            <v>PVN-001566</v>
          </cell>
          <cell r="E293" t="str">
            <v>OrthoLite Ultra-Nike SEEDPEARL/12-0703TPX 0.085D 25+/-4 Asker C 1.1M 2M 4mm</v>
          </cell>
          <cell r="F293">
            <v>2000</v>
          </cell>
          <cell r="G293">
            <v>2000</v>
          </cell>
          <cell r="H293">
            <v>0</v>
          </cell>
          <cell r="I293">
            <v>2000</v>
          </cell>
          <cell r="J293" t="str">
            <v>NIKE</v>
          </cell>
          <cell r="K293" t="str">
            <v>Forecast</v>
          </cell>
          <cell r="L293" t="str">
            <v>DIE CUT</v>
          </cell>
          <cell r="M293">
            <v>1</v>
          </cell>
        </row>
        <row r="294">
          <cell r="A294" t="str">
            <v>F-2026-03-433</v>
          </cell>
          <cell r="B294" t="str">
            <v>FPRO-260324-0004</v>
          </cell>
          <cell r="C294" t="str">
            <v>BDB-000162</v>
          </cell>
          <cell r="D294" t="str">
            <v>PVN-001566</v>
          </cell>
          <cell r="E294" t="str">
            <v>OrthoLite Ultra-Nike SEEDPEARL/12-0703TPX 0.085D 25+/-4 Asker C 1.1M 2M 4mm</v>
          </cell>
          <cell r="F294">
            <v>2000</v>
          </cell>
          <cell r="G294">
            <v>2000</v>
          </cell>
          <cell r="H294">
            <v>0</v>
          </cell>
          <cell r="I294">
            <v>2000</v>
          </cell>
          <cell r="J294" t="str">
            <v>NIKE</v>
          </cell>
          <cell r="K294" t="str">
            <v>Forecast</v>
          </cell>
          <cell r="L294" t="str">
            <v>DIE CUT</v>
          </cell>
          <cell r="M294">
            <v>1</v>
          </cell>
        </row>
        <row r="295">
          <cell r="A295" t="str">
            <v>F-2026-03-434-1</v>
          </cell>
          <cell r="B295" t="str">
            <v>FPRO-260324-0005</v>
          </cell>
          <cell r="C295" t="str">
            <v>BDB-000162</v>
          </cell>
          <cell r="D295" t="str">
            <v>PVN-001566</v>
          </cell>
          <cell r="E295" t="str">
            <v>OrthoLite Ultra-Nike SEEDPEARL/12-0703TPX 0.085D 25+/-4 Asker C 1.1M 2M 4mm</v>
          </cell>
          <cell r="F295">
            <v>1000</v>
          </cell>
          <cell r="G295">
            <v>500</v>
          </cell>
          <cell r="H295">
            <v>0</v>
          </cell>
          <cell r="I295">
            <v>500</v>
          </cell>
          <cell r="J295" t="str">
            <v>NIKE</v>
          </cell>
          <cell r="K295" t="str">
            <v>Forecast</v>
          </cell>
          <cell r="L295" t="str">
            <v>DIE CUT</v>
          </cell>
          <cell r="M295" t="str">
            <v>1-SLT</v>
          </cell>
        </row>
        <row r="296">
          <cell r="A296" t="str">
            <v>F-2026-03-434-2-1</v>
          </cell>
          <cell r="B296" t="str">
            <v>FPRO-260507-0005</v>
          </cell>
          <cell r="C296" t="str">
            <v>BDB-000162</v>
          </cell>
          <cell r="D296" t="str">
            <v>PVN-001566</v>
          </cell>
          <cell r="E296" t="str">
            <v>OrthoLite Ultra-Nike SEEDPEARL/12-0703TPX 0.085D 25+/-4 Asker C 1.1M 2M 4mm</v>
          </cell>
          <cell r="F296">
            <v>1000</v>
          </cell>
          <cell r="G296">
            <v>500</v>
          </cell>
          <cell r="H296">
            <v>0</v>
          </cell>
          <cell r="I296">
            <v>500</v>
          </cell>
          <cell r="J296" t="str">
            <v>NIKE</v>
          </cell>
          <cell r="K296" t="str">
            <v>Forecast</v>
          </cell>
          <cell r="L296" t="str">
            <v>DIE CUT</v>
          </cell>
          <cell r="M296" t="str">
            <v>1-SLT</v>
          </cell>
        </row>
        <row r="297">
          <cell r="A297" t="str">
            <v>F-2026-03-434-2-2</v>
          </cell>
          <cell r="B297"/>
          <cell r="C297" t="str">
            <v>BDB-000162</v>
          </cell>
          <cell r="D297" t="str">
            <v>PVN-001566</v>
          </cell>
          <cell r="E297" t="str">
            <v>OrthoLite Ultra-Nike SEEDPEARL/12-0703TPX 0.085D 25+/-4 Asker C 1.1M 2M 4mm</v>
          </cell>
          <cell r="F297">
            <v>1000</v>
          </cell>
          <cell r="G297">
            <v>500</v>
          </cell>
          <cell r="H297">
            <v>0</v>
          </cell>
          <cell r="I297">
            <v>500</v>
          </cell>
          <cell r="J297" t="str">
            <v>NIKE</v>
          </cell>
          <cell r="K297" t="str">
            <v>Forecast</v>
          </cell>
          <cell r="L297" t="str">
            <v>DIE CUT</v>
          </cell>
          <cell r="M297" t="str">
            <v>1-SLT</v>
          </cell>
        </row>
        <row r="298">
          <cell r="A298" t="str">
            <v>F-2026-03-434-3</v>
          </cell>
          <cell r="B298"/>
          <cell r="C298" t="str">
            <v>BDB-000162</v>
          </cell>
          <cell r="D298" t="str">
            <v>PVN-001566</v>
          </cell>
          <cell r="E298" t="str">
            <v>OrthoLite Ultra-Nike SEEDPEARL/12-0703TPX 0.085D 25+/-4 Asker C 1.1M 2M 4mm</v>
          </cell>
          <cell r="F298">
            <v>1000</v>
          </cell>
          <cell r="G298">
            <v>500</v>
          </cell>
          <cell r="H298">
            <v>0</v>
          </cell>
          <cell r="I298">
            <v>500</v>
          </cell>
          <cell r="J298" t="str">
            <v>NIKE</v>
          </cell>
          <cell r="K298" t="str">
            <v>Forecast</v>
          </cell>
          <cell r="L298" t="str">
            <v>DIE CUT</v>
          </cell>
          <cell r="M298" t="str">
            <v>1-SLT</v>
          </cell>
        </row>
        <row r="299">
          <cell r="A299" t="str">
            <v>F-2026-03-435</v>
          </cell>
          <cell r="B299" t="str">
            <v>FPRO-260324-0006</v>
          </cell>
          <cell r="C299" t="str">
            <v>BDB-000162</v>
          </cell>
          <cell r="D299" t="str">
            <v>PVN-001566</v>
          </cell>
          <cell r="E299" t="str">
            <v>OrthoLite Ultra-Nike SEEDPEARL/12-0703TPX 0.085D 25+/-4 Asker C 1.1M 2M 4mm</v>
          </cell>
          <cell r="F299">
            <v>2000</v>
          </cell>
          <cell r="G299">
            <v>2000</v>
          </cell>
          <cell r="H299">
            <v>2000</v>
          </cell>
          <cell r="I299">
            <v>0</v>
          </cell>
          <cell r="J299" t="str">
            <v>NIKE</v>
          </cell>
          <cell r="K299" t="str">
            <v>Forecast</v>
          </cell>
          <cell r="L299" t="str">
            <v>DIE CUT</v>
          </cell>
          <cell r="M299">
            <v>1</v>
          </cell>
        </row>
        <row r="300">
          <cell r="A300" t="str">
            <v>F-2026-03-436</v>
          </cell>
          <cell r="B300" t="str">
            <v>FPRO-260324-0007</v>
          </cell>
          <cell r="C300" t="str">
            <v>BDB-000162</v>
          </cell>
          <cell r="D300" t="str">
            <v>PVN-001566</v>
          </cell>
          <cell r="E300" t="str">
            <v>OrthoLite Ultra-Nike SEEDPEARL/12-0703TPX 0.085D 25+/-4 Asker C 1.1M 2M 4mm</v>
          </cell>
          <cell r="F300">
            <v>2000</v>
          </cell>
          <cell r="G300">
            <v>2000</v>
          </cell>
          <cell r="H300">
            <v>2000</v>
          </cell>
          <cell r="I300">
            <v>0</v>
          </cell>
          <cell r="J300" t="str">
            <v>NIKE</v>
          </cell>
          <cell r="K300" t="str">
            <v>Forecast</v>
          </cell>
          <cell r="L300" t="str">
            <v>DIE CUT</v>
          </cell>
          <cell r="M300">
            <v>1</v>
          </cell>
        </row>
        <row r="301">
          <cell r="A301" t="str">
            <v>F-2026-03-437</v>
          </cell>
          <cell r="B301" t="str">
            <v>FPRO-260324-0008</v>
          </cell>
          <cell r="C301" t="str">
            <v>BDB-000162</v>
          </cell>
          <cell r="D301" t="str">
            <v>PVN-001566</v>
          </cell>
          <cell r="E301" t="str">
            <v>OrthoLite Ultra-Nike SEEDPEARL/12-0703TPX 0.085D 25+/-4 Asker C 1.1M 2M 4mm</v>
          </cell>
          <cell r="F301">
            <v>2000</v>
          </cell>
          <cell r="G301">
            <v>2000</v>
          </cell>
          <cell r="H301">
            <v>0</v>
          </cell>
          <cell r="I301">
            <v>2000</v>
          </cell>
          <cell r="J301" t="str">
            <v>NIKE</v>
          </cell>
          <cell r="K301" t="str">
            <v>Forecast</v>
          </cell>
          <cell r="L301" t="str">
            <v>DIE CUT</v>
          </cell>
          <cell r="M301">
            <v>1</v>
          </cell>
        </row>
        <row r="302">
          <cell r="A302" t="str">
            <v>F-2026-03-438</v>
          </cell>
          <cell r="B302" t="str">
            <v>FPRO-260324-0009</v>
          </cell>
          <cell r="C302" t="str">
            <v>BDB-000162</v>
          </cell>
          <cell r="D302" t="str">
            <v>PVN-001566</v>
          </cell>
          <cell r="E302" t="str">
            <v>OrthoLite Ultra-Nike SEEDPEARL/12-0703TPX 0.085D 25+/-4 Asker C 1.1M 2M 4mm</v>
          </cell>
          <cell r="F302">
            <v>600</v>
          </cell>
          <cell r="G302">
            <v>600</v>
          </cell>
          <cell r="H302">
            <v>600</v>
          </cell>
          <cell r="I302">
            <v>0</v>
          </cell>
          <cell r="J302" t="str">
            <v>NIKE</v>
          </cell>
          <cell r="K302" t="str">
            <v>Forecast</v>
          </cell>
          <cell r="L302" t="str">
            <v>DIE CUT</v>
          </cell>
          <cell r="M302" t="str">
            <v>1-SLT</v>
          </cell>
        </row>
        <row r="303">
          <cell r="A303" t="str">
            <v>F-2026-03-439</v>
          </cell>
          <cell r="B303" t="str">
            <v>FPRO-260324-0011</v>
          </cell>
          <cell r="C303" t="str">
            <v>BDB-000175</v>
          </cell>
          <cell r="D303" t="str">
            <v>PVN-002966</v>
          </cell>
          <cell r="E303" t="str">
            <v>OrthoLite Ultra-Hybrid-Nike SEEDPEARL/12-0703TPX Hybrid 0.085D 25+/-4 Asker C 1.1M 2M 4mm</v>
          </cell>
          <cell r="F303">
            <v>3650</v>
          </cell>
          <cell r="G303">
            <v>3650</v>
          </cell>
          <cell r="H303">
            <v>0</v>
          </cell>
          <cell r="I303">
            <v>3650</v>
          </cell>
          <cell r="J303" t="str">
            <v>NIKE</v>
          </cell>
          <cell r="K303" t="str">
            <v>Forecast</v>
          </cell>
          <cell r="L303" t="str">
            <v>DIE CUT</v>
          </cell>
          <cell r="M303">
            <v>1</v>
          </cell>
        </row>
        <row r="304">
          <cell r="A304" t="str">
            <v>F-2026-03-440</v>
          </cell>
          <cell r="B304" t="str">
            <v>FPRO-260324-0012</v>
          </cell>
          <cell r="C304" t="str">
            <v>BDB-000175</v>
          </cell>
          <cell r="D304" t="str">
            <v>PVN-002966</v>
          </cell>
          <cell r="E304" t="str">
            <v>OrthoLite Ultra-Hybrid-Nike SEEDPEARL/12-0703TPX Hybrid 0.085D 25+/-4 Asker C 1.1M 2M 4mm</v>
          </cell>
          <cell r="F304">
            <v>3500</v>
          </cell>
          <cell r="G304">
            <v>3500</v>
          </cell>
          <cell r="H304">
            <v>3500</v>
          </cell>
          <cell r="I304">
            <v>0</v>
          </cell>
          <cell r="J304" t="str">
            <v>NIKE</v>
          </cell>
          <cell r="K304" t="str">
            <v>Forecast</v>
          </cell>
          <cell r="L304" t="str">
            <v>DIE CUT</v>
          </cell>
          <cell r="M304">
            <v>1</v>
          </cell>
        </row>
        <row r="305">
          <cell r="A305" t="str">
            <v>F-2026-03-441</v>
          </cell>
          <cell r="B305" t="str">
            <v>FPRO-260324-0013</v>
          </cell>
          <cell r="C305" t="str">
            <v>BDB-000175</v>
          </cell>
          <cell r="D305" t="str">
            <v>PVN-002966</v>
          </cell>
          <cell r="E305" t="str">
            <v>OrthoLite Ultra-Hybrid-Nike SEEDPEARL/12-0703TPX Hybrid 0.085D 25+/-4 Asker C 1.1M 2M 4mm</v>
          </cell>
          <cell r="F305">
            <v>3500</v>
          </cell>
          <cell r="G305">
            <v>3500</v>
          </cell>
          <cell r="H305">
            <v>0</v>
          </cell>
          <cell r="I305">
            <v>3500</v>
          </cell>
          <cell r="J305" t="str">
            <v>NIKE</v>
          </cell>
          <cell r="K305" t="str">
            <v>Forecast</v>
          </cell>
          <cell r="L305" t="str">
            <v>DIE CUT</v>
          </cell>
          <cell r="M305">
            <v>1</v>
          </cell>
        </row>
        <row r="306">
          <cell r="A306" t="str">
            <v>F-2026-03-442</v>
          </cell>
          <cell r="B306" t="str">
            <v>FPRO-260324-0014</v>
          </cell>
          <cell r="C306" t="str">
            <v>BDB-000175</v>
          </cell>
          <cell r="D306" t="str">
            <v>PVN-002966</v>
          </cell>
          <cell r="E306" t="str">
            <v>OrthoLite Ultra-Hybrid-Nike SEEDPEARL/12-0703TPX Hybrid 0.085D 25+/-4 Asker C 1.1M 2M 4mm</v>
          </cell>
          <cell r="F306">
            <v>3500</v>
          </cell>
          <cell r="G306">
            <v>3500</v>
          </cell>
          <cell r="H306">
            <v>0</v>
          </cell>
          <cell r="I306">
            <v>3500</v>
          </cell>
          <cell r="J306" t="str">
            <v>NIKE</v>
          </cell>
          <cell r="K306" t="str">
            <v>Forecast</v>
          </cell>
          <cell r="L306" t="str">
            <v>DIE CUT</v>
          </cell>
          <cell r="M306">
            <v>1</v>
          </cell>
        </row>
        <row r="307">
          <cell r="A307" t="str">
            <v>F-2026-03-443</v>
          </cell>
          <cell r="B307" t="str">
            <v>FPRO-260324-0015</v>
          </cell>
          <cell r="C307" t="str">
            <v>BDB-000175</v>
          </cell>
          <cell r="D307" t="str">
            <v>PVN-002966</v>
          </cell>
          <cell r="E307" t="str">
            <v>OrthoLite Ultra-Hybrid-Nike SEEDPEARL/12-0703TPX Hybrid 0.085D 25+/-4 Asker C 1.1M 2M 4mm</v>
          </cell>
          <cell r="F307">
            <v>3500</v>
          </cell>
          <cell r="G307">
            <v>3500</v>
          </cell>
          <cell r="H307">
            <v>0</v>
          </cell>
          <cell r="I307">
            <v>3500</v>
          </cell>
          <cell r="J307" t="str">
            <v>NIKE</v>
          </cell>
          <cell r="K307" t="str">
            <v>Forecast</v>
          </cell>
          <cell r="L307" t="str">
            <v>DIE CUT</v>
          </cell>
          <cell r="M307">
            <v>1</v>
          </cell>
        </row>
        <row r="308">
          <cell r="A308" t="str">
            <v>F-2026-03-444</v>
          </cell>
          <cell r="B308" t="str">
            <v>FPRO-260324-0016</v>
          </cell>
          <cell r="C308" t="str">
            <v>BDB-000125</v>
          </cell>
          <cell r="D308" t="str">
            <v>PVN-002413</v>
          </cell>
          <cell r="E308" t="str">
            <v>OrthoLite Regular-Nike AIR BLUE/16-4134TPX 0.11D 25+/-4 Asker C 1.1M 2M 4.2mm</v>
          </cell>
          <cell r="F308">
            <v>2500</v>
          </cell>
          <cell r="G308">
            <v>2500</v>
          </cell>
          <cell r="H308">
            <v>2500</v>
          </cell>
          <cell r="I308">
            <v>0</v>
          </cell>
          <cell r="J308" t="str">
            <v>NIKE</v>
          </cell>
          <cell r="K308" t="str">
            <v>Forecast</v>
          </cell>
          <cell r="L308" t="str">
            <v>DIE CUT</v>
          </cell>
          <cell r="M308">
            <v>1</v>
          </cell>
        </row>
        <row r="309">
          <cell r="A309" t="str">
            <v>F-2026-03-445</v>
          </cell>
          <cell r="B309" t="str">
            <v>FPRO-260324-0017</v>
          </cell>
          <cell r="C309" t="str">
            <v>BDB-000125</v>
          </cell>
          <cell r="D309" t="str">
            <v>PVN-002413</v>
          </cell>
          <cell r="E309" t="str">
            <v>OrthoLite Regular-Nike AIR BLUE/16-4134TPX 0.11D 25+/-4 Asker C 1.1M 2M 4.2mm</v>
          </cell>
          <cell r="F309">
            <v>2500</v>
          </cell>
          <cell r="G309">
            <v>2500</v>
          </cell>
          <cell r="H309">
            <v>2500</v>
          </cell>
          <cell r="I309">
            <v>0</v>
          </cell>
          <cell r="J309" t="str">
            <v>NIKE</v>
          </cell>
          <cell r="K309" t="str">
            <v>Forecast</v>
          </cell>
          <cell r="L309" t="str">
            <v>DIE CUT</v>
          </cell>
          <cell r="M309">
            <v>1</v>
          </cell>
        </row>
        <row r="310">
          <cell r="A310" t="str">
            <v>F-2026-03-446</v>
          </cell>
          <cell r="B310" t="str">
            <v>FPRO-260324-0018</v>
          </cell>
          <cell r="C310" t="str">
            <v>BDB-000125</v>
          </cell>
          <cell r="D310" t="str">
            <v>PVN-002413</v>
          </cell>
          <cell r="E310" t="str">
            <v>OrthoLite Regular-Nike AIR BLUE/16-4134TPX 0.11D 25+/-4 Asker C 1.1M 2M 4.2mm</v>
          </cell>
          <cell r="F310">
            <v>2500</v>
          </cell>
          <cell r="G310">
            <v>2500</v>
          </cell>
          <cell r="H310">
            <v>0</v>
          </cell>
          <cell r="I310">
            <v>2500</v>
          </cell>
          <cell r="J310" t="str">
            <v>NIKE</v>
          </cell>
          <cell r="K310" t="str">
            <v>Forecast</v>
          </cell>
          <cell r="L310" t="str">
            <v>DIE CUT</v>
          </cell>
          <cell r="M310" t="str">
            <v>1-SLT</v>
          </cell>
        </row>
        <row r="311">
          <cell r="A311" t="str">
            <v>F-2026-03-447</v>
          </cell>
          <cell r="B311" t="str">
            <v>FPRO-260324-0019</v>
          </cell>
          <cell r="C311" t="str">
            <v>BDB-000125</v>
          </cell>
          <cell r="D311" t="str">
            <v>PVN-002413</v>
          </cell>
          <cell r="E311" t="str">
            <v>OrthoLite Regular-Nike AIR BLUE/16-4134TPX 0.11D 25+/-4 Asker C 1.1M 2M 4.2mm</v>
          </cell>
          <cell r="F311">
            <v>2500</v>
          </cell>
          <cell r="G311">
            <v>2500</v>
          </cell>
          <cell r="H311">
            <v>0</v>
          </cell>
          <cell r="I311">
            <v>2500</v>
          </cell>
          <cell r="J311" t="str">
            <v>NIKE</v>
          </cell>
          <cell r="K311" t="str">
            <v>Forecast</v>
          </cell>
          <cell r="L311" t="str">
            <v>DIE CUT</v>
          </cell>
          <cell r="M311">
            <v>1</v>
          </cell>
        </row>
        <row r="312">
          <cell r="A312" t="str">
            <v>F-2026-03-448</v>
          </cell>
          <cell r="B312" t="str">
            <v>FPRO-260324-0020</v>
          </cell>
          <cell r="C312" t="str">
            <v>BDB-000125</v>
          </cell>
          <cell r="D312" t="str">
            <v>PVN-002413</v>
          </cell>
          <cell r="E312" t="str">
            <v>OrthoLite Regular-Nike AIR BLUE/16-4134TPX 0.11D 25+/-4 Asker C 1.1M 2M 4.2mm</v>
          </cell>
          <cell r="F312">
            <v>2500</v>
          </cell>
          <cell r="G312">
            <v>2500</v>
          </cell>
          <cell r="H312">
            <v>0</v>
          </cell>
          <cell r="I312">
            <v>2500</v>
          </cell>
          <cell r="J312" t="str">
            <v>NIKE</v>
          </cell>
          <cell r="K312" t="str">
            <v>Forecast</v>
          </cell>
          <cell r="L312" t="str">
            <v>DIE CUT</v>
          </cell>
          <cell r="M312">
            <v>1</v>
          </cell>
        </row>
        <row r="313">
          <cell r="A313" t="str">
            <v>F-2026-03-449</v>
          </cell>
          <cell r="B313" t="str">
            <v>FPRO-260324-0021</v>
          </cell>
          <cell r="C313" t="str">
            <v>BDB-000125</v>
          </cell>
          <cell r="D313" t="str">
            <v>PVN-002413</v>
          </cell>
          <cell r="E313" t="str">
            <v>OrthoLite Regular-Nike AIR BLUE/16-4134TPX 0.11D 25+/-4 Asker C 1.1M 2M 4.2mm</v>
          </cell>
          <cell r="F313">
            <v>2500</v>
          </cell>
          <cell r="G313">
            <v>2500</v>
          </cell>
          <cell r="H313">
            <v>2500</v>
          </cell>
          <cell r="I313">
            <v>0</v>
          </cell>
          <cell r="J313" t="str">
            <v>NIKE</v>
          </cell>
          <cell r="K313" t="str">
            <v>Forecast</v>
          </cell>
          <cell r="L313" t="str">
            <v>DIE CUT</v>
          </cell>
          <cell r="M313">
            <v>1</v>
          </cell>
        </row>
        <row r="314">
          <cell r="A314" t="str">
            <v>F-2026-03-450</v>
          </cell>
          <cell r="B314" t="str">
            <v>FPRO-260324-0022</v>
          </cell>
          <cell r="C314" t="str">
            <v>BDB-000125</v>
          </cell>
          <cell r="D314" t="str">
            <v>PVN-002413</v>
          </cell>
          <cell r="E314" t="str">
            <v>OrthoLite Regular-Nike AIR BLUE/16-4134TPX 0.11D 25+/-4 Asker C 1.1M 2M 4.2mm</v>
          </cell>
          <cell r="F314">
            <v>2500</v>
          </cell>
          <cell r="G314">
            <v>2500</v>
          </cell>
          <cell r="H314">
            <v>0</v>
          </cell>
          <cell r="I314">
            <v>2500</v>
          </cell>
          <cell r="J314" t="str">
            <v>NIKE</v>
          </cell>
          <cell r="K314" t="str">
            <v>Forecast</v>
          </cell>
          <cell r="L314" t="str">
            <v>DIE CUT</v>
          </cell>
          <cell r="M314" t="str">
            <v>1-SLT</v>
          </cell>
        </row>
        <row r="315">
          <cell r="A315" t="str">
            <v>F-2026-03-451</v>
          </cell>
          <cell r="B315" t="str">
            <v>FPRO-260324-0023</v>
          </cell>
          <cell r="C315" t="str">
            <v>BDB-000125</v>
          </cell>
          <cell r="D315" t="str">
            <v>PVN-002413</v>
          </cell>
          <cell r="E315" t="str">
            <v>OrthoLite Regular-Nike AIR BLUE/16-4134TPX 0.11D 25+/-4 Asker C 1.1M 2M 4.2mm</v>
          </cell>
          <cell r="F315">
            <v>800</v>
          </cell>
          <cell r="G315">
            <v>800</v>
          </cell>
          <cell r="H315">
            <v>0</v>
          </cell>
          <cell r="I315">
            <v>800</v>
          </cell>
          <cell r="J315" t="str">
            <v>NIKE</v>
          </cell>
          <cell r="K315" t="str">
            <v>Forecast</v>
          </cell>
          <cell r="L315" t="str">
            <v>DIE CUT</v>
          </cell>
          <cell r="M315">
            <v>1</v>
          </cell>
        </row>
        <row r="316">
          <cell r="A316" t="str">
            <v>F-2026-03-452</v>
          </cell>
          <cell r="B316" t="str">
            <v>FPRO-260324-0024</v>
          </cell>
          <cell r="C316" t="str">
            <v>BDB-000161</v>
          </cell>
          <cell r="D316" t="str">
            <v>PVN-001560</v>
          </cell>
          <cell r="E316" t="str">
            <v>OrthoLite Ultra-Nike FOSSIL/17-0909TPX 0.085D 25+/-4 Asker C 1.1M 2M 4mm</v>
          </cell>
          <cell r="F316">
            <v>1050</v>
          </cell>
          <cell r="G316">
            <v>1050</v>
          </cell>
          <cell r="H316">
            <v>1050</v>
          </cell>
          <cell r="I316">
            <v>0</v>
          </cell>
          <cell r="J316" t="str">
            <v>NIKE</v>
          </cell>
          <cell r="K316" t="str">
            <v>Forecast</v>
          </cell>
          <cell r="L316" t="str">
            <v>DIE CUT</v>
          </cell>
          <cell r="M316">
            <v>1</v>
          </cell>
        </row>
        <row r="317">
          <cell r="A317" t="str">
            <v>F-2026-03-453</v>
          </cell>
          <cell r="B317" t="str">
            <v>FPRO-260324-0025</v>
          </cell>
          <cell r="C317" t="str">
            <v>BDB-000161</v>
          </cell>
          <cell r="D317" t="str">
            <v>PVN-001560</v>
          </cell>
          <cell r="E317" t="str">
            <v>OrthoLite Ultra-Nike FOSSIL/17-0909TPX 0.085D 25+/-4 Asker C 1.1M 2M 4mm</v>
          </cell>
          <cell r="F317">
            <v>1000</v>
          </cell>
          <cell r="G317">
            <v>1000</v>
          </cell>
          <cell r="H317">
            <v>0</v>
          </cell>
          <cell r="I317">
            <v>1000</v>
          </cell>
          <cell r="J317" t="str">
            <v>NIKE</v>
          </cell>
          <cell r="K317" t="str">
            <v>Forecast</v>
          </cell>
          <cell r="L317" t="str">
            <v>DIE CUT</v>
          </cell>
          <cell r="M317">
            <v>1</v>
          </cell>
        </row>
        <row r="318">
          <cell r="A318" t="str">
            <v>F-2026-03-454</v>
          </cell>
          <cell r="B318" t="str">
            <v>FPRO-260324-0026</v>
          </cell>
          <cell r="C318" t="str">
            <v>BDB-000161</v>
          </cell>
          <cell r="D318" t="str">
            <v>PVN-001560</v>
          </cell>
          <cell r="E318" t="str">
            <v>OrthoLite Ultra-Nike FOSSIL/17-0909TPX 0.085D 25+/-4 Asker C 1.1M 2M 4mm</v>
          </cell>
          <cell r="F318">
            <v>1000</v>
          </cell>
          <cell r="G318">
            <v>1000</v>
          </cell>
          <cell r="H318">
            <v>0</v>
          </cell>
          <cell r="I318">
            <v>1000</v>
          </cell>
          <cell r="J318" t="str">
            <v>NIKE</v>
          </cell>
          <cell r="K318" t="str">
            <v>Forecast</v>
          </cell>
          <cell r="L318" t="str">
            <v>DIE CUT</v>
          </cell>
          <cell r="M318">
            <v>1</v>
          </cell>
        </row>
        <row r="319">
          <cell r="A319" t="str">
            <v>F-2026-03-455</v>
          </cell>
          <cell r="B319" t="str">
            <v>FPRO-260324-0027</v>
          </cell>
          <cell r="C319" t="str">
            <v>BDB-000161</v>
          </cell>
          <cell r="D319" t="str">
            <v>PVN-001560</v>
          </cell>
          <cell r="E319" t="str">
            <v>OrthoLite Ultra-Nike FOSSIL/17-0909TPX 0.085D 25+/-4 Asker C 1.1M 2M 4mm</v>
          </cell>
          <cell r="F319">
            <v>1000</v>
          </cell>
          <cell r="G319">
            <v>1000</v>
          </cell>
          <cell r="H319">
            <v>0</v>
          </cell>
          <cell r="I319">
            <v>1000</v>
          </cell>
          <cell r="J319" t="str">
            <v>NIKE</v>
          </cell>
          <cell r="K319" t="str">
            <v>Forecast</v>
          </cell>
          <cell r="L319" t="str">
            <v>DIE CUT</v>
          </cell>
          <cell r="M319">
            <v>1</v>
          </cell>
        </row>
        <row r="320">
          <cell r="A320" t="str">
            <v>F-2026-03-456</v>
          </cell>
          <cell r="B320" t="str">
            <v>FPRO-260324-0028</v>
          </cell>
          <cell r="C320" t="str">
            <v>BDB-000161</v>
          </cell>
          <cell r="D320" t="str">
            <v>PVN-001560</v>
          </cell>
          <cell r="E320" t="str">
            <v>OrthoLite Ultra-Nike FOSSIL/17-0909TPX 0.085D 25+/-4 Asker C 1.1M 2M 4mm</v>
          </cell>
          <cell r="F320">
            <v>1000</v>
          </cell>
          <cell r="G320">
            <v>1000</v>
          </cell>
          <cell r="H320">
            <v>0</v>
          </cell>
          <cell r="I320">
            <v>1000</v>
          </cell>
          <cell r="J320" t="str">
            <v>NIKE</v>
          </cell>
          <cell r="K320" t="str">
            <v>Forecast</v>
          </cell>
          <cell r="L320" t="str">
            <v>DIE CUT</v>
          </cell>
          <cell r="M320">
            <v>1</v>
          </cell>
        </row>
        <row r="321">
          <cell r="A321" t="str">
            <v>F-2026-03-457-1</v>
          </cell>
          <cell r="B321" t="str">
            <v>FPRO-260330-0004</v>
          </cell>
          <cell r="C321" t="str">
            <v>BDB-000156</v>
          </cell>
          <cell r="D321" t="str">
            <v>PVN-003243</v>
          </cell>
          <cell r="E321" t="str">
            <v>OrthoLite X-35-Hybrid-Nike AMAZON/18-6024TPX Hybrid 0.145D 25+/-4 Asker C 1.1M 2M 5.2mm</v>
          </cell>
          <cell r="F321">
            <v>1000</v>
          </cell>
          <cell r="G321">
            <v>500</v>
          </cell>
          <cell r="H321">
            <v>500</v>
          </cell>
          <cell r="I321">
            <v>0</v>
          </cell>
          <cell r="J321" t="str">
            <v>NIKE</v>
          </cell>
          <cell r="K321" t="str">
            <v>Forecast</v>
          </cell>
          <cell r="L321" t="str">
            <v>MOLDED</v>
          </cell>
          <cell r="M321">
            <v>1</v>
          </cell>
        </row>
        <row r="322">
          <cell r="A322" t="str">
            <v>F-2026-03-457-2</v>
          </cell>
          <cell r="B322" t="str">
            <v>FPRO-260324-0029</v>
          </cell>
          <cell r="C322" t="str">
            <v>BDB-000156</v>
          </cell>
          <cell r="D322" t="str">
            <v>PVN-003243</v>
          </cell>
          <cell r="E322" t="str">
            <v>OrthoLite X-35-Hybrid-Nike AMAZON/18-6024TPX Hybrid 0.145D 25+/-4 Asker C 1.1M 2M 5.2mm</v>
          </cell>
          <cell r="F322">
            <v>1000</v>
          </cell>
          <cell r="G322">
            <v>500</v>
          </cell>
          <cell r="H322">
            <v>500</v>
          </cell>
          <cell r="I322">
            <v>0</v>
          </cell>
          <cell r="J322" t="str">
            <v>NIKE</v>
          </cell>
          <cell r="K322" t="str">
            <v>Forecast</v>
          </cell>
          <cell r="L322" t="str">
            <v>MOLDED</v>
          </cell>
          <cell r="M322">
            <v>1</v>
          </cell>
        </row>
        <row r="323">
          <cell r="A323" t="str">
            <v>F-2026-03-458</v>
          </cell>
          <cell r="B323" t="str">
            <v>FPRO-260324-0030</v>
          </cell>
          <cell r="C323" t="str">
            <v>BDB-000156</v>
          </cell>
          <cell r="D323" t="str">
            <v>PVN-003243</v>
          </cell>
          <cell r="E323" t="str">
            <v>OrthoLite X-35-Hybrid-Nike AMAZON/18-6024TPX Hybrid 0.145D 25+/-4 Asker C 1.1M 2M 5.2mm</v>
          </cell>
          <cell r="F323">
            <v>1000</v>
          </cell>
          <cell r="G323">
            <v>1000</v>
          </cell>
          <cell r="H323">
            <v>1000</v>
          </cell>
          <cell r="I323">
            <v>0</v>
          </cell>
          <cell r="J323" t="str">
            <v>NIKE</v>
          </cell>
          <cell r="K323" t="str">
            <v>Forecast</v>
          </cell>
          <cell r="L323" t="str">
            <v>MOLDED</v>
          </cell>
          <cell r="M323">
            <v>1</v>
          </cell>
        </row>
        <row r="324">
          <cell r="A324" t="str">
            <v>F-2026-03-459</v>
          </cell>
          <cell r="B324" t="str">
            <v>FPRO-260324-0031</v>
          </cell>
          <cell r="C324" t="str">
            <v>BDB-000156</v>
          </cell>
          <cell r="D324" t="str">
            <v>PVN-003243</v>
          </cell>
          <cell r="E324" t="str">
            <v>OrthoLite X-35-Hybrid-Nike AMAZON/18-6024TPX Hybrid 0.145D 25+/-4 Asker C 1.1M 2M 5.2mm</v>
          </cell>
          <cell r="F324">
            <v>450</v>
          </cell>
          <cell r="G324">
            <v>450</v>
          </cell>
          <cell r="H324">
            <v>0</v>
          </cell>
          <cell r="I324">
            <v>450</v>
          </cell>
          <cell r="J324" t="str">
            <v>NIKE</v>
          </cell>
          <cell r="K324" t="str">
            <v>Forecast</v>
          </cell>
          <cell r="L324" t="str">
            <v>MOLDED</v>
          </cell>
          <cell r="M324">
            <v>1</v>
          </cell>
        </row>
        <row r="325">
          <cell r="A325" t="str">
            <v>F-2026-03-460</v>
          </cell>
          <cell r="B325" t="str">
            <v>FPRO-260324-0032</v>
          </cell>
          <cell r="C325" t="str">
            <v>BDB-000157</v>
          </cell>
          <cell r="D325" t="str">
            <v>PVN-003244</v>
          </cell>
          <cell r="E325" t="str">
            <v>OrthoLite X-35-Hybrid-Nike SEEDPEARL/12-0703TPX Hybrid 0.145D 25+/-4 Asker C 1.1M 2M 5.2mm</v>
          </cell>
          <cell r="F325">
            <v>500</v>
          </cell>
          <cell r="G325">
            <v>500</v>
          </cell>
          <cell r="H325">
            <v>500</v>
          </cell>
          <cell r="I325">
            <v>0</v>
          </cell>
          <cell r="J325" t="str">
            <v>NIKE</v>
          </cell>
          <cell r="K325" t="str">
            <v>Forecast</v>
          </cell>
          <cell r="L325" t="str">
            <v>MOLDED</v>
          </cell>
          <cell r="M325">
            <v>1</v>
          </cell>
        </row>
        <row r="326">
          <cell r="A326" t="str">
            <v>F-2026-03-461</v>
          </cell>
          <cell r="B326" t="str">
            <v>FPRO-260324-0033</v>
          </cell>
          <cell r="C326" t="str">
            <v>BDB-000157</v>
          </cell>
          <cell r="D326" t="str">
            <v>PVN-003244</v>
          </cell>
          <cell r="E326" t="str">
            <v>OrthoLite X-35-Hybrid-Nike SEEDPEARL/12-0703TPX Hybrid 0.145D 25+/-4 Asker C 1.1M 2M 5.2mm</v>
          </cell>
          <cell r="F326">
            <v>184</v>
          </cell>
          <cell r="G326">
            <v>184</v>
          </cell>
          <cell r="H326">
            <v>184</v>
          </cell>
          <cell r="I326">
            <v>0</v>
          </cell>
          <cell r="J326" t="str">
            <v>NIKE</v>
          </cell>
          <cell r="K326" t="str">
            <v>Forecast</v>
          </cell>
          <cell r="L326" t="str">
            <v>MOLDED</v>
          </cell>
          <cell r="M326" t="str">
            <v>1-SLT</v>
          </cell>
        </row>
        <row r="327">
          <cell r="A327" t="str">
            <v>F-2026-03-462-1</v>
          </cell>
          <cell r="B327" t="str">
            <v>FPRO-260324-0034</v>
          </cell>
          <cell r="C327" t="str">
            <v>BDB-000259</v>
          </cell>
          <cell r="D327" t="str">
            <v>PVN-003684</v>
          </cell>
          <cell r="E327" t="str">
            <v>OrthoLite Nike PP002 GLACIER GRAY/14-4102TPX Flat Sheet 0.145D 25+/-4 asker C 1.1M 2M 4.2mm</v>
          </cell>
          <cell r="F327">
            <v>1000</v>
          </cell>
          <cell r="G327">
            <v>1000</v>
          </cell>
          <cell r="H327">
            <v>1000</v>
          </cell>
          <cell r="I327">
            <v>0</v>
          </cell>
          <cell r="J327" t="str">
            <v>NIKE</v>
          </cell>
          <cell r="K327" t="str">
            <v>Forecast</v>
          </cell>
          <cell r="L327" t="str">
            <v>MOLDED</v>
          </cell>
          <cell r="M327">
            <v>1</v>
          </cell>
        </row>
        <row r="328">
          <cell r="A328" t="str">
            <v>F-2026-03-462-2</v>
          </cell>
          <cell r="B328" t="str">
            <v>FPRO-260330-0002</v>
          </cell>
          <cell r="C328" t="str">
            <v>BDB-000259</v>
          </cell>
          <cell r="D328" t="str">
            <v>PVN-003684</v>
          </cell>
          <cell r="E328" t="str">
            <v>OrthoLite Nike PP002 GLACIER GRAY/14-4102TPX Flat Sheet 0.145D 25+/-4 asker C 1.1M 2M 4.2mm</v>
          </cell>
          <cell r="F328">
            <v>1500</v>
          </cell>
          <cell r="G328">
            <v>1500</v>
          </cell>
          <cell r="H328">
            <v>1500</v>
          </cell>
          <cell r="I328">
            <v>0</v>
          </cell>
          <cell r="J328" t="str">
            <v>NIKE</v>
          </cell>
          <cell r="K328" t="str">
            <v>Forecast</v>
          </cell>
          <cell r="L328" t="str">
            <v>MOLDED</v>
          </cell>
          <cell r="M328">
            <v>1</v>
          </cell>
        </row>
        <row r="329">
          <cell r="A329" t="str">
            <v>F-2026-03-463-1</v>
          </cell>
          <cell r="B329" t="str">
            <v>FPRO-260324-0035</v>
          </cell>
          <cell r="C329" t="str">
            <v>BDB-000259</v>
          </cell>
          <cell r="D329" t="str">
            <v>PVN-003684</v>
          </cell>
          <cell r="E329" t="str">
            <v>OrthoLite Nike PP002 GLACIER GRAY/14-4102TPX Flat Sheet 0.145D 25+/-4 asker C 1.1M 2M 4.2mm</v>
          </cell>
          <cell r="F329">
            <v>1000</v>
          </cell>
          <cell r="G329">
            <v>1000</v>
          </cell>
          <cell r="H329">
            <v>1000</v>
          </cell>
          <cell r="I329">
            <v>0</v>
          </cell>
          <cell r="J329" t="str">
            <v>NIKE</v>
          </cell>
          <cell r="K329" t="str">
            <v>Forecast</v>
          </cell>
          <cell r="L329" t="str">
            <v>MOLDED</v>
          </cell>
          <cell r="M329">
            <v>1</v>
          </cell>
        </row>
        <row r="330">
          <cell r="A330" t="str">
            <v>F-2026-03-463-2</v>
          </cell>
          <cell r="B330" t="str">
            <v>FPRO-260330-0003</v>
          </cell>
          <cell r="C330" t="str">
            <v>BDB-000259</v>
          </cell>
          <cell r="D330" t="str">
            <v>PVN-003684</v>
          </cell>
          <cell r="E330" t="str">
            <v>OrthoLite Nike PP002 GLACIER GRAY/14-4102TPX Flat Sheet 0.145D 25+/-4 asker C 1.1M 2M 4.2mm</v>
          </cell>
          <cell r="F330">
            <v>1500</v>
          </cell>
          <cell r="G330">
            <v>1500</v>
          </cell>
          <cell r="H330">
            <v>0</v>
          </cell>
          <cell r="I330">
            <v>1500</v>
          </cell>
          <cell r="J330" t="str">
            <v>NIKE</v>
          </cell>
          <cell r="K330" t="str">
            <v>Forecast</v>
          </cell>
          <cell r="L330" t="str">
            <v>MOLDED</v>
          </cell>
          <cell r="M330">
            <v>1</v>
          </cell>
        </row>
        <row r="331">
          <cell r="A331" t="str">
            <v>F-2026-03-464-1</v>
          </cell>
          <cell r="B331" t="str">
            <v>FPRO-260324-0036</v>
          </cell>
          <cell r="C331" t="str">
            <v>BDB-000259</v>
          </cell>
          <cell r="D331" t="str">
            <v>PVN-003684</v>
          </cell>
          <cell r="E331" t="str">
            <v>OrthoLite Nike PP002 GLACIER GRAY/14-4102TPX Flat Sheet 0.145D 25+/-4 asker C 1.1M 2M 4.2mm</v>
          </cell>
          <cell r="F331">
            <v>2500</v>
          </cell>
          <cell r="G331">
            <v>1000</v>
          </cell>
          <cell r="H331">
            <v>0</v>
          </cell>
          <cell r="I331">
            <v>1000</v>
          </cell>
          <cell r="J331" t="str">
            <v>NIKE</v>
          </cell>
          <cell r="K331" t="str">
            <v>Forecast</v>
          </cell>
          <cell r="L331" t="str">
            <v>MOLDED</v>
          </cell>
          <cell r="M331" t="str">
            <v>1-SLT</v>
          </cell>
        </row>
        <row r="332">
          <cell r="A332" t="str">
            <v>F-2026-03-464-2</v>
          </cell>
          <cell r="B332" t="str">
            <v>FPRO-260401-0012</v>
          </cell>
          <cell r="C332" t="str">
            <v>BDB-000259</v>
          </cell>
          <cell r="D332" t="str">
            <v>PVN-003684</v>
          </cell>
          <cell r="E332" t="str">
            <v>OrthoLite Nike PP002 GLACIER GRAY/14-4102TPX Flat Sheet 0.145D 25+/-4 asker C 1.1M 2M 4.2mm</v>
          </cell>
          <cell r="F332">
            <v>2500</v>
          </cell>
          <cell r="G332">
            <v>1500</v>
          </cell>
          <cell r="H332">
            <v>0</v>
          </cell>
          <cell r="I332">
            <v>1500</v>
          </cell>
          <cell r="J332" t="str">
            <v>NIKE</v>
          </cell>
          <cell r="K332" t="str">
            <v>Forecast</v>
          </cell>
          <cell r="L332" t="str">
            <v>MOLDED</v>
          </cell>
          <cell r="M332" t="str">
            <v>1-SLT</v>
          </cell>
        </row>
        <row r="333">
          <cell r="A333" t="str">
            <v>F-2026-03-465</v>
          </cell>
          <cell r="B333" t="str">
            <v>FPRO-260324-0037</v>
          </cell>
          <cell r="C333" t="str">
            <v>BDB-000259</v>
          </cell>
          <cell r="D333" t="str">
            <v>PVN-003684</v>
          </cell>
          <cell r="E333" t="str">
            <v>OrthoLite Nike PP002 GLACIER GRAY/14-4102TPX Flat Sheet 0.145D 25+/-4 asker C 1.1M 2M 4.2mm</v>
          </cell>
          <cell r="F333">
            <v>2500</v>
          </cell>
          <cell r="G333">
            <v>2500</v>
          </cell>
          <cell r="H333">
            <v>2500</v>
          </cell>
          <cell r="I333">
            <v>0</v>
          </cell>
          <cell r="J333" t="str">
            <v>NIKE</v>
          </cell>
          <cell r="K333" t="str">
            <v>Forecast</v>
          </cell>
          <cell r="L333" t="str">
            <v>MOLDED</v>
          </cell>
          <cell r="M333" t="str">
            <v>1-SLT</v>
          </cell>
        </row>
        <row r="334">
          <cell r="A334" t="str">
            <v>F-2026-03-466</v>
          </cell>
          <cell r="B334" t="str">
            <v>FPRO-260324-0038</v>
          </cell>
          <cell r="C334" t="str">
            <v>BDB-000259</v>
          </cell>
          <cell r="D334" t="str">
            <v>PVN-003684</v>
          </cell>
          <cell r="E334" t="str">
            <v>OrthoLite Nike PP002 GLACIER GRAY/14-4102TPX Flat Sheet 0.145D 25+/-4 asker C 1.1M 2M 4.2mm</v>
          </cell>
          <cell r="F334">
            <v>1800</v>
          </cell>
          <cell r="G334">
            <v>1800</v>
          </cell>
          <cell r="H334">
            <v>0</v>
          </cell>
          <cell r="I334">
            <v>1800</v>
          </cell>
          <cell r="J334" t="str">
            <v>NIKE</v>
          </cell>
          <cell r="K334" t="str">
            <v>Forecast</v>
          </cell>
          <cell r="L334" t="str">
            <v>MOLDED</v>
          </cell>
          <cell r="M334">
            <v>1</v>
          </cell>
        </row>
        <row r="335">
          <cell r="A335" t="str">
            <v>F-2026-03-467</v>
          </cell>
          <cell r="B335" t="str">
            <v>FPRO-260324-0039</v>
          </cell>
          <cell r="C335" t="str">
            <v>BDB-000129</v>
          </cell>
          <cell r="D335" t="str">
            <v>PVN-001550</v>
          </cell>
          <cell r="E335" t="str">
            <v>OrthoLite Regular-Nike AIR BLUE/16-4134TPX 0.11D 25+/-4 Asker C 1.1M 1.7M 2mm</v>
          </cell>
          <cell r="F335">
            <v>2500</v>
          </cell>
          <cell r="G335">
            <v>2500</v>
          </cell>
          <cell r="H335">
            <v>2500</v>
          </cell>
          <cell r="I335">
            <v>0</v>
          </cell>
          <cell r="J335" t="str">
            <v>NIKE</v>
          </cell>
          <cell r="K335" t="str">
            <v>Forecast</v>
          </cell>
          <cell r="L335" t="str">
            <v>DIE CUT</v>
          </cell>
          <cell r="M335">
            <v>1</v>
          </cell>
        </row>
        <row r="336">
          <cell r="A336" t="str">
            <v>F-2026-03-468</v>
          </cell>
          <cell r="B336" t="str">
            <v>FPRO-260324-0040</v>
          </cell>
          <cell r="C336" t="str">
            <v>BDB-000129</v>
          </cell>
          <cell r="D336" t="str">
            <v>PVN-001550</v>
          </cell>
          <cell r="E336" t="str">
            <v>OrthoLite Regular-Nike AIR BLUE/16-4134TPX 0.11D 25+/-4 Asker C 1.1M 1.7M 2mm</v>
          </cell>
          <cell r="F336">
            <v>2500</v>
          </cell>
          <cell r="G336">
            <v>2500</v>
          </cell>
          <cell r="H336">
            <v>2500</v>
          </cell>
          <cell r="I336">
            <v>0</v>
          </cell>
          <cell r="J336" t="str">
            <v>NIKE</v>
          </cell>
          <cell r="K336" t="str">
            <v>Forecast</v>
          </cell>
          <cell r="L336" t="str">
            <v>DIE CUT</v>
          </cell>
          <cell r="M336">
            <v>1</v>
          </cell>
        </row>
        <row r="337">
          <cell r="A337" t="str">
            <v>F-2026-03-470</v>
          </cell>
          <cell r="B337" t="str">
            <v>FPRO-260324-0042</v>
          </cell>
          <cell r="C337" t="str">
            <v>BDB-000129</v>
          </cell>
          <cell r="D337" t="str">
            <v>PVN-001550</v>
          </cell>
          <cell r="E337" t="str">
            <v>OrthoLite Regular-Nike AIR BLUE/16-4134TPX 0.11D 25+/-4 Asker C 1.1M 1.7M 2mm</v>
          </cell>
          <cell r="F337">
            <v>2500</v>
          </cell>
          <cell r="G337">
            <v>2500</v>
          </cell>
          <cell r="H337">
            <v>2500</v>
          </cell>
          <cell r="I337">
            <v>0</v>
          </cell>
          <cell r="J337" t="str">
            <v>NIKE</v>
          </cell>
          <cell r="K337" t="str">
            <v>Forecast</v>
          </cell>
          <cell r="L337" t="str">
            <v>DIE CUT</v>
          </cell>
          <cell r="M337">
            <v>1</v>
          </cell>
        </row>
        <row r="338">
          <cell r="A338" t="str">
            <v>F-2026-03-471</v>
          </cell>
          <cell r="B338" t="str">
            <v>FPRO-260324-0043</v>
          </cell>
          <cell r="C338" t="str">
            <v>BDB-000129</v>
          </cell>
          <cell r="D338" t="str">
            <v>PVN-001550</v>
          </cell>
          <cell r="E338" t="str">
            <v>OrthoLite Regular-Nike AIR BLUE/16-4134TPX 0.11D 25+/-4 Asker C 1.1M 1.7M 2mm</v>
          </cell>
          <cell r="F338">
            <v>2500</v>
          </cell>
          <cell r="G338">
            <v>2500</v>
          </cell>
          <cell r="H338">
            <v>2500</v>
          </cell>
          <cell r="I338">
            <v>0</v>
          </cell>
          <cell r="J338" t="str">
            <v>NIKE</v>
          </cell>
          <cell r="K338" t="str">
            <v>Forecast</v>
          </cell>
          <cell r="L338" t="str">
            <v>DIE CUT</v>
          </cell>
          <cell r="M338">
            <v>1</v>
          </cell>
        </row>
        <row r="339">
          <cell r="A339" t="str">
            <v>F-2026-03-472</v>
          </cell>
          <cell r="B339" t="str">
            <v>FPRO-260324-0044</v>
          </cell>
          <cell r="C339" t="str">
            <v>BDB-000129</v>
          </cell>
          <cell r="D339" t="str">
            <v>PVN-001550</v>
          </cell>
          <cell r="E339" t="str">
            <v>OrthoLite Regular-Nike AIR BLUE/16-4134TPX 0.11D 25+/-4 Asker C 1.1M 1.7M 2mm</v>
          </cell>
          <cell r="F339">
            <v>700</v>
          </cell>
          <cell r="G339">
            <v>700</v>
          </cell>
          <cell r="H339">
            <v>700</v>
          </cell>
          <cell r="I339">
            <v>0</v>
          </cell>
          <cell r="J339" t="str">
            <v>NIKE</v>
          </cell>
          <cell r="K339" t="str">
            <v>Forecast</v>
          </cell>
          <cell r="L339" t="str">
            <v>DIE CUT</v>
          </cell>
          <cell r="M339" t="str">
            <v>1-SLT</v>
          </cell>
        </row>
        <row r="340">
          <cell r="A340" t="str">
            <v>F-2026-03-473</v>
          </cell>
          <cell r="B340" t="str">
            <v>FPRO-260324-0045</v>
          </cell>
          <cell r="C340" t="str">
            <v>BDB-000131</v>
          </cell>
          <cell r="D340" t="str">
            <v>PVN-001565</v>
          </cell>
          <cell r="E340" t="str">
            <v>OrthoLite Regular-Nike AIR BLUE/16-4134TPX 0.11D 15+/-4 Asker C 1.1M 2M 4mm</v>
          </cell>
          <cell r="F340">
            <v>1000</v>
          </cell>
          <cell r="G340">
            <v>1000</v>
          </cell>
          <cell r="H340">
            <v>1000</v>
          </cell>
          <cell r="I340">
            <v>0</v>
          </cell>
          <cell r="J340" t="str">
            <v>NIKE</v>
          </cell>
          <cell r="K340" t="str">
            <v>Forecast</v>
          </cell>
          <cell r="L340" t="str">
            <v>DIE CUT</v>
          </cell>
          <cell r="M340">
            <v>1</v>
          </cell>
        </row>
        <row r="341">
          <cell r="A341" t="str">
            <v>F-2026-03-474</v>
          </cell>
          <cell r="B341" t="str">
            <v>FPRO-260324-0046</v>
          </cell>
          <cell r="C341" t="str">
            <v>BDB-000131</v>
          </cell>
          <cell r="D341" t="str">
            <v>PVN-001565</v>
          </cell>
          <cell r="E341" t="str">
            <v>OrthoLite Regular-Nike AIR BLUE/16-4134TPX 0.11D 15+/-4 Asker C 1.1M 2M 4mm</v>
          </cell>
          <cell r="F341">
            <v>1000</v>
          </cell>
          <cell r="G341">
            <v>1000</v>
          </cell>
          <cell r="H341">
            <v>1000</v>
          </cell>
          <cell r="I341">
            <v>0</v>
          </cell>
          <cell r="J341" t="str">
            <v>NIKE</v>
          </cell>
          <cell r="K341" t="str">
            <v>Forecast</v>
          </cell>
          <cell r="L341" t="str">
            <v>DIE CUT</v>
          </cell>
          <cell r="M341">
            <v>1</v>
          </cell>
        </row>
        <row r="342">
          <cell r="A342" t="str">
            <v>F-2026-03-475</v>
          </cell>
          <cell r="B342" t="str">
            <v>FPRO-260324-0047</v>
          </cell>
          <cell r="C342" t="str">
            <v>BDB-000131</v>
          </cell>
          <cell r="D342" t="str">
            <v>PVN-001565</v>
          </cell>
          <cell r="E342" t="str">
            <v>OrthoLite Regular-Nike AIR BLUE/16-4134TPX 0.11D 15+/-4 Asker C 1.1M 2M 4mm</v>
          </cell>
          <cell r="F342">
            <v>1000</v>
          </cell>
          <cell r="G342">
            <v>1000</v>
          </cell>
          <cell r="H342">
            <v>0</v>
          </cell>
          <cell r="I342">
            <v>1000</v>
          </cell>
          <cell r="J342" t="str">
            <v>NIKE</v>
          </cell>
          <cell r="K342" t="str">
            <v>Forecast</v>
          </cell>
          <cell r="L342" t="str">
            <v>DIE CUT</v>
          </cell>
          <cell r="M342">
            <v>1</v>
          </cell>
        </row>
        <row r="343">
          <cell r="A343" t="str">
            <v>F-2026-03-476</v>
          </cell>
          <cell r="B343" t="str">
            <v>FPRO-260324-0048</v>
          </cell>
          <cell r="C343" t="str">
            <v>BDB-000131</v>
          </cell>
          <cell r="D343" t="str">
            <v>PVN-001565</v>
          </cell>
          <cell r="E343" t="str">
            <v>OrthoLite Regular-Nike AIR BLUE/16-4134TPX 0.11D 15+/-4 Asker C 1.1M 2M 4mm</v>
          </cell>
          <cell r="F343">
            <v>1000</v>
          </cell>
          <cell r="G343">
            <v>1000</v>
          </cell>
          <cell r="H343">
            <v>1000</v>
          </cell>
          <cell r="I343">
            <v>0</v>
          </cell>
          <cell r="J343" t="str">
            <v>NIKE</v>
          </cell>
          <cell r="K343" t="str">
            <v>Forecast</v>
          </cell>
          <cell r="L343" t="str">
            <v>DIE CUT</v>
          </cell>
          <cell r="M343">
            <v>1</v>
          </cell>
        </row>
        <row r="344">
          <cell r="A344" t="str">
            <v>F-2026-03-477</v>
          </cell>
          <cell r="B344" t="str">
            <v>FPRO-260324-0049</v>
          </cell>
          <cell r="C344" t="str">
            <v>BDB-000131</v>
          </cell>
          <cell r="D344" t="str">
            <v>PVN-001565</v>
          </cell>
          <cell r="E344" t="str">
            <v>OrthoLite Regular-Nike AIR BLUE/16-4134TPX 0.11D 15+/-4 Asker C 1.1M 2M 4mm</v>
          </cell>
          <cell r="F344">
            <v>400</v>
          </cell>
          <cell r="G344">
            <v>400</v>
          </cell>
          <cell r="H344">
            <v>0</v>
          </cell>
          <cell r="I344">
            <v>400</v>
          </cell>
          <cell r="J344" t="str">
            <v>NIKE</v>
          </cell>
          <cell r="K344" t="str">
            <v>Forecast</v>
          </cell>
          <cell r="L344" t="str">
            <v>DIE CUT</v>
          </cell>
          <cell r="M344">
            <v>1</v>
          </cell>
        </row>
        <row r="345">
          <cell r="A345" t="str">
            <v>F-2026-03-478</v>
          </cell>
          <cell r="B345" t="str">
            <v>FPRO-260324-0050</v>
          </cell>
          <cell r="C345" t="str">
            <v>BDB-000163</v>
          </cell>
          <cell r="D345" t="str">
            <v>PVN-001556</v>
          </cell>
          <cell r="E345" t="str">
            <v>OrthoLite Ultra-Nike YELLOW/13-0858TPX 0.085D 25+/-4 Asker C 1.1M 2M 4mm</v>
          </cell>
          <cell r="F345">
            <v>1600</v>
          </cell>
          <cell r="G345">
            <v>1600</v>
          </cell>
          <cell r="H345">
            <v>0</v>
          </cell>
          <cell r="I345">
            <v>1600</v>
          </cell>
          <cell r="J345" t="str">
            <v>NIKE</v>
          </cell>
          <cell r="K345" t="str">
            <v>Forecast</v>
          </cell>
          <cell r="L345" t="str">
            <v>DIE CUT</v>
          </cell>
          <cell r="M345">
            <v>1</v>
          </cell>
        </row>
        <row r="346">
          <cell r="A346" t="str">
            <v>F-2026-03-479</v>
          </cell>
          <cell r="B346" t="str">
            <v>FPRO-260324-0051</v>
          </cell>
          <cell r="C346" t="str">
            <v>BDB-000163</v>
          </cell>
          <cell r="D346" t="str">
            <v>PVN-001556</v>
          </cell>
          <cell r="E346" t="str">
            <v>OrthoLite Ultra-Nike YELLOW/13-0858TPX 0.085D 25+/-4 Asker C 1.1M 2M 4mm</v>
          </cell>
          <cell r="F346">
            <v>1500</v>
          </cell>
          <cell r="G346">
            <v>1500</v>
          </cell>
          <cell r="H346">
            <v>0</v>
          </cell>
          <cell r="I346">
            <v>1500</v>
          </cell>
          <cell r="J346" t="str">
            <v>NIKE</v>
          </cell>
          <cell r="K346" t="str">
            <v>Forecast</v>
          </cell>
          <cell r="L346" t="str">
            <v>DIE CUT</v>
          </cell>
          <cell r="M346">
            <v>1</v>
          </cell>
        </row>
        <row r="347">
          <cell r="A347" t="str">
            <v>F-2026-03-480</v>
          </cell>
          <cell r="B347" t="str">
            <v>FPRO-260324-0052</v>
          </cell>
          <cell r="C347" t="str">
            <v>BDB-000163</v>
          </cell>
          <cell r="D347" t="str">
            <v>PVN-001556</v>
          </cell>
          <cell r="E347" t="str">
            <v>OrthoLite Ultra-Nike YELLOW/13-0858TPX 0.085D 25+/-4 Asker C 1.1M 2M 4mm</v>
          </cell>
          <cell r="F347">
            <v>1500</v>
          </cell>
          <cell r="G347">
            <v>1500</v>
          </cell>
          <cell r="H347">
            <v>0</v>
          </cell>
          <cell r="I347">
            <v>1500</v>
          </cell>
          <cell r="J347" t="str">
            <v>NIKE</v>
          </cell>
          <cell r="K347" t="str">
            <v>Forecast</v>
          </cell>
          <cell r="L347" t="str">
            <v>DIE CUT</v>
          </cell>
          <cell r="M347">
            <v>1</v>
          </cell>
        </row>
        <row r="348">
          <cell r="A348" t="str">
            <v>F-2026-03-481</v>
          </cell>
          <cell r="B348" t="str">
            <v>FPRO-260324-0053</v>
          </cell>
          <cell r="C348" t="str">
            <v>BDB-000218</v>
          </cell>
          <cell r="D348" t="str">
            <v>PVN-003488</v>
          </cell>
          <cell r="E348" t="str">
            <v>OrthoLite Ultra-Nike SEEDPEARL/12-0703TPX 0.085D 5-10 Asker C 1.1M 2M 4mm</v>
          </cell>
          <cell r="F348">
            <v>500</v>
          </cell>
          <cell r="G348">
            <v>500</v>
          </cell>
          <cell r="H348">
            <v>500</v>
          </cell>
          <cell r="I348">
            <v>0</v>
          </cell>
          <cell r="J348" t="str">
            <v>NIKE</v>
          </cell>
          <cell r="K348" t="str">
            <v>Forecast</v>
          </cell>
          <cell r="L348" t="str">
            <v>DIE CUT</v>
          </cell>
          <cell r="M348">
            <v>1</v>
          </cell>
        </row>
        <row r="349">
          <cell r="A349" t="str">
            <v>F-2026-03-482</v>
          </cell>
          <cell r="B349" t="str">
            <v>FPRO-260324-0054</v>
          </cell>
          <cell r="C349" t="str">
            <v>BDB-000218</v>
          </cell>
          <cell r="D349" t="str">
            <v>PVN-003488</v>
          </cell>
          <cell r="E349" t="str">
            <v>OrthoLite Ultra-Nike SEEDPEARL/12-0703TPX 0.085D 5-10 Asker C 1.1M 2M 4mm</v>
          </cell>
          <cell r="F349">
            <v>500</v>
          </cell>
          <cell r="G349">
            <v>500</v>
          </cell>
          <cell r="H349">
            <v>500</v>
          </cell>
          <cell r="I349">
            <v>0</v>
          </cell>
          <cell r="J349" t="str">
            <v>NIKE</v>
          </cell>
          <cell r="K349" t="str">
            <v>Forecast</v>
          </cell>
          <cell r="L349" t="str">
            <v>DIE CUT</v>
          </cell>
          <cell r="M349">
            <v>1</v>
          </cell>
        </row>
        <row r="350">
          <cell r="A350" t="str">
            <v>F-2026-03-483</v>
          </cell>
          <cell r="B350" t="str">
            <v>FPRO-260324-0055</v>
          </cell>
          <cell r="C350" t="str">
            <v>BDB-000218</v>
          </cell>
          <cell r="D350" t="str">
            <v>PVN-003488</v>
          </cell>
          <cell r="E350" t="str">
            <v>OrthoLite Ultra-Nike SEEDPEARL/12-0703TPX 0.085D 5-10 Asker C 1.1M 2M 4mm</v>
          </cell>
          <cell r="F350">
            <v>500</v>
          </cell>
          <cell r="G350">
            <v>500</v>
          </cell>
          <cell r="H350">
            <v>500</v>
          </cell>
          <cell r="I350">
            <v>0</v>
          </cell>
          <cell r="J350" t="str">
            <v>NIKE</v>
          </cell>
          <cell r="K350" t="str">
            <v>Forecast</v>
          </cell>
          <cell r="L350" t="str">
            <v>DIE CUT</v>
          </cell>
          <cell r="M350">
            <v>1</v>
          </cell>
        </row>
        <row r="351">
          <cell r="A351" t="str">
            <v>F-2026-03-484</v>
          </cell>
          <cell r="B351" t="str">
            <v>FPRO-260324-0056</v>
          </cell>
          <cell r="C351" t="str">
            <v>BDB-000218</v>
          </cell>
          <cell r="D351" t="str">
            <v>PVN-003488</v>
          </cell>
          <cell r="E351" t="str">
            <v>OrthoLite Ultra-Nike SEEDPEARL/12-0703TPX 0.085D 5-10 Asker C 1.1M 2M 4mm</v>
          </cell>
          <cell r="F351">
            <v>300</v>
          </cell>
          <cell r="G351">
            <v>300</v>
          </cell>
          <cell r="H351">
            <v>300</v>
          </cell>
          <cell r="I351">
            <v>0</v>
          </cell>
          <cell r="J351" t="str">
            <v>NIKE</v>
          </cell>
          <cell r="K351" t="str">
            <v>Forecast</v>
          </cell>
          <cell r="L351" t="str">
            <v>DIE CUT</v>
          </cell>
          <cell r="M351">
            <v>1</v>
          </cell>
        </row>
        <row r="352">
          <cell r="A352" t="str">
            <v>F-2026-03-485</v>
          </cell>
          <cell r="B352" t="str">
            <v>FPRO-260324-0057</v>
          </cell>
          <cell r="C352" t="str">
            <v>BDB-000175</v>
          </cell>
          <cell r="D352" t="str">
            <v>PVN-002875</v>
          </cell>
          <cell r="E352" t="str">
            <v>OrthoLite Ultra-Hybrid-Nike SEEDPEARL/12-0703TPX Hybrid 0.085D 25+/-4 Asker C 1.1M 2M 3mm</v>
          </cell>
          <cell r="F352">
            <v>1000</v>
          </cell>
          <cell r="G352">
            <v>1000</v>
          </cell>
          <cell r="H352">
            <v>1000</v>
          </cell>
          <cell r="I352">
            <v>0</v>
          </cell>
          <cell r="J352" t="str">
            <v>NIKE</v>
          </cell>
          <cell r="K352" t="str">
            <v>Forecast</v>
          </cell>
          <cell r="L352" t="str">
            <v>DIE CUT</v>
          </cell>
          <cell r="M352">
            <v>1</v>
          </cell>
        </row>
        <row r="353">
          <cell r="A353" t="str">
            <v>F-2026-03-486</v>
          </cell>
          <cell r="B353" t="str">
            <v>FPRO-260324-0058</v>
          </cell>
          <cell r="C353" t="str">
            <v>BDB-000175</v>
          </cell>
          <cell r="D353" t="str">
            <v>PVN-002875</v>
          </cell>
          <cell r="E353" t="str">
            <v>OrthoLite Ultra-Hybrid-Nike SEEDPEARL/12-0703TPX Hybrid 0.085D 25+/-4 Asker C 1.1M 2M 3mm</v>
          </cell>
          <cell r="F353">
            <v>1000</v>
          </cell>
          <cell r="G353">
            <v>1000</v>
          </cell>
          <cell r="H353">
            <v>1000</v>
          </cell>
          <cell r="I353">
            <v>0</v>
          </cell>
          <cell r="J353" t="str">
            <v>NIKE</v>
          </cell>
          <cell r="K353" t="str">
            <v>Forecast</v>
          </cell>
          <cell r="L353" t="str">
            <v>DIE CUT</v>
          </cell>
          <cell r="M353">
            <v>1</v>
          </cell>
        </row>
        <row r="354">
          <cell r="A354" t="str">
            <v>F-2026-03-488</v>
          </cell>
          <cell r="B354" t="str">
            <v>FPRO-260324-0060</v>
          </cell>
          <cell r="C354" t="str">
            <v>BDB-000175</v>
          </cell>
          <cell r="D354" t="str">
            <v>PVN-002875</v>
          </cell>
          <cell r="E354" t="str">
            <v>OrthoLite Ultra-Hybrid-Nike SEEDPEARL/12-0703TPX Hybrid 0.085D 25+/-4 Asker C 1.1M 2M 3mm</v>
          </cell>
          <cell r="F354">
            <v>500</v>
          </cell>
          <cell r="G354">
            <v>500</v>
          </cell>
          <cell r="H354">
            <v>0</v>
          </cell>
          <cell r="I354">
            <v>500</v>
          </cell>
          <cell r="J354" t="str">
            <v>NIKE</v>
          </cell>
          <cell r="K354" t="str">
            <v>Forecast</v>
          </cell>
          <cell r="L354" t="str">
            <v>DIE CUT</v>
          </cell>
          <cell r="M354">
            <v>1</v>
          </cell>
        </row>
        <row r="355">
          <cell r="A355" t="str">
            <v>F-2026-03-489</v>
          </cell>
          <cell r="B355" t="str">
            <v>FPRO-260324-0061</v>
          </cell>
          <cell r="C355" t="str">
            <v>BDB-000145</v>
          </cell>
          <cell r="D355" t="str">
            <v>PVN-002811</v>
          </cell>
          <cell r="E355" t="str">
            <v>OrthoLite Regular-Hybrid-Nike YELLOW/13-0858TPX Hybrid 0.11D 25+/-4 Asker C 1.1M 1.7M 2mm</v>
          </cell>
          <cell r="F355">
            <v>500</v>
          </cell>
          <cell r="G355">
            <v>500</v>
          </cell>
          <cell r="H355">
            <v>500</v>
          </cell>
          <cell r="I355">
            <v>0</v>
          </cell>
          <cell r="J355" t="str">
            <v>NIKE</v>
          </cell>
          <cell r="K355" t="str">
            <v>Forecast</v>
          </cell>
          <cell r="L355" t="str">
            <v>DIE CUT</v>
          </cell>
          <cell r="M355">
            <v>1</v>
          </cell>
        </row>
        <row r="356">
          <cell r="A356" t="str">
            <v>F-2026-03-490</v>
          </cell>
          <cell r="B356" t="str">
            <v>FPRO-260324-0062</v>
          </cell>
          <cell r="C356" t="str">
            <v>BDB-000145</v>
          </cell>
          <cell r="D356" t="str">
            <v>PVN-002811</v>
          </cell>
          <cell r="E356" t="str">
            <v>OrthoLite Regular-Hybrid-Nike YELLOW/13-0858TPX Hybrid 0.11D 25+/-4 Asker C 1.1M 1.7M 2mm</v>
          </cell>
          <cell r="F356">
            <v>200</v>
          </cell>
          <cell r="G356">
            <v>200</v>
          </cell>
          <cell r="H356">
            <v>0</v>
          </cell>
          <cell r="I356">
            <v>200</v>
          </cell>
          <cell r="J356" t="str">
            <v>NIKE</v>
          </cell>
          <cell r="K356" t="str">
            <v>Forecast</v>
          </cell>
          <cell r="L356" t="str">
            <v>DIE CUT</v>
          </cell>
          <cell r="M356">
            <v>1</v>
          </cell>
        </row>
        <row r="357">
          <cell r="A357" t="str">
            <v>F-2026-03-491-1</v>
          </cell>
          <cell r="B357" t="str">
            <v>FPRO-260324-0063</v>
          </cell>
          <cell r="C357" t="str">
            <v>BDB-000125</v>
          </cell>
          <cell r="D357" t="str">
            <v>PVN-001579</v>
          </cell>
          <cell r="E357" t="str">
            <v>OrthoLite Regular-Nike AIR BLUE/16-4134TPX Flat Sheet 0.11D 25+/-4 Asker C 1.1M 2M 4mm</v>
          </cell>
          <cell r="F357">
            <v>1250</v>
          </cell>
          <cell r="G357">
            <v>750</v>
          </cell>
          <cell r="H357">
            <v>0</v>
          </cell>
          <cell r="I357">
            <v>750</v>
          </cell>
          <cell r="J357" t="str">
            <v>NIKE</v>
          </cell>
          <cell r="K357" t="str">
            <v>Forecast</v>
          </cell>
          <cell r="L357" t="str">
            <v>DIE CUT</v>
          </cell>
          <cell r="M357">
            <v>1</v>
          </cell>
        </row>
        <row r="358">
          <cell r="A358" t="str">
            <v>F-2026-03-491-2</v>
          </cell>
          <cell r="B358" t="str">
            <v>FPRO-260428-0001</v>
          </cell>
          <cell r="C358" t="str">
            <v>BDB-000125</v>
          </cell>
          <cell r="D358" t="str">
            <v>PVN-001579</v>
          </cell>
          <cell r="E358" t="str">
            <v>OrthoLite Regular-Nike AIR BLUE/16-4134TPX Flat Sheet 0.11D 25+/-4 Asker C 1.1M 2M 4mm</v>
          </cell>
          <cell r="F358">
            <v>1250</v>
          </cell>
          <cell r="G358">
            <v>500</v>
          </cell>
          <cell r="H358">
            <v>0</v>
          </cell>
          <cell r="I358">
            <v>500</v>
          </cell>
          <cell r="J358" t="str">
            <v>NIKE</v>
          </cell>
          <cell r="K358" t="str">
            <v>Forecast</v>
          </cell>
          <cell r="L358" t="str">
            <v>DIE CUT</v>
          </cell>
          <cell r="M358">
            <v>1</v>
          </cell>
        </row>
        <row r="359">
          <cell r="A359" t="str">
            <v>F-2026-03-492</v>
          </cell>
          <cell r="B359" t="str">
            <v>FPRO-260324-0064</v>
          </cell>
          <cell r="C359" t="str">
            <v>BDB-000125</v>
          </cell>
          <cell r="D359" t="str">
            <v>PVN-001579</v>
          </cell>
          <cell r="E359" t="str">
            <v>OrthoLite Regular-Nike AIR BLUE/16-4134TPX Flat Sheet 0.11D 25+/-4 Asker C 1.1M 2M 4mm</v>
          </cell>
          <cell r="F359">
            <v>1000</v>
          </cell>
          <cell r="G359">
            <v>1000</v>
          </cell>
          <cell r="H359">
            <v>1000</v>
          </cell>
          <cell r="I359">
            <v>0</v>
          </cell>
          <cell r="J359" t="str">
            <v>NIKE</v>
          </cell>
          <cell r="K359" t="str">
            <v>Forecast</v>
          </cell>
          <cell r="L359" t="str">
            <v>DIE CUT</v>
          </cell>
          <cell r="M359">
            <v>1</v>
          </cell>
        </row>
        <row r="360">
          <cell r="A360" t="str">
            <v>F-2026-03-493</v>
          </cell>
          <cell r="B360" t="str">
            <v>FPRO-260324-0065</v>
          </cell>
          <cell r="C360" t="str">
            <v>BDB-000157</v>
          </cell>
          <cell r="D360" t="str">
            <v>PVN-003573</v>
          </cell>
          <cell r="E360" t="str">
            <v>OrthoLite X-35-Hybrid-Nike SEEDPEARL/12-0703TPX Hybrid 0.145D 25+/-4 Asker C 1.1M 2M 4.2mm</v>
          </cell>
          <cell r="F360">
            <v>2000</v>
          </cell>
          <cell r="G360">
            <v>2000</v>
          </cell>
          <cell r="H360">
            <v>2000</v>
          </cell>
          <cell r="I360">
            <v>0</v>
          </cell>
          <cell r="J360" t="str">
            <v>NIKE</v>
          </cell>
          <cell r="K360" t="str">
            <v>Forecast</v>
          </cell>
          <cell r="L360" t="str">
            <v>MOLDED</v>
          </cell>
          <cell r="M360">
            <v>1</v>
          </cell>
        </row>
        <row r="361">
          <cell r="A361" t="str">
            <v>F-2026-03-494</v>
          </cell>
          <cell r="B361" t="str">
            <v>FPRO-260324-0066</v>
          </cell>
          <cell r="C361" t="str">
            <v>BDB-000157</v>
          </cell>
          <cell r="D361" t="str">
            <v>PVN-003573</v>
          </cell>
          <cell r="E361" t="str">
            <v>OrthoLite X-35-Hybrid-Nike SEEDPEARL/12-0703TPX Hybrid 0.145D 25+/-4 Asker C 1.1M 2M 4.2mm</v>
          </cell>
          <cell r="F361">
            <v>2000</v>
          </cell>
          <cell r="G361">
            <v>2000</v>
          </cell>
          <cell r="H361">
            <v>2000</v>
          </cell>
          <cell r="I361">
            <v>0</v>
          </cell>
          <cell r="J361" t="str">
            <v>NIKE</v>
          </cell>
          <cell r="K361" t="str">
            <v>Forecast</v>
          </cell>
          <cell r="L361" t="str">
            <v>MOLDED</v>
          </cell>
          <cell r="M361">
            <v>1</v>
          </cell>
        </row>
        <row r="362">
          <cell r="A362" t="str">
            <v>F-2026-03-495</v>
          </cell>
          <cell r="B362" t="str">
            <v>FPRO-260324-0067</v>
          </cell>
          <cell r="C362" t="str">
            <v>BDB-000157</v>
          </cell>
          <cell r="D362" t="str">
            <v>PVN-003573</v>
          </cell>
          <cell r="E362" t="str">
            <v>OrthoLite X-35-Hybrid-Nike SEEDPEARL/12-0703TPX Hybrid 0.145D 25+/-4 Asker C 1.1M 2M 4.2mm</v>
          </cell>
          <cell r="F362">
            <v>2000</v>
          </cell>
          <cell r="G362">
            <v>2000</v>
          </cell>
          <cell r="H362">
            <v>2000</v>
          </cell>
          <cell r="I362">
            <v>0</v>
          </cell>
          <cell r="J362" t="str">
            <v>NIKE</v>
          </cell>
          <cell r="K362" t="str">
            <v>Forecast</v>
          </cell>
          <cell r="L362" t="str">
            <v>MOLDED</v>
          </cell>
          <cell r="M362">
            <v>1</v>
          </cell>
        </row>
        <row r="363">
          <cell r="A363" t="str">
            <v>F-2026-03-496-1</v>
          </cell>
          <cell r="B363" t="str">
            <v>FPRO-260324-0068</v>
          </cell>
          <cell r="C363" t="str">
            <v>BDB-000157</v>
          </cell>
          <cell r="D363" t="str">
            <v>PVN-003573</v>
          </cell>
          <cell r="E363" t="str">
            <v>OrthoLite X-35-Hybrid-Nike SEEDPEARL/12-0703TPX Hybrid 0.145D 25+/-4 Asker C 1.1M 2M 4.2mm</v>
          </cell>
          <cell r="F363">
            <v>2000</v>
          </cell>
          <cell r="G363">
            <v>1700</v>
          </cell>
          <cell r="H363">
            <v>1700</v>
          </cell>
          <cell r="I363">
            <v>0</v>
          </cell>
          <cell r="J363" t="str">
            <v>NIKE</v>
          </cell>
          <cell r="K363" t="str">
            <v>Forecast</v>
          </cell>
          <cell r="L363" t="str">
            <v>MOLDED</v>
          </cell>
          <cell r="M363">
            <v>1</v>
          </cell>
        </row>
        <row r="364">
          <cell r="A364" t="str">
            <v>F-2026-03-496-2</v>
          </cell>
          <cell r="B364" t="str">
            <v>FPRO-260324-0068</v>
          </cell>
          <cell r="C364" t="str">
            <v>BDB-000157</v>
          </cell>
          <cell r="D364" t="str">
            <v>PVN-003573</v>
          </cell>
          <cell r="E364" t="str">
            <v>OrthoLite X-35-Hybrid-Nike SEEDPEARL/12-0703TPX Hybrid 0.145D 25+/-4 Asker C 1.1M 2M 4.2mm</v>
          </cell>
          <cell r="F364">
            <v>2000</v>
          </cell>
          <cell r="G364">
            <v>300</v>
          </cell>
          <cell r="H364">
            <v>300</v>
          </cell>
          <cell r="I364">
            <v>0</v>
          </cell>
          <cell r="J364" t="str">
            <v>NIKE</v>
          </cell>
          <cell r="K364" t="str">
            <v>Forecast</v>
          </cell>
          <cell r="L364" t="str">
            <v>MOLDED</v>
          </cell>
          <cell r="M364">
            <v>1</v>
          </cell>
        </row>
        <row r="365">
          <cell r="A365" t="str">
            <v>F-2026-03-497</v>
          </cell>
          <cell r="B365" t="str">
            <v>FPRO-260324-0069</v>
          </cell>
          <cell r="C365" t="str">
            <v>BDB-000157</v>
          </cell>
          <cell r="D365" t="str">
            <v>PVN-003573</v>
          </cell>
          <cell r="E365" t="str">
            <v>OrthoLite X-35-Hybrid-Nike SEEDPEARL/12-0703TPX Hybrid 0.145D 25+/-4 Asker C 1.1M 2M 4.2mm</v>
          </cell>
          <cell r="F365">
            <v>1900</v>
          </cell>
          <cell r="G365">
            <v>1900</v>
          </cell>
          <cell r="H365">
            <v>1900</v>
          </cell>
          <cell r="I365">
            <v>0</v>
          </cell>
          <cell r="J365" t="str">
            <v>NIKE</v>
          </cell>
          <cell r="K365" t="str">
            <v>Forecast</v>
          </cell>
          <cell r="L365" t="str">
            <v>MOLDED</v>
          </cell>
          <cell r="M365">
            <v>1</v>
          </cell>
        </row>
        <row r="366">
          <cell r="A366" t="str">
            <v>F-2026-03-498</v>
          </cell>
          <cell r="B366" t="str">
            <v>RPRO-260326-0431</v>
          </cell>
          <cell r="C366" t="str">
            <v>BDB-000057</v>
          </cell>
          <cell r="D366" t="str">
            <v>PVN-000849</v>
          </cell>
          <cell r="E366" t="str">
            <v>OrthoLite Ultra YELLOW/13-0858TPX Flat Sheet 0.085D 25+/-4 Asker C 1.1M 2M 8mm</v>
          </cell>
          <cell r="F366">
            <v>17</v>
          </cell>
          <cell r="G366">
            <v>17</v>
          </cell>
          <cell r="H366">
            <v>17</v>
          </cell>
          <cell r="I366">
            <v>0</v>
          </cell>
          <cell r="J366"/>
          <cell r="K366" t="str">
            <v>MPS</v>
          </cell>
          <cell r="L366" t="str">
            <v>SPLITTING</v>
          </cell>
          <cell r="M366">
            <v>2</v>
          </cell>
        </row>
        <row r="367">
          <cell r="A367" t="str">
            <v>F-2026-03-499</v>
          </cell>
          <cell r="B367" t="str">
            <v>RPRO-260326-0432</v>
          </cell>
          <cell r="C367" t="str">
            <v>BDB-000264</v>
          </cell>
          <cell r="D367" t="str">
            <v>PVN-003881</v>
          </cell>
          <cell r="E367" t="str">
            <v>OrthoLite Ultra YELLOW/13-0858TPX Flat Sheet 0.085D 25+/-4 Asker C 1.1M 1.47M 5mm</v>
          </cell>
          <cell r="F367">
            <v>140</v>
          </cell>
          <cell r="G367">
            <v>140</v>
          </cell>
          <cell r="H367">
            <v>140</v>
          </cell>
          <cell r="I367">
            <v>0</v>
          </cell>
          <cell r="J367"/>
          <cell r="K367" t="str">
            <v>MPS</v>
          </cell>
          <cell r="L367" t="str">
            <v>SPLITTING</v>
          </cell>
          <cell r="M367">
            <v>2</v>
          </cell>
        </row>
        <row r="368">
          <cell r="A368" t="str">
            <v>F-2026-03-500</v>
          </cell>
          <cell r="B368" t="str">
            <v>RPRO-260326-0433</v>
          </cell>
          <cell r="C368" t="str">
            <v>BDB-000011</v>
          </cell>
          <cell r="D368" t="str">
            <v>PVN-000127</v>
          </cell>
          <cell r="E368" t="str">
            <v>OrthoLite Regular AIR BLUE/16-4134TPX Flat Sheet 0.13D 35+/-4 Asker C 1.1M 2M 5mm</v>
          </cell>
          <cell r="F368">
            <v>504</v>
          </cell>
          <cell r="G368">
            <v>504</v>
          </cell>
          <cell r="H368">
            <v>504</v>
          </cell>
          <cell r="I368">
            <v>0</v>
          </cell>
          <cell r="J368"/>
          <cell r="K368" t="str">
            <v>MPS</v>
          </cell>
          <cell r="L368" t="str">
            <v>SPLITTING</v>
          </cell>
          <cell r="M368">
            <v>2</v>
          </cell>
        </row>
        <row r="369">
          <cell r="A369" t="str">
            <v>F-2026-03-501</v>
          </cell>
          <cell r="B369" t="str">
            <v>RPRO-260326-0434</v>
          </cell>
          <cell r="C369" t="str">
            <v>BDB-000058</v>
          </cell>
          <cell r="D369" t="str">
            <v>PVN-001277</v>
          </cell>
          <cell r="E369" t="str">
            <v>OrthoLite Ultra GREEN/16-5932TPX Flat Sheet 0.085D 25+/-4 Asker C 1.1M 2M 4mm</v>
          </cell>
          <cell r="F369">
            <v>455</v>
          </cell>
          <cell r="G369">
            <v>455</v>
          </cell>
          <cell r="H369">
            <v>455</v>
          </cell>
          <cell r="I369">
            <v>0</v>
          </cell>
          <cell r="J369"/>
          <cell r="K369" t="str">
            <v>MPS</v>
          </cell>
          <cell r="L369" t="str">
            <v>SPLITTING</v>
          </cell>
          <cell r="M369">
            <v>2</v>
          </cell>
        </row>
        <row r="370">
          <cell r="A370" t="str">
            <v>F-2026-03-502</v>
          </cell>
          <cell r="B370" t="str">
            <v>RPRO-260326-0435</v>
          </cell>
          <cell r="C370" t="str">
            <v>BDB-000123</v>
          </cell>
          <cell r="D370" t="str">
            <v>PVN-003300</v>
          </cell>
          <cell r="E370" t="str">
            <v>OrthoLite Ultra-Hybrid SEEDPEARL/12-0703TPX Hybrid Flat Sheet 0.085D 25+/-4 Asker C 1.1M 2M 2mm</v>
          </cell>
          <cell r="F370">
            <v>420</v>
          </cell>
          <cell r="G370">
            <v>420</v>
          </cell>
          <cell r="H370">
            <v>420</v>
          </cell>
          <cell r="I370">
            <v>0</v>
          </cell>
          <cell r="J370"/>
          <cell r="K370" t="str">
            <v>MPS</v>
          </cell>
          <cell r="L370" t="str">
            <v>SPLITTING</v>
          </cell>
          <cell r="M370">
            <v>2</v>
          </cell>
        </row>
        <row r="371">
          <cell r="A371" t="str">
            <v>F-2026-03-503</v>
          </cell>
          <cell r="B371" t="str">
            <v>RPRO-260326-0436</v>
          </cell>
          <cell r="C371" t="str">
            <v>BDB-000051</v>
          </cell>
          <cell r="D371" t="str">
            <v>PVN-003329</v>
          </cell>
          <cell r="E371" t="str">
            <v>OrthoLite X-40 TRUE BLUE/19-4057TPX Flat Sheet 0.16D 25+/-4 Asker C 1.1M 1.7M 5.5mm</v>
          </cell>
          <cell r="F371">
            <v>25</v>
          </cell>
          <cell r="G371">
            <v>25</v>
          </cell>
          <cell r="H371">
            <v>25</v>
          </cell>
          <cell r="I371">
            <v>0</v>
          </cell>
          <cell r="J371"/>
          <cell r="K371" t="str">
            <v>MPS</v>
          </cell>
          <cell r="L371" t="str">
            <v>SPLITTING</v>
          </cell>
          <cell r="M371">
            <v>2</v>
          </cell>
        </row>
        <row r="372">
          <cell r="A372" t="str">
            <v>F-2026-03-504</v>
          </cell>
          <cell r="B372" t="str">
            <v>RPRO-260326-0437</v>
          </cell>
          <cell r="C372" t="str">
            <v>BDB-000200</v>
          </cell>
          <cell r="D372" t="str">
            <v>PVN-003420</v>
          </cell>
          <cell r="E372" t="str">
            <v>OrthoLite Ultra SEEDPEARL/12-0703TPX Flat Sheet 0.085D 78-90 Asker F 1.1M 2M 6mm</v>
          </cell>
          <cell r="F372">
            <v>368</v>
          </cell>
          <cell r="G372">
            <v>368</v>
          </cell>
          <cell r="H372">
            <v>368</v>
          </cell>
          <cell r="I372">
            <v>0</v>
          </cell>
          <cell r="J372"/>
          <cell r="K372" t="str">
            <v>MPS</v>
          </cell>
          <cell r="L372" t="str">
            <v>SPLITTING</v>
          </cell>
          <cell r="M372">
            <v>2</v>
          </cell>
        </row>
        <row r="373">
          <cell r="A373" t="str">
            <v>F-2026-03-505</v>
          </cell>
          <cell r="B373" t="str">
            <v>RPRO-260326-0438</v>
          </cell>
          <cell r="C373" t="str">
            <v>BDB-000113</v>
          </cell>
          <cell r="D373" t="str">
            <v>PVN-002699</v>
          </cell>
          <cell r="E373" t="str">
            <v>OrthoLite Regular-Hybrid SEEDPEARL/12-0703TPX Hybrid Flat Sheet 0.11D 25+/-4 Asker C 1.1M 2M 4.5mm</v>
          </cell>
          <cell r="F373">
            <v>248</v>
          </cell>
          <cell r="G373">
            <v>248</v>
          </cell>
          <cell r="H373">
            <v>248</v>
          </cell>
          <cell r="I373">
            <v>0</v>
          </cell>
          <cell r="J373" t="str">
            <v>ASICS</v>
          </cell>
          <cell r="K373" t="str">
            <v>Pr.Sch.R</v>
          </cell>
          <cell r="L373" t="str">
            <v>DIE CUT</v>
          </cell>
          <cell r="M373">
            <v>1</v>
          </cell>
        </row>
        <row r="374">
          <cell r="A374" t="str">
            <v>F-2026-03-506</v>
          </cell>
          <cell r="B374" t="str">
            <v>RPRO-260326-0439</v>
          </cell>
          <cell r="C374" t="str">
            <v>BDB-000180</v>
          </cell>
          <cell r="D374" t="str">
            <v>PVN-003236</v>
          </cell>
          <cell r="E374" t="str">
            <v>OrthoLite Eco LT-Hybrid-Converse SEEDPEARL/12-0703TPX Hybrid Flat Sheet 0.13D 25+/-4 Asker C 1.1M 2M 5mm</v>
          </cell>
          <cell r="F374">
            <v>504</v>
          </cell>
          <cell r="G374">
            <v>504</v>
          </cell>
          <cell r="H374">
            <v>504</v>
          </cell>
          <cell r="I374">
            <v>0</v>
          </cell>
          <cell r="J374" t="str">
            <v>CONVERSE</v>
          </cell>
          <cell r="K374" t="str">
            <v>Pr.Sch.R</v>
          </cell>
          <cell r="L374" t="str">
            <v>DIE CUT</v>
          </cell>
          <cell r="M374">
            <v>1</v>
          </cell>
        </row>
        <row r="375">
          <cell r="A375" t="str">
            <v>F-2026-03-507</v>
          </cell>
          <cell r="B375" t="str">
            <v>RPRO-260326-0440</v>
          </cell>
          <cell r="C375" t="str">
            <v>BDB-000181</v>
          </cell>
          <cell r="D375" t="str">
            <v>PVN-003238</v>
          </cell>
          <cell r="E375" t="str">
            <v>OrthoLite Eco LT-Hybrid-Converse SEEDPEARL/12-0703TPX Hybrid Flat Sheet 0.11D 25+/-4 Asker C 1.1M 2M 5mm</v>
          </cell>
          <cell r="F375">
            <v>224</v>
          </cell>
          <cell r="G375">
            <v>224</v>
          </cell>
          <cell r="H375">
            <v>224</v>
          </cell>
          <cell r="I375">
            <v>0</v>
          </cell>
          <cell r="J375" t="str">
            <v>CONVERSE</v>
          </cell>
          <cell r="K375" t="str">
            <v>Pr.Sch.R</v>
          </cell>
          <cell r="L375" t="str">
            <v>DIE CUT</v>
          </cell>
          <cell r="M375">
            <v>1</v>
          </cell>
        </row>
        <row r="376">
          <cell r="A376" t="str">
            <v>F-2026-03-508</v>
          </cell>
          <cell r="B376" t="str">
            <v>RPRO-260326-0441</v>
          </cell>
          <cell r="C376" t="str">
            <v>BDB-000213</v>
          </cell>
          <cell r="D376" t="str">
            <v>PVN-003752</v>
          </cell>
          <cell r="E376" t="str">
            <v>OrthoLite X-25-Hybrid SEEDPEARL/12-0703TPX Hybrid Flat Sheet 0.12D 20+/-4 Asker C 1.1M 1.47M 4.5mm</v>
          </cell>
          <cell r="F376">
            <v>124</v>
          </cell>
          <cell r="G376">
            <v>124</v>
          </cell>
          <cell r="H376">
            <v>124</v>
          </cell>
          <cell r="I376">
            <v>0</v>
          </cell>
          <cell r="J376" t="str">
            <v>ON RUNNING</v>
          </cell>
          <cell r="K376" t="str">
            <v>Pr.Sch.R</v>
          </cell>
          <cell r="L376" t="str">
            <v>MOLDED</v>
          </cell>
          <cell r="M376">
            <v>1</v>
          </cell>
        </row>
        <row r="377">
          <cell r="A377" t="str">
            <v>F-2026-03-509</v>
          </cell>
          <cell r="B377" t="str">
            <v>RPRO-260326-0442</v>
          </cell>
          <cell r="C377" t="str">
            <v>BDB-000008</v>
          </cell>
          <cell r="D377" t="str">
            <v>PVN-000412</v>
          </cell>
          <cell r="E377" t="str">
            <v>OrthoLite Regular LIME GREEN/14-0452TPX Flat Sheet 0.11D 25+/-4 Asker C 1.1M 2M 5mm</v>
          </cell>
          <cell r="F377">
            <v>140</v>
          </cell>
          <cell r="G377">
            <v>140</v>
          </cell>
          <cell r="H377">
            <v>140</v>
          </cell>
          <cell r="I377">
            <v>0</v>
          </cell>
          <cell r="J377" t="str">
            <v>ASICS</v>
          </cell>
          <cell r="K377" t="str">
            <v>Pr.Sch.R</v>
          </cell>
          <cell r="L377" t="str">
            <v>DIE CUT</v>
          </cell>
          <cell r="M377">
            <v>1</v>
          </cell>
        </row>
        <row r="378">
          <cell r="A378" t="str">
            <v>F-2026-03-510</v>
          </cell>
          <cell r="B378" t="str">
            <v>RPRO-260326-0443</v>
          </cell>
          <cell r="C378" t="str">
            <v>BDB-000262</v>
          </cell>
          <cell r="D378" t="str">
            <v>PVN-003816</v>
          </cell>
          <cell r="E378" t="str">
            <v>OrthoLite Ultra-Hybrid SEEDPEARL/12-0703TPX Hybrid Flat Sheet 0.085D 78-90 Asker F 1.1M 2M 2.5mm</v>
          </cell>
          <cell r="F378">
            <v>56</v>
          </cell>
          <cell r="G378">
            <v>56</v>
          </cell>
          <cell r="H378">
            <v>56</v>
          </cell>
          <cell r="I378">
            <v>0</v>
          </cell>
          <cell r="J378" t="str">
            <v>FOOTJOY</v>
          </cell>
          <cell r="K378" t="str">
            <v>Pr.Sch.R</v>
          </cell>
          <cell r="L378" t="str">
            <v>DIE CUT</v>
          </cell>
          <cell r="M378">
            <v>1</v>
          </cell>
        </row>
        <row r="379">
          <cell r="A379" t="str">
            <v>F-2026-03-511</v>
          </cell>
          <cell r="B379" t="str">
            <v>RPRO-260326-0444</v>
          </cell>
          <cell r="C379" t="str">
            <v>BDB-000314</v>
          </cell>
          <cell r="D379" t="str">
            <v>PVN-004066</v>
          </cell>
          <cell r="E379" t="str">
            <v>OrthoLite Regular NEUTRAL GRAY/17-4402TPX Flat Sheet 0.16D 51+/-4 Asker C 1.1M 1.7M 9.5mm</v>
          </cell>
          <cell r="F379">
            <v>14</v>
          </cell>
          <cell r="G379">
            <v>14</v>
          </cell>
          <cell r="H379">
            <v>14</v>
          </cell>
          <cell r="I379">
            <v>0</v>
          </cell>
          <cell r="J379" t="str">
            <v>FOOTJOY</v>
          </cell>
          <cell r="K379" t="str">
            <v>Pr.Sch.R</v>
          </cell>
          <cell r="L379" t="str">
            <v>MOLDED</v>
          </cell>
          <cell r="M379">
            <v>1</v>
          </cell>
        </row>
        <row r="380">
          <cell r="A380" t="str">
            <v>F-2026-03-512</v>
          </cell>
          <cell r="B380" t="str">
            <v>RPRO-260326-0445</v>
          </cell>
          <cell r="C380" t="str">
            <v>BDB-000076</v>
          </cell>
          <cell r="D380" t="str">
            <v>PVN-003494</v>
          </cell>
          <cell r="E380" t="str">
            <v>OrthoLite X-25 BILLIARD/16-5427TPX Flat Sheet 0.12D 20+/-4 Asker C 1.1M 2M 5.5mm</v>
          </cell>
          <cell r="F380">
            <v>175</v>
          </cell>
          <cell r="G380">
            <v>175</v>
          </cell>
          <cell r="H380">
            <v>175</v>
          </cell>
          <cell r="I380">
            <v>0</v>
          </cell>
          <cell r="J380" t="str">
            <v>LOTTO</v>
          </cell>
          <cell r="K380" t="str">
            <v>Pr.Sch.R</v>
          </cell>
          <cell r="L380" t="str">
            <v>MOLDED</v>
          </cell>
          <cell r="M380">
            <v>1</v>
          </cell>
        </row>
        <row r="381">
          <cell r="A381" t="str">
            <v>F-2026-03-513</v>
          </cell>
          <cell r="B381" t="str">
            <v>RPRO-260326-0446</v>
          </cell>
          <cell r="C381" t="str">
            <v>BDB-000052</v>
          </cell>
          <cell r="D381" t="str">
            <v>PVN-003603</v>
          </cell>
          <cell r="E381" t="str">
            <v>OrthoLite X-40 TRUE BLUE/19-4057TPX Flat Sheet 0.16D 25+/-4 Asker C 1.1M 1.47M 12mm</v>
          </cell>
          <cell r="F381">
            <v>847</v>
          </cell>
          <cell r="G381">
            <v>847</v>
          </cell>
          <cell r="H381">
            <v>847</v>
          </cell>
          <cell r="I381">
            <v>0</v>
          </cell>
          <cell r="J381" t="str">
            <v>ASICS</v>
          </cell>
          <cell r="K381" t="str">
            <v>Pr.Sch.R</v>
          </cell>
          <cell r="L381" t="str">
            <v>MOLDED</v>
          </cell>
          <cell r="M381" t="str">
            <v>1-RM-WIP</v>
          </cell>
        </row>
        <row r="382">
          <cell r="A382" t="str">
            <v>F-2026-03-514</v>
          </cell>
          <cell r="B382" t="str">
            <v>RPRO-260326-0447</v>
          </cell>
          <cell r="C382" t="str">
            <v>BDB-000077</v>
          </cell>
          <cell r="D382" t="str">
            <v>PVN-004147</v>
          </cell>
          <cell r="E382" t="str">
            <v>OrthoLite X-25 SEEDPEARL/12-0703TPX Flat Sheet 0.12D 20+/-4 Asker C 1.1M 2M 5.5mm</v>
          </cell>
          <cell r="F382">
            <v>25</v>
          </cell>
          <cell r="G382">
            <v>25</v>
          </cell>
          <cell r="H382">
            <v>25</v>
          </cell>
          <cell r="I382">
            <v>0</v>
          </cell>
          <cell r="J382" t="str">
            <v>ON RUNNING</v>
          </cell>
          <cell r="K382" t="str">
            <v>Pr.Sch.R</v>
          </cell>
          <cell r="L382" t="str">
            <v>MOLDED</v>
          </cell>
          <cell r="M382">
            <v>1</v>
          </cell>
        </row>
        <row r="383">
          <cell r="A383" t="str">
            <v>F-2026-03-515</v>
          </cell>
          <cell r="B383" t="str">
            <v>RPRO-260326-0448</v>
          </cell>
          <cell r="C383" t="str">
            <v>BDB-000229</v>
          </cell>
          <cell r="D383" t="str">
            <v>PVN-003692</v>
          </cell>
          <cell r="E383" t="str">
            <v>OrthoLite Ultra-Hybrid SEEDPEARL/12-0703TPX Hybrid Flat Sheet 0.095D 33+/-4 Asker C 1.1M 2M 15.5mm</v>
          </cell>
          <cell r="F383">
            <v>384</v>
          </cell>
          <cell r="G383">
            <v>384</v>
          </cell>
          <cell r="H383">
            <v>384</v>
          </cell>
          <cell r="I383">
            <v>0</v>
          </cell>
          <cell r="J383" t="str">
            <v>GARMONT</v>
          </cell>
          <cell r="K383" t="str">
            <v>Pr.Sch.R</v>
          </cell>
          <cell r="L383" t="str">
            <v>MOLDED</v>
          </cell>
          <cell r="M383">
            <v>1</v>
          </cell>
        </row>
        <row r="384">
          <cell r="A384" t="str">
            <v>F-2026-03-516</v>
          </cell>
          <cell r="B384" t="str">
            <v>RPRO-260326-0449</v>
          </cell>
          <cell r="C384" t="str">
            <v>BDB-000212</v>
          </cell>
          <cell r="D384" t="str">
            <v>PVN-003764</v>
          </cell>
          <cell r="E384" t="str">
            <v>OrthoLite X-25-Hybrid SEEDPEARL/12-0703TPX Hybrid Flat Sheet 0.12D 20+/-4 Asker C 1.1M 2M 5mm</v>
          </cell>
          <cell r="F384">
            <v>28</v>
          </cell>
          <cell r="G384">
            <v>28</v>
          </cell>
          <cell r="H384">
            <v>28</v>
          </cell>
          <cell r="I384">
            <v>0</v>
          </cell>
          <cell r="J384" t="str">
            <v>FOOTJOY</v>
          </cell>
          <cell r="K384" t="str">
            <v>Pr.Sch.R</v>
          </cell>
          <cell r="L384" t="str">
            <v>OTHERS</v>
          </cell>
          <cell r="M384">
            <v>1</v>
          </cell>
        </row>
        <row r="385">
          <cell r="A385" t="str">
            <v>F-2026-03-517</v>
          </cell>
          <cell r="B385" t="str">
            <v>RPRO-260326-0450</v>
          </cell>
          <cell r="C385" t="str">
            <v>BDB-000052</v>
          </cell>
          <cell r="D385" t="str">
            <v>PVN-004308</v>
          </cell>
          <cell r="E385" t="str">
            <v>OrthoLite X-40 TRUE BLUE/19-4057TPX Flat Sheet 0.16D 25+/-4 Asker C 1.1M 1.47M 3mm</v>
          </cell>
          <cell r="F385">
            <v>184</v>
          </cell>
          <cell r="G385">
            <v>184</v>
          </cell>
          <cell r="H385">
            <v>184</v>
          </cell>
          <cell r="I385">
            <v>0</v>
          </cell>
          <cell r="J385" t="str">
            <v>ASICS</v>
          </cell>
          <cell r="K385" t="str">
            <v>Pr.Sch.R</v>
          </cell>
          <cell r="L385" t="str">
            <v>DIE CUT</v>
          </cell>
          <cell r="M385">
            <v>1</v>
          </cell>
        </row>
        <row r="386">
          <cell r="A386" t="str">
            <v>F-2026-03-518</v>
          </cell>
          <cell r="B386" t="str">
            <v>RPRO-260326-0451</v>
          </cell>
          <cell r="C386" t="str">
            <v>BDB-000340</v>
          </cell>
          <cell r="D386" t="str">
            <v>PVN-004177</v>
          </cell>
          <cell r="E386" t="str">
            <v>OrthoLite Float SEEDPEARL/12-0703TPX Flat Sheet 0.12D 21+/-4 Asker C 1.1M 2M 5.5mm</v>
          </cell>
          <cell r="F386">
            <v>75</v>
          </cell>
          <cell r="G386">
            <v>75</v>
          </cell>
          <cell r="H386">
            <v>75</v>
          </cell>
          <cell r="I386">
            <v>0</v>
          </cell>
          <cell r="J386" t="str">
            <v>ON RUNNING</v>
          </cell>
          <cell r="K386" t="str">
            <v>Pr.Sch.R</v>
          </cell>
          <cell r="L386" t="str">
            <v>MOLDED</v>
          </cell>
          <cell r="M386">
            <v>1</v>
          </cell>
        </row>
        <row r="387">
          <cell r="A387" t="str">
            <v>F-2026-03-519</v>
          </cell>
          <cell r="B387" t="str">
            <v>RPRO-260326-0452</v>
          </cell>
          <cell r="C387" t="str">
            <v>BDB-000057</v>
          </cell>
          <cell r="D387" t="str">
            <v>PVN-000825</v>
          </cell>
          <cell r="E387" t="str">
            <v>OrthoLite Ultra YELLOW/13-0858TPX Flat Sheet 0.085D 25+/-4 Asker C 1.1M 2M 12mm</v>
          </cell>
          <cell r="F387">
            <v>11</v>
          </cell>
          <cell r="G387">
            <v>11</v>
          </cell>
          <cell r="H387">
            <v>11</v>
          </cell>
          <cell r="I387">
            <v>0</v>
          </cell>
          <cell r="J387" t="str">
            <v>ASICS</v>
          </cell>
          <cell r="K387" t="str">
            <v>Pr.Sch.R</v>
          </cell>
          <cell r="L387" t="str">
            <v>MOLDED</v>
          </cell>
          <cell r="M387" t="str">
            <v>1-RM-WIP</v>
          </cell>
        </row>
        <row r="388">
          <cell r="A388" t="str">
            <v>F-2026-03-520</v>
          </cell>
          <cell r="B388" t="str">
            <v>RPRO-260326-0453</v>
          </cell>
          <cell r="C388" t="str">
            <v>BDB-000076</v>
          </cell>
          <cell r="D388" t="str">
            <v>PVN-004119</v>
          </cell>
          <cell r="E388" t="str">
            <v>OrthoLite X-25 BILLIARD/16-5427TPX Flat Sheet 0.12D 20+/-4 Asker C 1.1M 2M 6.5mm</v>
          </cell>
          <cell r="F388">
            <v>63</v>
          </cell>
          <cell r="G388">
            <v>63</v>
          </cell>
          <cell r="H388">
            <v>63</v>
          </cell>
          <cell r="I388">
            <v>0</v>
          </cell>
          <cell r="J388" t="str">
            <v>ONE8</v>
          </cell>
          <cell r="K388" t="str">
            <v>Pr.Sch.R</v>
          </cell>
          <cell r="L388" t="str">
            <v>MOLDED</v>
          </cell>
          <cell r="M388">
            <v>1</v>
          </cell>
        </row>
        <row r="389">
          <cell r="A389" t="str">
            <v>F-2026-03-521</v>
          </cell>
          <cell r="B389" t="str">
            <v>RPRO-260326-0454</v>
          </cell>
          <cell r="C389" t="str">
            <v>BDB-000058</v>
          </cell>
          <cell r="D389" t="str">
            <v>PVN-001319</v>
          </cell>
          <cell r="E389" t="str">
            <v>OrthoLite Ultra GREEN/16-5932TPX Flat Sheet 0.085D 25+/-4 Asker C 1.1M 2M 5mm</v>
          </cell>
          <cell r="F389">
            <v>28</v>
          </cell>
          <cell r="G389">
            <v>28</v>
          </cell>
          <cell r="H389">
            <v>28</v>
          </cell>
          <cell r="I389">
            <v>0</v>
          </cell>
          <cell r="J389" t="str">
            <v>NEW BALANCE</v>
          </cell>
          <cell r="K389" t="str">
            <v>Pr.Sch.R</v>
          </cell>
          <cell r="L389" t="str">
            <v>DIE CUT</v>
          </cell>
          <cell r="M389">
            <v>1</v>
          </cell>
        </row>
        <row r="390">
          <cell r="A390" t="str">
            <v>F-2026-03-522</v>
          </cell>
          <cell r="B390" t="str">
            <v>RPRO-260326-0455</v>
          </cell>
          <cell r="C390" t="str">
            <v>BDB-000373</v>
          </cell>
          <cell r="D390" t="str">
            <v>PVN-004315</v>
          </cell>
          <cell r="E390" t="str">
            <v>OrthoLite X-25-Nike BILLIARD/16-5427TPX Flat Sheet 0.12D 20+/-4 Asker C 1.1M 2M 5mm</v>
          </cell>
          <cell r="F390">
            <v>980</v>
          </cell>
          <cell r="G390">
            <v>980</v>
          </cell>
          <cell r="H390">
            <v>980</v>
          </cell>
          <cell r="I390">
            <v>0</v>
          </cell>
          <cell r="J390" t="str">
            <v>NIKE</v>
          </cell>
          <cell r="K390" t="str">
            <v>Pr.Sch.R</v>
          </cell>
          <cell r="L390" t="str">
            <v>DIE CUT</v>
          </cell>
          <cell r="M390">
            <v>1</v>
          </cell>
        </row>
        <row r="391">
          <cell r="A391" t="str">
            <v>F-2026-03-523</v>
          </cell>
          <cell r="B391" t="str">
            <v>RPRO-260326-0456</v>
          </cell>
          <cell r="C391" t="str">
            <v>BDB-000154</v>
          </cell>
          <cell r="D391" t="str">
            <v>PVN-003347</v>
          </cell>
          <cell r="E391" t="str">
            <v>OrthoLite X-40-Nike TRUE BLUE/19-4057TPX Flat Sheet 0.16D 35+/-4 Asker C 1.1M 1.7M 4mm</v>
          </cell>
          <cell r="F391">
            <v>105</v>
          </cell>
          <cell r="G391">
            <v>105</v>
          </cell>
          <cell r="H391">
            <v>105</v>
          </cell>
          <cell r="I391">
            <v>0</v>
          </cell>
          <cell r="J391" t="str">
            <v>NIKE</v>
          </cell>
          <cell r="K391" t="str">
            <v>Pr.Sch.R</v>
          </cell>
          <cell r="L391" t="str">
            <v>LAMINATING</v>
          </cell>
          <cell r="M391">
            <v>1</v>
          </cell>
        </row>
        <row r="392">
          <cell r="A392" t="str">
            <v>F-2026-03-524</v>
          </cell>
          <cell r="B392" t="str">
            <v>RPRO-260326-0457</v>
          </cell>
          <cell r="C392" t="str">
            <v>BDB-000209</v>
          </cell>
          <cell r="D392" t="str">
            <v>PVN-003550</v>
          </cell>
          <cell r="E392" t="str">
            <v>OrthoLite HybridPlus-Recycled MINT GREEN/11-4805TPX Hybrid Flat Sheet 0.12D 25+/-4 Asker C 1.1M 2M 6mm</v>
          </cell>
          <cell r="F392">
            <v>1380</v>
          </cell>
          <cell r="G392">
            <v>1380</v>
          </cell>
          <cell r="H392">
            <v>1380</v>
          </cell>
          <cell r="I392">
            <v>0</v>
          </cell>
          <cell r="J392" t="str">
            <v>ON RUNNING</v>
          </cell>
          <cell r="K392" t="str">
            <v>Pr.Sch.R</v>
          </cell>
          <cell r="L392" t="str">
            <v>MOLDED</v>
          </cell>
          <cell r="M392">
            <v>1</v>
          </cell>
        </row>
        <row r="393">
          <cell r="A393" t="str">
            <v>F-2026-03-525</v>
          </cell>
          <cell r="B393" t="str">
            <v>RPRO-260326-0458</v>
          </cell>
          <cell r="C393" t="str">
            <v>BDB-000057</v>
          </cell>
          <cell r="D393" t="str">
            <v>PVN-000925</v>
          </cell>
          <cell r="E393" t="str">
            <v>OrthoLite Ultra YELLOW/13-0858TPX Flat Sheet 0.085D 25+/-4 Asker C 1.1M 2M 5mm</v>
          </cell>
          <cell r="F393">
            <v>448</v>
          </cell>
          <cell r="G393">
            <v>448</v>
          </cell>
          <cell r="H393">
            <v>448</v>
          </cell>
          <cell r="I393">
            <v>0</v>
          </cell>
          <cell r="J393" t="str">
            <v>ASICS</v>
          </cell>
          <cell r="K393" t="str">
            <v>Pr.Sch.R</v>
          </cell>
          <cell r="L393" t="str">
            <v>LAMINATING</v>
          </cell>
          <cell r="M393">
            <v>1</v>
          </cell>
        </row>
        <row r="394">
          <cell r="A394" t="str">
            <v>F-2026-03-526</v>
          </cell>
          <cell r="B394" t="str">
            <v>RPRO-260326-0459</v>
          </cell>
          <cell r="C394" t="str">
            <v>BDB-000275</v>
          </cell>
          <cell r="D394" t="str">
            <v>PVN-003797</v>
          </cell>
          <cell r="E394" t="str">
            <v>OrthoLite Regular RED/19-1764TPX Flat Sheet 0.15D 45+/-4 Asker C 1.1M 1.7M 3mm</v>
          </cell>
          <cell r="F394">
            <v>92</v>
          </cell>
          <cell r="G394">
            <v>92</v>
          </cell>
          <cell r="H394">
            <v>92</v>
          </cell>
          <cell r="I394">
            <v>0</v>
          </cell>
          <cell r="J394" t="str">
            <v>FOOTJOY</v>
          </cell>
          <cell r="K394" t="str">
            <v>Pr.Sch.R</v>
          </cell>
          <cell r="L394" t="str">
            <v>MOLDED</v>
          </cell>
          <cell r="M394">
            <v>1</v>
          </cell>
        </row>
        <row r="395">
          <cell r="A395" t="str">
            <v>F-2026-03-527</v>
          </cell>
          <cell r="B395" t="str">
            <v>RPRO-260326-0460</v>
          </cell>
          <cell r="C395" t="str">
            <v>BDB-000076</v>
          </cell>
          <cell r="D395" t="str">
            <v>PVN-004072</v>
          </cell>
          <cell r="E395" t="str">
            <v>OrthoLite X-25 BILLIARD/16-5427TPX Flat Sheet 0.12D 20+/-4 Asker C 1.1M 2M 20mm</v>
          </cell>
          <cell r="F395">
            <v>54</v>
          </cell>
          <cell r="G395">
            <v>54</v>
          </cell>
          <cell r="H395">
            <v>54</v>
          </cell>
          <cell r="I395">
            <v>0</v>
          </cell>
          <cell r="J395" t="str">
            <v>FOOTJOY</v>
          </cell>
          <cell r="K395" t="str">
            <v>Pr.Sch.R</v>
          </cell>
          <cell r="L395" t="str">
            <v>MOLDED</v>
          </cell>
          <cell r="M395">
            <v>1</v>
          </cell>
        </row>
        <row r="396">
          <cell r="A396" t="str">
            <v>F-2026-03-528</v>
          </cell>
          <cell r="B396" t="str">
            <v>RPRO-260326-0461</v>
          </cell>
          <cell r="C396" t="str">
            <v>BDB-000076</v>
          </cell>
          <cell r="D396" t="str">
            <v>PVN-004075</v>
          </cell>
          <cell r="E396" t="str">
            <v>OrthoLite X-25 BILLIARD/16-5427TPX Flat Sheet 0.12D 20+/-4 Asker C 1.1M 2M 17mm</v>
          </cell>
          <cell r="F396">
            <v>21</v>
          </cell>
          <cell r="G396">
            <v>21</v>
          </cell>
          <cell r="H396">
            <v>21</v>
          </cell>
          <cell r="I396">
            <v>0</v>
          </cell>
          <cell r="J396" t="str">
            <v>FOOTJOY</v>
          </cell>
          <cell r="K396" t="str">
            <v>Pr.Sch.R</v>
          </cell>
          <cell r="L396" t="str">
            <v>MOLDED</v>
          </cell>
          <cell r="M396">
            <v>1</v>
          </cell>
        </row>
        <row r="397">
          <cell r="A397" t="str">
            <v>F-2026-03-530</v>
          </cell>
          <cell r="B397" t="str">
            <v>RPRO-260326-0463</v>
          </cell>
          <cell r="C397" t="str">
            <v>BDB-000130</v>
          </cell>
          <cell r="D397" t="str">
            <v>PVN-001585</v>
          </cell>
          <cell r="E397" t="str">
            <v>OrthoLite Regular-Nike AIR BLUE/16-4134TPX Flat Sheet 0.13D 35+/-4 Asker C 1.1M 2M 6mm</v>
          </cell>
          <cell r="F397">
            <v>1173</v>
          </cell>
          <cell r="G397">
            <v>1173</v>
          </cell>
          <cell r="H397">
            <v>1173</v>
          </cell>
          <cell r="I397">
            <v>0</v>
          </cell>
          <cell r="J397" t="str">
            <v>NIKE</v>
          </cell>
          <cell r="K397" t="str">
            <v>Pr.Sch.R</v>
          </cell>
          <cell r="L397" t="str">
            <v>MOLDED</v>
          </cell>
          <cell r="M397">
            <v>1</v>
          </cell>
        </row>
        <row r="398">
          <cell r="A398" t="str">
            <v>F-2026-03-531</v>
          </cell>
          <cell r="B398" t="str">
            <v>RPRO-260327-0918</v>
          </cell>
          <cell r="C398" t="str">
            <v>BDB-000076</v>
          </cell>
          <cell r="D398" t="str">
            <v>PVN-003448</v>
          </cell>
          <cell r="E398" t="str">
            <v>OrthoLite X-25 BILLIARD/16-5427TPX Flat Sheet 0.12D 20+/-4 Asker C 1.1M 2M 6.2mm</v>
          </cell>
          <cell r="F398">
            <v>22</v>
          </cell>
          <cell r="G398">
            <v>22</v>
          </cell>
          <cell r="H398">
            <v>22</v>
          </cell>
          <cell r="I398">
            <v>0</v>
          </cell>
          <cell r="J398" t="str">
            <v>ADIDAS</v>
          </cell>
          <cell r="K398" t="str">
            <v>Pr.Sch.R</v>
          </cell>
          <cell r="L398" t="str">
            <v>MOLDED</v>
          </cell>
          <cell r="M398">
            <v>1</v>
          </cell>
        </row>
        <row r="399">
          <cell r="A399" t="str">
            <v>F-2026-03-532</v>
          </cell>
          <cell r="B399" t="str">
            <v>RPRO-260327-0919</v>
          </cell>
          <cell r="C399" t="str">
            <v>BDB-000212</v>
          </cell>
          <cell r="D399" t="str">
            <v>PVN-003460</v>
          </cell>
          <cell r="E399" t="str">
            <v>OrthoLite X-25-Hybrid SEEDPEARL/12-0703TPX Hybrid Flat Sheet 0.12D 20+/-4 Asker C 1.1M 2M 5.5mm</v>
          </cell>
          <cell r="F399">
            <v>25</v>
          </cell>
          <cell r="G399">
            <v>25</v>
          </cell>
          <cell r="H399">
            <v>25</v>
          </cell>
          <cell r="I399">
            <v>0</v>
          </cell>
          <cell r="J399" t="str">
            <v>ON RUNNING</v>
          </cell>
          <cell r="K399" t="str">
            <v>Pr.Sch.R</v>
          </cell>
          <cell r="L399" t="str">
            <v>MOLDED</v>
          </cell>
          <cell r="M399">
            <v>1</v>
          </cell>
        </row>
        <row r="400">
          <cell r="A400" t="str">
            <v>F-2026-03-533</v>
          </cell>
          <cell r="B400" t="str">
            <v>RPRO-260327-0920</v>
          </cell>
          <cell r="C400" t="str">
            <v>BDB-000008</v>
          </cell>
          <cell r="D400" t="str">
            <v>PVN-000505</v>
          </cell>
          <cell r="E400" t="str">
            <v>OrthoLite Regular LIME GREEN/14-0452TPX Flat Sheet 0.11D 25+/-4 Asker C 1.1M 2M 12mm</v>
          </cell>
          <cell r="F400">
            <v>154</v>
          </cell>
          <cell r="G400">
            <v>154</v>
          </cell>
          <cell r="H400">
            <v>154</v>
          </cell>
          <cell r="I400">
            <v>0</v>
          </cell>
          <cell r="J400" t="str">
            <v>ASICS</v>
          </cell>
          <cell r="K400" t="str">
            <v>Pr.Sch.R</v>
          </cell>
          <cell r="L400" t="str">
            <v>MOLDED</v>
          </cell>
          <cell r="M400" t="str">
            <v>1-RM-WIP</v>
          </cell>
        </row>
        <row r="401">
          <cell r="A401" t="str">
            <v>F-2026-03-534</v>
          </cell>
          <cell r="B401" t="str">
            <v>RPRO-260327-0921</v>
          </cell>
          <cell r="C401" t="str">
            <v>BDB-000317</v>
          </cell>
          <cell r="D401" t="str">
            <v>PVN-004076</v>
          </cell>
          <cell r="E401" t="str">
            <v>OrthoLite Regular NEUTRAL GRAY/17-4402TPX Flat Sheet 0.13D 15+/-4 Asker C 1.1M 2M 24mm</v>
          </cell>
          <cell r="F401">
            <v>5</v>
          </cell>
          <cell r="G401">
            <v>5</v>
          </cell>
          <cell r="H401">
            <v>5</v>
          </cell>
          <cell r="I401">
            <v>0</v>
          </cell>
          <cell r="J401" t="str">
            <v>ASICS</v>
          </cell>
          <cell r="K401" t="str">
            <v>Pr.Sch.R</v>
          </cell>
          <cell r="L401" t="str">
            <v>MOLDED</v>
          </cell>
          <cell r="M401">
            <v>1</v>
          </cell>
        </row>
        <row r="402">
          <cell r="A402" t="str">
            <v>F-2026-03-535</v>
          </cell>
          <cell r="B402" t="str">
            <v>RPRO-260327-0922</v>
          </cell>
          <cell r="C402" t="str">
            <v>BDB-000126</v>
          </cell>
          <cell r="D402" t="str">
            <v>PVN-002325</v>
          </cell>
          <cell r="E402" t="str">
            <v>OrthoLite Regular-Nike RED/19-1764TPX Flat Sheet 0.11D 25+/-4 Asker C 1.1M 2M 5.2mm</v>
          </cell>
          <cell r="F402">
            <v>104</v>
          </cell>
          <cell r="G402">
            <v>104</v>
          </cell>
          <cell r="H402">
            <v>104</v>
          </cell>
          <cell r="I402">
            <v>0</v>
          </cell>
          <cell r="J402" t="str">
            <v>NIKE</v>
          </cell>
          <cell r="K402" t="str">
            <v>Pr.Sch.R</v>
          </cell>
          <cell r="L402" t="str">
            <v>MOLDED</v>
          </cell>
          <cell r="M402">
            <v>1</v>
          </cell>
        </row>
        <row r="403">
          <cell r="A403" t="str">
            <v>F-2026-03-536</v>
          </cell>
          <cell r="B403" t="str">
            <v>RPRO-260327-0923</v>
          </cell>
          <cell r="C403" t="str">
            <v>BDB-000157</v>
          </cell>
          <cell r="D403" t="str">
            <v>PVN-003642</v>
          </cell>
          <cell r="E403" t="str">
            <v>OrthoLite X-35-Hybrid-Nike SEEDPEARL/12-0703TPX Hybrid Flat Sheet 0.145D 25+/-4 Asker C 1.1M 2M 6.2mm</v>
          </cell>
          <cell r="F403">
            <v>66</v>
          </cell>
          <cell r="G403">
            <v>66</v>
          </cell>
          <cell r="H403">
            <v>66</v>
          </cell>
          <cell r="I403">
            <v>0</v>
          </cell>
          <cell r="J403" t="str">
            <v>NIKE</v>
          </cell>
          <cell r="K403" t="str">
            <v>Pr.Sch.R</v>
          </cell>
          <cell r="L403" t="str">
            <v>MOLDED</v>
          </cell>
          <cell r="M403">
            <v>1</v>
          </cell>
        </row>
        <row r="404">
          <cell r="A404" t="str">
            <v>F-2026-03-537</v>
          </cell>
          <cell r="B404" t="str">
            <v>RPRO-260327-0924</v>
          </cell>
          <cell r="C404" t="str">
            <v>BDB-000113</v>
          </cell>
          <cell r="D404" t="str">
            <v>PVN-003601</v>
          </cell>
          <cell r="E404" t="str">
            <v>OrthoLite Regular-Hybrid SEEDPEARL/12-0703TPX Hybrid Flat Sheet 0.11D 25+/-4 Asker C 1.1M 2M 20mm</v>
          </cell>
          <cell r="F404">
            <v>108</v>
          </cell>
          <cell r="G404">
            <v>108</v>
          </cell>
          <cell r="H404">
            <v>108</v>
          </cell>
          <cell r="I404">
            <v>0</v>
          </cell>
          <cell r="J404" t="str">
            <v>ASICS</v>
          </cell>
          <cell r="K404" t="str">
            <v>Pr.Sch.R</v>
          </cell>
          <cell r="L404" t="str">
            <v>MOLDED</v>
          </cell>
          <cell r="M404">
            <v>1</v>
          </cell>
        </row>
        <row r="405">
          <cell r="A405" t="str">
            <v>F-2026-03-538</v>
          </cell>
          <cell r="B405" t="str">
            <v>RPRO-260327-0925</v>
          </cell>
          <cell r="C405" t="str">
            <v>BDB-000113</v>
          </cell>
          <cell r="D405" t="str">
            <v>PVN-003796</v>
          </cell>
          <cell r="E405" t="str">
            <v>OrthoLite Regular-Hybrid SEEDPEARL/12-0703TPX Hybrid Flat Sheet 0.11D 25+/-4 Asker C 1.1M 2M 3.5mm</v>
          </cell>
          <cell r="F405">
            <v>240</v>
          </cell>
          <cell r="G405">
            <v>240</v>
          </cell>
          <cell r="H405">
            <v>240</v>
          </cell>
          <cell r="I405">
            <v>0</v>
          </cell>
          <cell r="J405" t="str">
            <v>ASICS</v>
          </cell>
          <cell r="K405" t="str">
            <v>Pr.Sch.R</v>
          </cell>
          <cell r="L405" t="str">
            <v>DIE CUT</v>
          </cell>
          <cell r="M405">
            <v>1</v>
          </cell>
        </row>
        <row r="406">
          <cell r="A406" t="str">
            <v>F-2026-03-539</v>
          </cell>
          <cell r="B406" t="str">
            <v>RPRO-260327-0926</v>
          </cell>
          <cell r="C406" t="str">
            <v>BDB-000117</v>
          </cell>
          <cell r="D406" t="str">
            <v>PVN-003148</v>
          </cell>
          <cell r="E406" t="str">
            <v>OrthoLite X-35-Hybrid SEEDPEARL/12-0703TPX Hybrid Flat Sheet 0.145D 25+/-4 Asker C 1.1M 2M 4.5mm</v>
          </cell>
          <cell r="F406">
            <v>124</v>
          </cell>
          <cell r="G406">
            <v>124</v>
          </cell>
          <cell r="H406">
            <v>124</v>
          </cell>
          <cell r="I406">
            <v>0</v>
          </cell>
          <cell r="J406" t="str">
            <v>WILSON</v>
          </cell>
          <cell r="K406" t="str">
            <v>Pr.Sch.R</v>
          </cell>
          <cell r="L406" t="str">
            <v>MOLDED</v>
          </cell>
          <cell r="M406">
            <v>1</v>
          </cell>
        </row>
        <row r="407">
          <cell r="A407" t="str">
            <v>F-2026-03-540</v>
          </cell>
          <cell r="B407" t="str">
            <v>FPRO-260326-0001</v>
          </cell>
          <cell r="C407" t="str">
            <v>BDB-000209</v>
          </cell>
          <cell r="D407" t="str">
            <v>PVN-003537</v>
          </cell>
          <cell r="E407" t="str">
            <v>OrthoLite HybridPlus-Recycled MINT GREEN/11-4805TPX Hybrid 0.12D 25+/-4 Asker C 1.1M 2M 4.5mm</v>
          </cell>
          <cell r="F407">
            <v>2500</v>
          </cell>
          <cell r="G407">
            <v>2500</v>
          </cell>
          <cell r="H407">
            <v>2500</v>
          </cell>
          <cell r="I407">
            <v>0</v>
          </cell>
          <cell r="J407" t="str">
            <v>ON RUNNING</v>
          </cell>
          <cell r="K407" t="str">
            <v>Forecast</v>
          </cell>
          <cell r="L407" t="str">
            <v>MOLDED</v>
          </cell>
          <cell r="M407">
            <v>1</v>
          </cell>
        </row>
        <row r="408">
          <cell r="A408" t="str">
            <v>F-2026-03-541</v>
          </cell>
          <cell r="B408" t="str">
            <v>FPRO-260326-0002</v>
          </cell>
          <cell r="C408" t="str">
            <v>BDB-000209</v>
          </cell>
          <cell r="D408" t="str">
            <v>PVN-003537</v>
          </cell>
          <cell r="E408" t="str">
            <v>OrthoLite HybridPlus-Recycled MINT GREEN/11-4805TPX Hybrid 0.12D 25+/-4 Asker C 1.1M 2M 4.5mm</v>
          </cell>
          <cell r="F408">
            <v>2500</v>
          </cell>
          <cell r="G408">
            <v>2500</v>
          </cell>
          <cell r="H408">
            <v>2500</v>
          </cell>
          <cell r="I408">
            <v>0</v>
          </cell>
          <cell r="J408" t="str">
            <v>ON RUNNING</v>
          </cell>
          <cell r="K408" t="str">
            <v>Forecast</v>
          </cell>
          <cell r="L408" t="str">
            <v>MOLDED</v>
          </cell>
          <cell r="M408">
            <v>1</v>
          </cell>
        </row>
        <row r="409">
          <cell r="A409" t="str">
            <v>F-2026-03-542</v>
          </cell>
          <cell r="B409" t="str">
            <v>FPRO-260326-0003</v>
          </cell>
          <cell r="C409" t="str">
            <v>BDB-000209</v>
          </cell>
          <cell r="D409" t="str">
            <v>PVN-003537</v>
          </cell>
          <cell r="E409" t="str">
            <v>OrthoLite HybridPlus-Recycled MINT GREEN/11-4805TPX Hybrid 0.12D 25+/-4 Asker C 1.1M 2M 4.5mm</v>
          </cell>
          <cell r="F409">
            <v>2500</v>
          </cell>
          <cell r="G409">
            <v>2500</v>
          </cell>
          <cell r="H409">
            <v>2500</v>
          </cell>
          <cell r="I409">
            <v>0</v>
          </cell>
          <cell r="J409" t="str">
            <v>ON RUNNING</v>
          </cell>
          <cell r="K409" t="str">
            <v>Forecast</v>
          </cell>
          <cell r="L409" t="str">
            <v>MOLDED</v>
          </cell>
          <cell r="M409">
            <v>1</v>
          </cell>
        </row>
        <row r="410">
          <cell r="A410" t="str">
            <v>F-2026-03-543</v>
          </cell>
          <cell r="B410" t="str">
            <v>FPRO-260326-0004</v>
          </cell>
          <cell r="C410" t="str">
            <v>BDB-000209</v>
          </cell>
          <cell r="D410" t="str">
            <v>PVN-003537</v>
          </cell>
          <cell r="E410" t="str">
            <v>OrthoLite HybridPlus-Recycled MINT GREEN/11-4805TPX Hybrid 0.12D 25+/-4 Asker C 1.1M 2M 4.5mm</v>
          </cell>
          <cell r="F410">
            <v>2500</v>
          </cell>
          <cell r="G410">
            <v>2500</v>
          </cell>
          <cell r="H410">
            <v>1500</v>
          </cell>
          <cell r="I410">
            <v>1000</v>
          </cell>
          <cell r="J410" t="str">
            <v>ON RUNNING</v>
          </cell>
          <cell r="K410" t="str">
            <v>Forecast</v>
          </cell>
          <cell r="L410" t="str">
            <v>MOLDED</v>
          </cell>
          <cell r="M410">
            <v>1</v>
          </cell>
        </row>
        <row r="411">
          <cell r="A411" t="str">
            <v>F-2026-03-544</v>
          </cell>
          <cell r="B411" t="str">
            <v>FPRO-260326-0005</v>
          </cell>
          <cell r="C411" t="str">
            <v>BDB-000209</v>
          </cell>
          <cell r="D411" t="str">
            <v>PVN-003537</v>
          </cell>
          <cell r="E411" t="str">
            <v>OrthoLite HybridPlus-Recycled MINT GREEN/11-4805TPX Hybrid 0.12D 25+/-4 Asker C 1.1M 2M 4.5mm</v>
          </cell>
          <cell r="F411">
            <v>2500</v>
          </cell>
          <cell r="G411">
            <v>2500</v>
          </cell>
          <cell r="H411">
            <v>0</v>
          </cell>
          <cell r="I411">
            <v>2500</v>
          </cell>
          <cell r="J411" t="str">
            <v>ON RUNNING</v>
          </cell>
          <cell r="K411" t="str">
            <v>Forecast</v>
          </cell>
          <cell r="L411" t="str">
            <v>MOLDED</v>
          </cell>
          <cell r="M411">
            <v>1</v>
          </cell>
        </row>
        <row r="412">
          <cell r="A412" t="str">
            <v>F-2026-03-545</v>
          </cell>
          <cell r="B412" t="str">
            <v>FPRO-260326-0006</v>
          </cell>
          <cell r="C412" t="str">
            <v>BDB-000209</v>
          </cell>
          <cell r="D412" t="str">
            <v>PVN-003537</v>
          </cell>
          <cell r="E412" t="str">
            <v>OrthoLite HybridPlus-Recycled MINT GREEN/11-4805TPX Hybrid 0.12D 25+/-4 Asker C 1.1M 2M 4.5mm</v>
          </cell>
          <cell r="F412">
            <v>2500</v>
          </cell>
          <cell r="G412">
            <v>2500</v>
          </cell>
          <cell r="H412">
            <v>0</v>
          </cell>
          <cell r="I412">
            <v>2500</v>
          </cell>
          <cell r="J412" t="str">
            <v>ON RUNNING</v>
          </cell>
          <cell r="K412" t="str">
            <v>Forecast</v>
          </cell>
          <cell r="L412" t="str">
            <v>MOLDED</v>
          </cell>
          <cell r="M412">
            <v>1</v>
          </cell>
        </row>
        <row r="413">
          <cell r="A413" t="str">
            <v>F-2026-03-546</v>
          </cell>
          <cell r="B413" t="str">
            <v>FPRO-260326-0007</v>
          </cell>
          <cell r="C413" t="str">
            <v>BDB-000209</v>
          </cell>
          <cell r="D413" t="str">
            <v>PVN-003537</v>
          </cell>
          <cell r="E413" t="str">
            <v>OrthoLite HybridPlus-Recycled MINT GREEN/11-4805TPX Hybrid 0.12D 25+/-4 Asker C 1.1M 2M 4.5mm</v>
          </cell>
          <cell r="F413">
            <v>2500</v>
          </cell>
          <cell r="G413">
            <v>2500</v>
          </cell>
          <cell r="H413">
            <v>2500</v>
          </cell>
          <cell r="I413">
            <v>0</v>
          </cell>
          <cell r="J413" t="str">
            <v>ON RUNNING</v>
          </cell>
          <cell r="K413" t="str">
            <v>Forecast</v>
          </cell>
          <cell r="L413" t="str">
            <v>MOLDED</v>
          </cell>
          <cell r="M413">
            <v>1</v>
          </cell>
        </row>
        <row r="414">
          <cell r="A414" t="str">
            <v>F-2026-03-547</v>
          </cell>
          <cell r="B414" t="str">
            <v>FPRO-260327-0001</v>
          </cell>
          <cell r="C414" t="str">
            <v>BDB-000180</v>
          </cell>
          <cell r="D414" t="str">
            <v>PVN-003236</v>
          </cell>
          <cell r="E414" t="str">
            <v>OrthoLite Eco LT-Hybrid-Converse SEEDPEARL/12-0703TPX Hybrid 0.13D 25+/-4 Asker C 1.1M 2M 5mm</v>
          </cell>
          <cell r="F414">
            <v>573</v>
          </cell>
          <cell r="G414">
            <v>573</v>
          </cell>
          <cell r="H414">
            <v>573</v>
          </cell>
          <cell r="I414">
            <v>0</v>
          </cell>
          <cell r="J414" t="str">
            <v>CONVERSE</v>
          </cell>
          <cell r="K414" t="str">
            <v>Forecast</v>
          </cell>
          <cell r="L414" t="str">
            <v>DIE CUT</v>
          </cell>
          <cell r="M414">
            <v>1</v>
          </cell>
        </row>
        <row r="415">
          <cell r="A415" t="str">
            <v>F-2026-03-548</v>
          </cell>
          <cell r="B415" t="str">
            <v>FPRO-260327-0002</v>
          </cell>
          <cell r="C415" t="str">
            <v>BDB-000181</v>
          </cell>
          <cell r="D415" t="str">
            <v>PVN-003238</v>
          </cell>
          <cell r="E415" t="str">
            <v>OrthoLite Eco LT-Hybrid-Converse SEEDPEARL/12-0703TPX Hybrid 0.11D 25+/-4 Asker C 1.1M 2M 5mm</v>
          </cell>
          <cell r="F415">
            <v>221</v>
          </cell>
          <cell r="G415">
            <v>221</v>
          </cell>
          <cell r="H415">
            <v>221</v>
          </cell>
          <cell r="I415">
            <v>0</v>
          </cell>
          <cell r="J415" t="str">
            <v>CONVERSE</v>
          </cell>
          <cell r="K415" t="str">
            <v>Forecast</v>
          </cell>
          <cell r="L415" t="str">
            <v>DIE CUT</v>
          </cell>
          <cell r="M415">
            <v>1</v>
          </cell>
        </row>
        <row r="416">
          <cell r="A416" t="str">
            <v>F-2026-03-549</v>
          </cell>
          <cell r="B416" t="str">
            <v>FPRO-260327-0003</v>
          </cell>
          <cell r="C416" t="str">
            <v>BDB-000226</v>
          </cell>
          <cell r="D416" t="str">
            <v>PVN-003517</v>
          </cell>
          <cell r="E416" t="str">
            <v>OrthoLite Regular GREY/17-1501TPX Flat Sheet 0.16D 51+/-4 Asker C 1.1M 1.7M 12mm</v>
          </cell>
          <cell r="F416">
            <v>235</v>
          </cell>
          <cell r="G416">
            <v>235</v>
          </cell>
          <cell r="H416">
            <v>235</v>
          </cell>
          <cell r="I416">
            <v>0</v>
          </cell>
          <cell r="J416" t="str">
            <v>CONVERSE</v>
          </cell>
          <cell r="K416" t="str">
            <v>Forecast</v>
          </cell>
          <cell r="L416" t="str">
            <v>DIE CUT</v>
          </cell>
          <cell r="M416">
            <v>1</v>
          </cell>
        </row>
        <row r="417">
          <cell r="A417" t="str">
            <v>F-2026-03-550</v>
          </cell>
          <cell r="B417" t="str">
            <v>FPRO-260327-0006</v>
          </cell>
          <cell r="C417" t="str">
            <v>BDB-000123</v>
          </cell>
          <cell r="D417" t="str">
            <v>PVN-003298</v>
          </cell>
          <cell r="E417" t="str">
            <v>OrthoLite Ultra-Hybrid SEEDPEARL/12-0703TPX Hybrid 0.085D 25+/-4 Asker C 1.1M 2M 4mm</v>
          </cell>
          <cell r="F417">
            <v>5100</v>
          </cell>
          <cell r="G417">
            <v>5100</v>
          </cell>
          <cell r="H417">
            <v>0</v>
          </cell>
          <cell r="I417">
            <v>5100</v>
          </cell>
          <cell r="J417" t="str">
            <v>SALOMON</v>
          </cell>
          <cell r="K417" t="str">
            <v>Forecast</v>
          </cell>
          <cell r="L417" t="str">
            <v>LAMINATING</v>
          </cell>
          <cell r="M417">
            <v>1</v>
          </cell>
        </row>
        <row r="418">
          <cell r="A418" t="str">
            <v>F-2026-03-551</v>
          </cell>
          <cell r="B418" t="str">
            <v>RPRO-260330-1099</v>
          </cell>
          <cell r="C418" t="str">
            <v>BDB-000224</v>
          </cell>
          <cell r="D418" t="str">
            <v>PVN-004258</v>
          </cell>
          <cell r="E418" t="str">
            <v>OrthoLite R&amp;R CASTLEROCK/18-0201TPX Flat Sheet 0.16D 15+/-4 Asker C 1.1M 1.7M 3mm</v>
          </cell>
          <cell r="F418">
            <v>184</v>
          </cell>
          <cell r="G418">
            <v>184</v>
          </cell>
          <cell r="H418">
            <v>184</v>
          </cell>
          <cell r="I418">
            <v>0</v>
          </cell>
          <cell r="J418"/>
          <cell r="K418" t="str">
            <v>MPS</v>
          </cell>
          <cell r="L418" t="str">
            <v>SPLITTING</v>
          </cell>
          <cell r="M418">
            <v>2</v>
          </cell>
        </row>
        <row r="419">
          <cell r="A419" t="str">
            <v>F-2026-03-552</v>
          </cell>
          <cell r="B419" t="str">
            <v>RPRO-260330-1100</v>
          </cell>
          <cell r="C419" t="str">
            <v>BDB-000011</v>
          </cell>
          <cell r="D419" t="str">
            <v>PVN-000127</v>
          </cell>
          <cell r="E419" t="str">
            <v>OrthoLite Regular AIR BLUE/16-4134TPX Flat Sheet 0.13D 35+/-4 Asker C 1.1M 2M 5mm</v>
          </cell>
          <cell r="F419">
            <v>392</v>
          </cell>
          <cell r="G419">
            <v>392</v>
          </cell>
          <cell r="H419">
            <v>392</v>
          </cell>
          <cell r="I419">
            <v>0</v>
          </cell>
          <cell r="J419"/>
          <cell r="K419" t="str">
            <v>MPS</v>
          </cell>
          <cell r="L419" t="str">
            <v>SPLITTING</v>
          </cell>
          <cell r="M419">
            <v>2</v>
          </cell>
        </row>
        <row r="420">
          <cell r="A420" t="str">
            <v>F-2026-03-553</v>
          </cell>
          <cell r="B420" t="str">
            <v>RPRO-260330-1101</v>
          </cell>
          <cell r="C420" t="str">
            <v>BDB-000083</v>
          </cell>
          <cell r="D420" t="str">
            <v>PVN-000930</v>
          </cell>
          <cell r="E420" t="str">
            <v>OrthoLite Eco LT 300C(ADIDAS BLUEBIRD) Flat Sheet 0.11D 25+/-4 Asker C 1.1M 2M 3mm</v>
          </cell>
          <cell r="F420">
            <v>46</v>
          </cell>
          <cell r="G420">
            <v>46</v>
          </cell>
          <cell r="H420">
            <v>46</v>
          </cell>
          <cell r="I420">
            <v>0</v>
          </cell>
          <cell r="J420"/>
          <cell r="K420" t="str">
            <v>MPS</v>
          </cell>
          <cell r="L420" t="str">
            <v>SPLITTING</v>
          </cell>
          <cell r="M420">
            <v>2</v>
          </cell>
        </row>
        <row r="421">
          <cell r="A421" t="str">
            <v>F-2026-03-554</v>
          </cell>
          <cell r="B421" t="str">
            <v>RPRO-260330-1102</v>
          </cell>
          <cell r="C421" t="str">
            <v>BDB-000057</v>
          </cell>
          <cell r="D421" t="str">
            <v>PVN-000981</v>
          </cell>
          <cell r="E421" t="str">
            <v>OrthoLite Ultra YELLOW/13-0858TPX Flat Sheet 0.085D 25+/-4 Asker C 1.1M 2M 3mm</v>
          </cell>
          <cell r="F421">
            <v>1242</v>
          </cell>
          <cell r="G421">
            <v>1242</v>
          </cell>
          <cell r="H421">
            <v>1242</v>
          </cell>
          <cell r="I421">
            <v>0</v>
          </cell>
          <cell r="J421"/>
          <cell r="K421" t="str">
            <v>MPS</v>
          </cell>
          <cell r="L421" t="str">
            <v>SPLITTING</v>
          </cell>
          <cell r="M421">
            <v>2</v>
          </cell>
        </row>
        <row r="422">
          <cell r="A422" t="str">
            <v>F-2026-03-555</v>
          </cell>
          <cell r="B422" t="str">
            <v>RPRO-260330-1103</v>
          </cell>
          <cell r="C422" t="str">
            <v>BDB-000085</v>
          </cell>
          <cell r="D422" t="str">
            <v>PVN-001091</v>
          </cell>
          <cell r="E422" t="str">
            <v>OrthoLite Eco LT GREY/17-1501TPX Flat Sheet 0.11D 25+/-4 Asker C 1.1M 2M 4mm</v>
          </cell>
          <cell r="F422">
            <v>35</v>
          </cell>
          <cell r="G422">
            <v>35</v>
          </cell>
          <cell r="H422">
            <v>35</v>
          </cell>
          <cell r="I422">
            <v>0</v>
          </cell>
          <cell r="J422"/>
          <cell r="K422" t="str">
            <v>MPS</v>
          </cell>
          <cell r="L422" t="str">
            <v>SPLITTING</v>
          </cell>
          <cell r="M422">
            <v>2</v>
          </cell>
        </row>
        <row r="423">
          <cell r="A423" t="str">
            <v>F-2026-03-556</v>
          </cell>
          <cell r="B423" t="str">
            <v>RPRO-260330-1104</v>
          </cell>
          <cell r="C423" t="str">
            <v>BDB-000084</v>
          </cell>
          <cell r="D423" t="str">
            <v>PVN-001111</v>
          </cell>
          <cell r="E423" t="str">
            <v>OrthoLite Eco LT YELLOW/13-0858TPX 0.11D 25+/-4 Asker C 1.1M 2M 4mm</v>
          </cell>
          <cell r="F423">
            <v>35</v>
          </cell>
          <cell r="G423">
            <v>35</v>
          </cell>
          <cell r="H423">
            <v>35</v>
          </cell>
          <cell r="I423">
            <v>0</v>
          </cell>
          <cell r="J423"/>
          <cell r="K423" t="str">
            <v>MPS</v>
          </cell>
          <cell r="L423" t="str">
            <v>SPLITTING</v>
          </cell>
          <cell r="M423">
            <v>2</v>
          </cell>
        </row>
        <row r="424">
          <cell r="A424" t="str">
            <v>F-2026-03-557</v>
          </cell>
          <cell r="B424" t="str">
            <v>RPRO-260330-1105</v>
          </cell>
          <cell r="C424" t="str">
            <v>BDB-000058</v>
          </cell>
          <cell r="D424" t="str">
            <v>PVN-001277</v>
          </cell>
          <cell r="E424" t="str">
            <v>OrthoLite Ultra GREEN/16-5932TPX Flat Sheet 0.085D 25+/-4 Asker C 1.1M 2M 4mm</v>
          </cell>
          <cell r="F424">
            <v>2870</v>
          </cell>
          <cell r="G424">
            <v>2870</v>
          </cell>
          <cell r="H424">
            <v>2870</v>
          </cell>
          <cell r="I424">
            <v>0</v>
          </cell>
          <cell r="J424"/>
          <cell r="K424" t="str">
            <v>MPS</v>
          </cell>
          <cell r="L424" t="str">
            <v>SPLITTING</v>
          </cell>
          <cell r="M424">
            <v>2</v>
          </cell>
        </row>
        <row r="425">
          <cell r="A425" t="str">
            <v>F-2026-03-558</v>
          </cell>
          <cell r="B425" t="str">
            <v>RPRO-260330-1106</v>
          </cell>
          <cell r="C425" t="str">
            <v>BDB-000033</v>
          </cell>
          <cell r="D425" t="str">
            <v>PVN-001471</v>
          </cell>
          <cell r="E425" t="str">
            <v>OrthoLite Regular SEEDPEARL/12-0703TPX 0.13D 35+/-4 Asker C 1.1M 2M 4mm</v>
          </cell>
          <cell r="F425">
            <v>35</v>
          </cell>
          <cell r="G425">
            <v>35</v>
          </cell>
          <cell r="H425">
            <v>35</v>
          </cell>
          <cell r="I425">
            <v>0</v>
          </cell>
          <cell r="J425"/>
          <cell r="K425" t="str">
            <v>MPS</v>
          </cell>
          <cell r="L425" t="str">
            <v>SPLITTING</v>
          </cell>
          <cell r="M425">
            <v>2</v>
          </cell>
        </row>
        <row r="426">
          <cell r="A426" t="str">
            <v>F-2026-03-559</v>
          </cell>
          <cell r="B426" t="str">
            <v>RPRO-260330-1107</v>
          </cell>
          <cell r="C426" t="str">
            <v>BDB-000117</v>
          </cell>
          <cell r="D426" t="str">
            <v>PVN-002899</v>
          </cell>
          <cell r="E426" t="str">
            <v>OrthoLite X-35-Hybrid SEEDPEARL/12-0703TPX Hybrid 0.145D 25+/-4 Asker C 1.1M 2M 4mm</v>
          </cell>
          <cell r="F426">
            <v>1260</v>
          </cell>
          <cell r="G426">
            <v>1260</v>
          </cell>
          <cell r="H426">
            <v>1260</v>
          </cell>
          <cell r="I426">
            <v>0</v>
          </cell>
          <cell r="J426"/>
          <cell r="K426" t="str">
            <v>MPS</v>
          </cell>
          <cell r="L426" t="str">
            <v>SPLITTING</v>
          </cell>
          <cell r="M426">
            <v>2</v>
          </cell>
        </row>
        <row r="427">
          <cell r="A427" t="str">
            <v>F-2026-03-560</v>
          </cell>
          <cell r="B427" t="str">
            <v>RPRO-260330-1108</v>
          </cell>
          <cell r="C427" t="str">
            <v>BDB-000123</v>
          </cell>
          <cell r="D427" t="str">
            <v>PVN-003300</v>
          </cell>
          <cell r="E427" t="str">
            <v>OrthoLite Ultra-Hybrid SEEDPEARL/12-0703TPX Hybrid Flat Sheet 0.085D 25+/-4 Asker C 1.1M 2M 2mm</v>
          </cell>
          <cell r="F427">
            <v>70</v>
          </cell>
          <cell r="G427">
            <v>70</v>
          </cell>
          <cell r="H427">
            <v>70</v>
          </cell>
          <cell r="I427">
            <v>0</v>
          </cell>
          <cell r="J427"/>
          <cell r="K427" t="str">
            <v>MPS</v>
          </cell>
          <cell r="L427" t="str">
            <v>SPLITTING</v>
          </cell>
          <cell r="M427">
            <v>2</v>
          </cell>
        </row>
        <row r="428">
          <cell r="A428" t="str">
            <v>F-2026-03-561</v>
          </cell>
          <cell r="B428" t="str">
            <v>RPRO-260330-1109</v>
          </cell>
          <cell r="C428" t="str">
            <v>BDB-000123</v>
          </cell>
          <cell r="D428" t="str">
            <v>PVN-003315</v>
          </cell>
          <cell r="E428" t="str">
            <v>OrthoLite Ultra-Hybrid SEEDPEARL/12-0703TPX Hybrid 0.085D 25+/-4 Asker C 1.1M 2M 3.5mm</v>
          </cell>
          <cell r="F428">
            <v>80</v>
          </cell>
          <cell r="G428">
            <v>80</v>
          </cell>
          <cell r="H428">
            <v>80</v>
          </cell>
          <cell r="I428">
            <v>0</v>
          </cell>
          <cell r="J428"/>
          <cell r="K428" t="str">
            <v>MPS</v>
          </cell>
          <cell r="L428" t="str">
            <v>SPLITTING</v>
          </cell>
          <cell r="M428">
            <v>2</v>
          </cell>
        </row>
        <row r="429">
          <cell r="A429" t="str">
            <v>F-2026-03-562</v>
          </cell>
          <cell r="B429" t="str">
            <v>RPRO-260330-1110</v>
          </cell>
          <cell r="C429" t="str">
            <v>BDB-000200</v>
          </cell>
          <cell r="D429" t="str">
            <v>PVN-003425</v>
          </cell>
          <cell r="E429" t="str">
            <v>OrthoLite Ultra SEEDPEARL/12-0703TPX Flat Sheet 0.085D 78-90 Asker F 1.1M 2M 4mm</v>
          </cell>
          <cell r="F429">
            <v>175</v>
          </cell>
          <cell r="G429">
            <v>175</v>
          </cell>
          <cell r="H429">
            <v>175</v>
          </cell>
          <cell r="I429">
            <v>0</v>
          </cell>
          <cell r="J429"/>
          <cell r="K429" t="str">
            <v>MPS</v>
          </cell>
          <cell r="L429" t="str">
            <v>SPLITTING</v>
          </cell>
          <cell r="M429">
            <v>2</v>
          </cell>
        </row>
        <row r="430">
          <cell r="A430" t="str">
            <v>F-2026-03-563</v>
          </cell>
          <cell r="B430" t="str">
            <v>RPRO-260330-1111</v>
          </cell>
          <cell r="C430" t="str">
            <v>BDB-000077</v>
          </cell>
          <cell r="D430" t="str">
            <v>PVN-003478</v>
          </cell>
          <cell r="E430" t="str">
            <v>Ortholite X-25 SEEDPEARL/12-0703TPX Flat Sheet 0.12D 20+/-4 Asker C 1.1M 2M 4mm</v>
          </cell>
          <cell r="F430">
            <v>140</v>
          </cell>
          <cell r="G430">
            <v>140</v>
          </cell>
          <cell r="H430">
            <v>140</v>
          </cell>
          <cell r="I430">
            <v>0</v>
          </cell>
          <cell r="J430"/>
          <cell r="K430" t="str">
            <v>MPS</v>
          </cell>
          <cell r="L430" t="str">
            <v>SPLITTING</v>
          </cell>
          <cell r="M430">
            <v>2</v>
          </cell>
        </row>
        <row r="431">
          <cell r="A431" t="str">
            <v>F-2026-03-564</v>
          </cell>
          <cell r="B431" t="str">
            <v>RPRO-260330-1112</v>
          </cell>
          <cell r="C431" t="str">
            <v>BDB-000348</v>
          </cell>
          <cell r="D431" t="str">
            <v>PVN-004210</v>
          </cell>
          <cell r="E431" t="str">
            <v>OrthoLite IMPERIAL SEEDPEARL/12-0703TPX Flat Sheet 0.22D 25+/-4 Asker C 1.1M 1.47M 5mm</v>
          </cell>
          <cell r="F431">
            <v>980</v>
          </cell>
          <cell r="G431">
            <v>980</v>
          </cell>
          <cell r="H431">
            <v>980</v>
          </cell>
          <cell r="I431">
            <v>0</v>
          </cell>
          <cell r="J431"/>
          <cell r="K431" t="str">
            <v>MPS</v>
          </cell>
          <cell r="L431" t="str">
            <v>SPLITTING</v>
          </cell>
          <cell r="M431">
            <v>2</v>
          </cell>
        </row>
        <row r="432">
          <cell r="A432" t="str">
            <v>F-2026-03-565</v>
          </cell>
          <cell r="B432" t="str">
            <v>RPRO-260330-1113</v>
          </cell>
          <cell r="C432" t="str">
            <v>BDB-000008</v>
          </cell>
          <cell r="D432" t="str">
            <v>PVN-000505</v>
          </cell>
          <cell r="E432" t="str">
            <v>OrthoLite Regular LIME GREEN/14-0452TPX Flat Sheet 0.11D 25+/-4 Asker C 1.1M 2M 12mm</v>
          </cell>
          <cell r="F432">
            <v>220</v>
          </cell>
          <cell r="G432">
            <v>220</v>
          </cell>
          <cell r="H432">
            <v>220</v>
          </cell>
          <cell r="I432">
            <v>0</v>
          </cell>
          <cell r="J432" t="str">
            <v>ASICS</v>
          </cell>
          <cell r="K432" t="str">
            <v>Pr.Sch.R</v>
          </cell>
          <cell r="L432" t="str">
            <v>MOLDED</v>
          </cell>
          <cell r="M432" t="str">
            <v>1-RM-WIP</v>
          </cell>
        </row>
        <row r="433">
          <cell r="A433" t="str">
            <v>F-2026-03-566</v>
          </cell>
          <cell r="B433" t="str">
            <v>RPRO-260330-1114</v>
          </cell>
          <cell r="C433" t="str">
            <v>BDB-000011</v>
          </cell>
          <cell r="D433" t="str">
            <v>PVN-000121</v>
          </cell>
          <cell r="E433" t="str">
            <v>OrthoLite Regular AIR BLUE/16-4134TPX Flat Sheet 0.13D 35+/-4 Asker C 1.1M 2M 12mm</v>
          </cell>
          <cell r="F433">
            <v>143</v>
          </cell>
          <cell r="G433">
            <v>143</v>
          </cell>
          <cell r="H433">
            <v>143</v>
          </cell>
          <cell r="I433">
            <v>0</v>
          </cell>
          <cell r="J433" t="str">
            <v>ASICS</v>
          </cell>
          <cell r="K433" t="str">
            <v>Pr.Sch.R</v>
          </cell>
          <cell r="L433" t="str">
            <v>MOLDED</v>
          </cell>
          <cell r="M433" t="str">
            <v>1-RM-WIP</v>
          </cell>
        </row>
        <row r="434">
          <cell r="A434" t="str">
            <v>F-2026-03-567</v>
          </cell>
          <cell r="B434" t="str">
            <v>RPRO-260330-1115</v>
          </cell>
          <cell r="C434" t="str">
            <v>BDB-000123</v>
          </cell>
          <cell r="D434" t="str">
            <v>PVN-002539</v>
          </cell>
          <cell r="E434" t="str">
            <v>OrthoLite Ultra-Hybrid SEEDPEARL/12-0703TPX Hybrid Flat Sheet 0.085D 25+/-4 Asker C 1.1M 2M 5mm</v>
          </cell>
          <cell r="F434">
            <v>168</v>
          </cell>
          <cell r="G434">
            <v>168</v>
          </cell>
          <cell r="H434">
            <v>168</v>
          </cell>
          <cell r="I434">
            <v>0</v>
          </cell>
          <cell r="J434" t="str">
            <v>BROOKS</v>
          </cell>
          <cell r="K434" t="str">
            <v>Pr.Sch.R</v>
          </cell>
          <cell r="L434" t="str">
            <v>DIE CUT</v>
          </cell>
          <cell r="M434">
            <v>1</v>
          </cell>
        </row>
        <row r="435">
          <cell r="A435" t="str">
            <v>F-2026-03-568</v>
          </cell>
          <cell r="B435" t="str">
            <v>RPRO-260330-1116</v>
          </cell>
          <cell r="C435" t="str">
            <v>BDB-000319</v>
          </cell>
          <cell r="D435" t="str">
            <v>PVN-004247</v>
          </cell>
          <cell r="E435" t="str">
            <v>OrthoLite X-40-Hybrid-Nike SEEDPEARL/12-0703TPX Hybrid Flat Sheet 0.16D 25+/-4 Asker C 1.1M 2M 4.2mm</v>
          </cell>
          <cell r="F435">
            <v>66</v>
          </cell>
          <cell r="G435">
            <v>66</v>
          </cell>
          <cell r="H435">
            <v>66</v>
          </cell>
          <cell r="I435">
            <v>0</v>
          </cell>
          <cell r="J435" t="str">
            <v>NIKE</v>
          </cell>
          <cell r="K435" t="str">
            <v>Pr.Sch.R</v>
          </cell>
          <cell r="L435" t="str">
            <v>MOLDED</v>
          </cell>
          <cell r="M435">
            <v>1</v>
          </cell>
        </row>
        <row r="436">
          <cell r="A436" t="str">
            <v>F-2026-03-569</v>
          </cell>
          <cell r="B436" t="str">
            <v>RPRO-260330-1117</v>
          </cell>
          <cell r="C436" t="str">
            <v>BDB-000329</v>
          </cell>
          <cell r="D436" t="str">
            <v>PVN-004140</v>
          </cell>
          <cell r="E436" t="str">
            <v>OrthoLite Ultra YELLOW/13-0858TPX Flat Sheet 0.095D 33+/-4 Asker C 1.1M 2M 4.5mm</v>
          </cell>
          <cell r="F436">
            <v>124</v>
          </cell>
          <cell r="G436">
            <v>124</v>
          </cell>
          <cell r="H436">
            <v>124</v>
          </cell>
          <cell r="I436">
            <v>0</v>
          </cell>
          <cell r="J436" t="str">
            <v>KOLON SPORT</v>
          </cell>
          <cell r="K436" t="str">
            <v>Pr.Sch.R</v>
          </cell>
          <cell r="L436" t="str">
            <v>MOLDED</v>
          </cell>
          <cell r="M436">
            <v>1</v>
          </cell>
        </row>
        <row r="437">
          <cell r="A437" t="str">
            <v>F-2026-03-570</v>
          </cell>
          <cell r="B437" t="str">
            <v>RPRO-260330-1118</v>
          </cell>
          <cell r="C437" t="str">
            <v>BDB-000181</v>
          </cell>
          <cell r="D437" t="str">
            <v>PVN-003238</v>
          </cell>
          <cell r="E437" t="str">
            <v>OrthoLite Eco LT-Hybrid-Converse SEEDPEARL/12-0703TPX Hybrid Flat Sheet 0.11D 25+/-4 Asker C 1.1M 2M 5mm</v>
          </cell>
          <cell r="F437">
            <v>280</v>
          </cell>
          <cell r="G437">
            <v>280</v>
          </cell>
          <cell r="H437">
            <v>280</v>
          </cell>
          <cell r="I437">
            <v>0</v>
          </cell>
          <cell r="J437" t="str">
            <v>CONVERSE</v>
          </cell>
          <cell r="K437" t="str">
            <v>Pr.Sch.R</v>
          </cell>
          <cell r="L437" t="str">
            <v>DIE CUT</v>
          </cell>
          <cell r="M437">
            <v>1</v>
          </cell>
        </row>
        <row r="438">
          <cell r="A438" t="str">
            <v>F-2026-03-571</v>
          </cell>
          <cell r="B438" t="str">
            <v>RPRO-260330-1119</v>
          </cell>
          <cell r="C438" t="str">
            <v>BDB-000217</v>
          </cell>
          <cell r="D438" t="str">
            <v>PVN-003733</v>
          </cell>
          <cell r="E438" t="str">
            <v>OrthoLite X-40-Hybrid SEEDPEARL/12-0703TPX Hybrid Flat Sheet 0.16D 35+/-4 Asker C 1.1M 1.7M 12.5mm</v>
          </cell>
          <cell r="F438">
            <v>10</v>
          </cell>
          <cell r="G438">
            <v>10</v>
          </cell>
          <cell r="H438">
            <v>10</v>
          </cell>
          <cell r="I438">
            <v>0</v>
          </cell>
          <cell r="J438" t="str">
            <v>OBOZ</v>
          </cell>
          <cell r="K438" t="str">
            <v>Pr.Sch.R</v>
          </cell>
          <cell r="L438" t="str">
            <v>MOLDED</v>
          </cell>
          <cell r="M438">
            <v>1</v>
          </cell>
        </row>
        <row r="439">
          <cell r="A439" t="str">
            <v>F-2026-03-572</v>
          </cell>
          <cell r="B439" t="str">
            <v>RPRO-260330-1120</v>
          </cell>
          <cell r="C439" t="str">
            <v>BDB-000282</v>
          </cell>
          <cell r="D439" t="str">
            <v>PVN-003834</v>
          </cell>
          <cell r="E439" t="str">
            <v>OrthoLite X-40-Hybrid SEEDPEARL/12-0703TPX Hybrid Flat Sheet 0.16D 35+/-4 Asker C 1.1M 2M 12.5mm</v>
          </cell>
          <cell r="F439">
            <v>10</v>
          </cell>
          <cell r="G439">
            <v>10</v>
          </cell>
          <cell r="H439">
            <v>10</v>
          </cell>
          <cell r="I439">
            <v>0</v>
          </cell>
          <cell r="J439" t="str">
            <v>OBOZ</v>
          </cell>
          <cell r="K439" t="str">
            <v>Pr.Sch.R</v>
          </cell>
          <cell r="L439" t="str">
            <v>MOLDED</v>
          </cell>
          <cell r="M439">
            <v>1</v>
          </cell>
        </row>
        <row r="440">
          <cell r="A440" t="str">
            <v>F-2026-03-573</v>
          </cell>
          <cell r="B440" t="str">
            <v>RPRO-260330-1121</v>
          </cell>
          <cell r="C440" t="str">
            <v>BDB-000076</v>
          </cell>
          <cell r="D440" t="str">
            <v>PVN-004091</v>
          </cell>
          <cell r="E440" t="str">
            <v>OrthoLite X-25 BILLIARD/16-5427TPX Flat Sheet 0.12D 20+/-4 Asker C 1.1M 2M 3.5mm</v>
          </cell>
          <cell r="F440">
            <v>240</v>
          </cell>
          <cell r="G440">
            <v>240</v>
          </cell>
          <cell r="H440">
            <v>240</v>
          </cell>
          <cell r="I440">
            <v>0</v>
          </cell>
          <cell r="J440" t="str">
            <v>BROOKS</v>
          </cell>
          <cell r="K440" t="str">
            <v>Pr.Sch.R</v>
          </cell>
          <cell r="L440" t="str">
            <v>MOLDED</v>
          </cell>
          <cell r="M440">
            <v>1</v>
          </cell>
        </row>
        <row r="441">
          <cell r="A441" t="str">
            <v>F-2026-03-574</v>
          </cell>
          <cell r="B441" t="str">
            <v>RPRO-260330-1122</v>
          </cell>
          <cell r="C441" t="str">
            <v>BDB-000197</v>
          </cell>
          <cell r="D441" t="str">
            <v>PVN-003406</v>
          </cell>
          <cell r="E441" t="str">
            <v>OrthoLite Ultra-Hybrid SEEDPEARL/12-0703TPX Hybrid Flat Sheet 0.085D 5-10 Asker C 1.1M 2M 2mm</v>
          </cell>
          <cell r="F441">
            <v>140</v>
          </cell>
          <cell r="G441">
            <v>140</v>
          </cell>
          <cell r="H441">
            <v>140</v>
          </cell>
          <cell r="I441">
            <v>0</v>
          </cell>
          <cell r="J441" t="str">
            <v>ADIDAS</v>
          </cell>
          <cell r="K441" t="str">
            <v>Pr.Sch.R</v>
          </cell>
          <cell r="L441" t="str">
            <v>DIE CUT</v>
          </cell>
          <cell r="M441">
            <v>1</v>
          </cell>
        </row>
        <row r="442">
          <cell r="A442" t="str">
            <v>F-2026-03-575</v>
          </cell>
          <cell r="B442" t="str">
            <v>RPRO-260330-1123</v>
          </cell>
          <cell r="C442" t="str">
            <v>BDB-000126</v>
          </cell>
          <cell r="D442" t="str">
            <v>PVN-002325</v>
          </cell>
          <cell r="E442" t="str">
            <v>OrthoLite Regular-Nike RED/19-1764TPX Flat Sheet 0.11D 25+/-4 Asker C 1.1M 2M 5.2mm</v>
          </cell>
          <cell r="F442">
            <v>26</v>
          </cell>
          <cell r="G442">
            <v>26</v>
          </cell>
          <cell r="H442">
            <v>26</v>
          </cell>
          <cell r="I442">
            <v>0</v>
          </cell>
          <cell r="J442" t="str">
            <v>NIKE</v>
          </cell>
          <cell r="K442" t="str">
            <v>Pr.Sch.R</v>
          </cell>
          <cell r="L442" t="str">
            <v>MOLDED</v>
          </cell>
          <cell r="M442">
            <v>1</v>
          </cell>
        </row>
        <row r="443">
          <cell r="A443" t="str">
            <v>F-2026-03-576</v>
          </cell>
          <cell r="B443" t="str">
            <v>RPRO-260330-1124</v>
          </cell>
          <cell r="C443" t="str">
            <v>BDB-000157</v>
          </cell>
          <cell r="D443" t="str">
            <v>PVN-003642</v>
          </cell>
          <cell r="E443" t="str">
            <v>OrthoLite X-35-Hybrid-Nike SEEDPEARL/12-0703TPX Hybrid Flat Sheet 0.145D 25+/-4 Asker C 1.1M 2M 6.2mm</v>
          </cell>
          <cell r="F443">
            <v>330</v>
          </cell>
          <cell r="G443">
            <v>330</v>
          </cell>
          <cell r="H443">
            <v>330</v>
          </cell>
          <cell r="I443">
            <v>0</v>
          </cell>
          <cell r="J443" t="str">
            <v>NIKE</v>
          </cell>
          <cell r="K443" t="str">
            <v>Pr.Sch.R</v>
          </cell>
          <cell r="L443" t="str">
            <v>MOLDED</v>
          </cell>
          <cell r="M443">
            <v>1</v>
          </cell>
        </row>
        <row r="444">
          <cell r="A444" t="str">
            <v>F-2026-03-577</v>
          </cell>
          <cell r="B444" t="str">
            <v>RPRO-260330-1125</v>
          </cell>
          <cell r="C444" t="str">
            <v>BDB-000113</v>
          </cell>
          <cell r="D444" t="str">
            <v>PVN-003601</v>
          </cell>
          <cell r="E444" t="str">
            <v>OrthoLite Regular-Hybrid SEEDPEARL/12-0703TPX Hybrid Flat Sheet 0.11D 25+/-4 Asker C 1.1M 2M 20mm</v>
          </cell>
          <cell r="F444">
            <v>96</v>
          </cell>
          <cell r="G444">
            <v>96</v>
          </cell>
          <cell r="H444">
            <v>96</v>
          </cell>
          <cell r="I444">
            <v>0</v>
          </cell>
          <cell r="J444" t="str">
            <v>ASICS</v>
          </cell>
          <cell r="K444" t="str">
            <v>Pr.Sch.R</v>
          </cell>
          <cell r="L444" t="str">
            <v>MOLDED</v>
          </cell>
          <cell r="M444">
            <v>1</v>
          </cell>
        </row>
        <row r="445">
          <cell r="A445" t="str">
            <v>F-2026-03-578</v>
          </cell>
          <cell r="B445" t="str">
            <v>RPRO-260330-1126</v>
          </cell>
          <cell r="C445" t="str">
            <v>BDB-000107</v>
          </cell>
          <cell r="D445" t="str">
            <v>PVN-003482</v>
          </cell>
          <cell r="E445" t="str">
            <v>OrthoLite Eco LT-Hybrid SEEDPEARL/12-0703TPX Hybrid Flat Sheet 0.11D 25+/-4 Asker C 1.1M 1.47M 4mm</v>
          </cell>
          <cell r="F445">
            <v>35</v>
          </cell>
          <cell r="G445">
            <v>35</v>
          </cell>
          <cell r="H445">
            <v>35</v>
          </cell>
          <cell r="I445">
            <v>0</v>
          </cell>
          <cell r="J445" t="str">
            <v>NEW BALANCE</v>
          </cell>
          <cell r="K445" t="str">
            <v>Pr.Sch.R</v>
          </cell>
          <cell r="L445" t="str">
            <v>DIE CUT</v>
          </cell>
          <cell r="M445">
            <v>1</v>
          </cell>
        </row>
        <row r="446">
          <cell r="A446" t="str">
            <v>F-2026-03-579</v>
          </cell>
          <cell r="B446" t="str">
            <v>RPRO-260330-1127</v>
          </cell>
          <cell r="C446" t="str">
            <v>BDB-000117</v>
          </cell>
          <cell r="D446" t="str">
            <v>PVN-003148</v>
          </cell>
          <cell r="E446" t="str">
            <v>OrthoLite X-35-Hybrid SEEDPEARL/12-0703TPX Hybrid Flat Sheet 0.145D 25+/-4 Asker C 1.1M 2M 4.5mm</v>
          </cell>
          <cell r="F446">
            <v>186</v>
          </cell>
          <cell r="G446">
            <v>186</v>
          </cell>
          <cell r="H446">
            <v>186</v>
          </cell>
          <cell r="I446">
            <v>0</v>
          </cell>
          <cell r="J446" t="str">
            <v>WILSON</v>
          </cell>
          <cell r="K446" t="str">
            <v>Pr.Sch.R</v>
          </cell>
          <cell r="L446" t="str">
            <v>MOLDED</v>
          </cell>
          <cell r="M446">
            <v>1</v>
          </cell>
        </row>
        <row r="447">
          <cell r="A447" t="str">
            <v>F-2026-03-580</v>
          </cell>
          <cell r="B447" t="str">
            <v>RPRO-260330-1128</v>
          </cell>
          <cell r="C447" t="str">
            <v>BDB-000334</v>
          </cell>
          <cell r="D447" t="str">
            <v>PVN-004327</v>
          </cell>
          <cell r="E447" t="str">
            <v>OrthoLite X-55-Hybrid FOSSIL/17-0909TPX Hybrid Flat Sheet 0.16D 25+/-4 Asker C 1.1M 2M 6mm</v>
          </cell>
          <cell r="F447">
            <v>319</v>
          </cell>
          <cell r="G447">
            <v>319</v>
          </cell>
          <cell r="H447">
            <v>319</v>
          </cell>
          <cell r="I447">
            <v>0</v>
          </cell>
          <cell r="J447" t="str">
            <v>ASICS</v>
          </cell>
          <cell r="K447" t="str">
            <v>Pr.Sch.R</v>
          </cell>
          <cell r="L447" t="str">
            <v>MOLDED</v>
          </cell>
          <cell r="M447">
            <v>1</v>
          </cell>
        </row>
        <row r="448">
          <cell r="A448" t="str">
            <v>F-2026-03-581</v>
          </cell>
          <cell r="B448" t="str">
            <v>RPRO-260330-1129</v>
          </cell>
          <cell r="C448" t="str">
            <v>BDB-000076</v>
          </cell>
          <cell r="D448" t="str">
            <v>PVN-004119</v>
          </cell>
          <cell r="E448" t="str">
            <v>OrthoLite X-25 BILLIARD/16-5427TPX Flat Sheet 0.12D 20+/-4 Asker C 1.1M 2M 6.5mm</v>
          </cell>
          <cell r="F448">
            <v>21</v>
          </cell>
          <cell r="G448">
            <v>21</v>
          </cell>
          <cell r="H448">
            <v>21</v>
          </cell>
          <cell r="I448">
            <v>0</v>
          </cell>
          <cell r="J448" t="str">
            <v>ONE8</v>
          </cell>
          <cell r="K448" t="str">
            <v>Pr.Sch.R</v>
          </cell>
          <cell r="L448" t="str">
            <v>MOLDED</v>
          </cell>
          <cell r="M448">
            <v>1</v>
          </cell>
        </row>
        <row r="449">
          <cell r="A449" t="str">
            <v>F-2026-03-582</v>
          </cell>
          <cell r="B449" t="str">
            <v>RPRO-260330-1130</v>
          </cell>
          <cell r="C449" t="str">
            <v>BDB-000158</v>
          </cell>
          <cell r="D449" t="str">
            <v>PVN-001554</v>
          </cell>
          <cell r="E449" t="str">
            <v>OrthoLite Ultra-Nike YELLOW/13-0858TPX Flat Sheet 0.085D 15+/-4 Asker C 1.1M 2M 3mm</v>
          </cell>
          <cell r="F449">
            <v>184</v>
          </cell>
          <cell r="G449">
            <v>184</v>
          </cell>
          <cell r="H449">
            <v>184</v>
          </cell>
          <cell r="I449">
            <v>0</v>
          </cell>
          <cell r="J449" t="str">
            <v>NIKE</v>
          </cell>
          <cell r="K449" t="str">
            <v>Pr.Sch.R</v>
          </cell>
          <cell r="L449" t="str">
            <v>DIE CUT</v>
          </cell>
          <cell r="M449">
            <v>1</v>
          </cell>
        </row>
        <row r="450">
          <cell r="A450" t="str">
            <v>F-2026-03-583</v>
          </cell>
          <cell r="B450" t="str">
            <v>RPRO-260330-1131</v>
          </cell>
          <cell r="C450" t="str">
            <v>BDB-000338</v>
          </cell>
          <cell r="D450" t="str">
            <v>PVN-004172</v>
          </cell>
          <cell r="E450" t="str">
            <v>OrthoLite X-35-Hybrid SEEDPEARL/12-0703TPX Hybrid Flat Sheet 0.145D 25+/-4 Asker C 1.1M 1.47M 11mm</v>
          </cell>
          <cell r="F450">
            <v>132</v>
          </cell>
          <cell r="G450">
            <v>132</v>
          </cell>
          <cell r="H450">
            <v>132</v>
          </cell>
          <cell r="I450">
            <v>0</v>
          </cell>
          <cell r="J450" t="str">
            <v>DESCENTE</v>
          </cell>
          <cell r="K450" t="str">
            <v>Pr.Sch.R</v>
          </cell>
          <cell r="L450" t="str">
            <v>MOLDED</v>
          </cell>
          <cell r="M450">
            <v>1</v>
          </cell>
        </row>
        <row r="451">
          <cell r="A451" t="str">
            <v>OIN-2026.03.27-01</v>
          </cell>
          <cell r="B451" t="str">
            <v>RPRO-260331-0001</v>
          </cell>
          <cell r="C451" t="str">
            <v>BDB-000060</v>
          </cell>
          <cell r="D451" t="str">
            <v>PVN-003782</v>
          </cell>
          <cell r="E451" t="str">
            <v>[116-446] Ultra 25+/-4 Asker C 0.085D Burnt Sienna 17-1544 Tpx 1.10M X 2.00M 47mm</v>
          </cell>
          <cell r="F451">
            <v>13</v>
          </cell>
          <cell r="G451">
            <v>13</v>
          </cell>
          <cell r="H451">
            <v>13</v>
          </cell>
          <cell r="I451">
            <v>0</v>
          </cell>
          <cell r="J451" t="str">
            <v>CLARKS</v>
          </cell>
          <cell r="K451" t="str">
            <v>PO-6979-SO-260328-0384</v>
          </cell>
          <cell r="L451" t="str">
            <v>FLAT SHEET</v>
          </cell>
          <cell r="M451">
            <v>2</v>
          </cell>
        </row>
        <row r="452">
          <cell r="A452" t="str">
            <v>OIN-2026.03.27-02</v>
          </cell>
          <cell r="B452" t="str">
            <v>RPRO-260331-0002</v>
          </cell>
          <cell r="C452" t="str">
            <v>BDB-000078</v>
          </cell>
          <cell r="D452" t="str">
            <v>PVN-003912</v>
          </cell>
          <cell r="E452" t="str">
            <v>[116-1517] X 30 25+/-4 Asker C 0.13D Red 19-1764 Tpx 1.10M X 2.00M 47mm</v>
          </cell>
          <cell r="F452">
            <v>170</v>
          </cell>
          <cell r="G452">
            <v>170</v>
          </cell>
          <cell r="H452">
            <v>170</v>
          </cell>
          <cell r="I452">
            <v>0</v>
          </cell>
          <cell r="J452" t="str">
            <v>BATA</v>
          </cell>
          <cell r="K452" t="str">
            <v>PO-6979-SO-260328-0385</v>
          </cell>
          <cell r="L452" t="str">
            <v>FLAT SHEET</v>
          </cell>
          <cell r="M452">
            <v>2</v>
          </cell>
        </row>
        <row r="453">
          <cell r="A453" t="str">
            <v>OIN-2026.03.27-03</v>
          </cell>
          <cell r="B453" t="str">
            <v>RPRO-260331-0003</v>
          </cell>
          <cell r="C453" t="str">
            <v>BDB-000020</v>
          </cell>
          <cell r="D453" t="str">
            <v>PVN-004180</v>
          </cell>
          <cell r="E453" t="str">
            <v>[116-013] Regular 35+/-4 Asker C 0.13D Red 19-1764 Tpx 1.10M X 2.00M 12.5mm</v>
          </cell>
          <cell r="F453">
            <v>240</v>
          </cell>
          <cell r="G453">
            <v>240</v>
          </cell>
          <cell r="H453">
            <v>240</v>
          </cell>
          <cell r="I453">
            <v>0</v>
          </cell>
          <cell r="J453" t="str">
            <v>HUGO BOSS</v>
          </cell>
          <cell r="K453" t="str">
            <v>PO-6979-SO-260328-0386</v>
          </cell>
          <cell r="L453" t="str">
            <v>FLAT SHEET</v>
          </cell>
          <cell r="M453">
            <v>2</v>
          </cell>
        </row>
        <row r="454">
          <cell r="A454" t="str">
            <v>OIN-2026.03.27-04</v>
          </cell>
          <cell r="B454" t="str">
            <v>RPRO-260331-0004</v>
          </cell>
          <cell r="C454" t="str">
            <v>BDB-000076</v>
          </cell>
          <cell r="D454" t="str">
            <v>PVN-003911</v>
          </cell>
          <cell r="E454" t="str">
            <v>[116-1516] X 25 20+/-4 Asker C 0.12D Billiard 1.10M X 2.00M 47mm</v>
          </cell>
          <cell r="F454">
            <v>11</v>
          </cell>
          <cell r="G454">
            <v>11</v>
          </cell>
          <cell r="H454">
            <v>11</v>
          </cell>
          <cell r="I454">
            <v>0</v>
          </cell>
          <cell r="J454" t="str">
            <v>LANGUAGE</v>
          </cell>
          <cell r="K454" t="str">
            <v>PO-6979-SO-260328-0387</v>
          </cell>
          <cell r="L454" t="str">
            <v>FLAT SHEET</v>
          </cell>
          <cell r="M454">
            <v>2</v>
          </cell>
        </row>
        <row r="455">
          <cell r="A455" t="str">
            <v>OIN-2026.03.27-05</v>
          </cell>
          <cell r="B455" t="str">
            <v>RPRO-260331-0005</v>
          </cell>
          <cell r="C455" t="str">
            <v>BDB-000374</v>
          </cell>
          <cell r="D455" t="str">
            <v>PVN-004318</v>
          </cell>
          <cell r="E455" t="str">
            <v>[116-15588] Regular 45+/-4 Asker C 0.15D Fossil 17-0909 Tpx 1.10M X 2.00M 47mm</v>
          </cell>
          <cell r="F455">
            <v>6</v>
          </cell>
          <cell r="G455">
            <v>6</v>
          </cell>
          <cell r="H455">
            <v>6</v>
          </cell>
          <cell r="I455">
            <v>0</v>
          </cell>
          <cell r="J455" t="str">
            <v>LLOYD</v>
          </cell>
          <cell r="K455" t="str">
            <v>PO-6979-SO-260328-0388</v>
          </cell>
          <cell r="L455" t="str">
            <v>FLAT SHEET</v>
          </cell>
          <cell r="M455">
            <v>2</v>
          </cell>
        </row>
        <row r="456">
          <cell r="A456" t="str">
            <v>OIN-2026.03.28-01</v>
          </cell>
          <cell r="B456" t="str">
            <v>RPRO-260331-0006</v>
          </cell>
          <cell r="C456" t="str">
            <v>BDB-000356</v>
          </cell>
          <cell r="D456" t="str">
            <v>PVN-004232</v>
          </cell>
          <cell r="E456" t="str">
            <v>[116-12300] Eco Lite 15+/-4 Asker C 0.11D Lime Green 14-0452 Tpx 1.10M X 2.00M 47mm</v>
          </cell>
          <cell r="F456">
            <v>6</v>
          </cell>
          <cell r="G456">
            <v>6</v>
          </cell>
          <cell r="H456">
            <v>6</v>
          </cell>
          <cell r="I456">
            <v>0</v>
          </cell>
          <cell r="J456" t="str">
            <v>JOOP</v>
          </cell>
          <cell r="K456" t="str">
            <v>PO-6988-SO-260330-0033</v>
          </cell>
          <cell r="L456" t="str">
            <v>FLAT SHEET</v>
          </cell>
          <cell r="M456">
            <v>2</v>
          </cell>
        </row>
        <row r="457">
          <cell r="A457" t="str">
            <v>OIN-2026.03.28-02</v>
          </cell>
          <cell r="B457" t="str">
            <v>RPRO-260331-0007</v>
          </cell>
          <cell r="C457" t="str">
            <v>BDB-000060</v>
          </cell>
          <cell r="D457" t="str">
            <v>PVN-003782</v>
          </cell>
          <cell r="E457" t="str">
            <v>[116-446] Ultra 25+/-4 Asker C 0.085D Burnt Sienna 17-1544 Tpx 1.10M X 2.00M 47mm</v>
          </cell>
          <cell r="F457">
            <v>13</v>
          </cell>
          <cell r="G457">
            <v>13</v>
          </cell>
          <cell r="H457">
            <v>13</v>
          </cell>
          <cell r="I457">
            <v>0</v>
          </cell>
          <cell r="J457" t="str">
            <v>CLARKS</v>
          </cell>
          <cell r="K457" t="str">
            <v>PO-6988-SO-260330-0034</v>
          </cell>
          <cell r="L457" t="str">
            <v>FLAT SHEET</v>
          </cell>
          <cell r="M457">
            <v>2</v>
          </cell>
        </row>
        <row r="458">
          <cell r="A458" t="str">
            <v>F-2026-03-584</v>
          </cell>
          <cell r="B458" t="str">
            <v>FPRO-260330-0006</v>
          </cell>
          <cell r="C458" t="str">
            <v>BDB-000209</v>
          </cell>
          <cell r="D458" t="str">
            <v>PVN-003537</v>
          </cell>
          <cell r="E458" t="str">
            <v>OrthoLite HybridPlus-Recycled MINT GREEN/11-4805TPX Hybrid 0.12D 25+/-4 Asker C 1.1M 2M 4.5mm</v>
          </cell>
          <cell r="F458">
            <v>2500</v>
          </cell>
          <cell r="G458">
            <v>2500</v>
          </cell>
          <cell r="H458">
            <v>0</v>
          </cell>
          <cell r="I458">
            <v>2500</v>
          </cell>
          <cell r="J458" t="str">
            <v>ON RUNNING</v>
          </cell>
          <cell r="K458" t="str">
            <v>Forecast</v>
          </cell>
          <cell r="L458" t="str">
            <v>MOLDED</v>
          </cell>
          <cell r="M458">
            <v>1</v>
          </cell>
        </row>
        <row r="459">
          <cell r="A459" t="str">
            <v>F-2026-03-585</v>
          </cell>
          <cell r="B459" t="str">
            <v>FPRO-260330-0007</v>
          </cell>
          <cell r="C459" t="str">
            <v>BDB-000209</v>
          </cell>
          <cell r="D459" t="str">
            <v>PVN-003537</v>
          </cell>
          <cell r="E459" t="str">
            <v>OrthoLite HybridPlus-Recycled MINT GREEN/11-4805TPX Hybrid 0.12D 25+/-4 Asker C 1.1M 2M 4.5mm</v>
          </cell>
          <cell r="F459">
            <v>2500</v>
          </cell>
          <cell r="G459">
            <v>2500</v>
          </cell>
          <cell r="H459">
            <v>0</v>
          </cell>
          <cell r="I459">
            <v>2500</v>
          </cell>
          <cell r="J459" t="str">
            <v>ON RUNNING</v>
          </cell>
          <cell r="K459" t="str">
            <v>Forecast</v>
          </cell>
          <cell r="L459" t="str">
            <v>MOLDED</v>
          </cell>
          <cell r="M459">
            <v>1</v>
          </cell>
        </row>
        <row r="460">
          <cell r="A460" t="str">
            <v>F-2026-03-586</v>
          </cell>
          <cell r="B460" t="str">
            <v>FPRO-260330-0008</v>
          </cell>
          <cell r="C460" t="str">
            <v>BDB-000209</v>
          </cell>
          <cell r="D460" t="str">
            <v>PVN-003537</v>
          </cell>
          <cell r="E460" t="str">
            <v>OrthoLite HybridPlus-Recycled MINT GREEN/11-4805TPX Hybrid 0.12D 25+/-4 Asker C 1.1M 2M 4.5mm</v>
          </cell>
          <cell r="F460">
            <v>2500</v>
          </cell>
          <cell r="G460">
            <v>2500</v>
          </cell>
          <cell r="H460">
            <v>0</v>
          </cell>
          <cell r="I460">
            <v>2500</v>
          </cell>
          <cell r="J460" t="str">
            <v>ON RUNNING</v>
          </cell>
          <cell r="K460" t="str">
            <v>Forecast</v>
          </cell>
          <cell r="L460" t="str">
            <v>MOLDED</v>
          </cell>
          <cell r="M460">
            <v>1</v>
          </cell>
        </row>
        <row r="461">
          <cell r="A461" t="str">
            <v>F-2026-03-587</v>
          </cell>
          <cell r="B461" t="str">
            <v>FPRO-260330-0009</v>
          </cell>
          <cell r="C461" t="str">
            <v>BDB-000209</v>
          </cell>
          <cell r="D461" t="str">
            <v>PVN-003537</v>
          </cell>
          <cell r="E461" t="str">
            <v>OrthoLite HybridPlus-Recycled MINT GREEN/11-4805TPX Hybrid 0.12D 25+/-4 Asker C 1.1M 2M 4.5mm</v>
          </cell>
          <cell r="F461">
            <v>2500</v>
          </cell>
          <cell r="G461">
            <v>2500</v>
          </cell>
          <cell r="H461">
            <v>0</v>
          </cell>
          <cell r="I461">
            <v>2500</v>
          </cell>
          <cell r="J461" t="str">
            <v>ON RUNNING</v>
          </cell>
          <cell r="K461" t="str">
            <v>Forecast</v>
          </cell>
          <cell r="L461" t="str">
            <v>MOLDED</v>
          </cell>
          <cell r="M461">
            <v>1</v>
          </cell>
        </row>
        <row r="462">
          <cell r="A462" t="str">
            <v>F-2026-03-588</v>
          </cell>
          <cell r="B462" t="str">
            <v>FPRO-260330-0010</v>
          </cell>
          <cell r="C462" t="str">
            <v>BDB-000209</v>
          </cell>
          <cell r="D462" t="str">
            <v>PVN-003537</v>
          </cell>
          <cell r="E462" t="str">
            <v>OrthoLite HybridPlus-Recycled MINT GREEN/11-4805TPX Hybrid 0.12D 25+/-4 Asker C 1.1M 2M 4.5mm</v>
          </cell>
          <cell r="F462">
            <v>2500</v>
          </cell>
          <cell r="G462">
            <v>2500</v>
          </cell>
          <cell r="H462">
            <v>0</v>
          </cell>
          <cell r="I462">
            <v>2500</v>
          </cell>
          <cell r="J462" t="str">
            <v>ON RUNNING</v>
          </cell>
          <cell r="K462" t="str">
            <v>Forecast</v>
          </cell>
          <cell r="L462" t="str">
            <v>MOLDED</v>
          </cell>
          <cell r="M462">
            <v>1</v>
          </cell>
        </row>
        <row r="463">
          <cell r="A463" t="str">
            <v>F-2026-03-589</v>
          </cell>
          <cell r="B463" t="str">
            <v>FPRO-260330-0011</v>
          </cell>
          <cell r="C463" t="str">
            <v>BDB-000209</v>
          </cell>
          <cell r="D463" t="str">
            <v>PVN-003537</v>
          </cell>
          <cell r="E463" t="str">
            <v>OrthoLite HybridPlus-Recycled MINT GREEN/11-4805TPX Hybrid 0.12D 25+/-4 Asker C 1.1M 2M 4.5mm</v>
          </cell>
          <cell r="F463">
            <v>2500</v>
          </cell>
          <cell r="G463">
            <v>2500</v>
          </cell>
          <cell r="H463">
            <v>0</v>
          </cell>
          <cell r="I463">
            <v>2500</v>
          </cell>
          <cell r="J463" t="str">
            <v>ON RUNNING</v>
          </cell>
          <cell r="K463" t="str">
            <v>Forecast</v>
          </cell>
          <cell r="L463" t="str">
            <v>MOLDED</v>
          </cell>
          <cell r="M463">
            <v>1</v>
          </cell>
        </row>
        <row r="464">
          <cell r="A464" t="str">
            <v>F-2026-03-590</v>
          </cell>
          <cell r="B464" t="str">
            <v>FPRO-260330-0012</v>
          </cell>
          <cell r="C464" t="str">
            <v>BDB-000209</v>
          </cell>
          <cell r="D464" t="str">
            <v>PVN-003537</v>
          </cell>
          <cell r="E464" t="str">
            <v>OrthoLite HybridPlus-Recycled MINT GREEN/11-4805TPX Hybrid 0.12D 25+/-4 Asker C 1.1M 2M 4.5mm</v>
          </cell>
          <cell r="F464">
            <v>2500</v>
          </cell>
          <cell r="G464">
            <v>2500</v>
          </cell>
          <cell r="H464">
            <v>0</v>
          </cell>
          <cell r="I464">
            <v>2500</v>
          </cell>
          <cell r="J464" t="str">
            <v>ON RUNNING</v>
          </cell>
          <cell r="K464" t="str">
            <v>Forecast</v>
          </cell>
          <cell r="L464" t="str">
            <v>MOLDED</v>
          </cell>
          <cell r="M464">
            <v>1</v>
          </cell>
        </row>
        <row r="465">
          <cell r="A465" t="str">
            <v>F-2026-03-591</v>
          </cell>
          <cell r="B465" t="str">
            <v>FPRO-260330-0013</v>
          </cell>
          <cell r="C465" t="str">
            <v>BDB-000209</v>
          </cell>
          <cell r="D465" t="str">
            <v>PVN-003537</v>
          </cell>
          <cell r="E465" t="str">
            <v>OrthoLite HybridPlus-Recycled MINT GREEN/11-4805TPX Hybrid 0.12D 25+/-4 Asker C 1.1M 2M 4.5mm</v>
          </cell>
          <cell r="F465">
            <v>2500</v>
          </cell>
          <cell r="G465">
            <v>2500</v>
          </cell>
          <cell r="H465">
            <v>0</v>
          </cell>
          <cell r="I465">
            <v>2500</v>
          </cell>
          <cell r="J465" t="str">
            <v>ON RUNNING</v>
          </cell>
          <cell r="K465" t="str">
            <v>Forecast</v>
          </cell>
          <cell r="L465" t="str">
            <v>MOLDED</v>
          </cell>
          <cell r="M465">
            <v>1</v>
          </cell>
        </row>
        <row r="466">
          <cell r="A466" t="str">
            <v>F-2026-03-592</v>
          </cell>
          <cell r="B466" t="str">
            <v>FPRO-260330-0014</v>
          </cell>
          <cell r="C466" t="str">
            <v>BDB-000209</v>
          </cell>
          <cell r="D466" t="str">
            <v>PVN-003537</v>
          </cell>
          <cell r="E466" t="str">
            <v>OrthoLite HybridPlus-Recycled MINT GREEN/11-4805TPX Hybrid 0.12D 25+/-4 Asker C 1.1M 2M 4.5mm</v>
          </cell>
          <cell r="F466">
            <v>2500</v>
          </cell>
          <cell r="G466">
            <v>2500</v>
          </cell>
          <cell r="H466">
            <v>0</v>
          </cell>
          <cell r="I466">
            <v>2500</v>
          </cell>
          <cell r="J466" t="str">
            <v>ON RUNNING</v>
          </cell>
          <cell r="K466" t="str">
            <v>Forecast</v>
          </cell>
          <cell r="L466" t="str">
            <v>MOLDED</v>
          </cell>
          <cell r="M466">
            <v>1</v>
          </cell>
        </row>
        <row r="467">
          <cell r="A467" t="str">
            <v>F-2026-03-593</v>
          </cell>
          <cell r="B467" t="str">
            <v>FPRO-260330-0015</v>
          </cell>
          <cell r="C467" t="str">
            <v>BDB-000209</v>
          </cell>
          <cell r="D467" t="str">
            <v>PVN-003537</v>
          </cell>
          <cell r="E467" t="str">
            <v>OrthoLite HybridPlus-Recycled MINT GREEN/11-4805TPX Hybrid 0.12D 25+/-4 Asker C 1.1M 2M 4.5mm</v>
          </cell>
          <cell r="F467">
            <v>2500</v>
          </cell>
          <cell r="G467">
            <v>2500</v>
          </cell>
          <cell r="H467">
            <v>0</v>
          </cell>
          <cell r="I467">
            <v>2500</v>
          </cell>
          <cell r="J467" t="str">
            <v>ON RUNNING</v>
          </cell>
          <cell r="K467" t="str">
            <v>Forecast</v>
          </cell>
          <cell r="L467" t="str">
            <v>MOLDED</v>
          </cell>
          <cell r="M467">
            <v>1</v>
          </cell>
        </row>
        <row r="468">
          <cell r="A468" t="str">
            <v>F-2026-03-594</v>
          </cell>
          <cell r="B468" t="str">
            <v>FPRO-260330-0016</v>
          </cell>
          <cell r="C468" t="str">
            <v>BDB-000209</v>
          </cell>
          <cell r="D468" t="str">
            <v>PVN-003537</v>
          </cell>
          <cell r="E468" t="str">
            <v>OrthoLite HybridPlus-Recycled MINT GREEN/11-4805TPX Hybrid 0.12D 25+/-4 Asker C 1.1M 2M 4.5mm</v>
          </cell>
          <cell r="F468">
            <v>2500</v>
          </cell>
          <cell r="G468">
            <v>2500</v>
          </cell>
          <cell r="H468">
            <v>0</v>
          </cell>
          <cell r="I468">
            <v>2500</v>
          </cell>
          <cell r="J468" t="str">
            <v>ON RUNNING</v>
          </cell>
          <cell r="K468" t="str">
            <v>Forecast</v>
          </cell>
          <cell r="L468" t="str">
            <v>MOLDED</v>
          </cell>
          <cell r="M468">
            <v>1</v>
          </cell>
        </row>
        <row r="469">
          <cell r="A469" t="str">
            <v>F-2026-03-595</v>
          </cell>
          <cell r="B469" t="str">
            <v>FPRO-260330-0017</v>
          </cell>
          <cell r="C469" t="str">
            <v>BDB-000209</v>
          </cell>
          <cell r="D469" t="str">
            <v>PVN-003537</v>
          </cell>
          <cell r="E469" t="str">
            <v>OrthoLite HybridPlus-Recycled MINT GREEN/11-4805TPX Hybrid 0.12D 25+/-4 Asker C 1.1M 2M 4.5mm</v>
          </cell>
          <cell r="F469">
            <v>2500</v>
          </cell>
          <cell r="G469">
            <v>2500</v>
          </cell>
          <cell r="H469">
            <v>2500</v>
          </cell>
          <cell r="I469">
            <v>0</v>
          </cell>
          <cell r="J469" t="str">
            <v>ON RUNNING</v>
          </cell>
          <cell r="K469" t="str">
            <v>Forecast</v>
          </cell>
          <cell r="L469" t="str">
            <v>MOLDED</v>
          </cell>
          <cell r="M469">
            <v>1</v>
          </cell>
        </row>
        <row r="470">
          <cell r="A470" t="str">
            <v>F-2026-03-596</v>
          </cell>
          <cell r="B470" t="str">
            <v>FPRO-260330-0018</v>
          </cell>
          <cell r="C470" t="str">
            <v>BDB-000209</v>
          </cell>
          <cell r="D470" t="str">
            <v>PVN-003537</v>
          </cell>
          <cell r="E470" t="str">
            <v>OrthoLite HybridPlus-Recycled MINT GREEN/11-4805TPX Hybrid 0.12D 25+/-4 Asker C 1.1M 2M 4.5mm</v>
          </cell>
          <cell r="F470">
            <v>1200</v>
          </cell>
          <cell r="G470">
            <v>1200</v>
          </cell>
          <cell r="H470">
            <v>1200</v>
          </cell>
          <cell r="I470">
            <v>0</v>
          </cell>
          <cell r="J470" t="str">
            <v>ON RUNNING</v>
          </cell>
          <cell r="K470" t="str">
            <v>Forecast</v>
          </cell>
          <cell r="L470" t="str">
            <v>MOLDED</v>
          </cell>
          <cell r="M470">
            <v>1</v>
          </cell>
        </row>
        <row r="471">
          <cell r="A471" t="str">
            <v>F-2026-03-597</v>
          </cell>
          <cell r="B471" t="str">
            <v>FPRO-260330-0019</v>
          </cell>
          <cell r="C471" t="str">
            <v>BDB-000273</v>
          </cell>
          <cell r="D471" t="str">
            <v>PVN-004138</v>
          </cell>
          <cell r="E471" t="str">
            <v>OrthoLite X-40-Hybrid SEEDPEARL/12-0703TPX Hybrid Flat Sheet 0.16D 25+/-4 Asker C 1.1M 2M 5.5mm</v>
          </cell>
          <cell r="F471">
            <v>1000</v>
          </cell>
          <cell r="G471">
            <v>1000</v>
          </cell>
          <cell r="H471">
            <v>1000</v>
          </cell>
          <cell r="I471">
            <v>0</v>
          </cell>
          <cell r="J471" t="str">
            <v>ON RUNNING</v>
          </cell>
          <cell r="K471" t="str">
            <v>Forecast</v>
          </cell>
          <cell r="L471" t="str">
            <v>MOLDED</v>
          </cell>
          <cell r="M471">
            <v>1</v>
          </cell>
        </row>
        <row r="472">
          <cell r="A472" t="str">
            <v>F-2026-03-598</v>
          </cell>
          <cell r="B472" t="str">
            <v>FPRO-260330-0020</v>
          </cell>
          <cell r="C472" t="str">
            <v>BDB-000273</v>
          </cell>
          <cell r="D472" t="str">
            <v>PVN-004138</v>
          </cell>
          <cell r="E472" t="str">
            <v>OrthoLite X-40-Hybrid SEEDPEARL/12-0703TPX Hybrid Flat Sheet 0.16D 25+/-4 Asker C 1.1M 2M 5.5mm</v>
          </cell>
          <cell r="F472">
            <v>1000</v>
          </cell>
          <cell r="G472">
            <v>1000</v>
          </cell>
          <cell r="H472">
            <v>1000</v>
          </cell>
          <cell r="I472">
            <v>0</v>
          </cell>
          <cell r="J472" t="str">
            <v>ON RUNNING</v>
          </cell>
          <cell r="K472" t="str">
            <v>Forecast</v>
          </cell>
          <cell r="L472" t="str">
            <v>MOLDED</v>
          </cell>
          <cell r="M472">
            <v>1</v>
          </cell>
        </row>
        <row r="473">
          <cell r="A473" t="str">
            <v>F-2026-03-599</v>
          </cell>
          <cell r="B473" t="str">
            <v>FPRO-260330-0021</v>
          </cell>
          <cell r="C473" t="str">
            <v>BDB-000273</v>
          </cell>
          <cell r="D473" t="str">
            <v>PVN-004138</v>
          </cell>
          <cell r="E473" t="str">
            <v>OrthoLite X-40-Hybrid SEEDPEARL/12-0703TPX Hybrid Flat Sheet 0.16D 25+/-4 Asker C 1.1M 2M 5.5mm</v>
          </cell>
          <cell r="F473">
            <v>400</v>
          </cell>
          <cell r="G473">
            <v>400</v>
          </cell>
          <cell r="H473">
            <v>400</v>
          </cell>
          <cell r="I473">
            <v>0</v>
          </cell>
          <cell r="J473" t="str">
            <v>ON RUNNING</v>
          </cell>
          <cell r="K473" t="str">
            <v>Forecast</v>
          </cell>
          <cell r="L473" t="str">
            <v>MOLDED</v>
          </cell>
          <cell r="M473">
            <v>1</v>
          </cell>
        </row>
        <row r="474">
          <cell r="A474" t="str">
            <v>F-2026-03-600</v>
          </cell>
          <cell r="B474" t="str">
            <v>FPRO-260330-0022</v>
          </cell>
          <cell r="C474" t="str">
            <v>BDB-000355</v>
          </cell>
          <cell r="D474" t="str">
            <v>PVN-004231</v>
          </cell>
          <cell r="E474" t="str">
            <v>OrthoLite HybridPlus-Recycled CASTLEROCK/18-0201TPX Hybrid 0.12D 25+/-4 Asker C 1.1M 2M 4.5mm</v>
          </cell>
          <cell r="F474">
            <v>1000</v>
          </cell>
          <cell r="G474">
            <v>1000</v>
          </cell>
          <cell r="H474">
            <v>1000</v>
          </cell>
          <cell r="I474">
            <v>0</v>
          </cell>
          <cell r="J474" t="str">
            <v>ON RUNNING</v>
          </cell>
          <cell r="K474" t="str">
            <v>Forecast</v>
          </cell>
          <cell r="L474" t="str">
            <v>MOLDED</v>
          </cell>
          <cell r="M474">
            <v>1</v>
          </cell>
        </row>
        <row r="475">
          <cell r="A475" t="str">
            <v>F-2026-03-601</v>
          </cell>
          <cell r="B475" t="str">
            <v>FPRO-260330-0023</v>
          </cell>
          <cell r="C475" t="str">
            <v>BDB-000355</v>
          </cell>
          <cell r="D475" t="str">
            <v>PVN-004231</v>
          </cell>
          <cell r="E475" t="str">
            <v>OrthoLite HybridPlus-Recycled CASTLEROCK/18-0201TPX Hybrid 0.12D 25+/-4 Asker C 1.1M 2M 4.5mm</v>
          </cell>
          <cell r="F475">
            <v>1000</v>
          </cell>
          <cell r="G475">
            <v>1000</v>
          </cell>
          <cell r="H475">
            <v>1000</v>
          </cell>
          <cell r="I475">
            <v>0</v>
          </cell>
          <cell r="J475" t="str">
            <v>ON RUNNING</v>
          </cell>
          <cell r="K475" t="str">
            <v>Forecast</v>
          </cell>
          <cell r="L475" t="str">
            <v>MOLDED</v>
          </cell>
          <cell r="M475">
            <v>1</v>
          </cell>
        </row>
        <row r="476">
          <cell r="A476" t="str">
            <v>F-2026-03-602</v>
          </cell>
          <cell r="B476" t="str">
            <v>FPRO-260330-0024</v>
          </cell>
          <cell r="C476" t="str">
            <v>BDB-000355</v>
          </cell>
          <cell r="D476" t="str">
            <v>PVN-004231</v>
          </cell>
          <cell r="E476" t="str">
            <v>OrthoLite HybridPlus-Recycled CASTLEROCK/18-0201TPX Hybrid 0.12D 25+/-4 Asker C 1.1M 2M 4.5mm</v>
          </cell>
          <cell r="F476">
            <v>550</v>
          </cell>
          <cell r="G476">
            <v>550</v>
          </cell>
          <cell r="H476">
            <v>0</v>
          </cell>
          <cell r="I476">
            <v>550</v>
          </cell>
          <cell r="J476" t="str">
            <v>ON RUNNING</v>
          </cell>
          <cell r="K476" t="str">
            <v>Forecast</v>
          </cell>
          <cell r="L476" t="str">
            <v>MOLDED</v>
          </cell>
          <cell r="M476">
            <v>1</v>
          </cell>
        </row>
        <row r="477">
          <cell r="A477" t="str">
            <v>F-2026-03-603</v>
          </cell>
          <cell r="B477" t="str">
            <v>RPRO-260331-0988</v>
          </cell>
          <cell r="C477" t="str">
            <v>BDB-000286</v>
          </cell>
          <cell r="D477" t="str">
            <v>PVN-003924</v>
          </cell>
          <cell r="E477" t="str">
            <v>OrthoLite Regular-Hybrid SEEDPEARL/12-0703TPX Hybrid Flat Sheet 0.13D 25+/-4 Asker C 1.1M 1.7M 5mm</v>
          </cell>
          <cell r="F477">
            <v>28</v>
          </cell>
          <cell r="G477">
            <v>28</v>
          </cell>
          <cell r="H477">
            <v>28</v>
          </cell>
          <cell r="I477">
            <v>0</v>
          </cell>
          <cell r="J477"/>
          <cell r="K477" t="str">
            <v>MPS</v>
          </cell>
          <cell r="L477" t="str">
            <v>SPLITTING</v>
          </cell>
          <cell r="M477">
            <v>2</v>
          </cell>
        </row>
        <row r="478">
          <cell r="A478" t="str">
            <v>F-2026-03-604</v>
          </cell>
          <cell r="B478" t="str">
            <v>RPRO-260331-0989</v>
          </cell>
          <cell r="C478" t="str">
            <v>BDB-000346</v>
          </cell>
          <cell r="D478" t="str">
            <v>PVN-004188</v>
          </cell>
          <cell r="E478" t="str">
            <v>OrthoLite Float NEUTRAL GRAY/17-4402TPX Flat Sheet 0.12D 21+/-4 Asker C 1.1M 1.47M 5.5mm</v>
          </cell>
          <cell r="F478">
            <v>25</v>
          </cell>
          <cell r="G478">
            <v>25</v>
          </cell>
          <cell r="H478">
            <v>25</v>
          </cell>
          <cell r="I478">
            <v>0</v>
          </cell>
          <cell r="J478" t="str">
            <v>PUMA</v>
          </cell>
          <cell r="K478" t="str">
            <v>Pr.Sch.R</v>
          </cell>
          <cell r="L478" t="str">
            <v>MOLDED</v>
          </cell>
          <cell r="M478">
            <v>1</v>
          </cell>
        </row>
        <row r="479">
          <cell r="A479" t="str">
            <v>F-2026-03-605</v>
          </cell>
          <cell r="B479" t="str">
            <v>RPRO-260331-0990</v>
          </cell>
          <cell r="C479" t="str">
            <v>BDB-000123</v>
          </cell>
          <cell r="D479" t="str">
            <v>PVN-002884</v>
          </cell>
          <cell r="E479" t="str">
            <v>OrthoLite Ultra-Hybrid SEEDPEARL/12-0703TPX Hybrid Flat Sheet 0.085D 25+/-4 Asker C 1.1M 2M 10mm</v>
          </cell>
          <cell r="F479">
            <v>104</v>
          </cell>
          <cell r="G479">
            <v>104</v>
          </cell>
          <cell r="H479">
            <v>104</v>
          </cell>
          <cell r="I479">
            <v>0</v>
          </cell>
          <cell r="J479" t="str">
            <v>ADIDAS</v>
          </cell>
          <cell r="K479" t="str">
            <v>Pr.Sch.R</v>
          </cell>
          <cell r="L479" t="str">
            <v>MOLDED</v>
          </cell>
          <cell r="M479">
            <v>1</v>
          </cell>
        </row>
        <row r="480">
          <cell r="A480" t="str">
            <v>F-2026-03-606</v>
          </cell>
          <cell r="B480" t="str">
            <v>RPRO-260331-0991</v>
          </cell>
          <cell r="C480" t="str">
            <v>BDB-000094</v>
          </cell>
          <cell r="D480" t="str">
            <v>PVN-004255</v>
          </cell>
          <cell r="E480" t="str">
            <v>OrthoLite Eco LT 300C(ADIDAS BLUEBIRD) Flat Sheet 0.11D 25+/-4 Asker C 1.1M 1.47M 12mm</v>
          </cell>
          <cell r="F480">
            <v>77</v>
          </cell>
          <cell r="G480">
            <v>77</v>
          </cell>
          <cell r="H480">
            <v>77</v>
          </cell>
          <cell r="I480">
            <v>0</v>
          </cell>
          <cell r="J480" t="str">
            <v>ADIDAS</v>
          </cell>
          <cell r="K480" t="str">
            <v>Pr.Sch.R</v>
          </cell>
          <cell r="L480" t="str">
            <v>MOLDED</v>
          </cell>
          <cell r="M480">
            <v>1</v>
          </cell>
        </row>
        <row r="481">
          <cell r="A481" t="str">
            <v>F-2026-03-607</v>
          </cell>
          <cell r="B481" t="str">
            <v>RPRO-260331-0992</v>
          </cell>
          <cell r="C481" t="str">
            <v>BDB-000113</v>
          </cell>
          <cell r="D481" t="str">
            <v>PVN-002699</v>
          </cell>
          <cell r="E481" t="str">
            <v>OrthoLite Regular-Hybrid SEEDPEARL/12-0703TPX Hybrid Flat Sheet 0.11D 25+/-4 Asker C 1.1M 2M 4.5mm</v>
          </cell>
          <cell r="F481">
            <v>155</v>
          </cell>
          <cell r="G481">
            <v>155</v>
          </cell>
          <cell r="H481">
            <v>155</v>
          </cell>
          <cell r="I481">
            <v>0</v>
          </cell>
          <cell r="J481" t="str">
            <v>ASICS</v>
          </cell>
          <cell r="K481" t="str">
            <v>Pr.Sch.R</v>
          </cell>
          <cell r="L481" t="str">
            <v>DIE CUT</v>
          </cell>
          <cell r="M481">
            <v>1</v>
          </cell>
        </row>
        <row r="482">
          <cell r="A482" t="str">
            <v>F-2026-03-608</v>
          </cell>
          <cell r="B482" t="str">
            <v>RPRO-260331-0993</v>
          </cell>
          <cell r="C482" t="str">
            <v>BDB-000123</v>
          </cell>
          <cell r="D482" t="str">
            <v>PVN-002539</v>
          </cell>
          <cell r="E482" t="str">
            <v>OrthoLite Ultra-Hybrid SEEDPEARL/12-0703TPX Hybrid Flat Sheet 0.085D 25+/-4 Asker C 1.1M 2M 5mm</v>
          </cell>
          <cell r="F482">
            <v>112</v>
          </cell>
          <cell r="G482">
            <v>112</v>
          </cell>
          <cell r="H482">
            <v>112</v>
          </cell>
          <cell r="I482">
            <v>0</v>
          </cell>
          <cell r="J482" t="str">
            <v>BROOKS</v>
          </cell>
          <cell r="K482" t="str">
            <v>Pr.Sch.R</v>
          </cell>
          <cell r="L482" t="str">
            <v>DIE CUT</v>
          </cell>
          <cell r="M482">
            <v>1</v>
          </cell>
        </row>
        <row r="483">
          <cell r="A483" t="str">
            <v>F-2026-03-609</v>
          </cell>
          <cell r="B483" t="str">
            <v>RPRO-260331-0994</v>
          </cell>
          <cell r="C483" t="str">
            <v>BDB-000329</v>
          </cell>
          <cell r="D483" t="str">
            <v>PVN-004140</v>
          </cell>
          <cell r="E483" t="str">
            <v>OrthoLite Ultra YELLOW/13-0858TPX Flat Sheet 0.095D 33+/-4 Asker C 1.1M 2M 4.5mm</v>
          </cell>
          <cell r="F483">
            <v>62</v>
          </cell>
          <cell r="G483">
            <v>62</v>
          </cell>
          <cell r="H483">
            <v>62</v>
          </cell>
          <cell r="I483">
            <v>0</v>
          </cell>
          <cell r="J483" t="str">
            <v>KOLON SPORT</v>
          </cell>
          <cell r="K483" t="str">
            <v>Pr.Sch.R</v>
          </cell>
          <cell r="L483" t="str">
            <v>MOLDED</v>
          </cell>
          <cell r="M483">
            <v>1</v>
          </cell>
        </row>
        <row r="484">
          <cell r="A484" t="str">
            <v>F-2026-03-610</v>
          </cell>
          <cell r="B484" t="str">
            <v>RPRO-260331-0995</v>
          </cell>
          <cell r="C484" t="str">
            <v>BDB-000318</v>
          </cell>
          <cell r="D484" t="str">
            <v>PVN-004077</v>
          </cell>
          <cell r="E484" t="str">
            <v>OrthoLite X-55 RED/19-1764TPX Flat Sheet 0.16D 25+/-4 Asker C 1.1M 2M 5.2mm</v>
          </cell>
          <cell r="F484">
            <v>26</v>
          </cell>
          <cell r="G484">
            <v>26</v>
          </cell>
          <cell r="H484">
            <v>26</v>
          </cell>
          <cell r="I484">
            <v>0</v>
          </cell>
          <cell r="J484" t="str">
            <v>NEW BALANCE</v>
          </cell>
          <cell r="K484" t="str">
            <v>Pr.Sch.R</v>
          </cell>
          <cell r="L484" t="str">
            <v>MOLDED</v>
          </cell>
          <cell r="M484">
            <v>1</v>
          </cell>
        </row>
        <row r="485">
          <cell r="A485" t="str">
            <v>F-2026-03-611</v>
          </cell>
          <cell r="B485" t="str">
            <v>RPRO-260331-0996</v>
          </cell>
          <cell r="C485" t="str">
            <v>BDB-000317</v>
          </cell>
          <cell r="D485" t="str">
            <v>PVN-004076</v>
          </cell>
          <cell r="E485" t="str">
            <v>OrthoLite Regular NEUTRAL GRAY/17-4402TPX Flat Sheet 0.13D 15+/-4 Asker C 1.1M 2M 24mm</v>
          </cell>
          <cell r="F485">
            <v>105</v>
          </cell>
          <cell r="G485">
            <v>105</v>
          </cell>
          <cell r="H485">
            <v>105</v>
          </cell>
          <cell r="I485">
            <v>0</v>
          </cell>
          <cell r="J485" t="str">
            <v>ASICS</v>
          </cell>
          <cell r="K485" t="str">
            <v>Pr.Sch.R</v>
          </cell>
          <cell r="L485" t="str">
            <v>MOLDED</v>
          </cell>
          <cell r="M485">
            <v>1</v>
          </cell>
        </row>
        <row r="486">
          <cell r="A486" t="str">
            <v>F-2026-03-612</v>
          </cell>
          <cell r="B486" t="str">
            <v>RPRO-260331-0997</v>
          </cell>
          <cell r="C486" t="str">
            <v>BDB-000325</v>
          </cell>
          <cell r="D486" t="str">
            <v>PVN-004115</v>
          </cell>
          <cell r="E486" t="str">
            <v>OrthoLite X-40 TRUE BLUE/19-4057TPX Flat Sheet 0.16D 35+/-4 Asker C 1.1M 2M 4mm</v>
          </cell>
          <cell r="F486">
            <v>210</v>
          </cell>
          <cell r="G486">
            <v>210</v>
          </cell>
          <cell r="H486">
            <v>210</v>
          </cell>
          <cell r="I486">
            <v>0</v>
          </cell>
          <cell r="J486" t="str">
            <v>ASICS</v>
          </cell>
          <cell r="K486" t="str">
            <v>Pr.Sch.R</v>
          </cell>
          <cell r="L486" t="str">
            <v>MOLDED</v>
          </cell>
          <cell r="M486">
            <v>1</v>
          </cell>
        </row>
        <row r="487">
          <cell r="A487" t="str">
            <v>F-2026-03-613</v>
          </cell>
          <cell r="B487" t="str">
            <v>RPRO-260331-0998</v>
          </cell>
          <cell r="C487" t="str">
            <v>BDB-000149</v>
          </cell>
          <cell r="D487" t="str">
            <v>PVN-002827</v>
          </cell>
          <cell r="E487" t="str">
            <v>OrthoLite Regular-Hybrid-Nike SEEDPEARL/12-0703TPX Hybrid Flat Sheet 0.11D 25+/-4 Asker C 1.1M 2M 5mm</v>
          </cell>
          <cell r="F487">
            <v>28</v>
          </cell>
          <cell r="G487">
            <v>28</v>
          </cell>
          <cell r="H487">
            <v>28</v>
          </cell>
          <cell r="I487">
            <v>0</v>
          </cell>
          <cell r="J487" t="str">
            <v>NIKE</v>
          </cell>
          <cell r="K487" t="str">
            <v>Pr.Sch.R</v>
          </cell>
          <cell r="L487" t="str">
            <v>MOLDED</v>
          </cell>
          <cell r="M487">
            <v>1</v>
          </cell>
        </row>
        <row r="488">
          <cell r="A488" t="str">
            <v>F-2026-03-614</v>
          </cell>
          <cell r="B488" t="str">
            <v>RPRO-260331-0999</v>
          </cell>
          <cell r="C488" t="str">
            <v>BDB-000321</v>
          </cell>
          <cell r="D488" t="str">
            <v>PVN-004104</v>
          </cell>
          <cell r="E488" t="str">
            <v>OrthoLite Float BLUE ATOLL/16-4535TPX Flat Sheet 0.12D 21+/-4 Asker C 1.1M 2M 5mm</v>
          </cell>
          <cell r="F488">
            <v>112</v>
          </cell>
          <cell r="G488">
            <v>112</v>
          </cell>
          <cell r="H488">
            <v>112</v>
          </cell>
          <cell r="I488">
            <v>0</v>
          </cell>
          <cell r="J488" t="str">
            <v>LOWA</v>
          </cell>
          <cell r="K488" t="str">
            <v>Pr.Sch.R</v>
          </cell>
          <cell r="L488" t="str">
            <v>MOLDED</v>
          </cell>
          <cell r="M488">
            <v>1</v>
          </cell>
        </row>
        <row r="489">
          <cell r="A489" t="str">
            <v>F-2026-03-615</v>
          </cell>
          <cell r="B489" t="str">
            <v>RPRO-260331-1000</v>
          </cell>
          <cell r="C489" t="str">
            <v>BDB-000113</v>
          </cell>
          <cell r="D489" t="str">
            <v>PVN-003601</v>
          </cell>
          <cell r="E489" t="str">
            <v>OrthoLite Regular-Hybrid SEEDPEARL/12-0703TPX Hybrid Flat Sheet 0.11D 25+/-4 Asker C 1.1M 2M 20mm</v>
          </cell>
          <cell r="F489">
            <v>204</v>
          </cell>
          <cell r="G489">
            <v>204</v>
          </cell>
          <cell r="H489">
            <v>204</v>
          </cell>
          <cell r="I489">
            <v>0</v>
          </cell>
          <cell r="J489" t="str">
            <v>ASICS</v>
          </cell>
          <cell r="K489" t="str">
            <v>Pr.Sch.R</v>
          </cell>
          <cell r="L489" t="str">
            <v>MOLDED</v>
          </cell>
          <cell r="M489">
            <v>1</v>
          </cell>
        </row>
        <row r="490">
          <cell r="A490" t="str">
            <v>F-2026-03-616</v>
          </cell>
          <cell r="B490" t="str">
            <v>RPRO-260331-1001</v>
          </cell>
          <cell r="C490" t="str">
            <v>BDB-000055</v>
          </cell>
          <cell r="D490" t="str">
            <v>PVN-003326</v>
          </cell>
          <cell r="E490" t="str">
            <v>OrthoLite X-40 TRUE BLUE/19-4057TPX Flat Sheet 0.16D 35+/-4 Asker C 1.1M 1.7M 14mm</v>
          </cell>
          <cell r="F490">
            <v>99</v>
          </cell>
          <cell r="G490">
            <v>99</v>
          </cell>
          <cell r="H490">
            <v>99</v>
          </cell>
          <cell r="I490">
            <v>0</v>
          </cell>
          <cell r="J490" t="str">
            <v>ADIDAS</v>
          </cell>
          <cell r="K490" t="str">
            <v>Pr.Sch.R</v>
          </cell>
          <cell r="L490" t="str">
            <v>MOLDED</v>
          </cell>
          <cell r="M490">
            <v>1</v>
          </cell>
        </row>
        <row r="491">
          <cell r="A491" t="str">
            <v>F-2026-03-617</v>
          </cell>
          <cell r="B491" t="str">
            <v>RPRO-260331-1002</v>
          </cell>
          <cell r="C491" t="str">
            <v>BDB-000149</v>
          </cell>
          <cell r="D491" t="str">
            <v>PVN-002773</v>
          </cell>
          <cell r="E491" t="str">
            <v>OrthoLite Regular-Hybrid-Nike SEEDPEARL/12-0703TPX Hybrid Flat Sheet 0.11D 25+/-4 Asker C 1.1M 2M 4mm</v>
          </cell>
          <cell r="F491">
            <v>35</v>
          </cell>
          <cell r="G491">
            <v>35</v>
          </cell>
          <cell r="H491">
            <v>35</v>
          </cell>
          <cell r="I491">
            <v>0</v>
          </cell>
          <cell r="J491" t="str">
            <v>NIKE</v>
          </cell>
          <cell r="K491" t="str">
            <v>Pr.Sch.R</v>
          </cell>
          <cell r="L491" t="str">
            <v>DIE CUT</v>
          </cell>
          <cell r="M491">
            <v>1</v>
          </cell>
        </row>
        <row r="492">
          <cell r="A492" t="str">
            <v>F-2026-04-01</v>
          </cell>
          <cell r="B492" t="str">
            <v>RPRO-260402-0683</v>
          </cell>
          <cell r="C492" t="str">
            <v>BDB-000083</v>
          </cell>
          <cell r="D492" t="str">
            <v>PVN-000930</v>
          </cell>
          <cell r="E492" t="str">
            <v>OrthoLite Eco LT 300C(ADIDAS BLUEBIRD) Flat Sheet 0.11D 25+/-4 Asker C 1.1M 2M 3mm</v>
          </cell>
          <cell r="F492">
            <v>276</v>
          </cell>
          <cell r="G492">
            <v>276</v>
          </cell>
          <cell r="H492">
            <v>276</v>
          </cell>
          <cell r="I492">
            <v>0</v>
          </cell>
          <cell r="J492"/>
          <cell r="K492" t="str">
            <v>MPS</v>
          </cell>
          <cell r="L492" t="str">
            <v>SPLITTING</v>
          </cell>
          <cell r="M492">
            <v>2</v>
          </cell>
        </row>
        <row r="493">
          <cell r="A493" t="str">
            <v>F-2026-04-02</v>
          </cell>
          <cell r="B493" t="str">
            <v>RPRO-260402-0684</v>
          </cell>
          <cell r="C493" t="str">
            <v>BDB-000058</v>
          </cell>
          <cell r="D493" t="str">
            <v>PVN-001277</v>
          </cell>
          <cell r="E493" t="str">
            <v>OrthoLite Ultra GREEN/16-5932TPX Flat Sheet 0.085D 25+/-4 Asker C 1.1M 2M 4mm</v>
          </cell>
          <cell r="F493">
            <v>770</v>
          </cell>
          <cell r="G493">
            <v>770</v>
          </cell>
          <cell r="H493">
            <v>770</v>
          </cell>
          <cell r="I493">
            <v>0</v>
          </cell>
          <cell r="J493"/>
          <cell r="K493" t="str">
            <v>MPS</v>
          </cell>
          <cell r="L493" t="str">
            <v>SPLITTING</v>
          </cell>
          <cell r="M493">
            <v>2</v>
          </cell>
        </row>
        <row r="494">
          <cell r="A494" t="str">
            <v>F-2026-04-03</v>
          </cell>
          <cell r="B494" t="str">
            <v>RPRO-260402-0685</v>
          </cell>
          <cell r="C494" t="str">
            <v>BDB-000058</v>
          </cell>
          <cell r="D494" t="str">
            <v>PVN-001319</v>
          </cell>
          <cell r="E494" t="str">
            <v>OrthoLite Ultra GREEN/16-5932TPX 0.085D 25+/-4 Asker C 1.1M 2M 5mm</v>
          </cell>
          <cell r="F494">
            <v>784</v>
          </cell>
          <cell r="G494">
            <v>784</v>
          </cell>
          <cell r="H494">
            <v>784</v>
          </cell>
          <cell r="I494">
            <v>0</v>
          </cell>
          <cell r="J494"/>
          <cell r="K494" t="str">
            <v>MPS</v>
          </cell>
          <cell r="L494" t="str">
            <v>SPLITTING</v>
          </cell>
          <cell r="M494">
            <v>2</v>
          </cell>
        </row>
        <row r="495">
          <cell r="A495" t="str">
            <v>F-2026-04-04</v>
          </cell>
          <cell r="B495" t="str">
            <v>RPRO-260402-0686</v>
          </cell>
          <cell r="C495" t="str">
            <v>BDB-000056</v>
          </cell>
          <cell r="D495" t="str">
            <v>PVN-001983</v>
          </cell>
          <cell r="E495" t="str">
            <v>OrthoLite X-40 SEEDPEARL/12-0703TPX Flat Sheet 0.16D 25+/-4 Asker C 1.1M 1.7M 5mm</v>
          </cell>
          <cell r="F495">
            <v>1120</v>
          </cell>
          <cell r="G495">
            <v>1120</v>
          </cell>
          <cell r="H495">
            <v>1120</v>
          </cell>
          <cell r="I495">
            <v>0</v>
          </cell>
          <cell r="J495"/>
          <cell r="K495" t="str">
            <v>MPS</v>
          </cell>
          <cell r="L495" t="str">
            <v>SPLITTING</v>
          </cell>
          <cell r="M495">
            <v>2</v>
          </cell>
        </row>
        <row r="496">
          <cell r="A496" t="str">
            <v>F-2026-04-05</v>
          </cell>
          <cell r="B496" t="str">
            <v>RPRO-260402-0687</v>
          </cell>
          <cell r="C496" t="str">
            <v>BDB-000113</v>
          </cell>
          <cell r="D496" t="str">
            <v>PVN-002501</v>
          </cell>
          <cell r="E496" t="str">
            <v>OrthoLite Regular-Hybrid SEEDPEARL/12-0703TPX Hybrid Flat Sheet 0.11D 25+/-4 Asker C 1.1M 2M 2mm</v>
          </cell>
          <cell r="F496">
            <v>70</v>
          </cell>
          <cell r="G496">
            <v>70</v>
          </cell>
          <cell r="H496">
            <v>70</v>
          </cell>
          <cell r="I496">
            <v>0</v>
          </cell>
          <cell r="J496"/>
          <cell r="K496" t="str">
            <v>MPS</v>
          </cell>
          <cell r="L496" t="str">
            <v>SPLITTING</v>
          </cell>
          <cell r="M496">
            <v>2</v>
          </cell>
        </row>
        <row r="497">
          <cell r="A497" t="str">
            <v>F-2026-04-06</v>
          </cell>
          <cell r="B497" t="str">
            <v>RPRO-260402-0688</v>
          </cell>
          <cell r="C497" t="str">
            <v>BDB-000123</v>
          </cell>
          <cell r="D497" t="str">
            <v>PVN-003300</v>
          </cell>
          <cell r="E497" t="str">
            <v>OrthoLite Ultra-Hybrid SEEDPEARL/12-0703TPX Hybrid Flat Sheet 0.085D 25+/-4 Asker C 1.1M 2M 2mm</v>
          </cell>
          <cell r="F497">
            <v>280</v>
          </cell>
          <cell r="G497">
            <v>280</v>
          </cell>
          <cell r="H497">
            <v>280</v>
          </cell>
          <cell r="I497">
            <v>0</v>
          </cell>
          <cell r="J497"/>
          <cell r="K497" t="str">
            <v>MPS</v>
          </cell>
          <cell r="L497" t="str">
            <v>SPLITTING</v>
          </cell>
          <cell r="M497">
            <v>2</v>
          </cell>
        </row>
        <row r="498">
          <cell r="A498" t="str">
            <v>F-2026-04-07</v>
          </cell>
          <cell r="B498" t="str">
            <v>RPRO-260402-0689</v>
          </cell>
          <cell r="C498" t="str">
            <v>BDB-000123</v>
          </cell>
          <cell r="D498" t="str">
            <v>PVN-003315</v>
          </cell>
          <cell r="E498" t="str">
            <v>OrthoLite Ultra-Hybrid SEEDPEARL/12-0703TPX Hybrid 0.085D 25+/-4 Asker C 1.1M 2M 3.5mm</v>
          </cell>
          <cell r="F498">
            <v>80</v>
          </cell>
          <cell r="G498">
            <v>80</v>
          </cell>
          <cell r="H498">
            <v>80</v>
          </cell>
          <cell r="I498">
            <v>0</v>
          </cell>
          <cell r="J498"/>
          <cell r="K498" t="str">
            <v>MPS</v>
          </cell>
          <cell r="L498" t="str">
            <v>SPLITTING</v>
          </cell>
          <cell r="M498">
            <v>2</v>
          </cell>
        </row>
        <row r="499">
          <cell r="A499" t="str">
            <v>F-2026-04-08</v>
          </cell>
          <cell r="B499" t="str">
            <v>RPRO-260402-0690</v>
          </cell>
          <cell r="C499" t="str">
            <v>BDB-000200</v>
          </cell>
          <cell r="D499" t="str">
            <v>PVN-003425</v>
          </cell>
          <cell r="E499" t="str">
            <v>OrthoLite Ultra SEEDPEARL/12-0703TPX Flat Sheet 0.085D 78-90 Asker F 1.1M 2M 4mm</v>
          </cell>
          <cell r="F499">
            <v>245</v>
          </cell>
          <cell r="G499">
            <v>245</v>
          </cell>
          <cell r="H499">
            <v>245</v>
          </cell>
          <cell r="I499">
            <v>0</v>
          </cell>
          <cell r="J499"/>
          <cell r="K499" t="str">
            <v>MPS</v>
          </cell>
          <cell r="L499" t="str">
            <v>SPLITTING</v>
          </cell>
          <cell r="M499">
            <v>2</v>
          </cell>
        </row>
        <row r="500">
          <cell r="A500" t="str">
            <v>F-2026-04-09</v>
          </cell>
          <cell r="B500" t="str">
            <v>RPRO-260402-0691</v>
          </cell>
          <cell r="C500" t="str">
            <v>BDB-000076</v>
          </cell>
          <cell r="D500" t="str">
            <v>PVN-003448</v>
          </cell>
          <cell r="E500" t="str">
            <v>OrthoLite X-25 BILLIARD/16-5427TPX Flat Sheet 0.12D 20+/-4 Asker C 1.1M 2M 6.2mm</v>
          </cell>
          <cell r="F500">
            <v>660</v>
          </cell>
          <cell r="G500">
            <v>660</v>
          </cell>
          <cell r="H500">
            <v>660</v>
          </cell>
          <cell r="I500">
            <v>0</v>
          </cell>
          <cell r="J500" t="str">
            <v>ADIDAS</v>
          </cell>
          <cell r="K500" t="str">
            <v>Pr.Sch.R</v>
          </cell>
          <cell r="L500" t="str">
            <v>MOLDED</v>
          </cell>
          <cell r="M500">
            <v>1</v>
          </cell>
        </row>
        <row r="501">
          <cell r="A501" t="str">
            <v>F-2026-04-10</v>
          </cell>
          <cell r="B501" t="str">
            <v>RPRO-260402-0692</v>
          </cell>
          <cell r="C501" t="str">
            <v>BDB-000346</v>
          </cell>
          <cell r="D501" t="str">
            <v>PVN-004188</v>
          </cell>
          <cell r="E501" t="str">
            <v>OrthoLite Float NEUTRAL GRAY/17-4402TPX Flat Sheet 0.12D 21+/-4 Asker C 1.1M 1.47M 5.5mm</v>
          </cell>
          <cell r="F501">
            <v>1100</v>
          </cell>
          <cell r="G501">
            <v>1100</v>
          </cell>
          <cell r="H501">
            <v>1100</v>
          </cell>
          <cell r="I501">
            <v>0</v>
          </cell>
          <cell r="J501" t="str">
            <v>PUMA</v>
          </cell>
          <cell r="K501" t="str">
            <v>Pr.Sch.R</v>
          </cell>
          <cell r="L501" t="str">
            <v>MOLDED</v>
          </cell>
          <cell r="M501">
            <v>1</v>
          </cell>
        </row>
        <row r="502">
          <cell r="A502" t="str">
            <v>F-2026-04-11</v>
          </cell>
          <cell r="B502" t="str">
            <v>RPRO-260402-0693</v>
          </cell>
          <cell r="C502" t="str">
            <v>BDB-000094</v>
          </cell>
          <cell r="D502" t="str">
            <v>PVN-004255</v>
          </cell>
          <cell r="E502" t="str">
            <v>OrthoLite Eco LT 300C(ADIDAS BLUEBIRD) Flat Sheet 0.11D 25+/-4 Asker C 1.1M 1.47M 12mm</v>
          </cell>
          <cell r="F502">
            <v>209</v>
          </cell>
          <cell r="G502">
            <v>209</v>
          </cell>
          <cell r="H502">
            <v>209</v>
          </cell>
          <cell r="I502">
            <v>0</v>
          </cell>
          <cell r="J502" t="str">
            <v>ADIDAS</v>
          </cell>
          <cell r="K502" t="str">
            <v>Pr.Sch.R</v>
          </cell>
          <cell r="L502" t="str">
            <v>MOLDED</v>
          </cell>
          <cell r="M502">
            <v>1</v>
          </cell>
        </row>
        <row r="503">
          <cell r="A503" t="str">
            <v>F-2026-04-12</v>
          </cell>
          <cell r="B503" t="str">
            <v>RPRO-260402-0694</v>
          </cell>
          <cell r="C503" t="str">
            <v>BDB-000011</v>
          </cell>
          <cell r="D503" t="str">
            <v>PVN-000121</v>
          </cell>
          <cell r="E503" t="str">
            <v>OrthoLite Regular AIR BLUE/16-4134TPX Flat Sheet 0.13D 35+/-4 Asker C 1.1M 2M 12mm</v>
          </cell>
          <cell r="F503">
            <v>11</v>
          </cell>
          <cell r="G503">
            <v>11</v>
          </cell>
          <cell r="H503">
            <v>11</v>
          </cell>
          <cell r="I503">
            <v>0</v>
          </cell>
          <cell r="J503" t="str">
            <v>ASICS</v>
          </cell>
          <cell r="K503" t="str">
            <v>Pr.Sch.R</v>
          </cell>
          <cell r="L503" t="str">
            <v>MOLDED</v>
          </cell>
          <cell r="M503" t="str">
            <v>1-RM-WIP</v>
          </cell>
        </row>
        <row r="504">
          <cell r="A504" t="str">
            <v>F-2026-04-13</v>
          </cell>
          <cell r="B504" t="str">
            <v>RPRO-260402-0695</v>
          </cell>
          <cell r="C504" t="str">
            <v>BDB-000054</v>
          </cell>
          <cell r="D504" t="str">
            <v>PVN-003895</v>
          </cell>
          <cell r="E504" t="str">
            <v>OrthoLite X-40 RED/19-1764TPX Flat Sheet 0.16D 25+/-4 Asker C 1.1M 1.7M 5mm</v>
          </cell>
          <cell r="F504">
            <v>224</v>
          </cell>
          <cell r="G504">
            <v>224</v>
          </cell>
          <cell r="H504">
            <v>224</v>
          </cell>
          <cell r="I504">
            <v>0</v>
          </cell>
          <cell r="J504" t="str">
            <v>PAYNTR</v>
          </cell>
          <cell r="K504" t="str">
            <v>Pr.Sch.R</v>
          </cell>
          <cell r="L504" t="str">
            <v>MOLDED</v>
          </cell>
          <cell r="M504">
            <v>1</v>
          </cell>
        </row>
        <row r="505">
          <cell r="A505" t="str">
            <v>F-2026-04-14</v>
          </cell>
          <cell r="B505" t="str">
            <v>RPRO-260402-0696</v>
          </cell>
          <cell r="C505" t="str">
            <v>BDB-000181</v>
          </cell>
          <cell r="D505" t="str">
            <v>PVN-003238</v>
          </cell>
          <cell r="E505" t="str">
            <v>OrthoLite Eco LT-Hybrid-Converse SEEDPEARL/12-0703TPX Hybrid Flat Sheet 0.11D 25+/-4 Asker C 1.1M 2M 5mm</v>
          </cell>
          <cell r="F505">
            <v>112</v>
          </cell>
          <cell r="G505">
            <v>112</v>
          </cell>
          <cell r="H505">
            <v>112</v>
          </cell>
          <cell r="I505">
            <v>0</v>
          </cell>
          <cell r="J505" t="str">
            <v>CONVERSE</v>
          </cell>
          <cell r="K505" t="str">
            <v>Pr.Sch.R</v>
          </cell>
          <cell r="L505" t="str">
            <v>DIE CUT</v>
          </cell>
          <cell r="M505">
            <v>1</v>
          </cell>
        </row>
        <row r="506">
          <cell r="A506" t="str">
            <v>F-2026-04-15</v>
          </cell>
          <cell r="B506" t="str">
            <v>RPRO-260402-0697</v>
          </cell>
          <cell r="C506" t="str">
            <v>BDB-000255</v>
          </cell>
          <cell r="D506" t="str">
            <v>PVN-003730</v>
          </cell>
          <cell r="E506" t="str">
            <v>OrthoLite Regular GREY/17-1501TPX Flat Sheet 0.15D 45+/-4 Asker C 1.1M 1.7M 2mm</v>
          </cell>
          <cell r="F506">
            <v>70</v>
          </cell>
          <cell r="G506">
            <v>70</v>
          </cell>
          <cell r="H506">
            <v>70</v>
          </cell>
          <cell r="I506">
            <v>0</v>
          </cell>
          <cell r="J506" t="str">
            <v>OBOZ</v>
          </cell>
          <cell r="K506" t="str">
            <v>Pr.Sch.R</v>
          </cell>
          <cell r="L506" t="str">
            <v>MOLDED</v>
          </cell>
          <cell r="M506">
            <v>1</v>
          </cell>
        </row>
        <row r="507">
          <cell r="A507" t="str">
            <v>F-2026-04-16</v>
          </cell>
          <cell r="B507" t="str">
            <v>RPRO-260402-0698</v>
          </cell>
          <cell r="C507" t="str">
            <v>BDB-000076</v>
          </cell>
          <cell r="D507" t="str">
            <v>PVN-003494</v>
          </cell>
          <cell r="E507" t="str">
            <v>OrthoLite X-25 BILLIARD/16-5427TPX Flat Sheet 0.12D 20+/-4 Asker C 1.1M 2M 5.5mm</v>
          </cell>
          <cell r="F507">
            <v>125</v>
          </cell>
          <cell r="G507">
            <v>125</v>
          </cell>
          <cell r="H507">
            <v>125</v>
          </cell>
          <cell r="I507">
            <v>0</v>
          </cell>
          <cell r="J507" t="str">
            <v>LOTTO</v>
          </cell>
          <cell r="K507" t="str">
            <v>Pr.Sch.R</v>
          </cell>
          <cell r="L507" t="str">
            <v>MOLDED</v>
          </cell>
          <cell r="M507">
            <v>1</v>
          </cell>
        </row>
        <row r="508">
          <cell r="A508" t="str">
            <v>F-2026-04-17</v>
          </cell>
          <cell r="B508" t="str">
            <v>RPRO-260402-0699</v>
          </cell>
          <cell r="C508" t="str">
            <v>BDB-000317</v>
          </cell>
          <cell r="D508" t="str">
            <v>PVN-004076</v>
          </cell>
          <cell r="E508" t="str">
            <v>OrthoLite Regular NEUTRAL GRAY/17-4402TPX Flat Sheet 0.13D 15+/-4 Asker C 1.1M 2M 24mm</v>
          </cell>
          <cell r="F508">
            <v>5</v>
          </cell>
          <cell r="G508">
            <v>5</v>
          </cell>
          <cell r="H508">
            <v>5</v>
          </cell>
          <cell r="I508">
            <v>0</v>
          </cell>
          <cell r="J508" t="str">
            <v>ASICS</v>
          </cell>
          <cell r="K508" t="str">
            <v>Pr.Sch.R</v>
          </cell>
          <cell r="L508" t="str">
            <v>MOLDED</v>
          </cell>
          <cell r="M508">
            <v>1</v>
          </cell>
        </row>
        <row r="509">
          <cell r="A509" t="str">
            <v>F-2026-04-18</v>
          </cell>
          <cell r="B509" t="str">
            <v>RPRO-260402-0700</v>
          </cell>
          <cell r="C509" t="str">
            <v>BDB-000077</v>
          </cell>
          <cell r="D509" t="str">
            <v>PVN-004147</v>
          </cell>
          <cell r="E509" t="str">
            <v>OrthoLite X-25 SEEDPEARL/12-0703TPX Flat Sheet 0.12D 20+/-4 Asker C 1.1M 2M 5.5mm</v>
          </cell>
          <cell r="F509">
            <v>25</v>
          </cell>
          <cell r="G509">
            <v>25</v>
          </cell>
          <cell r="H509">
            <v>25</v>
          </cell>
          <cell r="I509">
            <v>0</v>
          </cell>
          <cell r="J509" t="str">
            <v>ON RUNNING</v>
          </cell>
          <cell r="K509" t="str">
            <v>Pr.Sch.R</v>
          </cell>
          <cell r="L509" t="str">
            <v>MOLDED</v>
          </cell>
          <cell r="M509">
            <v>1</v>
          </cell>
        </row>
        <row r="510">
          <cell r="A510" t="str">
            <v>F-2026-04-19</v>
          </cell>
          <cell r="B510" t="str">
            <v>RPRO-260402-0701</v>
          </cell>
          <cell r="C510" t="str">
            <v>BDB-000123</v>
          </cell>
          <cell r="D510" t="str">
            <v>PVN-002973</v>
          </cell>
          <cell r="E510" t="str">
            <v>OrthoLite Ultra-Hybrid SEEDPEARL/12-0703TPX Hybrid Flat Sheet 0.085D 25+/-4 Asker C 1.1M 2M 4.5mm</v>
          </cell>
          <cell r="F510">
            <v>837</v>
          </cell>
          <cell r="G510">
            <v>837</v>
          </cell>
          <cell r="H510">
            <v>837</v>
          </cell>
          <cell r="I510">
            <v>0</v>
          </cell>
          <cell r="J510" t="str">
            <v>SALOMON</v>
          </cell>
          <cell r="K510" t="str">
            <v>Pr.Sch.R</v>
          </cell>
          <cell r="L510" t="str">
            <v>MOLDED</v>
          </cell>
          <cell r="M510">
            <v>1</v>
          </cell>
        </row>
        <row r="511">
          <cell r="A511" t="str">
            <v>F-2026-04-20</v>
          </cell>
          <cell r="B511" t="str">
            <v>RPRO-260402-0702</v>
          </cell>
          <cell r="C511" t="str">
            <v>BDB-000339</v>
          </cell>
          <cell r="D511" t="str">
            <v>PVN-004178</v>
          </cell>
          <cell r="E511" t="str">
            <v>OrthoLite Float NEUTRAL GRAY/17-4402TPX Flat Sheet 0.12D 21+/-4 Asker C 1.1M 2M 5.5mm</v>
          </cell>
          <cell r="F511">
            <v>375</v>
          </cell>
          <cell r="G511">
            <v>375</v>
          </cell>
          <cell r="H511">
            <v>375</v>
          </cell>
          <cell r="I511">
            <v>0</v>
          </cell>
          <cell r="J511" t="str">
            <v>PUMA</v>
          </cell>
          <cell r="K511" t="str">
            <v>Pr.Sch.R</v>
          </cell>
          <cell r="L511" t="str">
            <v>MOLDED</v>
          </cell>
          <cell r="M511">
            <v>1</v>
          </cell>
        </row>
        <row r="512">
          <cell r="A512" t="str">
            <v>F-2026-04-21</v>
          </cell>
          <cell r="B512" t="str">
            <v>RPRO-260402-0703</v>
          </cell>
          <cell r="C512" t="str">
            <v>BDB-000229</v>
          </cell>
          <cell r="D512" t="str">
            <v>PVN-003692</v>
          </cell>
          <cell r="E512" t="str">
            <v>OrthoLite Ultra-Hybrid SEEDPEARL/12-0703TPX Hybrid Flat Sheet 0.095D 33+/-4 Asker C 1.1M 2M 15.5mm</v>
          </cell>
          <cell r="F512">
            <v>24</v>
          </cell>
          <cell r="G512">
            <v>24</v>
          </cell>
          <cell r="H512">
            <v>24</v>
          </cell>
          <cell r="I512">
            <v>0</v>
          </cell>
          <cell r="J512" t="str">
            <v>GARMONT</v>
          </cell>
          <cell r="K512" t="str">
            <v>Pr.Sch.R</v>
          </cell>
          <cell r="L512" t="str">
            <v>MOLDED</v>
          </cell>
          <cell r="M512">
            <v>1</v>
          </cell>
        </row>
        <row r="513">
          <cell r="A513" t="str">
            <v>F-2026-04-22</v>
          </cell>
          <cell r="B513" t="str">
            <v>RPRO-260402-0704</v>
          </cell>
          <cell r="C513" t="str">
            <v>BDB-000340</v>
          </cell>
          <cell r="D513" t="str">
            <v>PVN-004177</v>
          </cell>
          <cell r="E513" t="str">
            <v>OrthoLite Float SEEDPEARL/12-0703TPX Flat Sheet 0.12D 21+/-4 Asker C 1.1M 2M 5.5mm</v>
          </cell>
          <cell r="F513">
            <v>175</v>
          </cell>
          <cell r="G513">
            <v>175</v>
          </cell>
          <cell r="H513">
            <v>175</v>
          </cell>
          <cell r="I513">
            <v>0</v>
          </cell>
          <cell r="J513" t="str">
            <v>ON RUNNING</v>
          </cell>
          <cell r="K513" t="str">
            <v>Pr.Sch.R</v>
          </cell>
          <cell r="L513" t="str">
            <v>MOLDED</v>
          </cell>
          <cell r="M513">
            <v>1</v>
          </cell>
        </row>
        <row r="514">
          <cell r="A514" t="str">
            <v>F-2026-04-23</v>
          </cell>
          <cell r="B514" t="str">
            <v>RPRO-260402-0705</v>
          </cell>
          <cell r="C514" t="str">
            <v>BDB-000055</v>
          </cell>
          <cell r="D514" t="str">
            <v>PVN-003326</v>
          </cell>
          <cell r="E514" t="str">
            <v>OrthoLite X-40 TRUE BLUE/19-4057TPX Flat Sheet 0.16D 35+/-4 Asker C 1.1M 1.7M 14mm</v>
          </cell>
          <cell r="F514">
            <v>18</v>
          </cell>
          <cell r="G514">
            <v>18</v>
          </cell>
          <cell r="H514">
            <v>18</v>
          </cell>
          <cell r="I514">
            <v>0</v>
          </cell>
          <cell r="J514" t="str">
            <v>ADIDAS</v>
          </cell>
          <cell r="K514" t="str">
            <v>Pr.Sch.R</v>
          </cell>
          <cell r="L514" t="str">
            <v>MOLDED</v>
          </cell>
          <cell r="M514">
            <v>1</v>
          </cell>
        </row>
        <row r="515">
          <cell r="A515" t="str">
            <v>F-2026-04-24</v>
          </cell>
          <cell r="B515" t="str">
            <v>RPRO-260402-0706</v>
          </cell>
          <cell r="C515" t="str">
            <v>BDB-000107</v>
          </cell>
          <cell r="D515" t="str">
            <v>PVN-003482</v>
          </cell>
          <cell r="E515" t="str">
            <v>OrthoLite Eco LT-Hybrid SEEDPEARL/12-0703TPX Hybrid Flat Sheet 0.11D 25+/-4 Asker C 1.1M 1.47M 4mm</v>
          </cell>
          <cell r="F515">
            <v>420</v>
          </cell>
          <cell r="G515">
            <v>420</v>
          </cell>
          <cell r="H515">
            <v>420</v>
          </cell>
          <cell r="I515">
            <v>0</v>
          </cell>
          <cell r="J515" t="str">
            <v>NEW BALANCE</v>
          </cell>
          <cell r="K515" t="str">
            <v>Pr.Sch.R</v>
          </cell>
          <cell r="L515" t="str">
            <v>DIE CUT</v>
          </cell>
          <cell r="M515">
            <v>1</v>
          </cell>
        </row>
        <row r="516">
          <cell r="A516" t="str">
            <v>F-2026-04-25</v>
          </cell>
          <cell r="B516" t="str">
            <v>RPRO-260402-0707</v>
          </cell>
          <cell r="C516" t="str">
            <v>BDB-000113</v>
          </cell>
          <cell r="D516" t="str">
            <v>PVN-003796</v>
          </cell>
          <cell r="E516" t="str">
            <v>OrthoLite Regular-Hybrid SEEDPEARL/12-0703TPX Hybrid Flat Sheet 0.11D 25+/-4 Asker C 1.1M 2M 3.5mm</v>
          </cell>
          <cell r="F516">
            <v>40</v>
          </cell>
          <cell r="G516">
            <v>40</v>
          </cell>
          <cell r="H516">
            <v>40</v>
          </cell>
          <cell r="I516">
            <v>0</v>
          </cell>
          <cell r="J516" t="str">
            <v>ASICS</v>
          </cell>
          <cell r="K516" t="str">
            <v>Pr.Sch.R</v>
          </cell>
          <cell r="L516" t="str">
            <v>DIE CUT</v>
          </cell>
          <cell r="M516">
            <v>1</v>
          </cell>
        </row>
        <row r="517">
          <cell r="A517" t="str">
            <v>F-2026-04-26</v>
          </cell>
          <cell r="B517" t="str">
            <v>RPRO-260402-0708</v>
          </cell>
          <cell r="C517" t="str">
            <v>BDB-000154</v>
          </cell>
          <cell r="D517" t="str">
            <v>PVN-003347</v>
          </cell>
          <cell r="E517" t="str">
            <v>OrthoLite X-40-Nike TRUE BLUE/19-4057TPX Flat Sheet 0.16D 35+/-4 Asker C 1.1M 1.7M 4mm</v>
          </cell>
          <cell r="F517">
            <v>1015</v>
          </cell>
          <cell r="G517">
            <v>1015</v>
          </cell>
          <cell r="H517">
            <v>1015</v>
          </cell>
          <cell r="I517">
            <v>0</v>
          </cell>
          <cell r="J517" t="str">
            <v>NIKE</v>
          </cell>
          <cell r="K517" t="str">
            <v>Pr.Sch.R</v>
          </cell>
          <cell r="L517" t="str">
            <v>LAMINATING</v>
          </cell>
          <cell r="M517">
            <v>1</v>
          </cell>
        </row>
        <row r="518">
          <cell r="A518" t="str">
            <v>F-2026-04-27</v>
          </cell>
          <cell r="B518" t="str">
            <v>RPRO-260402-0709</v>
          </cell>
          <cell r="C518" t="str">
            <v>BDB-000334</v>
          </cell>
          <cell r="D518" t="str">
            <v>PVN-004327</v>
          </cell>
          <cell r="E518" t="str">
            <v>OrthoLite X-55-Hybrid FOSSIL/17-0909TPX Hybrid Flat Sheet 0.16D 25+/-4 Asker C 1.1M 2M 6mm</v>
          </cell>
          <cell r="F518">
            <v>23</v>
          </cell>
          <cell r="G518">
            <v>23</v>
          </cell>
          <cell r="H518">
            <v>23</v>
          </cell>
          <cell r="I518">
            <v>0</v>
          </cell>
          <cell r="J518" t="str">
            <v>ASICS</v>
          </cell>
          <cell r="K518" t="str">
            <v>Pr.Sch.R</v>
          </cell>
          <cell r="L518" t="str">
            <v>MOLDED</v>
          </cell>
          <cell r="M518">
            <v>1</v>
          </cell>
        </row>
        <row r="519">
          <cell r="A519" t="str">
            <v>F-2026-04-28</v>
          </cell>
          <cell r="B519" t="str">
            <v>RPRO-260402-0710</v>
          </cell>
          <cell r="C519" t="str">
            <v>BDB-000313</v>
          </cell>
          <cell r="D519" t="str">
            <v>PVN-004061</v>
          </cell>
          <cell r="E519" t="str">
            <v>OrthoLite X-55 RED/19-1764TPX Flat Sheet 0.16D 25+/-4 Asker C 1.1M 1.47M 18mm</v>
          </cell>
          <cell r="F519">
            <v>189</v>
          </cell>
          <cell r="G519">
            <v>189</v>
          </cell>
          <cell r="H519">
            <v>189</v>
          </cell>
          <cell r="I519">
            <v>0</v>
          </cell>
          <cell r="J519" t="str">
            <v>WILSON</v>
          </cell>
          <cell r="K519" t="str">
            <v>Pr.Sch.R</v>
          </cell>
          <cell r="L519" t="str">
            <v>MOLDED</v>
          </cell>
          <cell r="M519">
            <v>1</v>
          </cell>
        </row>
        <row r="520">
          <cell r="A520" t="str">
            <v>F-2026-04-29</v>
          </cell>
          <cell r="B520" t="str">
            <v>RPRO-260402-0711</v>
          </cell>
          <cell r="C520" t="str">
            <v>BDB-000113</v>
          </cell>
          <cell r="D520" t="str">
            <v>PVN-002515</v>
          </cell>
          <cell r="E520" t="str">
            <v>OrthoLite Regular-Hybrid SEEDPEARL/12-0703TPX Hybrid Flat Sheet 0.11D 25+/-4 Asker C 1.1M 2M 11mm</v>
          </cell>
          <cell r="F520">
            <v>12</v>
          </cell>
          <cell r="G520">
            <v>12</v>
          </cell>
          <cell r="H520">
            <v>12</v>
          </cell>
          <cell r="I520">
            <v>0</v>
          </cell>
          <cell r="J520" t="str">
            <v>ASICS</v>
          </cell>
          <cell r="K520" t="str">
            <v>Pr.Sch.R</v>
          </cell>
          <cell r="L520" t="str">
            <v>MOLDED</v>
          </cell>
          <cell r="M520">
            <v>1</v>
          </cell>
        </row>
        <row r="521">
          <cell r="A521" t="str">
            <v>F-2026-04-30</v>
          </cell>
          <cell r="B521" t="str">
            <v>RPRO-260402-0712</v>
          </cell>
          <cell r="C521" t="str">
            <v>BDB-000301</v>
          </cell>
          <cell r="D521" t="str">
            <v>PVN-004088</v>
          </cell>
          <cell r="E521" t="str">
            <v>OrthoLite Regular NEUTRAL GRAY/17-4402TPX Flat Sheet 0.13D 35+/-4 Asker C 1.1M 2M 4.5mm</v>
          </cell>
          <cell r="F521">
            <v>465</v>
          </cell>
          <cell r="G521">
            <v>465</v>
          </cell>
          <cell r="H521">
            <v>465</v>
          </cell>
          <cell r="I521">
            <v>0</v>
          </cell>
          <cell r="J521" t="str">
            <v>ADIDAS</v>
          </cell>
          <cell r="K521" t="str">
            <v>Pr.Sch.R</v>
          </cell>
          <cell r="L521" t="str">
            <v>MOLDED</v>
          </cell>
          <cell r="M521">
            <v>1</v>
          </cell>
        </row>
        <row r="522">
          <cell r="A522" t="str">
            <v>F-2026-04-31</v>
          </cell>
          <cell r="B522" t="str">
            <v>RPRO-260402-0713</v>
          </cell>
          <cell r="C522" t="str">
            <v>BDB-000369</v>
          </cell>
          <cell r="D522" t="str">
            <v>PVN-004291</v>
          </cell>
          <cell r="E522" t="str">
            <v>OrthoLite X-40 GREY/17-1501TPX Flat Sheet 0.16D 35+/-4 Asker C 1.1M 1.7M 3.2mm</v>
          </cell>
          <cell r="F522">
            <v>129</v>
          </cell>
          <cell r="G522">
            <v>129</v>
          </cell>
          <cell r="H522">
            <v>129</v>
          </cell>
          <cell r="I522">
            <v>0</v>
          </cell>
          <cell r="J522" t="str">
            <v>ADIDAS</v>
          </cell>
          <cell r="K522" t="str">
            <v>Pr.Sch.R</v>
          </cell>
          <cell r="L522" t="str">
            <v>MOLDED</v>
          </cell>
          <cell r="M522">
            <v>1</v>
          </cell>
        </row>
        <row r="523">
          <cell r="A523" t="str">
            <v>F-2026-04-32</v>
          </cell>
          <cell r="B523" t="str">
            <v>RPRO-260402-0714</v>
          </cell>
          <cell r="C523" t="str">
            <v>BDB-000097</v>
          </cell>
          <cell r="D523" t="str">
            <v>PVN-002473</v>
          </cell>
          <cell r="E523" t="str">
            <v>OrthoLite Eco LT-Hybrid SEEDPEARL/12-0703TPX Hybrid Flat Sheet 0.11D 25+/-4 Asker C 1.1M 2M 5mm</v>
          </cell>
          <cell r="F523">
            <v>308</v>
          </cell>
          <cell r="G523">
            <v>308</v>
          </cell>
          <cell r="H523">
            <v>308</v>
          </cell>
          <cell r="I523">
            <v>0</v>
          </cell>
          <cell r="J523" t="str">
            <v>NEW BALANCE</v>
          </cell>
          <cell r="K523" t="str">
            <v>Pr.Sch.R</v>
          </cell>
          <cell r="L523" t="str">
            <v>DIE CUT</v>
          </cell>
          <cell r="M523">
            <v>1</v>
          </cell>
        </row>
        <row r="524">
          <cell r="A524" t="str">
            <v>F-2026-04-33</v>
          </cell>
          <cell r="B524" t="str">
            <v>RPRO-260403-0421</v>
          </cell>
          <cell r="C524" t="str">
            <v>BDB-000011</v>
          </cell>
          <cell r="D524" t="str">
            <v>PVN-000126</v>
          </cell>
          <cell r="E524" t="str">
            <v>OrthoLite Regular AIR BLUE/16-4134TPX Flat Sheet 0.13D 35+/-4 Asker C 1.1M 2M 4mm</v>
          </cell>
          <cell r="F524">
            <v>595</v>
          </cell>
          <cell r="G524">
            <v>595</v>
          </cell>
          <cell r="H524">
            <v>595</v>
          </cell>
          <cell r="I524">
            <v>0</v>
          </cell>
          <cell r="J524"/>
          <cell r="K524" t="str">
            <v>MPS</v>
          </cell>
          <cell r="L524" t="str">
            <v>SPLITTING</v>
          </cell>
          <cell r="M524">
            <v>2</v>
          </cell>
        </row>
        <row r="525">
          <cell r="A525" t="str">
            <v>F-2026-04-34</v>
          </cell>
          <cell r="B525" t="str">
            <v>RPRO-260403-0422</v>
          </cell>
          <cell r="C525" t="str">
            <v>BDB-000058</v>
          </cell>
          <cell r="D525" t="str">
            <v>PVN-001277</v>
          </cell>
          <cell r="E525" t="str">
            <v>OrthoLite Ultra GREEN/16-5932TPX Flat Sheet 0.085D 25+/-4 Asker C 1.1M 2M 4mm</v>
          </cell>
          <cell r="F525">
            <v>1330</v>
          </cell>
          <cell r="G525">
            <v>1330</v>
          </cell>
          <cell r="H525">
            <v>1330</v>
          </cell>
          <cell r="I525">
            <v>0</v>
          </cell>
          <cell r="J525"/>
          <cell r="K525" t="str">
            <v>MPS</v>
          </cell>
          <cell r="L525" t="str">
            <v>SPLITTING</v>
          </cell>
          <cell r="M525">
            <v>2</v>
          </cell>
        </row>
        <row r="526">
          <cell r="A526" t="str">
            <v>F-2026-04-35</v>
          </cell>
          <cell r="B526" t="str">
            <v>RPRO-260403-0423</v>
          </cell>
          <cell r="C526" t="str">
            <v>BDB-000113</v>
          </cell>
          <cell r="D526" t="str">
            <v>PVN-002501</v>
          </cell>
          <cell r="E526" t="str">
            <v>OrthoLite Regular-Hybrid SEEDPEARL/12-0703TPX Hybrid Flat Sheet 0.11D 25+/-4 Asker C 1.1M 2M 2mm</v>
          </cell>
          <cell r="F526">
            <v>560</v>
          </cell>
          <cell r="G526">
            <v>560</v>
          </cell>
          <cell r="H526">
            <v>560</v>
          </cell>
          <cell r="I526">
            <v>0</v>
          </cell>
          <cell r="J526"/>
          <cell r="K526" t="str">
            <v>MPS</v>
          </cell>
          <cell r="L526" t="str">
            <v>SPLITTING</v>
          </cell>
          <cell r="M526">
            <v>2</v>
          </cell>
        </row>
        <row r="527">
          <cell r="A527" t="str">
            <v>F-2026-04-36</v>
          </cell>
          <cell r="B527" t="str">
            <v>RPRO-260403-0424</v>
          </cell>
          <cell r="C527" t="str">
            <v>BDB-000113</v>
          </cell>
          <cell r="D527" t="str">
            <v>PVN-003161</v>
          </cell>
          <cell r="E527" t="str">
            <v>OrthoLite Regular-Hybrid SEEDPEARL/12-0703TPX Hybrid Flat Sheet 0.11D 25+/-4 Asker C 1.1M 2M 2.5mm</v>
          </cell>
          <cell r="F527">
            <v>112</v>
          </cell>
          <cell r="G527">
            <v>112</v>
          </cell>
          <cell r="H527">
            <v>112</v>
          </cell>
          <cell r="I527">
            <v>0</v>
          </cell>
          <cell r="J527"/>
          <cell r="K527" t="str">
            <v>MPS</v>
          </cell>
          <cell r="L527" t="str">
            <v>SPLITTING</v>
          </cell>
          <cell r="M527">
            <v>2</v>
          </cell>
        </row>
        <row r="528">
          <cell r="A528" t="str">
            <v>F-2026-04-37</v>
          </cell>
          <cell r="B528" t="str">
            <v>RPRO-260403-0425</v>
          </cell>
          <cell r="C528" t="str">
            <v>BDB-000123</v>
          </cell>
          <cell r="D528" t="str">
            <v>PVN-003300</v>
          </cell>
          <cell r="E528" t="str">
            <v>OrthoLite Ultra-Hybrid SEEDPEARL/12-0703TPX Hybrid Flat Sheet 0.085D 25+/-4 Asker C 1.1M 2M 2mm</v>
          </cell>
          <cell r="F528">
            <v>210</v>
          </cell>
          <cell r="G528">
            <v>210</v>
          </cell>
          <cell r="H528">
            <v>210</v>
          </cell>
          <cell r="I528">
            <v>0</v>
          </cell>
          <cell r="J528"/>
          <cell r="K528" t="str">
            <v>MPS</v>
          </cell>
          <cell r="L528" t="str">
            <v>SPLITTING</v>
          </cell>
          <cell r="M528">
            <v>2</v>
          </cell>
        </row>
        <row r="529">
          <cell r="A529" t="str">
            <v>F-2026-04-38</v>
          </cell>
          <cell r="B529" t="str">
            <v>RPRO-260403-0426</v>
          </cell>
          <cell r="C529" t="str">
            <v>BDB-000200</v>
          </cell>
          <cell r="D529" t="str">
            <v>PVN-003418</v>
          </cell>
          <cell r="E529" t="str">
            <v>OrthoLite Ultra SEEDPEARL/12-0703TPX Flat Sheet 0.085D 78-90 Asker F 1.1M 2M 5mm</v>
          </cell>
          <cell r="F529">
            <v>140</v>
          </cell>
          <cell r="G529">
            <v>140</v>
          </cell>
          <cell r="H529">
            <v>140</v>
          </cell>
          <cell r="I529">
            <v>0</v>
          </cell>
          <cell r="J529"/>
          <cell r="K529" t="str">
            <v>MPS</v>
          </cell>
          <cell r="L529" t="str">
            <v>SPLITTING</v>
          </cell>
          <cell r="M529">
            <v>2</v>
          </cell>
        </row>
        <row r="530">
          <cell r="A530" t="str">
            <v>F-2026-04-39</v>
          </cell>
          <cell r="B530" t="str">
            <v>RPRO-260403-0427</v>
          </cell>
          <cell r="C530" t="str">
            <v>BDB-000200</v>
          </cell>
          <cell r="D530" t="str">
            <v>PVN-003425</v>
          </cell>
          <cell r="E530" t="str">
            <v>OrthoLite Ultra SEEDPEARL/12-0703TPX Flat Sheet 0.085D 78-90 Asker F 1.1M 2M 4mm</v>
          </cell>
          <cell r="F530">
            <v>1750</v>
          </cell>
          <cell r="G530">
            <v>1750</v>
          </cell>
          <cell r="H530">
            <v>1750</v>
          </cell>
          <cell r="I530">
            <v>0</v>
          </cell>
          <cell r="J530"/>
          <cell r="K530" t="str">
            <v>MPS</v>
          </cell>
          <cell r="L530" t="str">
            <v>SPLITTING</v>
          </cell>
          <cell r="M530">
            <v>2</v>
          </cell>
        </row>
        <row r="531">
          <cell r="A531" t="str">
            <v>F-2026-04-40</v>
          </cell>
          <cell r="B531" t="str">
            <v>RPRO-260403-0428</v>
          </cell>
          <cell r="C531" t="str">
            <v>BDB-000002</v>
          </cell>
          <cell r="D531" t="str">
            <v>PVN-003875</v>
          </cell>
          <cell r="E531" t="str">
            <v>OrthoLite Regular YELLOW/13-0858TPX Flat Sheet 0.11D 15+/-4 Asker C 1.1M 2M 2mm</v>
          </cell>
          <cell r="F531">
            <v>70</v>
          </cell>
          <cell r="G531">
            <v>70</v>
          </cell>
          <cell r="H531">
            <v>70</v>
          </cell>
          <cell r="I531">
            <v>0</v>
          </cell>
          <cell r="J531"/>
          <cell r="K531" t="str">
            <v>MPS</v>
          </cell>
          <cell r="L531" t="str">
            <v>SPLITTING</v>
          </cell>
          <cell r="M531">
            <v>2</v>
          </cell>
        </row>
        <row r="532">
          <cell r="A532" t="str">
            <v>F-2026-04-41</v>
          </cell>
          <cell r="B532" t="str">
            <v>RPRO-260403-0429</v>
          </cell>
          <cell r="C532" t="str">
            <v>BDB-000346</v>
          </cell>
          <cell r="D532" t="str">
            <v>PVN-004188</v>
          </cell>
          <cell r="E532" t="str">
            <v>OrthoLite Float NEUTRAL GRAY/17-4402TPX Flat Sheet 0.12D 21+/-4 Asker C 1.1M 1.47M 5.5mm</v>
          </cell>
          <cell r="F532">
            <v>25</v>
          </cell>
          <cell r="G532">
            <v>25</v>
          </cell>
          <cell r="H532">
            <v>25</v>
          </cell>
          <cell r="I532">
            <v>0</v>
          </cell>
          <cell r="J532" t="str">
            <v>PUMA</v>
          </cell>
          <cell r="K532" t="str">
            <v>Pr.Sch.R</v>
          </cell>
          <cell r="L532" t="str">
            <v>MOLDED</v>
          </cell>
          <cell r="M532">
            <v>1</v>
          </cell>
        </row>
        <row r="533">
          <cell r="A533" t="str">
            <v>F-2026-04-42</v>
          </cell>
          <cell r="B533" t="str">
            <v>RPRO-260403-0430</v>
          </cell>
          <cell r="C533" t="str">
            <v>BDB-000039</v>
          </cell>
          <cell r="D533" t="str">
            <v>PVN-002019</v>
          </cell>
          <cell r="E533" t="str">
            <v>OrthoLite Regular NEUTRAL GRAY/17-4402TPX Flat Sheet 0.11D 25+/-4 Asker C 1.1M 2M 13mm</v>
          </cell>
          <cell r="F533">
            <v>130</v>
          </cell>
          <cell r="G533">
            <v>130</v>
          </cell>
          <cell r="H533">
            <v>130</v>
          </cell>
          <cell r="I533">
            <v>0</v>
          </cell>
          <cell r="J533" t="str">
            <v>NEW BALANCE</v>
          </cell>
          <cell r="K533" t="str">
            <v>Pr.Sch.R</v>
          </cell>
          <cell r="L533" t="str">
            <v>MOLDED</v>
          </cell>
          <cell r="M533">
            <v>1</v>
          </cell>
        </row>
        <row r="534">
          <cell r="A534" t="str">
            <v>F-2026-04-43</v>
          </cell>
          <cell r="B534" t="str">
            <v>RPRO-260403-0431</v>
          </cell>
          <cell r="C534" t="str">
            <v>BDB-000008</v>
          </cell>
          <cell r="D534" t="str">
            <v>PVN-000505</v>
          </cell>
          <cell r="E534" t="str">
            <v>OrthoLite Regular LIME GREEN/14-0452TPX Flat Sheet 0.11D 25+/-4 Asker C 1.1M 2M 12mm</v>
          </cell>
          <cell r="F534">
            <v>77</v>
          </cell>
          <cell r="G534">
            <v>77</v>
          </cell>
          <cell r="H534">
            <v>77</v>
          </cell>
          <cell r="I534">
            <v>0</v>
          </cell>
          <cell r="J534" t="str">
            <v>ASICS</v>
          </cell>
          <cell r="K534" t="str">
            <v>Pr.Sch.R</v>
          </cell>
          <cell r="L534" t="str">
            <v>MOLDED</v>
          </cell>
          <cell r="M534" t="str">
            <v>1-RM-WIP</v>
          </cell>
        </row>
        <row r="535">
          <cell r="A535" t="str">
            <v>F-2026-04-44</v>
          </cell>
          <cell r="B535" t="str">
            <v>RPRO-260403-0432</v>
          </cell>
          <cell r="C535" t="str">
            <v>BDB-000011</v>
          </cell>
          <cell r="D535" t="str">
            <v>PVN-000121</v>
          </cell>
          <cell r="E535" t="str">
            <v>OrthoLite Regular AIR BLUE/16-4134TPX Flat Sheet 0.13D 35+/-4 Asker C 1.1M 2M 12mm</v>
          </cell>
          <cell r="F535">
            <v>99</v>
          </cell>
          <cell r="G535">
            <v>99</v>
          </cell>
          <cell r="H535">
            <v>99</v>
          </cell>
          <cell r="I535">
            <v>0</v>
          </cell>
          <cell r="J535" t="str">
            <v>ASICS</v>
          </cell>
          <cell r="K535" t="str">
            <v>Pr.Sch.R</v>
          </cell>
          <cell r="L535" t="str">
            <v>MOLDED</v>
          </cell>
          <cell r="M535" t="str">
            <v>1-RM-WIP</v>
          </cell>
        </row>
        <row r="536">
          <cell r="A536" t="str">
            <v>F-2026-04-45</v>
          </cell>
          <cell r="B536" t="str">
            <v>RPRO-260403-0433</v>
          </cell>
          <cell r="C536" t="str">
            <v>BDB-000113</v>
          </cell>
          <cell r="D536" t="str">
            <v>PVN-002699</v>
          </cell>
          <cell r="E536" t="str">
            <v>OrthoLite Regular-Hybrid SEEDPEARL/12-0703TPX Hybrid Flat Sheet 0.11D 25+/-4 Asker C 1.1M 2M 4.5mm</v>
          </cell>
          <cell r="F536">
            <v>62</v>
          </cell>
          <cell r="G536">
            <v>62</v>
          </cell>
          <cell r="H536">
            <v>62</v>
          </cell>
          <cell r="I536">
            <v>0</v>
          </cell>
          <cell r="J536" t="str">
            <v>ASICS</v>
          </cell>
          <cell r="K536" t="str">
            <v>Pr.Sch.R</v>
          </cell>
          <cell r="L536" t="str">
            <v>DIE CUT</v>
          </cell>
          <cell r="M536">
            <v>1</v>
          </cell>
        </row>
        <row r="537">
          <cell r="A537" t="str">
            <v>F-2026-04-46</v>
          </cell>
          <cell r="B537" t="str">
            <v>RPRO-260403-0434</v>
          </cell>
          <cell r="C537" t="str">
            <v>BDB-000332</v>
          </cell>
          <cell r="D537" t="str">
            <v>PVN-004146</v>
          </cell>
          <cell r="E537" t="str">
            <v>OrthoLite X-25 CASTLEROCK/18-0201TPX Flat Sheet 0.12D 20+/-4 Asker C 1.1M 2M 5.5mm</v>
          </cell>
          <cell r="F537">
            <v>325</v>
          </cell>
          <cell r="G537">
            <v>325</v>
          </cell>
          <cell r="H537">
            <v>325</v>
          </cell>
          <cell r="I537">
            <v>0</v>
          </cell>
          <cell r="J537" t="str">
            <v>ON RUNNING</v>
          </cell>
          <cell r="K537" t="str">
            <v>Pr.Sch.R</v>
          </cell>
          <cell r="L537" t="str">
            <v>MOLDED</v>
          </cell>
          <cell r="M537">
            <v>1</v>
          </cell>
        </row>
        <row r="538">
          <cell r="A538" t="str">
            <v>F-2026-04-47</v>
          </cell>
          <cell r="B538" t="str">
            <v>RPRO-260403-0435</v>
          </cell>
          <cell r="C538" t="str">
            <v>BDB-000339</v>
          </cell>
          <cell r="D538" t="str">
            <v>PVN-004178</v>
          </cell>
          <cell r="E538" t="str">
            <v>OrthoLite Float NEUTRAL GRAY/17-4402TPX Flat Sheet 0.12D 21+/-4 Asker C 1.1M 2M 5.5mm</v>
          </cell>
          <cell r="F538">
            <v>1875</v>
          </cell>
          <cell r="G538">
            <v>1875</v>
          </cell>
          <cell r="H538">
            <v>1875</v>
          </cell>
          <cell r="I538">
            <v>0</v>
          </cell>
          <cell r="J538" t="str">
            <v>PUMA</v>
          </cell>
          <cell r="K538" t="str">
            <v>Pr.Sch.R</v>
          </cell>
          <cell r="L538" t="str">
            <v>MOLDED</v>
          </cell>
          <cell r="M538">
            <v>1</v>
          </cell>
        </row>
        <row r="539">
          <cell r="A539" t="str">
            <v>F-2026-04-48</v>
          </cell>
          <cell r="B539" t="str">
            <v>RPRO-260403-0436</v>
          </cell>
          <cell r="C539" t="str">
            <v>BDB-000213</v>
          </cell>
          <cell r="D539" t="str">
            <v>PVN-003752</v>
          </cell>
          <cell r="E539" t="str">
            <v>OrthoLite X-25-Hybrid SEEDPEARL/12-0703TPX Hybrid Flat Sheet 0.12D 20+/-4 Asker C 1.1M 1.47M 4.5mm</v>
          </cell>
          <cell r="F539">
            <v>31</v>
          </cell>
          <cell r="G539">
            <v>31</v>
          </cell>
          <cell r="H539">
            <v>31</v>
          </cell>
          <cell r="I539">
            <v>0</v>
          </cell>
          <cell r="J539" t="str">
            <v>ON RUNNING</v>
          </cell>
          <cell r="K539" t="str">
            <v>Pr.Sch.R</v>
          </cell>
          <cell r="L539" t="str">
            <v>MOLDED</v>
          </cell>
          <cell r="M539">
            <v>1</v>
          </cell>
        </row>
        <row r="540">
          <cell r="A540" t="str">
            <v>F-2026-04-49</v>
          </cell>
          <cell r="B540" t="str">
            <v>RPRO-260403-0437</v>
          </cell>
          <cell r="C540" t="str">
            <v>BDB-000058</v>
          </cell>
          <cell r="D540" t="str">
            <v>PVN-001319</v>
          </cell>
          <cell r="E540" t="str">
            <v>OrthoLite Ultra GREEN/16-5932TPX Flat Sheet 0.085D 25+/-4 Asker C 1.1M 2M 5mm</v>
          </cell>
          <cell r="F540">
            <v>336</v>
          </cell>
          <cell r="G540">
            <v>336</v>
          </cell>
          <cell r="H540">
            <v>336</v>
          </cell>
          <cell r="I540">
            <v>0</v>
          </cell>
          <cell r="J540" t="str">
            <v>NEW BALANCE</v>
          </cell>
          <cell r="K540" t="str">
            <v>Pr.Sch.R</v>
          </cell>
          <cell r="L540" t="str">
            <v>DIE CUT</v>
          </cell>
          <cell r="M540">
            <v>1</v>
          </cell>
        </row>
        <row r="541">
          <cell r="A541" t="str">
            <v>F-2026-04-50</v>
          </cell>
          <cell r="B541" t="str">
            <v>RPRO-260403-0438</v>
          </cell>
          <cell r="C541" t="str">
            <v>BDB-000339</v>
          </cell>
          <cell r="D541" t="str">
            <v>PVN-004223</v>
          </cell>
          <cell r="E541" t="str">
            <v>OrthoLite Float NEUTRAL GRAY/17-4402TPX Flat Sheet 0.12D 21+/-4 Asker C 1.1M 2M 5mm</v>
          </cell>
          <cell r="F541">
            <v>28</v>
          </cell>
          <cell r="G541">
            <v>28</v>
          </cell>
          <cell r="H541">
            <v>28</v>
          </cell>
          <cell r="I541">
            <v>0</v>
          </cell>
          <cell r="J541" t="str">
            <v>PUMA</v>
          </cell>
          <cell r="K541" t="str">
            <v>Pr.Sch.R</v>
          </cell>
          <cell r="L541" t="str">
            <v>DIE CUT</v>
          </cell>
          <cell r="M541">
            <v>1</v>
          </cell>
        </row>
        <row r="542">
          <cell r="A542" t="str">
            <v>F-2026-04-51</v>
          </cell>
          <cell r="B542" t="str">
            <v>RPRO-260403-0439</v>
          </cell>
          <cell r="C542" t="str">
            <v>BDB-000067</v>
          </cell>
          <cell r="D542" t="str">
            <v>PVN-002129</v>
          </cell>
          <cell r="E542" t="str">
            <v>OrthoLite Ultra SEEDPEARL/12-0703TPX Flat Sheet 0.085D 25+/-4 Asker C 1.1M 2M 6mm</v>
          </cell>
          <cell r="F542">
            <v>23</v>
          </cell>
          <cell r="G542">
            <v>23</v>
          </cell>
          <cell r="H542">
            <v>23</v>
          </cell>
          <cell r="I542">
            <v>0</v>
          </cell>
          <cell r="J542" t="str">
            <v>BABOLAT</v>
          </cell>
          <cell r="K542" t="str">
            <v>Pr.Sch.R</v>
          </cell>
          <cell r="L542" t="str">
            <v>DIE CUT</v>
          </cell>
          <cell r="M542">
            <v>1</v>
          </cell>
        </row>
        <row r="543">
          <cell r="A543" t="str">
            <v>F-2026-04-52</v>
          </cell>
          <cell r="B543" t="str">
            <v>RPRO-260403-0440</v>
          </cell>
          <cell r="C543" t="str">
            <v>BDB-000076</v>
          </cell>
          <cell r="D543" t="str">
            <v>PVN-004119</v>
          </cell>
          <cell r="E543" t="str">
            <v>OrthoLite X-25 BILLIARD/16-5427TPX Flat Sheet 0.12D 20+/-4 Asker C 1.1M 2M 6.5mm</v>
          </cell>
          <cell r="F543">
            <v>42</v>
          </cell>
          <cell r="G543">
            <v>42</v>
          </cell>
          <cell r="H543">
            <v>42</v>
          </cell>
          <cell r="I543">
            <v>0</v>
          </cell>
          <cell r="J543" t="str">
            <v>ONE8</v>
          </cell>
          <cell r="K543" t="str">
            <v>Pr.Sch.R</v>
          </cell>
          <cell r="L543" t="str">
            <v>MOLDED</v>
          </cell>
          <cell r="M543">
            <v>1</v>
          </cell>
        </row>
        <row r="544">
          <cell r="A544" t="str">
            <v>F-2026-04-53</v>
          </cell>
          <cell r="B544" t="str">
            <v>RPRO-260403-0441</v>
          </cell>
          <cell r="C544" t="str">
            <v>BDB-000217</v>
          </cell>
          <cell r="D544" t="str">
            <v>PVN-003733</v>
          </cell>
          <cell r="E544" t="str">
            <v>OrthoLite X-40-Hybrid SEEDPEARL/12-0703TPX Hybrid Flat Sheet 0.16D 35+/-4 Asker C 1.1M 1.7M 12.5mm</v>
          </cell>
          <cell r="F544">
            <v>10</v>
          </cell>
          <cell r="G544">
            <v>10</v>
          </cell>
          <cell r="H544">
            <v>10</v>
          </cell>
          <cell r="I544">
            <v>0</v>
          </cell>
          <cell r="J544" t="str">
            <v>OBOZ</v>
          </cell>
          <cell r="K544" t="str">
            <v>Pr.Sch.R</v>
          </cell>
          <cell r="L544" t="str">
            <v>MOLDED</v>
          </cell>
          <cell r="M544">
            <v>1</v>
          </cell>
        </row>
        <row r="545">
          <cell r="A545" t="str">
            <v>OIN-2026.03.31-01</v>
          </cell>
          <cell r="B545" t="str">
            <v>RPRO-260406-0116</v>
          </cell>
          <cell r="C545" t="str">
            <v>BDB-000356</v>
          </cell>
          <cell r="D545" t="str">
            <v>PVN-004232</v>
          </cell>
          <cell r="E545" t="str">
            <v>[116-12300] Eco Lite 15+/-4 Asker C 0.11D Lime Green 14-0452 Tpx 1.10M X 2.00M 47mm</v>
          </cell>
          <cell r="F545">
            <v>13</v>
          </cell>
          <cell r="G545">
            <v>13</v>
          </cell>
          <cell r="H545">
            <v>13</v>
          </cell>
          <cell r="I545">
            <v>0</v>
          </cell>
          <cell r="J545" t="str">
            <v>JOOP</v>
          </cell>
          <cell r="K545" t="str">
            <v>PO-7005-SO-260402-0171</v>
          </cell>
          <cell r="L545" t="str">
            <v>FLAT SHEET</v>
          </cell>
          <cell r="M545">
            <v>2</v>
          </cell>
        </row>
        <row r="546">
          <cell r="A546" t="str">
            <v>OIN-2026.03.31-02</v>
          </cell>
          <cell r="B546" t="str">
            <v>RPRO-260406-0141</v>
          </cell>
          <cell r="C546" t="str">
            <v>BDB-000058</v>
          </cell>
          <cell r="D546" t="str">
            <v>PVN-003780</v>
          </cell>
          <cell r="E546" t="str">
            <v>[116-361] Ultra 25+/-4 Asker C 0.085D Green 16-5932 Tpx 1.10M X 2.00M 47mm</v>
          </cell>
          <cell r="F546">
            <v>108</v>
          </cell>
          <cell r="G546">
            <v>108</v>
          </cell>
          <cell r="H546">
            <v>108</v>
          </cell>
          <cell r="I546">
            <v>0</v>
          </cell>
          <cell r="J546" t="str">
            <v>ADIDAS</v>
          </cell>
          <cell r="K546" t="str">
            <v>PO-7005-SO-260402-0172</v>
          </cell>
          <cell r="L546" t="str">
            <v>FLAT SHEET</v>
          </cell>
          <cell r="M546">
            <v>2</v>
          </cell>
        </row>
        <row r="547">
          <cell r="A547" t="str">
            <v>OIN-2026.04.02-01</v>
          </cell>
          <cell r="B547" t="str">
            <v>RPRO-260406-0169</v>
          </cell>
          <cell r="C547" t="str">
            <v>BDB-000058</v>
          </cell>
          <cell r="D547" t="str">
            <v>PVN-003780</v>
          </cell>
          <cell r="E547" t="str">
            <v>[116-361] Ultra 25+/-4 Asker C 0.085D Green 16-5932 Tpx 1.10M X 2.00M 47mm</v>
          </cell>
          <cell r="F547">
            <v>106</v>
          </cell>
          <cell r="G547">
            <v>106</v>
          </cell>
          <cell r="H547">
            <v>0</v>
          </cell>
          <cell r="I547">
            <v>106</v>
          </cell>
          <cell r="J547" t="str">
            <v>ADIDAS</v>
          </cell>
          <cell r="K547" t="str">
            <v>PO-7012-SO-260403-0144</v>
          </cell>
          <cell r="L547" t="str">
            <v>FLAT SHEET</v>
          </cell>
          <cell r="M547">
            <v>2</v>
          </cell>
        </row>
        <row r="548">
          <cell r="A548" t="str">
            <v>F-2026-04-54</v>
          </cell>
          <cell r="B548" t="str">
            <v>FPRO-260401-0001</v>
          </cell>
          <cell r="C548" t="str">
            <v>BDB-000123</v>
          </cell>
          <cell r="D548" t="str">
            <v>PVN-002973</v>
          </cell>
          <cell r="E548" t="str">
            <v>OrthoLite Ultra-Hybrid SEEDPEARL/12-0703TPX Hybrid 0.085D 25+/-4 Asker C 1.1M 2M 4.5mm</v>
          </cell>
          <cell r="F548">
            <v>41</v>
          </cell>
          <cell r="G548">
            <v>41</v>
          </cell>
          <cell r="H548">
            <v>41</v>
          </cell>
          <cell r="I548">
            <v>0</v>
          </cell>
          <cell r="J548" t="str">
            <v>SALOMON</v>
          </cell>
          <cell r="K548" t="str">
            <v>Forecast</v>
          </cell>
          <cell r="L548" t="str">
            <v>MOLDED</v>
          </cell>
          <cell r="M548">
            <v>1</v>
          </cell>
        </row>
        <row r="549">
          <cell r="A549" t="str">
            <v>F-2026-04-55</v>
          </cell>
          <cell r="B549" t="str">
            <v>FPRO-260401-0003</v>
          </cell>
          <cell r="C549" t="str">
            <v>BDB-000076</v>
          </cell>
          <cell r="D549" t="str">
            <v>PVN-004091</v>
          </cell>
          <cell r="E549" t="str">
            <v>OrthoLite X-25 BILLIARD/16-5427TPX Flat Sheet 0.12D 20+/-4 Asker C 1.1M 2M 3.5mm</v>
          </cell>
          <cell r="F549">
            <v>670</v>
          </cell>
          <cell r="G549">
            <v>670</v>
          </cell>
          <cell r="H549">
            <v>670</v>
          </cell>
          <cell r="I549">
            <v>0</v>
          </cell>
          <cell r="J549" t="str">
            <v>BROOKS</v>
          </cell>
          <cell r="K549" t="str">
            <v>Forecast</v>
          </cell>
          <cell r="L549" t="str">
            <v>MOLDED</v>
          </cell>
          <cell r="M549">
            <v>1</v>
          </cell>
        </row>
        <row r="550">
          <cell r="A550" t="str">
            <v>F-2026-04-56-1</v>
          </cell>
          <cell r="B550" t="str">
            <v>FPRO-260401-0004</v>
          </cell>
          <cell r="C550" t="str">
            <v>BDB-000123</v>
          </cell>
          <cell r="D550" t="str">
            <v>PVN-002539</v>
          </cell>
          <cell r="E550" t="str">
            <v>OrthoLite Ultra-Hybrid SEEDPEARL/12-0703TPX Hybrid Flat Sheet 0.085D 25+/-4 Asker C 1.1M 2M 5mm</v>
          </cell>
          <cell r="F550">
            <v>1000</v>
          </cell>
          <cell r="G550">
            <v>500</v>
          </cell>
          <cell r="H550">
            <v>0</v>
          </cell>
          <cell r="I550">
            <v>500</v>
          </cell>
          <cell r="J550" t="str">
            <v>BROOKS</v>
          </cell>
          <cell r="K550" t="str">
            <v>Forecast</v>
          </cell>
          <cell r="L550" t="str">
            <v>DIE CUT</v>
          </cell>
          <cell r="M550">
            <v>1</v>
          </cell>
        </row>
        <row r="551">
          <cell r="A551" t="str">
            <v>F-2026-04-56-2</v>
          </cell>
          <cell r="B551"/>
          <cell r="C551" t="str">
            <v>BDB-000123</v>
          </cell>
          <cell r="D551" t="str">
            <v>PVN-002539</v>
          </cell>
          <cell r="E551" t="str">
            <v>OrthoLite Ultra-Hybrid SEEDPEARL/12-0703TPX Hybrid Flat Sheet 0.085D 25+/-4 Asker C 1.1M 2M 5mm</v>
          </cell>
          <cell r="F551">
            <v>1000</v>
          </cell>
          <cell r="G551">
            <v>500</v>
          </cell>
          <cell r="H551">
            <v>0</v>
          </cell>
          <cell r="I551">
            <v>500</v>
          </cell>
          <cell r="J551" t="str">
            <v>BROOKS</v>
          </cell>
          <cell r="K551" t="str">
            <v>Forecast</v>
          </cell>
          <cell r="L551" t="str">
            <v>DIE CUT</v>
          </cell>
          <cell r="M551">
            <v>1</v>
          </cell>
        </row>
        <row r="552">
          <cell r="A552" t="str">
            <v>F-2026-04-57</v>
          </cell>
          <cell r="B552" t="str">
            <v>FPRO-260401-0005</v>
          </cell>
          <cell r="C552" t="str">
            <v>BDB-000123</v>
          </cell>
          <cell r="D552" t="str">
            <v>PVN-002539</v>
          </cell>
          <cell r="E552" t="str">
            <v>OrthoLite Ultra-Hybrid SEEDPEARL/12-0703TPX Hybrid Flat Sheet 0.085D 25+/-4 Asker C 1.1M 2M 5mm</v>
          </cell>
          <cell r="F552">
            <v>800</v>
          </cell>
          <cell r="G552">
            <v>800</v>
          </cell>
          <cell r="H552">
            <v>0</v>
          </cell>
          <cell r="I552">
            <v>800</v>
          </cell>
          <cell r="J552" t="str">
            <v>BROOKS</v>
          </cell>
          <cell r="K552" t="str">
            <v>Forecast</v>
          </cell>
          <cell r="L552" t="str">
            <v>DIE CUT</v>
          </cell>
          <cell r="M552">
            <v>1</v>
          </cell>
        </row>
        <row r="553">
          <cell r="A553" t="str">
            <v>F-2026-04-58</v>
          </cell>
          <cell r="B553" t="str">
            <v>FPRO-260401-0006</v>
          </cell>
          <cell r="C553" t="str">
            <v>BDB-000209</v>
          </cell>
          <cell r="D553" t="str">
            <v>PVN-003462</v>
          </cell>
          <cell r="E553" t="str">
            <v>OrthoLite HybridPlus-Recycled MINT GREEN/11-4805TPX Hybrid 0.12D 25+/-4 Asker C 1.1M 2M 12mm</v>
          </cell>
          <cell r="F553">
            <v>500</v>
          </cell>
          <cell r="G553">
            <v>500</v>
          </cell>
          <cell r="H553">
            <v>500</v>
          </cell>
          <cell r="I553">
            <v>0</v>
          </cell>
          <cell r="J553" t="str">
            <v>BROOKS</v>
          </cell>
          <cell r="K553" t="str">
            <v>Forecast</v>
          </cell>
          <cell r="L553" t="str">
            <v>MOLDED</v>
          </cell>
          <cell r="M553">
            <v>1</v>
          </cell>
        </row>
        <row r="554">
          <cell r="A554" t="str">
            <v>F-2026-04-59</v>
          </cell>
          <cell r="B554" t="str">
            <v>FPRO-260401-0007</v>
          </cell>
          <cell r="C554" t="str">
            <v>BDB-000209</v>
          </cell>
          <cell r="D554" t="str">
            <v>PVN-003462</v>
          </cell>
          <cell r="E554" t="str">
            <v>OrthoLite HybridPlus-Recycled MINT GREEN/11-4805TPX Hybrid 0.12D 25+/-4 Asker C 1.1M 2M 12mm</v>
          </cell>
          <cell r="F554">
            <v>500</v>
          </cell>
          <cell r="G554">
            <v>500</v>
          </cell>
          <cell r="H554">
            <v>500</v>
          </cell>
          <cell r="I554">
            <v>0</v>
          </cell>
          <cell r="J554" t="str">
            <v>BROOKS</v>
          </cell>
          <cell r="K554" t="str">
            <v>Forecast</v>
          </cell>
          <cell r="L554" t="str">
            <v>MOLDED</v>
          </cell>
          <cell r="M554">
            <v>1</v>
          </cell>
        </row>
        <row r="555">
          <cell r="A555" t="str">
            <v>F-2026-04-60</v>
          </cell>
          <cell r="B555" t="str">
            <v>FPRO-260401-0008</v>
          </cell>
          <cell r="C555" t="str">
            <v>BDB-000209</v>
          </cell>
          <cell r="D555" t="str">
            <v>PVN-003462</v>
          </cell>
          <cell r="E555" t="str">
            <v>OrthoLite HybridPlus-Recycled MINT GREEN/11-4805TPX Hybrid 0.12D 25+/-4 Asker C 1.1M 2M 12mm</v>
          </cell>
          <cell r="F555">
            <v>300</v>
          </cell>
          <cell r="G555">
            <v>300</v>
          </cell>
          <cell r="H555">
            <v>0</v>
          </cell>
          <cell r="I555">
            <v>300</v>
          </cell>
          <cell r="J555" t="str">
            <v>BROOKS</v>
          </cell>
          <cell r="K555" t="str">
            <v>Forecast</v>
          </cell>
          <cell r="L555" t="str">
            <v>MOLDED</v>
          </cell>
          <cell r="M555">
            <v>1</v>
          </cell>
        </row>
        <row r="556">
          <cell r="A556" t="str">
            <v>F-2026-04-61</v>
          </cell>
          <cell r="B556" t="str">
            <v>RPRO-260406-1099</v>
          </cell>
          <cell r="C556"/>
          <cell r="D556" t="str">
            <v>PVN-000458</v>
          </cell>
          <cell r="E556" t="str">
            <v>OrthoLite Regular GREEN/16-5932TPX Flat Sheet 0.13D 35+/-4 Asker C 1.1M 2M 3mm</v>
          </cell>
          <cell r="F556">
            <v>506</v>
          </cell>
          <cell r="G556">
            <v>506</v>
          </cell>
          <cell r="H556">
            <v>506</v>
          </cell>
          <cell r="I556">
            <v>0</v>
          </cell>
          <cell r="J556"/>
          <cell r="K556" t="str">
            <v>MPS</v>
          </cell>
          <cell r="L556" t="str">
            <v>SPLITTING</v>
          </cell>
          <cell r="M556">
            <v>2</v>
          </cell>
        </row>
        <row r="557">
          <cell r="A557" t="str">
            <v>F-2026-04-62</v>
          </cell>
          <cell r="B557" t="str">
            <v>RPRO-260406-1100</v>
          </cell>
          <cell r="C557"/>
          <cell r="D557" t="str">
            <v>PVN-004188</v>
          </cell>
          <cell r="E557" t="str">
            <v>OrthoLite Float NEUTRAL GRAY/17-4402TPX Flat Sheet 0.12D 21+/-4 Asker C 1.1M 1.47M 5.5mm</v>
          </cell>
          <cell r="F557">
            <v>250</v>
          </cell>
          <cell r="G557">
            <v>250</v>
          </cell>
          <cell r="H557">
            <v>250</v>
          </cell>
          <cell r="I557">
            <v>0</v>
          </cell>
          <cell r="J557" t="str">
            <v>PUMA</v>
          </cell>
          <cell r="K557" t="str">
            <v>Pr.Sch.R</v>
          </cell>
          <cell r="L557" t="str">
            <v>MOLDED</v>
          </cell>
          <cell r="M557">
            <v>1</v>
          </cell>
        </row>
        <row r="558">
          <cell r="A558" t="str">
            <v>F-2026-04-63</v>
          </cell>
          <cell r="B558" t="str">
            <v>RPRO-260406-1101</v>
          </cell>
          <cell r="C558"/>
          <cell r="D558" t="str">
            <v>PVN-002019</v>
          </cell>
          <cell r="E558" t="str">
            <v>OrthoLite Regular NEUTRAL GRAY/17-4402TPX Flat Sheet 0.11D 25+/-4 Asker C 1.1M 2M 13mm</v>
          </cell>
          <cell r="F558">
            <v>110</v>
          </cell>
          <cell r="G558">
            <v>110</v>
          </cell>
          <cell r="H558">
            <v>110</v>
          </cell>
          <cell r="I558">
            <v>0</v>
          </cell>
          <cell r="J558" t="str">
            <v>NEW BALANCE</v>
          </cell>
          <cell r="K558" t="str">
            <v>Pr.Sch.R</v>
          </cell>
          <cell r="L558" t="str">
            <v>MOLDED</v>
          </cell>
          <cell r="M558">
            <v>1</v>
          </cell>
        </row>
        <row r="559">
          <cell r="A559" t="str">
            <v>F-2026-04-64</v>
          </cell>
          <cell r="B559" t="str">
            <v>RPRO-260406-1102</v>
          </cell>
          <cell r="C559"/>
          <cell r="D559" t="str">
            <v>PVN-003460</v>
          </cell>
          <cell r="E559" t="str">
            <v>OrthoLite X-25-Hybrid SEEDPEARL/12-0703TPX Hybrid Flat Sheet 0.12D 20+/-4 Asker C 1.1M 2M 5.5mm</v>
          </cell>
          <cell r="F559">
            <v>25</v>
          </cell>
          <cell r="G559">
            <v>25</v>
          </cell>
          <cell r="H559">
            <v>25</v>
          </cell>
          <cell r="I559">
            <v>0</v>
          </cell>
          <cell r="J559" t="str">
            <v>ON RUNNING</v>
          </cell>
          <cell r="K559" t="str">
            <v>Pr.Sch.R</v>
          </cell>
          <cell r="L559" t="str">
            <v>MOLDED</v>
          </cell>
          <cell r="M559">
            <v>1</v>
          </cell>
        </row>
        <row r="560">
          <cell r="A560" t="str">
            <v>F-2026-04-65</v>
          </cell>
          <cell r="B560" t="str">
            <v>RPRO-260406-1103</v>
          </cell>
          <cell r="C560"/>
          <cell r="D560" t="str">
            <v>PVN-003236</v>
          </cell>
          <cell r="E560" t="str">
            <v>OrthoLite Eco LT-Hybrid-Converse SEEDPEARL/12-0703TPX Hybrid Flat Sheet 0.13D 25+/-4 Asker C 1.1M 2M 5mm</v>
          </cell>
          <cell r="F560">
            <v>728</v>
          </cell>
          <cell r="G560">
            <v>728</v>
          </cell>
          <cell r="H560">
            <v>728</v>
          </cell>
          <cell r="I560">
            <v>0</v>
          </cell>
          <cell r="J560" t="str">
            <v>CONVERSE</v>
          </cell>
          <cell r="K560" t="str">
            <v>Pr.Sch.R</v>
          </cell>
          <cell r="L560" t="str">
            <v>DIE CUT</v>
          </cell>
          <cell r="M560" t="str">
            <v>1-SLT</v>
          </cell>
        </row>
        <row r="561">
          <cell r="A561" t="str">
            <v>F-2026-04-66</v>
          </cell>
          <cell r="B561" t="str">
            <v>RPRO-260406-1104</v>
          </cell>
          <cell r="C561"/>
          <cell r="D561" t="str">
            <v>PVN-003576</v>
          </cell>
          <cell r="E561" t="str">
            <v>OrthoLite X-55-Hybrid FOSSIL/17-0909TPX Hybrid Flat Sheet 0.16D 25+/-4 Asker C 1.1M 1.7M 12mm</v>
          </cell>
          <cell r="F561">
            <v>1617</v>
          </cell>
          <cell r="G561">
            <v>1617</v>
          </cell>
          <cell r="H561">
            <v>1617</v>
          </cell>
          <cell r="I561">
            <v>0</v>
          </cell>
          <cell r="J561" t="str">
            <v>ASICS</v>
          </cell>
          <cell r="K561" t="str">
            <v>Pr.Sch.R</v>
          </cell>
          <cell r="L561" t="str">
            <v>MOLDED</v>
          </cell>
          <cell r="M561" t="str">
            <v>1-RM-WIP</v>
          </cell>
        </row>
        <row r="562">
          <cell r="A562" t="str">
            <v>F-2026-04-67</v>
          </cell>
          <cell r="B562" t="str">
            <v>RPRO-260406-1105</v>
          </cell>
          <cell r="C562"/>
          <cell r="D562" t="str">
            <v>PVN-004146</v>
          </cell>
          <cell r="E562" t="str">
            <v>OrthoLite X-25 CASTLEROCK/18-0201TPX Flat Sheet 0.12D 20+/-4 Asker C 1.1M 2M 5.5mm</v>
          </cell>
          <cell r="F562">
            <v>1000</v>
          </cell>
          <cell r="G562">
            <v>1000</v>
          </cell>
          <cell r="H562">
            <v>1000</v>
          </cell>
          <cell r="I562">
            <v>0</v>
          </cell>
          <cell r="J562" t="str">
            <v>ON RUNNING</v>
          </cell>
          <cell r="K562" t="str">
            <v>Pr.Sch.R</v>
          </cell>
          <cell r="L562" t="str">
            <v>MOLDED</v>
          </cell>
          <cell r="M562">
            <v>1</v>
          </cell>
        </row>
        <row r="563">
          <cell r="A563" t="str">
            <v>F-2026-04-68</v>
          </cell>
          <cell r="B563" t="str">
            <v>RPRO-260406-1106</v>
          </cell>
          <cell r="C563"/>
          <cell r="D563" t="str">
            <v>PVN-004147</v>
          </cell>
          <cell r="E563" t="str">
            <v>OrthoLite X-25 SEEDPEARL/12-0703TPX Flat Sheet 0.12D 20+/-4 Asker C 1.1M 2M 5.5mm</v>
          </cell>
          <cell r="F563">
            <v>1025</v>
          </cell>
          <cell r="G563">
            <v>1025</v>
          </cell>
          <cell r="H563">
            <v>1025</v>
          </cell>
          <cell r="I563">
            <v>0</v>
          </cell>
          <cell r="J563" t="str">
            <v>ON RUNNING</v>
          </cell>
          <cell r="K563" t="str">
            <v>Pr.Sch.R</v>
          </cell>
          <cell r="L563" t="str">
            <v>MOLDED</v>
          </cell>
          <cell r="M563">
            <v>1</v>
          </cell>
        </row>
        <row r="564">
          <cell r="A564" t="str">
            <v>F-2026-04-69</v>
          </cell>
          <cell r="B564" t="str">
            <v>RPRO-260406-1107</v>
          </cell>
          <cell r="C564"/>
          <cell r="D564" t="str">
            <v>PVN-004178</v>
          </cell>
          <cell r="E564" t="str">
            <v>OrthoLite Float NEUTRAL GRAY/17-4402TPX Flat Sheet 0.12D 21+/-4 Asker C 1.1M 2M 5.5mm</v>
          </cell>
          <cell r="F564">
            <v>500</v>
          </cell>
          <cell r="G564">
            <v>500</v>
          </cell>
          <cell r="H564">
            <v>500</v>
          </cell>
          <cell r="I564">
            <v>0</v>
          </cell>
          <cell r="J564" t="str">
            <v>PUMA</v>
          </cell>
          <cell r="K564" t="str">
            <v>Pr.Sch.R</v>
          </cell>
          <cell r="L564" t="str">
            <v>MOLDED</v>
          </cell>
          <cell r="M564">
            <v>1</v>
          </cell>
        </row>
        <row r="565">
          <cell r="A565" t="str">
            <v>F-2026-04-70</v>
          </cell>
          <cell r="B565" t="str">
            <v>RPRO-260406-1108</v>
          </cell>
          <cell r="C565"/>
          <cell r="D565" t="str">
            <v>PVN-003692</v>
          </cell>
          <cell r="E565" t="str">
            <v>OrthoLite Ultra-Hybrid SEEDPEARL/12-0703TPX Hybrid Flat Sheet 0.095D 33+/-4 Asker C 1.1M 2M 15.5mm</v>
          </cell>
          <cell r="F565">
            <v>24</v>
          </cell>
          <cell r="G565">
            <v>24</v>
          </cell>
          <cell r="H565">
            <v>24</v>
          </cell>
          <cell r="I565">
            <v>0</v>
          </cell>
          <cell r="J565" t="str">
            <v>GARMONT</v>
          </cell>
          <cell r="K565" t="str">
            <v>Pr.Sch.R</v>
          </cell>
          <cell r="L565" t="str">
            <v>MOLDED</v>
          </cell>
          <cell r="M565">
            <v>1</v>
          </cell>
        </row>
        <row r="566">
          <cell r="A566" t="str">
            <v>F-2026-04-71</v>
          </cell>
          <cell r="B566" t="str">
            <v>RPRO-260406-1109</v>
          </cell>
          <cell r="C566"/>
          <cell r="D566" t="str">
            <v>PVN-001319</v>
          </cell>
          <cell r="E566" t="str">
            <v>OrthoLite Ultra GREEN/16-5932TPX Flat Sheet 0.085D 25+/-4 Asker C 1.1M 2M 5mm</v>
          </cell>
          <cell r="F566">
            <v>448</v>
          </cell>
          <cell r="G566">
            <v>448</v>
          </cell>
          <cell r="H566">
            <v>448</v>
          </cell>
          <cell r="I566">
            <v>0</v>
          </cell>
          <cell r="J566" t="str">
            <v>NEW BALANCE</v>
          </cell>
          <cell r="K566" t="str">
            <v>Pr.Sch.R</v>
          </cell>
          <cell r="L566" t="str">
            <v>DIE CUT</v>
          </cell>
          <cell r="M566">
            <v>1</v>
          </cell>
        </row>
        <row r="567">
          <cell r="A567" t="str">
            <v>F-2026-04-72</v>
          </cell>
          <cell r="B567" t="str">
            <v>RPRO-260406-1110</v>
          </cell>
          <cell r="C567"/>
          <cell r="D567" t="str">
            <v>PVN-003437</v>
          </cell>
          <cell r="E567" t="str">
            <v>OrthoLite Regular AIR BLUE/16-4134TPX Flat Sheet 0.11D 25+/-4 Asker C 1.1M 2M 10.5mm</v>
          </cell>
          <cell r="F567">
            <v>48</v>
          </cell>
          <cell r="G567">
            <v>48</v>
          </cell>
          <cell r="H567">
            <v>48</v>
          </cell>
          <cell r="I567">
            <v>0</v>
          </cell>
          <cell r="J567" t="str">
            <v>TRAVIS MATHEW</v>
          </cell>
          <cell r="K567" t="str">
            <v>Pr.Sch.R</v>
          </cell>
          <cell r="L567" t="str">
            <v>MOLDED</v>
          </cell>
          <cell r="M567">
            <v>1</v>
          </cell>
        </row>
        <row r="568">
          <cell r="A568" t="str">
            <v>F-2026-04-73</v>
          </cell>
          <cell r="B568" t="str">
            <v>RPRO-260406-1111</v>
          </cell>
          <cell r="C568"/>
          <cell r="D568" t="str">
            <v>PVN-003614</v>
          </cell>
          <cell r="E568" t="str">
            <v>OrthoLite Regular GREY/17-1501TPX Flat Sheet 0.11D 5-10 Asker C 1.1M 2M 3.5mm</v>
          </cell>
          <cell r="F568">
            <v>80</v>
          </cell>
          <cell r="G568">
            <v>80</v>
          </cell>
          <cell r="H568">
            <v>80</v>
          </cell>
          <cell r="I568">
            <v>0</v>
          </cell>
          <cell r="J568" t="str">
            <v>TRAVIS MATHEW</v>
          </cell>
          <cell r="K568" t="str">
            <v>Pr.Sch.R</v>
          </cell>
          <cell r="L568" t="str">
            <v>MOLDED</v>
          </cell>
          <cell r="M568">
            <v>1</v>
          </cell>
        </row>
        <row r="569">
          <cell r="A569" t="str">
            <v>F-2026-04-74</v>
          </cell>
          <cell r="B569" t="str">
            <v>RPRO-260406-1112</v>
          </cell>
          <cell r="C569"/>
          <cell r="D569" t="str">
            <v>PVN-004061</v>
          </cell>
          <cell r="E569" t="str">
            <v>OrthoLite X-55 RED/19-1764TPX Flat Sheet 0.16D 25+/-4 Asker C 1.1M 1.47M 18mm</v>
          </cell>
          <cell r="F569">
            <v>14</v>
          </cell>
          <cell r="G569">
            <v>14</v>
          </cell>
          <cell r="H569">
            <v>14</v>
          </cell>
          <cell r="I569">
            <v>0</v>
          </cell>
          <cell r="J569" t="str">
            <v>WILSON</v>
          </cell>
          <cell r="K569" t="str">
            <v>Pr.Sch.R</v>
          </cell>
          <cell r="L569" t="str">
            <v>MOLDED</v>
          </cell>
          <cell r="M569">
            <v>1</v>
          </cell>
        </row>
        <row r="570">
          <cell r="A570" t="str">
            <v>F-2026-04-75</v>
          </cell>
          <cell r="B570" t="str">
            <v>RPRO-260406-1113</v>
          </cell>
          <cell r="C570"/>
          <cell r="D570" t="str">
            <v>PVN-004293</v>
          </cell>
          <cell r="E570" t="str">
            <v>OrthoLite Regular NEUTRAL GRAY/17-4402TPX Flat Sheet 0.13D 15+/-4 Asker C 1.1M 2M 22mm</v>
          </cell>
          <cell r="F570">
            <v>30</v>
          </cell>
          <cell r="G570">
            <v>30</v>
          </cell>
          <cell r="H570">
            <v>30</v>
          </cell>
          <cell r="I570">
            <v>0</v>
          </cell>
          <cell r="J570" t="str">
            <v>TRAVIS MATHEW</v>
          </cell>
          <cell r="K570" t="str">
            <v>Pr.Sch.R</v>
          </cell>
          <cell r="L570" t="str">
            <v>MOLDED</v>
          </cell>
          <cell r="M570">
            <v>1</v>
          </cell>
        </row>
        <row r="571">
          <cell r="A571" t="str">
            <v>F-2026-04-76</v>
          </cell>
          <cell r="B571" t="str">
            <v>RPRO-260406-1114</v>
          </cell>
          <cell r="C571"/>
          <cell r="D571" t="str">
            <v>PVN-004129</v>
          </cell>
          <cell r="E571" t="str">
            <v>OrthoLite X-40 TRUE BLUE/19-4057TPX Flat Sheet 0.16D 25+/-4 Asker C 1.1M 2M 5.5mm</v>
          </cell>
          <cell r="F571">
            <v>25</v>
          </cell>
          <cell r="G571">
            <v>25</v>
          </cell>
          <cell r="H571">
            <v>25</v>
          </cell>
          <cell r="I571">
            <v>0</v>
          </cell>
          <cell r="J571" t="str">
            <v>ASICS</v>
          </cell>
          <cell r="K571" t="str">
            <v>Pr.Sch.R</v>
          </cell>
          <cell r="L571" t="str">
            <v>DIE CUT</v>
          </cell>
          <cell r="M571">
            <v>1</v>
          </cell>
        </row>
        <row r="572">
          <cell r="A572" t="str">
            <v>F-2026-04-77</v>
          </cell>
          <cell r="B572" t="str">
            <v>FPRO-260406-0008</v>
          </cell>
          <cell r="C572"/>
          <cell r="D572" t="str">
            <v>PVN-003236</v>
          </cell>
          <cell r="E572" t="str">
            <v>OrthoLite Eco LT-Hybrid-Converse SEEDPEARL/12-0703TPX Hybrid 0.13D 25+/-4 Asker C 1.1M 2M 5mm</v>
          </cell>
          <cell r="F572">
            <v>1000</v>
          </cell>
          <cell r="G572">
            <v>1000</v>
          </cell>
          <cell r="H572">
            <v>1000</v>
          </cell>
          <cell r="I572">
            <v>0</v>
          </cell>
          <cell r="J572" t="str">
            <v>CONVERSE</v>
          </cell>
          <cell r="K572" t="str">
            <v>Forecast</v>
          </cell>
          <cell r="L572" t="str">
            <v>DIE CUT</v>
          </cell>
          <cell r="M572">
            <v>1</v>
          </cell>
        </row>
        <row r="573">
          <cell r="A573" t="str">
            <v>F-2026-04-78</v>
          </cell>
          <cell r="B573" t="str">
            <v>FPRO-260406-0009</v>
          </cell>
          <cell r="C573"/>
          <cell r="D573" t="str">
            <v>PVN-003236</v>
          </cell>
          <cell r="E573" t="str">
            <v>OrthoLite Eco LT-Hybrid-Converse SEEDPEARL/12-0703TPX Hybrid 0.13D 25+/-4 Asker C 1.1M 2M 5mm</v>
          </cell>
          <cell r="F573">
            <v>500</v>
          </cell>
          <cell r="G573">
            <v>500</v>
          </cell>
          <cell r="H573">
            <v>500</v>
          </cell>
          <cell r="I573">
            <v>0</v>
          </cell>
          <cell r="J573" t="str">
            <v>CONVERSE</v>
          </cell>
          <cell r="K573" t="str">
            <v>Forecast</v>
          </cell>
          <cell r="L573" t="str">
            <v>DIE CUT</v>
          </cell>
          <cell r="M573">
            <v>1</v>
          </cell>
        </row>
        <row r="574">
          <cell r="A574" t="str">
            <v>F-2026-04-80-1</v>
          </cell>
          <cell r="B574" t="str">
            <v>FPRO-260406-0011</v>
          </cell>
          <cell r="C574"/>
          <cell r="D574" t="str">
            <v>PVN-003238</v>
          </cell>
          <cell r="E574" t="str">
            <v>OrthoLite Eco LT-Hybrid-Converse SEEDPEARL/12-0703TPX Hybrid 0.11D 25+/-4 Asker C 1.1M 2M 5mm</v>
          </cell>
          <cell r="F574">
            <v>800</v>
          </cell>
          <cell r="G574">
            <v>800</v>
          </cell>
          <cell r="H574">
            <v>800</v>
          </cell>
          <cell r="I574">
            <v>0</v>
          </cell>
          <cell r="J574" t="str">
            <v>CONVERSE</v>
          </cell>
          <cell r="K574" t="str">
            <v>Forecast</v>
          </cell>
          <cell r="L574" t="str">
            <v>DIE CUT</v>
          </cell>
          <cell r="M574">
            <v>1</v>
          </cell>
        </row>
        <row r="575">
          <cell r="A575" t="str">
            <v>F-2026-04-80-2</v>
          </cell>
          <cell r="B575" t="str">
            <v>FPRO-260409-0009</v>
          </cell>
          <cell r="C575"/>
          <cell r="D575" t="str">
            <v>PVN-003238</v>
          </cell>
          <cell r="E575" t="str">
            <v>OrthoLite Eco LT-Hybrid-Converse SEEDPEARL/12-0703TPX Hybrid 0.11D 25+/-4 Asker C 1.1M 2M 5mm</v>
          </cell>
          <cell r="F575">
            <v>200</v>
          </cell>
          <cell r="G575">
            <v>200</v>
          </cell>
          <cell r="H575">
            <v>200</v>
          </cell>
          <cell r="I575">
            <v>0</v>
          </cell>
          <cell r="J575" t="str">
            <v>CONVERSE</v>
          </cell>
          <cell r="K575" t="str">
            <v>Forecast</v>
          </cell>
          <cell r="L575" t="str">
            <v>DIE CUT</v>
          </cell>
          <cell r="M575" t="str">
            <v>1-SLT</v>
          </cell>
        </row>
        <row r="576">
          <cell r="A576" t="str">
            <v>F-2026-04-81-1</v>
          </cell>
          <cell r="B576" t="str">
            <v>FPRO-260406-0012</v>
          </cell>
          <cell r="C576"/>
          <cell r="D576" t="str">
            <v>PVN-003238</v>
          </cell>
          <cell r="E576" t="str">
            <v>OrthoLite Eco LT-Hybrid-Converse SEEDPEARL/12-0703TPX Hybrid 0.11D 25+/-4 Asker C 1.1M 2M 5mm</v>
          </cell>
          <cell r="F576">
            <v>32</v>
          </cell>
          <cell r="G576">
            <v>32</v>
          </cell>
          <cell r="H576">
            <v>32</v>
          </cell>
          <cell r="I576">
            <v>0</v>
          </cell>
          <cell r="J576" t="str">
            <v>CONVERSE</v>
          </cell>
          <cell r="K576" t="str">
            <v>Forecast</v>
          </cell>
          <cell r="L576" t="str">
            <v>DIE CUT</v>
          </cell>
          <cell r="M576">
            <v>1</v>
          </cell>
        </row>
        <row r="577">
          <cell r="A577" t="str">
            <v>F-2026-04-81-2</v>
          </cell>
          <cell r="B577" t="str">
            <v>FPRO-260408-0001</v>
          </cell>
          <cell r="C577"/>
          <cell r="D577" t="str">
            <v>PVN-003238</v>
          </cell>
          <cell r="E577" t="str">
            <v>OrthoLite Eco LT-Hybrid-Converse SEEDPEARL/12-0703TPX Hybrid 0.11D 25+/-4 Asker C 1.1M 2M 5mm</v>
          </cell>
          <cell r="F577">
            <v>407</v>
          </cell>
          <cell r="G577">
            <v>407</v>
          </cell>
          <cell r="H577">
            <v>407</v>
          </cell>
          <cell r="I577">
            <v>0</v>
          </cell>
          <cell r="J577" t="str">
            <v>CONVERSE</v>
          </cell>
          <cell r="K577" t="str">
            <v>Forecast</v>
          </cell>
          <cell r="L577" t="str">
            <v>DIE CUT</v>
          </cell>
          <cell r="M577" t="str">
            <v>1-SLT</v>
          </cell>
        </row>
        <row r="578">
          <cell r="A578" t="str">
            <v>F-2026-04-81-3</v>
          </cell>
          <cell r="B578" t="str">
            <v>FPRO-260408-0002</v>
          </cell>
          <cell r="C578"/>
          <cell r="D578" t="str">
            <v>PVN-003238</v>
          </cell>
          <cell r="E578" t="str">
            <v>OrthoLite Eco LT-Hybrid-Converse SEEDPEARL/12-0703TPX Hybrid 0.11D 25+/-4 Asker C 1.1M 2M 5mm</v>
          </cell>
          <cell r="F578">
            <v>11</v>
          </cell>
          <cell r="G578">
            <v>11</v>
          </cell>
          <cell r="H578">
            <v>11</v>
          </cell>
          <cell r="I578">
            <v>0</v>
          </cell>
          <cell r="J578" t="str">
            <v>CONVERSE</v>
          </cell>
          <cell r="K578" t="str">
            <v>Forecast</v>
          </cell>
          <cell r="L578" t="str">
            <v>DIE CUT</v>
          </cell>
          <cell r="M578" t="str">
            <v>1-SLT</v>
          </cell>
        </row>
        <row r="579">
          <cell r="A579" t="str">
            <v>F-2026-04-82</v>
          </cell>
          <cell r="B579" t="str">
            <v>RPRO-260407-0075</v>
          </cell>
          <cell r="C579"/>
          <cell r="D579" t="str">
            <v>PVN-000127</v>
          </cell>
          <cell r="E579" t="str">
            <v>OrthoLite Regular AIR BLUE/16-4134TPX Flat Sheet 0.13D 35+/-4 Asker C 1.1M 2M 5mm</v>
          </cell>
          <cell r="F579">
            <v>28</v>
          </cell>
          <cell r="G579">
            <v>28</v>
          </cell>
          <cell r="H579">
            <v>28</v>
          </cell>
          <cell r="I579">
            <v>0</v>
          </cell>
          <cell r="J579"/>
          <cell r="K579" t="str">
            <v>MPS</v>
          </cell>
          <cell r="L579" t="str">
            <v>SPLITTING</v>
          </cell>
          <cell r="M579">
            <v>2</v>
          </cell>
        </row>
        <row r="580">
          <cell r="A580" t="str">
            <v>F-2026-04-83</v>
          </cell>
          <cell r="B580" t="str">
            <v>RPRO-260407-0076</v>
          </cell>
          <cell r="C580"/>
          <cell r="D580" t="str">
            <v>PVN-001277</v>
          </cell>
          <cell r="E580" t="str">
            <v>OrthoLite Ultra GREEN/16-5932TPX Flat Sheet 0.085D 25+/-4 Asker C 1.1M 2M 4mm</v>
          </cell>
          <cell r="F580">
            <v>350</v>
          </cell>
          <cell r="G580">
            <v>350</v>
          </cell>
          <cell r="H580">
            <v>350</v>
          </cell>
          <cell r="I580">
            <v>0</v>
          </cell>
          <cell r="J580"/>
          <cell r="K580" t="str">
            <v>MPS</v>
          </cell>
          <cell r="L580" t="str">
            <v>SPLITTING</v>
          </cell>
          <cell r="M580">
            <v>2</v>
          </cell>
        </row>
        <row r="581">
          <cell r="A581" t="str">
            <v>F-2026-04-84</v>
          </cell>
          <cell r="B581" t="str">
            <v>RPRO-260407-0077</v>
          </cell>
          <cell r="C581"/>
          <cell r="D581" t="str">
            <v>PVN-003931</v>
          </cell>
          <cell r="E581" t="str">
            <v>OrthoLite X-40-Hybrid RED/19-1764TPX Hybrid Flat Sheet 0.16D 25+/-4 Asker C 1.1M 1.7M 6.5mm</v>
          </cell>
          <cell r="F581">
            <v>357</v>
          </cell>
          <cell r="G581">
            <v>357</v>
          </cell>
          <cell r="H581">
            <v>357</v>
          </cell>
          <cell r="I581">
            <v>0</v>
          </cell>
          <cell r="J581" t="str">
            <v>REDWING</v>
          </cell>
          <cell r="K581" t="str">
            <v>Pr.Sch.R</v>
          </cell>
          <cell r="L581" t="str">
            <v>MOLDED</v>
          </cell>
          <cell r="M581">
            <v>1</v>
          </cell>
        </row>
        <row r="582">
          <cell r="A582" t="str">
            <v>F-2026-04-85</v>
          </cell>
          <cell r="B582" t="str">
            <v>RPRO-260407-0078</v>
          </cell>
          <cell r="C582"/>
          <cell r="D582" t="str">
            <v>PVN-004033</v>
          </cell>
          <cell r="E582" t="str">
            <v>OrthoLite X-40-Hybrid NEUTRAL GRAY/17-4402TPX Hybrid Flat Sheet 0.16D 35+/-4 Asker C 1.1M 2M 2mm</v>
          </cell>
          <cell r="F582">
            <v>210</v>
          </cell>
          <cell r="G582">
            <v>210</v>
          </cell>
          <cell r="H582">
            <v>210</v>
          </cell>
          <cell r="I582">
            <v>0</v>
          </cell>
          <cell r="J582" t="str">
            <v>REDWING</v>
          </cell>
          <cell r="K582" t="str">
            <v>Pr.Sch.R</v>
          </cell>
          <cell r="L582" t="str">
            <v>MOLDED</v>
          </cell>
          <cell r="M582">
            <v>1</v>
          </cell>
        </row>
        <row r="583">
          <cell r="A583" t="str">
            <v>F-2026-04-86</v>
          </cell>
          <cell r="B583" t="str">
            <v>RPRO-260407-0079</v>
          </cell>
          <cell r="C583"/>
          <cell r="D583" t="str">
            <v>PVN-004260</v>
          </cell>
          <cell r="E583" t="str">
            <v>OrthoLite HybridPlus-Recycled MINT GREEN/11-4805TPX Hybrid Flat Sheet 0.12D 35+/-4 Asker C 1.1M 2M 5.5mm</v>
          </cell>
          <cell r="F583">
            <v>25</v>
          </cell>
          <cell r="G583">
            <v>25</v>
          </cell>
          <cell r="H583">
            <v>25</v>
          </cell>
          <cell r="I583">
            <v>0</v>
          </cell>
          <cell r="J583" t="str">
            <v>ON RUNNING</v>
          </cell>
          <cell r="K583" t="str">
            <v>Pr.Sch.R</v>
          </cell>
          <cell r="L583" t="str">
            <v>MOLDED</v>
          </cell>
          <cell r="M583">
            <v>1</v>
          </cell>
        </row>
        <row r="584">
          <cell r="A584" t="str">
            <v>F-2026-04-87</v>
          </cell>
          <cell r="B584" t="str">
            <v>RPRO-260407-0080</v>
          </cell>
          <cell r="C584"/>
          <cell r="D584" t="str">
            <v>PVN-004247</v>
          </cell>
          <cell r="E584" t="str">
            <v>OrthoLite X-40-Hybrid-Nike SEEDPEARL/12-0703TPX Hybrid Flat Sheet 0.16D 25+/-4 Asker C 1.1M 2M 4.2mm</v>
          </cell>
          <cell r="F584">
            <v>33</v>
          </cell>
          <cell r="G584">
            <v>33</v>
          </cell>
          <cell r="H584">
            <v>33</v>
          </cell>
          <cell r="I584">
            <v>0</v>
          </cell>
          <cell r="J584" t="str">
            <v>NIKE</v>
          </cell>
          <cell r="K584" t="str">
            <v>Pr.Sch.R</v>
          </cell>
          <cell r="L584" t="str">
            <v>MOLDED</v>
          </cell>
          <cell r="M584">
            <v>1</v>
          </cell>
        </row>
        <row r="585">
          <cell r="A585" t="str">
            <v>F-2026-04-88</v>
          </cell>
          <cell r="B585" t="str">
            <v>RPRO-260407-0081</v>
          </cell>
          <cell r="C585"/>
          <cell r="D585" t="str">
            <v>PVN-003691</v>
          </cell>
          <cell r="E585" t="str">
            <v>OrthoLite Ultra SEEDPEARL/12-0703TPX Flat Sheet 0.085D 25+/-4 Asker C 1.1M 2M 5.2mm</v>
          </cell>
          <cell r="F585">
            <v>26</v>
          </cell>
          <cell r="G585">
            <v>26</v>
          </cell>
          <cell r="H585">
            <v>26</v>
          </cell>
          <cell r="I585">
            <v>0</v>
          </cell>
          <cell r="J585" t="str">
            <v>PUMA</v>
          </cell>
          <cell r="K585" t="str">
            <v>Pr.Sch.R</v>
          </cell>
          <cell r="L585" t="str">
            <v>MOLDED</v>
          </cell>
          <cell r="M585">
            <v>1</v>
          </cell>
        </row>
        <row r="586">
          <cell r="A586" t="str">
            <v>F-2026-04-89</v>
          </cell>
          <cell r="B586" t="str">
            <v>RPRO-260407-0082</v>
          </cell>
          <cell r="C586"/>
          <cell r="D586" t="str">
            <v>PVN-004315</v>
          </cell>
          <cell r="E586" t="str">
            <v>OrthoLite X-25-Nike BILLIARD/16-5427TPX Flat Sheet 0.12D 20+/-4 Asker C 1.1M 2M 5mm</v>
          </cell>
          <cell r="F586">
            <v>112</v>
          </cell>
          <cell r="G586">
            <v>112</v>
          </cell>
          <cell r="H586">
            <v>112</v>
          </cell>
          <cell r="I586">
            <v>0</v>
          </cell>
          <cell r="J586" t="str">
            <v>NIKE</v>
          </cell>
          <cell r="K586" t="str">
            <v>Pr.Sch.R</v>
          </cell>
          <cell r="L586" t="str">
            <v>DIE CUT</v>
          </cell>
          <cell r="M586">
            <v>1</v>
          </cell>
        </row>
        <row r="587">
          <cell r="A587" t="str">
            <v>F-2026-04-90-1</v>
          </cell>
          <cell r="B587" t="str">
            <v>FPRO-260406-0015</v>
          </cell>
          <cell r="C587"/>
          <cell r="D587" t="str">
            <v>PVN-002973</v>
          </cell>
          <cell r="E587" t="str">
            <v>OrthoLite Ultra-Hybrid SEEDPEARL/12-0703TPX Hybrid 0.085D 25+/-4 Asker C 1.1M 2M 4.5mm</v>
          </cell>
          <cell r="F587">
            <v>862</v>
          </cell>
          <cell r="G587">
            <v>862</v>
          </cell>
          <cell r="H587">
            <v>862</v>
          </cell>
          <cell r="I587">
            <v>0</v>
          </cell>
          <cell r="J587" t="str">
            <v>SALOMON</v>
          </cell>
          <cell r="K587" t="str">
            <v>Forecast</v>
          </cell>
          <cell r="L587" t="str">
            <v>MOLDED</v>
          </cell>
          <cell r="M587">
            <v>1</v>
          </cell>
        </row>
        <row r="588">
          <cell r="A588" t="str">
            <v>F-2026-04-90-2</v>
          </cell>
          <cell r="B588" t="str">
            <v>FPRO-260429-0001</v>
          </cell>
          <cell r="C588"/>
          <cell r="D588" t="str">
            <v>PVN-002973</v>
          </cell>
          <cell r="E588" t="str">
            <v>OrthoLite Ultra-Hybrid SEEDPEARL/12-0703TPX Hybrid 0.085D 25+/-4 Asker C 1.1M 2M 4.5mm</v>
          </cell>
          <cell r="F588">
            <v>850</v>
          </cell>
          <cell r="G588">
            <v>850</v>
          </cell>
          <cell r="H588">
            <v>850</v>
          </cell>
          <cell r="I588">
            <v>0</v>
          </cell>
          <cell r="J588" t="str">
            <v>SALOMON</v>
          </cell>
          <cell r="K588" t="str">
            <v>Forecast</v>
          </cell>
          <cell r="L588" t="str">
            <v>MOLDED</v>
          </cell>
          <cell r="M588" t="str">
            <v>1-SLT</v>
          </cell>
        </row>
        <row r="589">
          <cell r="A589" t="str">
            <v>F-2026-04-91</v>
          </cell>
          <cell r="B589" t="str">
            <v>FPRO-260406-0016</v>
          </cell>
          <cell r="C589"/>
          <cell r="D589" t="str">
            <v>PVN-003298</v>
          </cell>
          <cell r="E589" t="str">
            <v>OrthoLite Ultra-Hybrid SEEDPEARL/12-0703TPX Hybrid 0.085D 25+/-4 Asker C 1.1M 2M 4mm</v>
          </cell>
          <cell r="F589">
            <v>7000</v>
          </cell>
          <cell r="G589">
            <v>7000</v>
          </cell>
          <cell r="H589">
            <v>0</v>
          </cell>
          <cell r="I589">
            <v>7000</v>
          </cell>
          <cell r="J589" t="str">
            <v>SALOMON</v>
          </cell>
          <cell r="K589" t="str">
            <v>Forecast</v>
          </cell>
          <cell r="L589" t="str">
            <v>LAMINATING</v>
          </cell>
          <cell r="M589">
            <v>1</v>
          </cell>
        </row>
        <row r="590">
          <cell r="A590" t="str">
            <v>F-2026-04-92</v>
          </cell>
          <cell r="B590" t="str">
            <v>FPRO-260406-0017</v>
          </cell>
          <cell r="C590"/>
          <cell r="D590" t="str">
            <v>PVN-003298</v>
          </cell>
          <cell r="E590" t="str">
            <v>OrthoLite Ultra-Hybrid SEEDPEARL/12-0703TPX Hybrid 0.085D 25+/-4 Asker C 1.1M 2M 4mm</v>
          </cell>
          <cell r="F590">
            <v>7000</v>
          </cell>
          <cell r="G590">
            <v>7000</v>
          </cell>
          <cell r="H590">
            <v>7000</v>
          </cell>
          <cell r="I590">
            <v>0</v>
          </cell>
          <cell r="J590" t="str">
            <v>SALOMON</v>
          </cell>
          <cell r="K590" t="str">
            <v>Forecast</v>
          </cell>
          <cell r="L590" t="str">
            <v>LAMINATING</v>
          </cell>
          <cell r="M590">
            <v>1</v>
          </cell>
        </row>
        <row r="591">
          <cell r="A591" t="str">
            <v>F-2026-04-93</v>
          </cell>
          <cell r="B591" t="str">
            <v>FPRO-260406-0018</v>
          </cell>
          <cell r="C591"/>
          <cell r="D591" t="str">
            <v>PVN-003298</v>
          </cell>
          <cell r="E591" t="str">
            <v>OrthoLite Ultra-Hybrid SEEDPEARL/12-0703TPX Hybrid 0.085D 25+/-4 Asker C 1.1M 2M 4mm</v>
          </cell>
          <cell r="F591">
            <v>7000</v>
          </cell>
          <cell r="G591">
            <v>7000</v>
          </cell>
          <cell r="H591">
            <v>0</v>
          </cell>
          <cell r="I591">
            <v>7000</v>
          </cell>
          <cell r="J591" t="str">
            <v>SALOMON</v>
          </cell>
          <cell r="K591" t="str">
            <v>Forecast</v>
          </cell>
          <cell r="L591" t="str">
            <v>LAMINATING</v>
          </cell>
          <cell r="M591">
            <v>1</v>
          </cell>
        </row>
        <row r="592">
          <cell r="A592" t="str">
            <v>F-2026-04-94</v>
          </cell>
          <cell r="B592" t="str">
            <v>FPRO-260406-0019</v>
          </cell>
          <cell r="C592"/>
          <cell r="D592" t="str">
            <v>PVN-003298</v>
          </cell>
          <cell r="E592" t="str">
            <v>OrthoLite Ultra-Hybrid SEEDPEARL/12-0703TPX Hybrid 0.085D 25+/-4 Asker C 1.1M 2M 4mm</v>
          </cell>
          <cell r="F592">
            <v>3100</v>
          </cell>
          <cell r="G592">
            <v>3100</v>
          </cell>
          <cell r="H592">
            <v>0</v>
          </cell>
          <cell r="I592">
            <v>3100</v>
          </cell>
          <cell r="J592" t="str">
            <v>SALOMON</v>
          </cell>
          <cell r="K592" t="str">
            <v>Forecast</v>
          </cell>
          <cell r="L592" t="str">
            <v>LAMINATING</v>
          </cell>
          <cell r="M592">
            <v>1</v>
          </cell>
        </row>
        <row r="593">
          <cell r="A593" t="str">
            <v>OIN-2026.04.06-01</v>
          </cell>
          <cell r="B593" t="str">
            <v>RPRO-260409-0204</v>
          </cell>
          <cell r="C593"/>
          <cell r="D593" t="str">
            <v>PVN-004232</v>
          </cell>
          <cell r="E593" t="str">
            <v>[116-12300] Eco Lite 15+/-4 Asker C 0.11D Lime Green 14-0452 Tpx 1.10M X 2.00M 47mm</v>
          </cell>
          <cell r="F593">
            <v>2</v>
          </cell>
          <cell r="G593">
            <v>2</v>
          </cell>
          <cell r="H593">
            <v>0</v>
          </cell>
          <cell r="I593">
            <v>2</v>
          </cell>
          <cell r="J593" t="str">
            <v>JOOP</v>
          </cell>
          <cell r="K593" t="str">
            <v>PO-7033-SO-260407-0001</v>
          </cell>
          <cell r="L593" t="str">
            <v>FLAT SHEET</v>
          </cell>
          <cell r="M593">
            <v>2</v>
          </cell>
        </row>
        <row r="594">
          <cell r="A594" t="str">
            <v>F-2026-04-95</v>
          </cell>
          <cell r="B594" t="str">
            <v>RPRO-260409-0281-đã xóa firm</v>
          </cell>
          <cell r="C594"/>
          <cell r="D594" t="str">
            <v>PVN-000102</v>
          </cell>
          <cell r="E594" t="str">
            <v>OrthoLite Regular AIR BLUE/16-4134TPX Flat Sheet 0.11D 25+/-4 Asker C 1.1M 2M 4mm</v>
          </cell>
          <cell r="F594">
            <v>35</v>
          </cell>
          <cell r="G594">
            <v>35</v>
          </cell>
          <cell r="H594">
            <v>0</v>
          </cell>
          <cell r="I594">
            <v>35</v>
          </cell>
          <cell r="J594"/>
          <cell r="K594" t="str">
            <v>MPS</v>
          </cell>
          <cell r="L594" t="str">
            <v>SPLITTING</v>
          </cell>
          <cell r="M594">
            <v>2</v>
          </cell>
        </row>
        <row r="595">
          <cell r="A595" t="str">
            <v>F-2026-04-96</v>
          </cell>
          <cell r="B595" t="str">
            <v>RPRO-260409-0282</v>
          </cell>
          <cell r="C595"/>
          <cell r="D595" t="str">
            <v>PVN-000925</v>
          </cell>
          <cell r="E595" t="str">
            <v>OrthoLite Ultra YELLOW/13-0858TPX Flat Sheet 0.085D 25+/-4 Asker C 1.1M 2M 5mm</v>
          </cell>
          <cell r="F595">
            <v>28</v>
          </cell>
          <cell r="G595">
            <v>28</v>
          </cell>
          <cell r="H595">
            <v>28</v>
          </cell>
          <cell r="I595">
            <v>0</v>
          </cell>
          <cell r="J595"/>
          <cell r="K595" t="str">
            <v>MPS</v>
          </cell>
          <cell r="L595" t="str">
            <v>SPLITTING</v>
          </cell>
          <cell r="M595">
            <v>2</v>
          </cell>
        </row>
        <row r="596">
          <cell r="A596" t="str">
            <v>F-2026-04-97</v>
          </cell>
          <cell r="B596" t="str">
            <v>RPRO-260409-0283</v>
          </cell>
          <cell r="C596"/>
          <cell r="D596" t="str">
            <v>PVN-001277</v>
          </cell>
          <cell r="E596" t="str">
            <v>OrthoLite Ultra GREEN/16-5932TPX Flat Sheet 0.085D 25+/-4 Asker C 1.1M 2M 4mm</v>
          </cell>
          <cell r="F596">
            <v>1015</v>
          </cell>
          <cell r="G596">
            <v>1015</v>
          </cell>
          <cell r="H596">
            <v>1015</v>
          </cell>
          <cell r="I596">
            <v>0</v>
          </cell>
          <cell r="J596"/>
          <cell r="K596" t="str">
            <v>MPS</v>
          </cell>
          <cell r="L596" t="str">
            <v>SPLITTING</v>
          </cell>
          <cell r="M596">
            <v>2</v>
          </cell>
        </row>
        <row r="597">
          <cell r="A597" t="str">
            <v>F-2026-04-98</v>
          </cell>
          <cell r="B597" t="str">
            <v>RPRO-260409-0284</v>
          </cell>
          <cell r="C597"/>
          <cell r="D597" t="str">
            <v>PVN-001319</v>
          </cell>
          <cell r="E597" t="str">
            <v>OrthoLite Ultra GREEN/16-5932TPX 0.085D 25+/-4 Asker C 1.1M 2M 5mm</v>
          </cell>
          <cell r="F597">
            <v>252</v>
          </cell>
          <cell r="G597">
            <v>252</v>
          </cell>
          <cell r="H597">
            <v>252</v>
          </cell>
          <cell r="I597">
            <v>0</v>
          </cell>
          <cell r="J597"/>
          <cell r="K597" t="str">
            <v>MPS</v>
          </cell>
          <cell r="L597" t="str">
            <v>SPLITTING</v>
          </cell>
          <cell r="M597">
            <v>2</v>
          </cell>
        </row>
        <row r="598">
          <cell r="A598" t="str">
            <v>F-2026-04-99</v>
          </cell>
          <cell r="B598" t="str">
            <v>RPRO-260409-0285</v>
          </cell>
          <cell r="C598"/>
          <cell r="D598" t="str">
            <v>PVN-003300</v>
          </cell>
          <cell r="E598" t="str">
            <v>OrthoLite Ultra-Hybrid SEEDPEARL/12-0703TPX Hybrid Flat Sheet 0.085D 25+/-4 Asker C 1.1M 2M 2mm</v>
          </cell>
          <cell r="F598">
            <v>140</v>
          </cell>
          <cell r="G598">
            <v>140</v>
          </cell>
          <cell r="H598">
            <v>140</v>
          </cell>
          <cell r="I598">
            <v>0</v>
          </cell>
          <cell r="J598"/>
          <cell r="K598" t="str">
            <v>MPS</v>
          </cell>
          <cell r="L598" t="str">
            <v>SPLITTING</v>
          </cell>
          <cell r="M598">
            <v>2</v>
          </cell>
        </row>
        <row r="599">
          <cell r="A599" t="str">
            <v>F-2026-04-100</v>
          </cell>
          <cell r="B599" t="str">
            <v>RPRO-260409-0286</v>
          </cell>
          <cell r="C599"/>
          <cell r="D599" t="str">
            <v>PVN-002019</v>
          </cell>
          <cell r="E599" t="str">
            <v>OrthoLite Regular NEUTRAL GRAY/17-4402TPX Flat Sheet 0.11D 25+/-4 Asker C 1.1M 2M 13mm</v>
          </cell>
          <cell r="F599">
            <v>130</v>
          </cell>
          <cell r="G599">
            <v>130</v>
          </cell>
          <cell r="H599">
            <v>0</v>
          </cell>
          <cell r="I599">
            <v>130</v>
          </cell>
          <cell r="J599" t="str">
            <v>NEW BALANCE</v>
          </cell>
          <cell r="K599" t="str">
            <v>Pr.Sch.R</v>
          </cell>
          <cell r="L599" t="str">
            <v>MOLDED</v>
          </cell>
          <cell r="M599">
            <v>1</v>
          </cell>
        </row>
        <row r="600">
          <cell r="A600" t="str">
            <v>F-2026-04-101</v>
          </cell>
          <cell r="B600" t="str">
            <v>RPRO-260409-0287</v>
          </cell>
          <cell r="C600"/>
          <cell r="D600" t="str">
            <v>PVN-000505</v>
          </cell>
          <cell r="E600" t="str">
            <v>OrthoLite Regular LIME GREEN/14-0452TPX Flat Sheet 0.11D 25+/-4 Asker C 1.1M 2M 12mm</v>
          </cell>
          <cell r="F600">
            <v>22</v>
          </cell>
          <cell r="G600">
            <v>22</v>
          </cell>
          <cell r="H600">
            <v>22</v>
          </cell>
          <cell r="I600">
            <v>0</v>
          </cell>
          <cell r="J600" t="str">
            <v>ASICS</v>
          </cell>
          <cell r="K600" t="str">
            <v>Pr.Sch.R</v>
          </cell>
          <cell r="L600" t="str">
            <v>MOLDED</v>
          </cell>
          <cell r="M600" t="str">
            <v>1-RM-WIP</v>
          </cell>
        </row>
        <row r="601">
          <cell r="A601" t="str">
            <v>F-2026-04-102</v>
          </cell>
          <cell r="B601" t="str">
            <v>RPRO-260409-0288</v>
          </cell>
          <cell r="C601"/>
          <cell r="D601" t="str">
            <v>PVN-003576</v>
          </cell>
          <cell r="E601" t="str">
            <v>OrthoLite X-55-Hybrid FOSSIL/17-0909TPX Hybrid Flat Sheet 0.16D 25+/-4 Asker C 1.1M 1.7M 12mm</v>
          </cell>
          <cell r="F601">
            <v>165</v>
          </cell>
          <cell r="G601">
            <v>165</v>
          </cell>
          <cell r="H601">
            <v>165</v>
          </cell>
          <cell r="I601">
            <v>0</v>
          </cell>
          <cell r="J601" t="str">
            <v>ASICS</v>
          </cell>
          <cell r="K601" t="str">
            <v>Pr.Sch.R</v>
          </cell>
          <cell r="L601" t="str">
            <v>MOLDED</v>
          </cell>
          <cell r="M601" t="str">
            <v>1-RM-WIP</v>
          </cell>
        </row>
        <row r="602">
          <cell r="A602" t="str">
            <v>F-2026-04-103</v>
          </cell>
          <cell r="B602" t="str">
            <v>RPRO-260409-0289</v>
          </cell>
          <cell r="C602"/>
          <cell r="D602" t="str">
            <v>PVN-003603</v>
          </cell>
          <cell r="E602" t="str">
            <v>OrthoLite X-40 TRUE BLUE/19-4057TPX Flat Sheet 0.16D 25+/-4 Asker C 1.1M 1.47M 12mm</v>
          </cell>
          <cell r="F602">
            <v>275</v>
          </cell>
          <cell r="G602">
            <v>275</v>
          </cell>
          <cell r="H602">
            <v>275</v>
          </cell>
          <cell r="I602">
            <v>0</v>
          </cell>
          <cell r="J602" t="str">
            <v>ASICS</v>
          </cell>
          <cell r="K602" t="str">
            <v>Pr.Sch.R</v>
          </cell>
          <cell r="L602" t="str">
            <v>MOLDED</v>
          </cell>
          <cell r="M602" t="str">
            <v>1-RM-WIP</v>
          </cell>
        </row>
        <row r="603">
          <cell r="A603" t="str">
            <v>F-2026-04-104</v>
          </cell>
          <cell r="B603" t="str">
            <v>RPRO-260409-0290-đã xóa</v>
          </cell>
          <cell r="C603"/>
          <cell r="D603" t="str">
            <v>PVN-004147</v>
          </cell>
          <cell r="E603" t="str">
            <v>OrthoLite X-25 SEEDPEARL/12-0703TPX Flat Sheet 0.12D 20+/-4 Asker C 1.1M 2M 5.5mm</v>
          </cell>
          <cell r="F603">
            <v>50</v>
          </cell>
          <cell r="G603">
            <v>50</v>
          </cell>
          <cell r="H603">
            <v>0</v>
          </cell>
          <cell r="I603">
            <v>50</v>
          </cell>
          <cell r="J603" t="str">
            <v>ON RUNNING</v>
          </cell>
          <cell r="K603" t="str">
            <v>Pr.Sch.R</v>
          </cell>
          <cell r="L603" t="str">
            <v>MOLDED</v>
          </cell>
          <cell r="M603">
            <v>1</v>
          </cell>
        </row>
        <row r="604">
          <cell r="A604" t="str">
            <v>F-2026-04-105</v>
          </cell>
          <cell r="B604" t="str">
            <v>RPRO-260409-0291</v>
          </cell>
          <cell r="C604"/>
          <cell r="D604" t="str">
            <v>PVN-004076</v>
          </cell>
          <cell r="E604" t="str">
            <v>OrthoLite Regular NEUTRAL GRAY/17-4402TPX Flat Sheet 0.13D 15+/-4 Asker C 1.1M 2M 24mm</v>
          </cell>
          <cell r="F604">
            <v>10</v>
          </cell>
          <cell r="G604">
            <v>10</v>
          </cell>
          <cell r="H604">
            <v>10</v>
          </cell>
          <cell r="I604">
            <v>0</v>
          </cell>
          <cell r="J604" t="str">
            <v>ASICS</v>
          </cell>
          <cell r="K604" t="str">
            <v>Pr.Sch.R</v>
          </cell>
          <cell r="L604" t="str">
            <v>MOLDED</v>
          </cell>
          <cell r="M604">
            <v>1</v>
          </cell>
        </row>
        <row r="605">
          <cell r="A605" t="str">
            <v>F-2026-04-106</v>
          </cell>
          <cell r="B605" t="str">
            <v>RPRO-260409-0292</v>
          </cell>
          <cell r="C605"/>
          <cell r="D605" t="str">
            <v>PVN-004115</v>
          </cell>
          <cell r="E605" t="str">
            <v>OrthoLite X-40 TRUE BLUE/19-4057TPX Flat Sheet 0.16D 35+/-4 Asker C 1.1M 2M 4mm</v>
          </cell>
          <cell r="F605">
            <v>35</v>
          </cell>
          <cell r="G605">
            <v>35</v>
          </cell>
          <cell r="H605">
            <v>35</v>
          </cell>
          <cell r="I605">
            <v>0</v>
          </cell>
          <cell r="J605" t="str">
            <v>ASICS</v>
          </cell>
          <cell r="K605" t="str">
            <v>Pr.Sch.R</v>
          </cell>
          <cell r="L605" t="str">
            <v>MOLDED</v>
          </cell>
          <cell r="M605">
            <v>1</v>
          </cell>
        </row>
        <row r="606">
          <cell r="A606" t="str">
            <v>F-2026-04-107</v>
          </cell>
          <cell r="B606" t="str">
            <v>RPRO-260409-0293</v>
          </cell>
          <cell r="C606"/>
          <cell r="D606" t="str">
            <v>PVN-004327</v>
          </cell>
          <cell r="E606" t="str">
            <v>OrthoLite X-55-Hybrid FOSSIL/17-0909TPX Hybrid Flat Sheet 0.16D 25+/-4 Asker C 1.1M 2M 6mm</v>
          </cell>
          <cell r="F606">
            <v>46</v>
          </cell>
          <cell r="G606">
            <v>46</v>
          </cell>
          <cell r="H606">
            <v>46</v>
          </cell>
          <cell r="I606">
            <v>0</v>
          </cell>
          <cell r="J606" t="str">
            <v>ASICS</v>
          </cell>
          <cell r="K606" t="str">
            <v>Pr.Sch.R</v>
          </cell>
          <cell r="L606" t="str">
            <v>MOLDED</v>
          </cell>
          <cell r="M606">
            <v>1</v>
          </cell>
        </row>
        <row r="607">
          <cell r="A607" t="str">
            <v>F-2026-04-108</v>
          </cell>
          <cell r="B607" t="str">
            <v>RPRO-260409-0294</v>
          </cell>
          <cell r="C607"/>
          <cell r="D607" t="str">
            <v>PVN-003494</v>
          </cell>
          <cell r="E607" t="str">
            <v>OrthoLite X-25 BILLIARD/16-5427TPX Flat Sheet 0.12D 20+/-4 Asker C 1.1M 2M 5.5mm</v>
          </cell>
          <cell r="F607">
            <v>25</v>
          </cell>
          <cell r="G607">
            <v>25</v>
          </cell>
          <cell r="H607">
            <v>25</v>
          </cell>
          <cell r="I607">
            <v>0</v>
          </cell>
          <cell r="J607" t="str">
            <v>LOTTO</v>
          </cell>
          <cell r="K607" t="str">
            <v>Pr.Sch.R</v>
          </cell>
          <cell r="L607" t="str">
            <v>MOLDED</v>
          </cell>
          <cell r="M607">
            <v>1</v>
          </cell>
        </row>
        <row r="608">
          <cell r="A608" t="str">
            <v>F-2026-04-109</v>
          </cell>
          <cell r="B608" t="str">
            <v>RPRO-260409-0295-đã xóa</v>
          </cell>
          <cell r="C608"/>
          <cell r="D608" t="str">
            <v>PVN-003240</v>
          </cell>
          <cell r="E608" t="str">
            <v>OrthoLite Eco LT-Hybrid-Converse SEEDPEARL/12-0703TPX Hybrid Flat Sheet 0.13D 25+/-4 Asker C 1.1M 1.47M 5mm</v>
          </cell>
          <cell r="F608">
            <v>56</v>
          </cell>
          <cell r="G608">
            <v>56</v>
          </cell>
          <cell r="H608">
            <v>0</v>
          </cell>
          <cell r="I608">
            <v>56</v>
          </cell>
          <cell r="J608" t="str">
            <v>CONVERSE</v>
          </cell>
          <cell r="K608" t="str">
            <v>Pr.Sch.R</v>
          </cell>
          <cell r="L608" t="str">
            <v>DIE CUT</v>
          </cell>
          <cell r="M608">
            <v>1</v>
          </cell>
        </row>
        <row r="609">
          <cell r="A609" t="str">
            <v>F-2026-04-110</v>
          </cell>
          <cell r="B609" t="str">
            <v>FPRO-260407-0001</v>
          </cell>
          <cell r="C609"/>
          <cell r="D609" t="str">
            <v>PVN-003537</v>
          </cell>
          <cell r="E609" t="str">
            <v>OrthoLite HybridPlus-Recycled MINT GREEN/11-4805TPX Hybrid 0.12D 25+/-4 Asker C 1.1M 2M 4.5mm</v>
          </cell>
          <cell r="F609">
            <v>5000</v>
          </cell>
          <cell r="G609">
            <v>5000</v>
          </cell>
          <cell r="H609">
            <v>0</v>
          </cell>
          <cell r="I609">
            <v>5000</v>
          </cell>
          <cell r="J609" t="str">
            <v>ON RUNNING</v>
          </cell>
          <cell r="K609" t="str">
            <v>Forecast</v>
          </cell>
          <cell r="L609" t="str">
            <v>MOLDED</v>
          </cell>
          <cell r="M609">
            <v>1</v>
          </cell>
        </row>
        <row r="610">
          <cell r="A610" t="str">
            <v>F-2026-04-111</v>
          </cell>
          <cell r="B610" t="str">
            <v>FPRO-260407-0002</v>
          </cell>
          <cell r="C610"/>
          <cell r="D610" t="str">
            <v>PVN-003537</v>
          </cell>
          <cell r="E610" t="str">
            <v>OrthoLite HybridPlus-Recycled MINT GREEN/11-4805TPX Hybrid 0.12D 25+/-4 Asker C 1.1M 2M 4.5mm</v>
          </cell>
          <cell r="F610">
            <v>5000</v>
          </cell>
          <cell r="G610">
            <v>5000</v>
          </cell>
          <cell r="H610">
            <v>0</v>
          </cell>
          <cell r="I610">
            <v>5000</v>
          </cell>
          <cell r="J610" t="str">
            <v>ON RUNNING</v>
          </cell>
          <cell r="K610" t="str">
            <v>Forecast</v>
          </cell>
          <cell r="L610" t="str">
            <v>MOLDED</v>
          </cell>
          <cell r="M610">
            <v>1</v>
          </cell>
        </row>
        <row r="611">
          <cell r="A611" t="str">
            <v>F-2026-04-112</v>
          </cell>
          <cell r="B611" t="str">
            <v>FPRO-260407-0003</v>
          </cell>
          <cell r="C611"/>
          <cell r="D611" t="str">
            <v>PVN-003537</v>
          </cell>
          <cell r="E611" t="str">
            <v>OrthoLite HybridPlus-Recycled MINT GREEN/11-4805TPX Hybrid 0.12D 25+/-4 Asker C 1.1M 2M 4.5mm</v>
          </cell>
          <cell r="F611">
            <v>5000</v>
          </cell>
          <cell r="G611">
            <v>5000</v>
          </cell>
          <cell r="H611">
            <v>0</v>
          </cell>
          <cell r="I611">
            <v>5000</v>
          </cell>
          <cell r="J611" t="str">
            <v>ON RUNNING</v>
          </cell>
          <cell r="K611" t="str">
            <v>Forecast</v>
          </cell>
          <cell r="L611" t="str">
            <v>MOLDED</v>
          </cell>
          <cell r="M611">
            <v>1</v>
          </cell>
        </row>
        <row r="612">
          <cell r="A612" t="str">
            <v>F-2026-04-113</v>
          </cell>
          <cell r="B612" t="str">
            <v>FPRO-260407-0004</v>
          </cell>
          <cell r="C612"/>
          <cell r="D612" t="str">
            <v>PVN-003537</v>
          </cell>
          <cell r="E612" t="str">
            <v>OrthoLite HybridPlus-Recycled MINT GREEN/11-4805TPX Hybrid 0.12D 25+/-4 Asker C 1.1M 2M 4.5mm</v>
          </cell>
          <cell r="F612">
            <v>2500</v>
          </cell>
          <cell r="G612">
            <v>2500</v>
          </cell>
          <cell r="H612">
            <v>0</v>
          </cell>
          <cell r="I612">
            <v>2500</v>
          </cell>
          <cell r="J612" t="str">
            <v>ON RUNNING</v>
          </cell>
          <cell r="K612" t="str">
            <v>Forecast</v>
          </cell>
          <cell r="L612" t="str">
            <v>MOLDED</v>
          </cell>
          <cell r="M612">
            <v>1</v>
          </cell>
        </row>
        <row r="613">
          <cell r="A613" t="str">
            <v>F-2026-04-114</v>
          </cell>
          <cell r="B613" t="str">
            <v>FPRO-260408-0003</v>
          </cell>
          <cell r="C613"/>
          <cell r="D613" t="str">
            <v>PVN-003298</v>
          </cell>
          <cell r="E613" t="str">
            <v>OrthoLite Ultra-Hybrid SEEDPEARL/12-0703TPX Hybrid 0.085D 25+/-4 Asker C 1.1M 2M 4mm</v>
          </cell>
          <cell r="F613">
            <v>7000</v>
          </cell>
          <cell r="G613">
            <v>7000</v>
          </cell>
          <cell r="H613">
            <v>0</v>
          </cell>
          <cell r="I613">
            <v>7000</v>
          </cell>
          <cell r="J613" t="str">
            <v>WILSON</v>
          </cell>
          <cell r="K613" t="str">
            <v>Forecast</v>
          </cell>
          <cell r="L613" t="str">
            <v>LAMINATING</v>
          </cell>
          <cell r="M613">
            <v>1</v>
          </cell>
        </row>
        <row r="614">
          <cell r="A614" t="str">
            <v>F-2026-04-115</v>
          </cell>
          <cell r="B614" t="str">
            <v>FPRO-260408-0004</v>
          </cell>
          <cell r="C614"/>
          <cell r="D614" t="str">
            <v>PVN-003298</v>
          </cell>
          <cell r="E614" t="str">
            <v>OrthoLite Ultra-Hybrid SEEDPEARL/12-0703TPX Hybrid 0.085D 25+/-4 Asker C 1.1M 2M 4mm</v>
          </cell>
          <cell r="F614">
            <v>2300</v>
          </cell>
          <cell r="G614">
            <v>2300</v>
          </cell>
          <cell r="H614">
            <v>0</v>
          </cell>
          <cell r="I614">
            <v>2300</v>
          </cell>
          <cell r="J614" t="str">
            <v>WILSON</v>
          </cell>
          <cell r="K614" t="str">
            <v>Forecast</v>
          </cell>
          <cell r="L614" t="str">
            <v>LAMINATING</v>
          </cell>
          <cell r="M614">
            <v>1</v>
          </cell>
        </row>
        <row r="615">
          <cell r="A615" t="str">
            <v>F-2026-04-116</v>
          </cell>
          <cell r="B615" t="str">
            <v>RPRO-260410-0199</v>
          </cell>
          <cell r="C615"/>
          <cell r="D615" t="str">
            <v>PVN-003601</v>
          </cell>
          <cell r="E615" t="str">
            <v>OrthoLite Regular-Hybrid SEEDPEARL/12-0703TPX Hybrid Flat Sheet 0.11D 25+/-4 Asker C 1.1M 2M 20mm</v>
          </cell>
          <cell r="F615">
            <v>6</v>
          </cell>
          <cell r="G615">
            <v>6</v>
          </cell>
          <cell r="H615">
            <v>6</v>
          </cell>
          <cell r="I615">
            <v>0</v>
          </cell>
          <cell r="J615" t="str">
            <v>ASICS</v>
          </cell>
          <cell r="K615" t="str">
            <v>Pr.Sch.R</v>
          </cell>
          <cell r="L615" t="str">
            <v>MOLDED</v>
          </cell>
          <cell r="M615">
            <v>1</v>
          </cell>
        </row>
        <row r="616">
          <cell r="A616" t="str">
            <v>F-2026-04-117</v>
          </cell>
          <cell r="B616" t="str">
            <v>RPRO-260410-0200</v>
          </cell>
          <cell r="C616"/>
          <cell r="D616" t="str">
            <v>PVN-003458</v>
          </cell>
          <cell r="E616" t="str">
            <v>OrthoLite X-25-Hybrid SEEDPEARL/12-0703TPX Hybrid Flat Sheet 0.12D 20+/-4 Asker C 1.1M 2M 4mm</v>
          </cell>
          <cell r="F616">
            <v>35</v>
          </cell>
          <cell r="G616">
            <v>35</v>
          </cell>
          <cell r="H616">
            <v>35</v>
          </cell>
          <cell r="I616">
            <v>0</v>
          </cell>
          <cell r="J616" t="str">
            <v>ON RUNNING</v>
          </cell>
          <cell r="K616" t="str">
            <v>Pr.Sch.R</v>
          </cell>
          <cell r="L616" t="str">
            <v>DIE CUT</v>
          </cell>
          <cell r="M616">
            <v>1</v>
          </cell>
        </row>
        <row r="617">
          <cell r="A617" t="str">
            <v>F-2026-04-118</v>
          </cell>
          <cell r="B617" t="str">
            <v>RPRO-260410-0201</v>
          </cell>
          <cell r="C617"/>
          <cell r="D617" t="str">
            <v>PVN-004247</v>
          </cell>
          <cell r="E617" t="str">
            <v>OrthoLite X-40-Hybrid-Nike SEEDPEARL/12-0703TPX Hybrid Flat Sheet 0.16D 25+/-4 Asker C 1.1M 2M 4.2mm</v>
          </cell>
          <cell r="F617">
            <v>33</v>
          </cell>
          <cell r="G617">
            <v>33</v>
          </cell>
          <cell r="H617">
            <v>33</v>
          </cell>
          <cell r="I617">
            <v>0</v>
          </cell>
          <cell r="J617" t="str">
            <v>NIKE</v>
          </cell>
          <cell r="K617" t="str">
            <v>Pr.Sch.R</v>
          </cell>
          <cell r="L617" t="str">
            <v>MOLDED</v>
          </cell>
          <cell r="M617">
            <v>1</v>
          </cell>
        </row>
        <row r="618">
          <cell r="A618" t="str">
            <v>F-2026-04-119</v>
          </cell>
          <cell r="B618" t="str">
            <v>RPRO-260410-0202</v>
          </cell>
          <cell r="C618"/>
          <cell r="D618" t="str">
            <v>PVN-003482</v>
          </cell>
          <cell r="E618" t="str">
            <v>OrthoLite Eco LT-Hybrid SEEDPEARL/12-0703TPX Hybrid Flat Sheet 0.11D 25+/-4 Asker C 1.1M 1.47M 4mm</v>
          </cell>
          <cell r="F618">
            <v>105</v>
          </cell>
          <cell r="G618">
            <v>105</v>
          </cell>
          <cell r="H618">
            <v>105</v>
          </cell>
          <cell r="I618">
            <v>0</v>
          </cell>
          <cell r="J618" t="str">
            <v>NEW BALANCE</v>
          </cell>
          <cell r="K618" t="str">
            <v>Pr.Sch.R</v>
          </cell>
          <cell r="L618" t="str">
            <v>DIE CUT</v>
          </cell>
          <cell r="M618">
            <v>1</v>
          </cell>
        </row>
        <row r="619">
          <cell r="A619" t="str">
            <v>F-2026-04-120</v>
          </cell>
          <cell r="B619" t="str">
            <v>RPRO-260410-0203</v>
          </cell>
          <cell r="C619"/>
          <cell r="D619" t="str">
            <v>PVN-003550</v>
          </cell>
          <cell r="E619" t="str">
            <v>OrthoLite HybridPlus-Recycled MINT GREEN/11-4805TPX Hybrid Flat Sheet 0.12D 25+/-4 Asker C 1.1M 2M 6mm</v>
          </cell>
          <cell r="F619">
            <v>1380</v>
          </cell>
          <cell r="G619">
            <v>1380</v>
          </cell>
          <cell r="H619">
            <v>1380</v>
          </cell>
          <cell r="I619">
            <v>0</v>
          </cell>
          <cell r="J619" t="str">
            <v>ON RUNNING</v>
          </cell>
          <cell r="K619" t="str">
            <v>Pr.Sch.R</v>
          </cell>
          <cell r="L619" t="str">
            <v>MOLDED</v>
          </cell>
          <cell r="M619">
            <v>1</v>
          </cell>
        </row>
        <row r="620">
          <cell r="A620" t="str">
            <v>F-2026-04-121</v>
          </cell>
          <cell r="B620" t="str">
            <v>RPRO-260410-0204</v>
          </cell>
          <cell r="C620"/>
          <cell r="D620" t="str">
            <v>PVN-004177</v>
          </cell>
          <cell r="E620" t="str">
            <v>OrthoLite Float SEEDPEARL/12-0703TPX Flat Sheet 0.12D 21+/-4 Asker C 1.1M 2M 5.5mm</v>
          </cell>
          <cell r="F620">
            <v>350</v>
          </cell>
          <cell r="G620">
            <v>350</v>
          </cell>
          <cell r="H620">
            <v>350</v>
          </cell>
          <cell r="I620">
            <v>0</v>
          </cell>
          <cell r="J620" t="str">
            <v>ON RUNNING</v>
          </cell>
          <cell r="K620" t="str">
            <v>Pr.Sch.R</v>
          </cell>
          <cell r="L620" t="str">
            <v>MOLDED</v>
          </cell>
          <cell r="M620">
            <v>1</v>
          </cell>
        </row>
        <row r="621">
          <cell r="A621" t="str">
            <v>F-2026-04-122</v>
          </cell>
          <cell r="B621" t="str">
            <v>RPRO-260410-0205</v>
          </cell>
          <cell r="C621"/>
          <cell r="D621" t="str">
            <v>PVN-003494</v>
          </cell>
          <cell r="E621" t="str">
            <v>OrthoLite X-25 BILLIARD/16-5427TPX Flat Sheet 0.12D 20+/-4 Asker C 1.1M 2M 5.5mm</v>
          </cell>
          <cell r="F621">
            <v>50</v>
          </cell>
          <cell r="G621">
            <v>50</v>
          </cell>
          <cell r="H621">
            <v>50</v>
          </cell>
          <cell r="I621">
            <v>0</v>
          </cell>
          <cell r="J621" t="str">
            <v>LOTTO</v>
          </cell>
          <cell r="K621" t="str">
            <v>Pr.Sch.R</v>
          </cell>
          <cell r="L621" t="str">
            <v>MOLDED</v>
          </cell>
          <cell r="M621">
            <v>1</v>
          </cell>
        </row>
        <row r="622">
          <cell r="A622" t="str">
            <v>F-2026-04-123</v>
          </cell>
          <cell r="B622" t="str">
            <v>RPRO-260410-0206</v>
          </cell>
          <cell r="C622"/>
          <cell r="D622" t="str">
            <v>PVN-003752</v>
          </cell>
          <cell r="E622" t="str">
            <v>OrthoLite X-25-Hybrid SEEDPEARL/12-0703TPX Hybrid Flat Sheet 0.12D 20+/-4 Asker C 1.1M 1.47M 4.5mm</v>
          </cell>
          <cell r="F622">
            <v>124</v>
          </cell>
          <cell r="G622">
            <v>124</v>
          </cell>
          <cell r="H622">
            <v>124</v>
          </cell>
          <cell r="I622">
            <v>0</v>
          </cell>
          <cell r="J622" t="str">
            <v>ON RUNNING</v>
          </cell>
          <cell r="K622" t="str">
            <v>Pr.Sch.R</v>
          </cell>
          <cell r="L622" t="str">
            <v>MOLDED</v>
          </cell>
          <cell r="M622">
            <v>1</v>
          </cell>
        </row>
        <row r="623">
          <cell r="A623" t="str">
            <v>F-2026-04-124</v>
          </cell>
          <cell r="B623" t="str">
            <v>RPRO-260410-0207</v>
          </cell>
          <cell r="C623"/>
          <cell r="D623" t="str">
            <v>PVN-004104</v>
          </cell>
          <cell r="E623" t="str">
            <v>OrthoLite Float BLUE ATOLL/16-4535TPX Flat Sheet 0.12D 21+/-4 Asker C 1.1M 2M 5mm</v>
          </cell>
          <cell r="F623">
            <v>84</v>
          </cell>
          <cell r="G623">
            <v>84</v>
          </cell>
          <cell r="H623">
            <v>84</v>
          </cell>
          <cell r="I623">
            <v>0</v>
          </cell>
          <cell r="J623" t="str">
            <v>DESCENTE</v>
          </cell>
          <cell r="K623" t="str">
            <v>Pr.Sch.R</v>
          </cell>
          <cell r="L623" t="str">
            <v>DIE CUT</v>
          </cell>
          <cell r="M623">
            <v>1</v>
          </cell>
        </row>
        <row r="624">
          <cell r="A624" t="str">
            <v>F-2026-04-125</v>
          </cell>
          <cell r="B624" t="str">
            <v>RPRO-260410-0208</v>
          </cell>
          <cell r="C624"/>
          <cell r="D624" t="str">
            <v>PVN-004092</v>
          </cell>
          <cell r="E624" t="str">
            <v>OrthoLite Float BLUE ATOLL/16-4535TPX Flat Sheet 0.12D 21+/-4 Asker C 1.1M 2M 14.5mm</v>
          </cell>
          <cell r="F624">
            <v>315</v>
          </cell>
          <cell r="G624">
            <v>315</v>
          </cell>
          <cell r="H624">
            <v>315</v>
          </cell>
          <cell r="I624">
            <v>0</v>
          </cell>
          <cell r="J624" t="str">
            <v>LOWA</v>
          </cell>
          <cell r="K624" t="str">
            <v>Pr.Sch.R</v>
          </cell>
          <cell r="L624" t="str">
            <v>MOLDED</v>
          </cell>
          <cell r="M624">
            <v>1</v>
          </cell>
        </row>
        <row r="625">
          <cell r="A625" t="str">
            <v>F-2026-04-126</v>
          </cell>
          <cell r="B625" t="str">
            <v>RPRO-260410-0209</v>
          </cell>
          <cell r="C625"/>
          <cell r="D625" t="str">
            <v>PVN-003743</v>
          </cell>
          <cell r="E625" t="str">
            <v>OrthoLite Ultra-Hybrid SEEDPEARL/12-0703TPX Hybrid Flat Sheet 0.085D 25+/-4 Asker C 1.1M 2M 5.5mm</v>
          </cell>
          <cell r="F625">
            <v>200</v>
          </cell>
          <cell r="G625">
            <v>200</v>
          </cell>
          <cell r="H625">
            <v>200</v>
          </cell>
          <cell r="I625">
            <v>0</v>
          </cell>
          <cell r="J625" t="str">
            <v>LOWA</v>
          </cell>
          <cell r="K625" t="str">
            <v>Pr.Sch.R</v>
          </cell>
          <cell r="L625" t="str">
            <v>MOLDED</v>
          </cell>
          <cell r="M625">
            <v>1</v>
          </cell>
        </row>
        <row r="626">
          <cell r="A626" t="str">
            <v>F-2026-04-127</v>
          </cell>
          <cell r="B626" t="str">
            <v>FPRO-260409-0001</v>
          </cell>
          <cell r="C626"/>
          <cell r="D626" t="str">
            <v>PVN-003537</v>
          </cell>
          <cell r="E626" t="str">
            <v>OrthoLite HybridPlus-Recycled MINT GREEN/11-4805TPX Hybrid 0.12D 25+/-4 Asker C 1.1M 2M 4.5mm</v>
          </cell>
          <cell r="F626">
            <v>5000</v>
          </cell>
          <cell r="G626">
            <v>5000</v>
          </cell>
          <cell r="H626">
            <v>0</v>
          </cell>
          <cell r="I626">
            <v>5000</v>
          </cell>
          <cell r="J626" t="str">
            <v>ON RUNNING</v>
          </cell>
          <cell r="K626" t="str">
            <v>Forecast</v>
          </cell>
          <cell r="L626" t="str">
            <v>MOLDED</v>
          </cell>
          <cell r="M626">
            <v>1</v>
          </cell>
        </row>
        <row r="627">
          <cell r="A627" t="str">
            <v>F-2026-04-128</v>
          </cell>
          <cell r="B627" t="str">
            <v>FPRO-260409-0002</v>
          </cell>
          <cell r="C627"/>
          <cell r="D627" t="str">
            <v>PVN-003537</v>
          </cell>
          <cell r="E627" t="str">
            <v>OrthoLite HybridPlus-Recycled MINT GREEN/11-4805TPX Hybrid 0.12D 25+/-4 Asker C 1.1M 2M 4.5mm</v>
          </cell>
          <cell r="F627">
            <v>5000</v>
          </cell>
          <cell r="G627">
            <v>5000</v>
          </cell>
          <cell r="H627">
            <v>0</v>
          </cell>
          <cell r="I627">
            <v>5000</v>
          </cell>
          <cell r="J627" t="str">
            <v>ON RUNNING</v>
          </cell>
          <cell r="K627" t="str">
            <v>Forecast</v>
          </cell>
          <cell r="L627" t="str">
            <v>MOLDED</v>
          </cell>
          <cell r="M627">
            <v>1</v>
          </cell>
        </row>
        <row r="628">
          <cell r="A628" t="str">
            <v>F-2026-04-129-1</v>
          </cell>
          <cell r="B628" t="str">
            <v>FPRO-260409-0003</v>
          </cell>
          <cell r="C628"/>
          <cell r="D628" t="str">
            <v>PVN-004146</v>
          </cell>
          <cell r="E628" t="str">
            <v>OrthoLite X-25 CASTLEROCK/18-0201TPX Flat Sheet 0.12D 20+/-4 Asker C 1.1M 2M 5.5mm</v>
          </cell>
          <cell r="F628">
            <v>1000</v>
          </cell>
          <cell r="G628">
            <v>500</v>
          </cell>
          <cell r="H628">
            <v>500</v>
          </cell>
          <cell r="I628">
            <v>0</v>
          </cell>
          <cell r="J628" t="str">
            <v>ON RUNNING</v>
          </cell>
          <cell r="K628" t="str">
            <v>Forecast</v>
          </cell>
          <cell r="L628" t="str">
            <v>MOLDED</v>
          </cell>
          <cell r="M628">
            <v>1</v>
          </cell>
        </row>
        <row r="629">
          <cell r="A629" t="str">
            <v>F-2026-04-129-2-1</v>
          </cell>
          <cell r="B629" t="str">
            <v>FPRO-260416-0002</v>
          </cell>
          <cell r="C629"/>
          <cell r="D629" t="str">
            <v>PVN-004146</v>
          </cell>
          <cell r="E629" t="str">
            <v>OrthoLite X-25 CASTLEROCK/18-0201TPX Flat Sheet 0.12D 20+/-4 Asker C 1.1M 2M 5.5mm</v>
          </cell>
          <cell r="F629">
            <v>500</v>
          </cell>
          <cell r="G629">
            <v>175</v>
          </cell>
          <cell r="H629">
            <v>175</v>
          </cell>
          <cell r="I629">
            <v>0</v>
          </cell>
          <cell r="J629" t="str">
            <v>ON RUNNING</v>
          </cell>
          <cell r="K629" t="str">
            <v>Forecast</v>
          </cell>
          <cell r="L629" t="str">
            <v>MOLDED</v>
          </cell>
          <cell r="M629">
            <v>1</v>
          </cell>
        </row>
        <row r="630">
          <cell r="A630" t="str">
            <v>F-2026-04-129-2-2</v>
          </cell>
          <cell r="B630" t="str">
            <v>FPRO-260416-0002</v>
          </cell>
          <cell r="C630"/>
          <cell r="D630" t="str">
            <v>PVN-004146</v>
          </cell>
          <cell r="E630" t="str">
            <v>OrthoLite X-25 CASTLEROCK/18-0201TPX Flat Sheet 0.12D 20+/-4 Asker C 1.1M 2M 5.5mm</v>
          </cell>
          <cell r="F630">
            <v>500</v>
          </cell>
          <cell r="G630">
            <v>325</v>
          </cell>
          <cell r="H630">
            <v>325</v>
          </cell>
          <cell r="I630">
            <v>0</v>
          </cell>
          <cell r="J630" t="str">
            <v>ON RUNNING</v>
          </cell>
          <cell r="K630" t="str">
            <v>Forecast</v>
          </cell>
          <cell r="L630" t="str">
            <v>MOLDED</v>
          </cell>
          <cell r="M630">
            <v>1</v>
          </cell>
        </row>
        <row r="631">
          <cell r="A631" t="str">
            <v>F-2026-04-130</v>
          </cell>
          <cell r="B631" t="str">
            <v>FPRO-260409-0004</v>
          </cell>
          <cell r="C631"/>
          <cell r="D631" t="str">
            <v>PVN-004146</v>
          </cell>
          <cell r="E631" t="str">
            <v>OrthoLite X-25 CASTLEROCK/18-0201TPX Flat Sheet 0.12D 20+/-4 Asker C 1.1M 2M 5.5mm</v>
          </cell>
          <cell r="F631">
            <v>700</v>
          </cell>
          <cell r="G631">
            <v>700</v>
          </cell>
          <cell r="H631">
            <v>0</v>
          </cell>
          <cell r="I631">
            <v>700</v>
          </cell>
          <cell r="J631" t="str">
            <v>ON RUNNING</v>
          </cell>
          <cell r="K631" t="str">
            <v>Forecast</v>
          </cell>
          <cell r="L631" t="str">
            <v>MOLDED</v>
          </cell>
          <cell r="M631">
            <v>1</v>
          </cell>
        </row>
        <row r="632">
          <cell r="A632" t="str">
            <v>F-2026-04-131</v>
          </cell>
          <cell r="B632" t="str">
            <v>FPRO-260409-0005</v>
          </cell>
          <cell r="C632"/>
          <cell r="D632" t="str">
            <v>PVN-004147</v>
          </cell>
          <cell r="E632" t="str">
            <v>OrthoLite X-25 SEEDPEARL/12-0703TPX Flat Sheet 0.12D 20+/-4 Asker C 1.1M 2M 5.5mm</v>
          </cell>
          <cell r="F632">
            <v>500</v>
          </cell>
          <cell r="G632">
            <v>500</v>
          </cell>
          <cell r="H632">
            <v>500</v>
          </cell>
          <cell r="I632">
            <v>0</v>
          </cell>
          <cell r="J632" t="str">
            <v>ON RUNNING</v>
          </cell>
          <cell r="K632" t="str">
            <v>Forecast</v>
          </cell>
          <cell r="L632" t="str">
            <v>MOLDED</v>
          </cell>
          <cell r="M632">
            <v>1</v>
          </cell>
        </row>
        <row r="633">
          <cell r="A633" t="str">
            <v>F-2026-04-132</v>
          </cell>
          <cell r="B633" t="str">
            <v>FPRO-260409-0006</v>
          </cell>
          <cell r="C633"/>
          <cell r="D633" t="str">
            <v>PVN-004147</v>
          </cell>
          <cell r="E633" t="str">
            <v>OrthoLite X-25 SEEDPEARL/12-0703TPX Flat Sheet 0.12D 20+/-4 Asker C 1.1M 2M 5.5mm</v>
          </cell>
          <cell r="F633">
            <v>500</v>
          </cell>
          <cell r="G633">
            <v>500</v>
          </cell>
          <cell r="H633">
            <v>0</v>
          </cell>
          <cell r="I633">
            <v>500</v>
          </cell>
          <cell r="J633" t="str">
            <v>ON RUNNING</v>
          </cell>
          <cell r="K633" t="str">
            <v>Forecast</v>
          </cell>
          <cell r="L633" t="str">
            <v>MOLDED</v>
          </cell>
          <cell r="M633">
            <v>1</v>
          </cell>
        </row>
        <row r="634">
          <cell r="A634" t="str">
            <v>F-2026-04-133</v>
          </cell>
          <cell r="B634" t="str">
            <v>FPRO-260409-0007</v>
          </cell>
          <cell r="C634"/>
          <cell r="D634" t="str">
            <v>PVN-004147</v>
          </cell>
          <cell r="E634" t="str">
            <v>OrthoLite X-25 SEEDPEARL/12-0703TPX Flat Sheet 0.12D 20+/-4 Asker C 1.1M 2M 5.5mm</v>
          </cell>
          <cell r="F634">
            <v>500</v>
          </cell>
          <cell r="G634">
            <v>500</v>
          </cell>
          <cell r="H634">
            <v>500</v>
          </cell>
          <cell r="I634">
            <v>0</v>
          </cell>
          <cell r="J634" t="str">
            <v>ON RUNNING</v>
          </cell>
          <cell r="K634" t="str">
            <v>Forecast</v>
          </cell>
          <cell r="L634" t="str">
            <v>MOLDED</v>
          </cell>
          <cell r="M634">
            <v>1</v>
          </cell>
        </row>
        <row r="635">
          <cell r="A635" t="str">
            <v>F-2026-04-134</v>
          </cell>
          <cell r="B635" t="str">
            <v>FPRO-260409-0008</v>
          </cell>
          <cell r="C635"/>
          <cell r="D635" t="str">
            <v>PVN-004147</v>
          </cell>
          <cell r="E635" t="str">
            <v>OrthoLite X-25 SEEDPEARL/12-0703TPX Flat Sheet 0.12D 20+/-4 Asker C 1.1M 2M 5.5mm</v>
          </cell>
          <cell r="F635">
            <v>200</v>
          </cell>
          <cell r="G635">
            <v>200</v>
          </cell>
          <cell r="H635">
            <v>0</v>
          </cell>
          <cell r="I635">
            <v>200</v>
          </cell>
          <cell r="J635" t="str">
            <v>ON RUNNING</v>
          </cell>
          <cell r="K635" t="str">
            <v>Forecast</v>
          </cell>
          <cell r="L635" t="str">
            <v>MOLDED</v>
          </cell>
          <cell r="M635">
            <v>1</v>
          </cell>
        </row>
        <row r="636">
          <cell r="A636" t="str">
            <v>F-2026-04-135-1</v>
          </cell>
          <cell r="B636" t="str">
            <v>FPRO-260410-0003</v>
          </cell>
          <cell r="C636"/>
          <cell r="D636" t="str">
            <v>PVN-003576</v>
          </cell>
          <cell r="E636" t="str">
            <v>OrthoLite X-55-Hybrid FOSSIL/17-0909TPX Hybrid Flat Sheet 0.16D 25+/-4 Asker C 1.1M 1.7M 12mm</v>
          </cell>
          <cell r="F636">
            <v>2470</v>
          </cell>
          <cell r="G636">
            <v>1566</v>
          </cell>
          <cell r="H636">
            <v>1566</v>
          </cell>
          <cell r="I636">
            <v>0</v>
          </cell>
          <cell r="J636" t="str">
            <v>ASICS</v>
          </cell>
          <cell r="K636" t="str">
            <v>Forecast</v>
          </cell>
          <cell r="L636" t="str">
            <v>MOLDED</v>
          </cell>
          <cell r="M636" t="str">
            <v>1-RM-WIP</v>
          </cell>
        </row>
        <row r="637">
          <cell r="A637" t="str">
            <v>F-2026-04-135-2</v>
          </cell>
          <cell r="B637" t="str">
            <v>FPRO-260410-0003</v>
          </cell>
          <cell r="C637"/>
          <cell r="D637" t="str">
            <v>PVN-003576</v>
          </cell>
          <cell r="E637" t="str">
            <v>OrthoLite X-55-Hybrid FOSSIL/17-0909TPX Hybrid Flat Sheet 0.16D 25+/-4 Asker C 1.1M 1.7M 12mm</v>
          </cell>
          <cell r="F637">
            <v>2470</v>
          </cell>
          <cell r="G637">
            <v>904</v>
          </cell>
          <cell r="H637">
            <v>904</v>
          </cell>
          <cell r="I637">
            <v>0</v>
          </cell>
          <cell r="J637" t="str">
            <v>ASICS</v>
          </cell>
          <cell r="K637" t="str">
            <v>Forecast</v>
          </cell>
          <cell r="L637" t="str">
            <v>MOLDED</v>
          </cell>
          <cell r="M637" t="str">
            <v>1-RM-WIP</v>
          </cell>
        </row>
        <row r="638">
          <cell r="A638" t="str">
            <v>F-2026-04-136</v>
          </cell>
          <cell r="B638" t="str">
            <v>FPRO-260410-0006</v>
          </cell>
          <cell r="C638"/>
          <cell r="D638" t="str">
            <v>PVN-002501</v>
          </cell>
          <cell r="E638" t="str">
            <v>OrthoLite Regular-Hybrid SEEDPEARL/12-0703TPX Hybrid Flat Sheet 0.11D 25+/-4 Asker C 1.1M 2M 2mm</v>
          </cell>
          <cell r="F638">
            <v>1000</v>
          </cell>
          <cell r="G638">
            <v>1000</v>
          </cell>
          <cell r="H638">
            <v>0</v>
          </cell>
          <cell r="I638">
            <v>1000</v>
          </cell>
          <cell r="J638" t="str">
            <v>ASICS</v>
          </cell>
          <cell r="K638" t="str">
            <v>Forecast</v>
          </cell>
          <cell r="L638" t="str">
            <v>SPLITTING</v>
          </cell>
          <cell r="M638">
            <v>1</v>
          </cell>
        </row>
        <row r="639">
          <cell r="A639" t="str">
            <v>F-2026-04-137</v>
          </cell>
          <cell r="B639" t="str">
            <v>FPRO-260410-0007</v>
          </cell>
          <cell r="C639"/>
          <cell r="D639" t="str">
            <v>PVN-002501</v>
          </cell>
          <cell r="E639" t="str">
            <v>OrthoLite Regular-Hybrid SEEDPEARL/12-0703TPX Hybrid Flat Sheet 0.11D 25+/-4 Asker C 1.1M 2M 2mm</v>
          </cell>
          <cell r="F639">
            <v>380</v>
          </cell>
          <cell r="G639">
            <v>380</v>
          </cell>
          <cell r="H639">
            <v>380</v>
          </cell>
          <cell r="I639">
            <v>0</v>
          </cell>
          <cell r="J639" t="str">
            <v>ASICS</v>
          </cell>
          <cell r="K639" t="str">
            <v>Forecast</v>
          </cell>
          <cell r="L639" t="str">
            <v>SPLITTING</v>
          </cell>
          <cell r="M639">
            <v>1</v>
          </cell>
        </row>
        <row r="640">
          <cell r="A640" t="str">
            <v>F-2026-04-138</v>
          </cell>
          <cell r="B640" t="str">
            <v>FPRO-260410-0008</v>
          </cell>
          <cell r="C640"/>
          <cell r="D640" t="str">
            <v>PVN-002501</v>
          </cell>
          <cell r="E640" t="str">
            <v>OrthoLite Regular-Hybrid SEEDPEARL/12-0703TPX Hybrid Flat Sheet 0.11D 25+/-4 Asker C 1.1M 2M 2mm</v>
          </cell>
          <cell r="F640">
            <v>675</v>
          </cell>
          <cell r="G640">
            <v>675</v>
          </cell>
          <cell r="H640">
            <v>675</v>
          </cell>
          <cell r="I640">
            <v>0</v>
          </cell>
          <cell r="J640" t="str">
            <v>ASICS</v>
          </cell>
          <cell r="K640" t="str">
            <v>Forecast</v>
          </cell>
          <cell r="L640" t="str">
            <v>SPLITTING</v>
          </cell>
          <cell r="M640">
            <v>1</v>
          </cell>
        </row>
        <row r="641">
          <cell r="A641" t="str">
            <v>F-2026-04-139</v>
          </cell>
          <cell r="B641" t="str">
            <v>FPRO-260410-0009</v>
          </cell>
          <cell r="C641"/>
          <cell r="D641" t="str">
            <v>PVN-002478</v>
          </cell>
          <cell r="E641" t="str">
            <v>OrthoLite Eco LT-Hybrid SEEDPEARL/12-0703TPX Hybrid 0.11D 25+/-4 Asker C 1.1M 2M 4mm</v>
          </cell>
          <cell r="F641">
            <v>3600</v>
          </cell>
          <cell r="G641">
            <v>3600</v>
          </cell>
          <cell r="H641">
            <v>0</v>
          </cell>
          <cell r="I641">
            <v>3600</v>
          </cell>
          <cell r="J641" t="str">
            <v>NEW BALANCE</v>
          </cell>
          <cell r="K641" t="str">
            <v>Forecast</v>
          </cell>
          <cell r="L641" t="str">
            <v>DIE CUT</v>
          </cell>
          <cell r="M641">
            <v>1</v>
          </cell>
        </row>
        <row r="642">
          <cell r="A642" t="str">
            <v>F-2026-04-140</v>
          </cell>
          <cell r="B642" t="str">
            <v>FPRO-260410-0010</v>
          </cell>
          <cell r="C642"/>
          <cell r="D642" t="str">
            <v>PVN-002478</v>
          </cell>
          <cell r="E642" t="str">
            <v>OrthoLite Eco LT-Hybrid SEEDPEARL/12-0703TPX Hybrid 0.11D 25+/-4 Asker C 1.1M 2M 4mm</v>
          </cell>
          <cell r="F642">
            <v>3500</v>
          </cell>
          <cell r="G642">
            <v>3500</v>
          </cell>
          <cell r="H642">
            <v>0</v>
          </cell>
          <cell r="I642">
            <v>3500</v>
          </cell>
          <cell r="J642" t="str">
            <v>NEW BALANCE</v>
          </cell>
          <cell r="K642" t="str">
            <v>Forecast</v>
          </cell>
          <cell r="L642" t="str">
            <v>DIE CUT</v>
          </cell>
          <cell r="M642">
            <v>1</v>
          </cell>
        </row>
        <row r="643">
          <cell r="A643" t="str">
            <v>F-2026-04-141</v>
          </cell>
          <cell r="B643" t="str">
            <v>FPRO-260410-0001</v>
          </cell>
          <cell r="C643"/>
          <cell r="D643" t="str">
            <v>PVN-004381</v>
          </cell>
          <cell r="E643" t="str">
            <v>OrthoLite Impressions-Nike TAWNY PORT/19-1725TPX 0.15D 70-80 Asker F 1.1M 1.7M 3mm</v>
          </cell>
          <cell r="F643">
            <v>256</v>
          </cell>
          <cell r="G643">
            <v>256</v>
          </cell>
          <cell r="H643">
            <v>256</v>
          </cell>
          <cell r="I643">
            <v>0</v>
          </cell>
          <cell r="J643" t="str">
            <v>NIKE</v>
          </cell>
          <cell r="K643" t="str">
            <v>Forecast</v>
          </cell>
          <cell r="L643" t="str">
            <v>DIE CUT</v>
          </cell>
          <cell r="M643">
            <v>1</v>
          </cell>
        </row>
        <row r="644">
          <cell r="A644" t="str">
            <v>F-2026-04-142</v>
          </cell>
          <cell r="B644" t="str">
            <v>FPRO-260410-0002</v>
          </cell>
          <cell r="C644"/>
          <cell r="D644" t="str">
            <v>PVN-004384</v>
          </cell>
          <cell r="E644" t="str">
            <v>OrthoLite Impressions TAWNY PORT/19-1725TPX 0.15D 70-80 Asker F 1.1M 1.7M 3mm</v>
          </cell>
          <cell r="F644">
            <v>30</v>
          </cell>
          <cell r="G644">
            <v>30</v>
          </cell>
          <cell r="H644">
            <v>0</v>
          </cell>
          <cell r="I644">
            <v>30</v>
          </cell>
          <cell r="J644" t="str">
            <v>FOOTJOY</v>
          </cell>
          <cell r="K644" t="str">
            <v>Forecast</v>
          </cell>
          <cell r="L644" t="str">
            <v>MOLDED</v>
          </cell>
          <cell r="M644">
            <v>1</v>
          </cell>
        </row>
        <row r="645">
          <cell r="A645" t="str">
            <v>F-2026-04-143</v>
          </cell>
          <cell r="B645" t="str">
            <v>RPRO-260413-0261</v>
          </cell>
          <cell r="C645"/>
          <cell r="D645" t="str">
            <v>PVN-000101</v>
          </cell>
          <cell r="E645" t="str">
            <v>OrthoLite Regular AIR BLUE/16-4134TPX Flat Sheet 0.11D 25+/-4 Asker C 1.1M 2M 3mm</v>
          </cell>
          <cell r="F645">
            <v>138</v>
          </cell>
          <cell r="G645">
            <v>138</v>
          </cell>
          <cell r="H645">
            <v>138</v>
          </cell>
          <cell r="I645">
            <v>0</v>
          </cell>
          <cell r="J645"/>
          <cell r="K645" t="str">
            <v>MPS</v>
          </cell>
          <cell r="L645" t="str">
            <v>SPLITTING</v>
          </cell>
          <cell r="M645">
            <v>2</v>
          </cell>
        </row>
        <row r="646">
          <cell r="A646" t="str">
            <v>F-2026-04-144</v>
          </cell>
          <cell r="B646" t="str">
            <v>RPRO-260413-0262</v>
          </cell>
          <cell r="C646"/>
          <cell r="D646" t="str">
            <v>PVN-000930</v>
          </cell>
          <cell r="E646" t="str">
            <v>OrthoLite Eco LT 300C(ADIDAS BLUEBIRD) Flat Sheet 0.11D 25+/-4 Asker C 1.1M 2M 3mm</v>
          </cell>
          <cell r="F646">
            <v>92</v>
          </cell>
          <cell r="G646">
            <v>92</v>
          </cell>
          <cell r="H646">
            <v>92</v>
          </cell>
          <cell r="I646">
            <v>0</v>
          </cell>
          <cell r="J646"/>
          <cell r="K646" t="str">
            <v>MPS</v>
          </cell>
          <cell r="L646" t="str">
            <v>SPLITTING</v>
          </cell>
          <cell r="M646">
            <v>2</v>
          </cell>
        </row>
        <row r="647">
          <cell r="A647" t="str">
            <v>F-2026-04-145</v>
          </cell>
          <cell r="B647" t="str">
            <v>RPRO-260413-0263</v>
          </cell>
          <cell r="C647"/>
          <cell r="D647" t="str">
            <v>PVN-000981</v>
          </cell>
          <cell r="E647" t="str">
            <v>OrthoLite Ultra YELLOW/13-0858TPX Flat Sheet 0.085D 25+/-4 Asker C 1.1M 2M 3mm</v>
          </cell>
          <cell r="F647">
            <v>184</v>
          </cell>
          <cell r="G647">
            <v>184</v>
          </cell>
          <cell r="H647">
            <v>184</v>
          </cell>
          <cell r="I647">
            <v>0</v>
          </cell>
          <cell r="J647"/>
          <cell r="K647" t="str">
            <v>MPS</v>
          </cell>
          <cell r="L647" t="str">
            <v>SPLITTING</v>
          </cell>
          <cell r="M647">
            <v>2</v>
          </cell>
        </row>
        <row r="648">
          <cell r="A648" t="str">
            <v>F-2026-04-146</v>
          </cell>
          <cell r="B648" t="str">
            <v>RPRO-260413-0264</v>
          </cell>
          <cell r="C648"/>
          <cell r="D648" t="str">
            <v>PVN-001091</v>
          </cell>
          <cell r="E648" t="str">
            <v>OrthoLite Eco LT GREY/17-1501TPX Flat Sheet 0.11D 25+/-4 Asker C 1.1M 2M 4mm</v>
          </cell>
          <cell r="F648">
            <v>70</v>
          </cell>
          <cell r="G648">
            <v>70</v>
          </cell>
          <cell r="H648">
            <v>70</v>
          </cell>
          <cell r="I648">
            <v>0</v>
          </cell>
          <cell r="J648"/>
          <cell r="K648" t="str">
            <v>MPS</v>
          </cell>
          <cell r="L648" t="str">
            <v>SPLITTING</v>
          </cell>
          <cell r="M648">
            <v>2</v>
          </cell>
        </row>
        <row r="649">
          <cell r="A649" t="str">
            <v>F-2026-04-147</v>
          </cell>
          <cell r="B649" t="str">
            <v>RPRO-260413-0265</v>
          </cell>
          <cell r="C649"/>
          <cell r="D649" t="str">
            <v>PVN-001277</v>
          </cell>
          <cell r="E649" t="str">
            <v>OrthoLite Ultra GREEN/16-5932TPX Flat Sheet 0.085D 25+/-4 Asker C 1.1M 2M 4mm</v>
          </cell>
          <cell r="F649">
            <v>1645</v>
          </cell>
          <cell r="G649">
            <v>1645</v>
          </cell>
          <cell r="H649">
            <v>1645</v>
          </cell>
          <cell r="I649">
            <v>0</v>
          </cell>
          <cell r="J649"/>
          <cell r="K649" t="str">
            <v>MPS</v>
          </cell>
          <cell r="L649" t="str">
            <v>SPLITTING</v>
          </cell>
          <cell r="M649">
            <v>2</v>
          </cell>
        </row>
        <row r="650">
          <cell r="A650" t="str">
            <v>F-2026-04-148</v>
          </cell>
          <cell r="B650" t="str">
            <v>RPRO-260413-0266</v>
          </cell>
          <cell r="C650"/>
          <cell r="D650" t="str">
            <v>PVN-001983</v>
          </cell>
          <cell r="E650" t="str">
            <v>OrthoLite X-40 SEEDPEARL/12-0703TPX Flat Sheet 0.16D 25+/-4 Asker C 1.1M 1.7M 5mm</v>
          </cell>
          <cell r="F650">
            <v>280</v>
          </cell>
          <cell r="G650">
            <v>280</v>
          </cell>
          <cell r="H650">
            <v>280</v>
          </cell>
          <cell r="I650">
            <v>0</v>
          </cell>
          <cell r="J650"/>
          <cell r="K650" t="str">
            <v>MPS</v>
          </cell>
          <cell r="L650" t="str">
            <v>SPLITTING</v>
          </cell>
          <cell r="M650">
            <v>2</v>
          </cell>
        </row>
        <row r="651">
          <cell r="A651" t="str">
            <v>F-2026-04-149</v>
          </cell>
          <cell r="B651" t="str">
            <v>RPRO-260413-0267</v>
          </cell>
          <cell r="C651"/>
          <cell r="D651" t="str">
            <v>PVN-003315</v>
          </cell>
          <cell r="E651" t="str">
            <v>OrthoLite Ultra-Hybrid SEEDPEARL/12-0703TPX Hybrid 0.085D 25+/-4 Asker C 1.1M 2M 3.5mm</v>
          </cell>
          <cell r="F651">
            <v>40</v>
          </cell>
          <cell r="G651">
            <v>40</v>
          </cell>
          <cell r="H651">
            <v>40</v>
          </cell>
          <cell r="I651">
            <v>0</v>
          </cell>
          <cell r="J651"/>
          <cell r="K651" t="str">
            <v>MPS</v>
          </cell>
          <cell r="L651" t="str">
            <v>SPLITTING</v>
          </cell>
          <cell r="M651">
            <v>2</v>
          </cell>
        </row>
        <row r="652">
          <cell r="A652" t="str">
            <v>F-2026-04-150</v>
          </cell>
          <cell r="B652" t="str">
            <v>RPRO-260413-0268</v>
          </cell>
          <cell r="C652"/>
          <cell r="D652" t="str">
            <v>PVN-003863</v>
          </cell>
          <cell r="E652" t="str">
            <v>OrthoLite Regular-Hybrid SEEDPEARL/12-0703TPX Hybrid Flat Sheet 0.13D 25+/-4 Asker C 1.1M 1.7M 2mm</v>
          </cell>
          <cell r="F652">
            <v>70</v>
          </cell>
          <cell r="G652">
            <v>70</v>
          </cell>
          <cell r="H652">
            <v>70</v>
          </cell>
          <cell r="I652">
            <v>0</v>
          </cell>
          <cell r="J652"/>
          <cell r="K652" t="str">
            <v>MPS</v>
          </cell>
          <cell r="L652" t="str">
            <v>SPLITTING</v>
          </cell>
          <cell r="M652">
            <v>2</v>
          </cell>
        </row>
        <row r="653">
          <cell r="A653" t="str">
            <v>F-2026-04-151</v>
          </cell>
          <cell r="B653" t="str">
            <v>RPRO-260413-0269</v>
          </cell>
          <cell r="C653"/>
          <cell r="D653" t="str">
            <v>PVN-004210</v>
          </cell>
          <cell r="E653" t="str">
            <v>OrthoLite IMPERIAL SEEDPEARL/12-0703TPX Flat Sheet 0.22D 25+/-4 Asker C 1.1M 1.47M 5mm</v>
          </cell>
          <cell r="F653">
            <v>112</v>
          </cell>
          <cell r="G653">
            <v>112</v>
          </cell>
          <cell r="H653">
            <v>112</v>
          </cell>
          <cell r="I653">
            <v>0</v>
          </cell>
          <cell r="J653"/>
          <cell r="K653" t="str">
            <v>MPS</v>
          </cell>
          <cell r="L653" t="str">
            <v>SPLITTING</v>
          </cell>
          <cell r="M653">
            <v>2</v>
          </cell>
        </row>
        <row r="654">
          <cell r="A654" t="str">
            <v>F-2026-04-152</v>
          </cell>
          <cell r="B654" t="str">
            <v>RPRO-260413-0270</v>
          </cell>
          <cell r="C654"/>
          <cell r="D654" t="str">
            <v>PVN-003234</v>
          </cell>
          <cell r="E654" t="str">
            <v>OrthoLite X-35-Hybrid SEEDPEARL/12-0703TPX Hybrid Flat Sheet 0.145D 25+/-4 Asker C 1.1M 2M 5.5mm</v>
          </cell>
          <cell r="F654">
            <v>25</v>
          </cell>
          <cell r="G654">
            <v>25</v>
          </cell>
          <cell r="H654">
            <v>25</v>
          </cell>
          <cell r="I654">
            <v>0</v>
          </cell>
          <cell r="J654" t="str">
            <v>PUMA</v>
          </cell>
          <cell r="K654" t="str">
            <v>Pr.Sch.R</v>
          </cell>
          <cell r="L654" t="str">
            <v>MOLDED</v>
          </cell>
          <cell r="M654">
            <v>1</v>
          </cell>
        </row>
        <row r="655">
          <cell r="A655" t="str">
            <v>F-2026-04-153</v>
          </cell>
          <cell r="B655" t="str">
            <v>RPRO-260413-0271</v>
          </cell>
          <cell r="C655"/>
          <cell r="D655" t="str">
            <v>PVN-002884</v>
          </cell>
          <cell r="E655" t="str">
            <v>OrthoLite Ultra-Hybrid SEEDPEARL/12-0703TPX Hybrid Flat Sheet 0.085D 25+/-4 Asker C 1.1M 2M 10mm</v>
          </cell>
          <cell r="F655">
            <v>13</v>
          </cell>
          <cell r="G655">
            <v>13</v>
          </cell>
          <cell r="H655">
            <v>13</v>
          </cell>
          <cell r="I655">
            <v>0</v>
          </cell>
          <cell r="J655" t="str">
            <v>ADIDAS</v>
          </cell>
          <cell r="K655" t="str">
            <v>Pr.Sch.R</v>
          </cell>
          <cell r="L655" t="str">
            <v>MOLDED</v>
          </cell>
          <cell r="M655">
            <v>1</v>
          </cell>
        </row>
        <row r="656">
          <cell r="A656" t="str">
            <v>F-2026-04-154</v>
          </cell>
          <cell r="B656" t="str">
            <v>RPRO-260413-0272</v>
          </cell>
          <cell r="C656"/>
          <cell r="D656" t="str">
            <v>PVN-000121</v>
          </cell>
          <cell r="E656" t="str">
            <v>OrthoLite Regular AIR BLUE/16-4134TPX Flat Sheet 0.13D 35+/-4 Asker C 1.1M 2M 12mm</v>
          </cell>
          <cell r="F656">
            <v>11</v>
          </cell>
          <cell r="G656">
            <v>11</v>
          </cell>
          <cell r="H656">
            <v>11</v>
          </cell>
          <cell r="I656">
            <v>0</v>
          </cell>
          <cell r="J656" t="str">
            <v>ASICS</v>
          </cell>
          <cell r="K656" t="str">
            <v>Pr.Sch.R</v>
          </cell>
          <cell r="L656" t="str">
            <v>MOLDED</v>
          </cell>
          <cell r="M656" t="str">
            <v>1-RM-WIP</v>
          </cell>
        </row>
        <row r="657">
          <cell r="A657" t="str">
            <v>F-2026-04-155</v>
          </cell>
          <cell r="B657" t="str">
            <v>RPRO-260413-0273</v>
          </cell>
          <cell r="C657"/>
          <cell r="D657" t="str">
            <v>PVN-002827</v>
          </cell>
          <cell r="E657" t="str">
            <v>OrthoLite Regular-Hybrid-Nike SEEDPEARL/12-0703TPX Hybrid Flat Sheet 0.11D 25+/-4 Asker C 1.1M 2M 5mm</v>
          </cell>
          <cell r="F657">
            <v>28</v>
          </cell>
          <cell r="G657">
            <v>28</v>
          </cell>
          <cell r="H657">
            <v>28</v>
          </cell>
          <cell r="I657">
            <v>0</v>
          </cell>
          <cell r="J657" t="str">
            <v>NIKE</v>
          </cell>
          <cell r="K657" t="str">
            <v>Pr.Sch.R</v>
          </cell>
          <cell r="L657" t="str">
            <v>MOLDED</v>
          </cell>
          <cell r="M657">
            <v>1</v>
          </cell>
        </row>
        <row r="658">
          <cell r="A658" t="str">
            <v>F-2026-04-156</v>
          </cell>
          <cell r="B658" t="str">
            <v>RPRO-260413-0274</v>
          </cell>
          <cell r="C658"/>
          <cell r="D658" t="str">
            <v>PVN-004178</v>
          </cell>
          <cell r="E658" t="str">
            <v>OrthoLite Float NEUTRAL GRAY/17-4402TPX Flat Sheet 0.12D 21+/-4 Asker C 1.1M 2M 5.5mm</v>
          </cell>
          <cell r="F658">
            <v>175</v>
          </cell>
          <cell r="G658">
            <v>175</v>
          </cell>
          <cell r="H658">
            <v>175</v>
          </cell>
          <cell r="I658">
            <v>0</v>
          </cell>
          <cell r="J658" t="str">
            <v>PUMA</v>
          </cell>
          <cell r="K658" t="str">
            <v>Pr.Sch.R</v>
          </cell>
          <cell r="L658" t="str">
            <v>MOLDED</v>
          </cell>
          <cell r="M658">
            <v>1</v>
          </cell>
        </row>
        <row r="659">
          <cell r="A659" t="str">
            <v>F-2026-04-157</v>
          </cell>
          <cell r="B659" t="str">
            <v>RPRO-260413-0275</v>
          </cell>
          <cell r="C659"/>
          <cell r="D659" t="str">
            <v>PVN-003326</v>
          </cell>
          <cell r="E659" t="str">
            <v>OrthoLite X-40 TRUE BLUE/19-4057TPX Flat Sheet 0.16D 35+/-4 Asker C 1.1M 1.7M 14mm</v>
          </cell>
          <cell r="F659">
            <v>36</v>
          </cell>
          <cell r="G659">
            <v>36</v>
          </cell>
          <cell r="H659">
            <v>36</v>
          </cell>
          <cell r="I659">
            <v>0</v>
          </cell>
          <cell r="J659" t="str">
            <v>ADIDAS</v>
          </cell>
          <cell r="K659" t="str">
            <v>Pr.Sch.R</v>
          </cell>
          <cell r="L659" t="str">
            <v>MOLDED</v>
          </cell>
          <cell r="M659">
            <v>1</v>
          </cell>
        </row>
        <row r="660">
          <cell r="A660" t="str">
            <v>F-2026-04-158</v>
          </cell>
          <cell r="B660" t="str">
            <v>RPRO-260413-0276</v>
          </cell>
          <cell r="C660"/>
          <cell r="D660" t="str">
            <v>PVN-003692</v>
          </cell>
          <cell r="E660" t="str">
            <v>OrthoLite Ultra-Hybrid SEEDPEARL/12-0703TPX Hybrid Flat Sheet 0.095D 33+/-4 Asker C 1.1M 2M 15.5mm</v>
          </cell>
          <cell r="F660">
            <v>40</v>
          </cell>
          <cell r="G660">
            <v>40</v>
          </cell>
          <cell r="H660">
            <v>40</v>
          </cell>
          <cell r="I660">
            <v>0</v>
          </cell>
          <cell r="J660" t="str">
            <v>GARMONT</v>
          </cell>
          <cell r="K660" t="str">
            <v>Pr.Sch.R</v>
          </cell>
          <cell r="L660" t="str">
            <v>MOLDED</v>
          </cell>
          <cell r="M660">
            <v>1</v>
          </cell>
        </row>
        <row r="661">
          <cell r="A661" t="str">
            <v>F-2026-04-159</v>
          </cell>
          <cell r="B661" t="str">
            <v>RPRO-260413-0277</v>
          </cell>
          <cell r="C661"/>
          <cell r="D661" t="str">
            <v>PVN-003482</v>
          </cell>
          <cell r="E661" t="str">
            <v>OrthoLite Eco LT-Hybrid SEEDPEARL/12-0703TPX Hybrid Flat Sheet 0.11D 25+/-4 Asker C 1.1M 1.47M 4mm</v>
          </cell>
          <cell r="F661">
            <v>595</v>
          </cell>
          <cell r="G661">
            <v>595</v>
          </cell>
          <cell r="H661">
            <v>595</v>
          </cell>
          <cell r="I661">
            <v>0</v>
          </cell>
          <cell r="J661" t="str">
            <v>NEW BALANCE</v>
          </cell>
          <cell r="K661" t="str">
            <v>Pr.Sch.R</v>
          </cell>
          <cell r="L661" t="str">
            <v>DIE CUT</v>
          </cell>
          <cell r="M661">
            <v>1</v>
          </cell>
        </row>
        <row r="662">
          <cell r="A662" t="str">
            <v>F-2026-04-160</v>
          </cell>
          <cell r="B662" t="str">
            <v>RPRO-260413-0278</v>
          </cell>
          <cell r="C662"/>
          <cell r="D662" t="str">
            <v>PVN-004315</v>
          </cell>
          <cell r="E662" t="str">
            <v>OrthoLite X-25-Nike BILLIARD/16-5427TPX Flat Sheet 0.12D 20+/-4 Asker C 1.1M 2M 5mm</v>
          </cell>
          <cell r="F662">
            <v>112</v>
          </cell>
          <cell r="G662">
            <v>112</v>
          </cell>
          <cell r="H662">
            <v>112</v>
          </cell>
          <cell r="I662">
            <v>0</v>
          </cell>
          <cell r="J662" t="str">
            <v>NIKE</v>
          </cell>
          <cell r="K662" t="str">
            <v>Pr.Sch.R</v>
          </cell>
          <cell r="L662" t="str">
            <v>DIE CUT</v>
          </cell>
          <cell r="M662">
            <v>1</v>
          </cell>
        </row>
        <row r="663">
          <cell r="A663" t="str">
            <v>F-2026-04-161</v>
          </cell>
          <cell r="B663" t="str">
            <v>RPRO-260413-0279</v>
          </cell>
          <cell r="C663"/>
          <cell r="D663" t="str">
            <v>PVN-003347</v>
          </cell>
          <cell r="E663" t="str">
            <v>OrthoLite X-40-Nike TRUE BLUE/19-4057TPX Flat Sheet 0.16D 35+/-4 Asker C 1.1M 1.7M 4mm</v>
          </cell>
          <cell r="F663">
            <v>665</v>
          </cell>
          <cell r="G663">
            <v>665</v>
          </cell>
          <cell r="H663">
            <v>665</v>
          </cell>
          <cell r="I663">
            <v>0</v>
          </cell>
          <cell r="J663" t="str">
            <v>NIKE</v>
          </cell>
          <cell r="K663" t="str">
            <v>Pr.Sch.R</v>
          </cell>
          <cell r="L663" t="str">
            <v>LAMINATING</v>
          </cell>
          <cell r="M663">
            <v>1</v>
          </cell>
        </row>
        <row r="664">
          <cell r="A664" t="str">
            <v>F-2026-04-162</v>
          </cell>
          <cell r="B664" t="str">
            <v>RPRO-260413-0280</v>
          </cell>
          <cell r="C664"/>
          <cell r="D664" t="str">
            <v>PVN-003671</v>
          </cell>
          <cell r="E664" t="str">
            <v>OrthoLite Eco LT-Hybrid SEEDPEARL/12-0703TPX Hybrid Flat Sheet 0.11D 25+/-4 Asker C 1.1M 2M 13mm</v>
          </cell>
          <cell r="F664">
            <v>50</v>
          </cell>
          <cell r="G664">
            <v>50</v>
          </cell>
          <cell r="H664">
            <v>50</v>
          </cell>
          <cell r="I664">
            <v>0</v>
          </cell>
          <cell r="J664" t="str">
            <v>NEW BALANCE</v>
          </cell>
          <cell r="K664" t="str">
            <v>Pr.Sch.R</v>
          </cell>
          <cell r="L664" t="str">
            <v>MOLDED</v>
          </cell>
          <cell r="M664">
            <v>1</v>
          </cell>
        </row>
        <row r="665">
          <cell r="A665" t="str">
            <v>F-2026-04-163</v>
          </cell>
          <cell r="B665" t="str">
            <v>RPRO-260413-0281</v>
          </cell>
          <cell r="C665"/>
          <cell r="D665" t="str">
            <v>PVN-004181</v>
          </cell>
          <cell r="E665" t="str">
            <v>Ortholite X-25 GREY/17-1501TPX Flat Sheet 0.12D 20+/-4 Asker C 1.1M 2M 4mm</v>
          </cell>
          <cell r="F665">
            <v>105</v>
          </cell>
          <cell r="G665">
            <v>105</v>
          </cell>
          <cell r="H665">
            <v>105</v>
          </cell>
          <cell r="I665">
            <v>0</v>
          </cell>
          <cell r="J665" t="str">
            <v>SOLEWORKS</v>
          </cell>
          <cell r="K665" t="str">
            <v>Pr.Sch.R</v>
          </cell>
          <cell r="L665" t="str">
            <v>DIE CUT</v>
          </cell>
          <cell r="M665">
            <v>1</v>
          </cell>
        </row>
        <row r="666">
          <cell r="A666" t="str">
            <v>F-2026-04-164</v>
          </cell>
          <cell r="B666" t="str">
            <v>RPRO-260413-0282</v>
          </cell>
          <cell r="C666"/>
          <cell r="D666" t="str">
            <v>PVN-004185</v>
          </cell>
          <cell r="E666" t="str">
            <v>Ortholite X-25 AIR BLUE/16-4134TPX Flat Sheet 0.12D 20+/-4 Asker C 1.1M 2M 4mm</v>
          </cell>
          <cell r="F666">
            <v>35</v>
          </cell>
          <cell r="G666">
            <v>35</v>
          </cell>
          <cell r="H666">
            <v>35</v>
          </cell>
          <cell r="I666">
            <v>0</v>
          </cell>
          <cell r="J666" t="str">
            <v>SOLEWORKS</v>
          </cell>
          <cell r="K666" t="str">
            <v>Pr.Sch.R</v>
          </cell>
          <cell r="L666" t="str">
            <v>DIE CUT</v>
          </cell>
          <cell r="M666">
            <v>1</v>
          </cell>
        </row>
        <row r="667">
          <cell r="A667" t="str">
            <v>F-2026-04-165</v>
          </cell>
          <cell r="B667" t="str">
            <v>RPRO-260413-0283</v>
          </cell>
          <cell r="C667"/>
          <cell r="D667" t="str">
            <v>PVN-003478</v>
          </cell>
          <cell r="E667" t="str">
            <v>Ortholite X-25 SEEDPEARL/12-0703TPX Flat Sheet 0.12D 20+/-4 Asker C 1.1M 2M 4mm</v>
          </cell>
          <cell r="F667">
            <v>175</v>
          </cell>
          <cell r="G667">
            <v>175</v>
          </cell>
          <cell r="H667">
            <v>175</v>
          </cell>
          <cell r="I667">
            <v>0</v>
          </cell>
          <cell r="J667" t="str">
            <v>SOLEWORKS</v>
          </cell>
          <cell r="K667" t="str">
            <v>Pr.Sch.R</v>
          </cell>
          <cell r="L667" t="str">
            <v>DIE CUT</v>
          </cell>
          <cell r="M667">
            <v>1</v>
          </cell>
        </row>
        <row r="668">
          <cell r="A668" t="str">
            <v>SOIN-2026.04.13-01</v>
          </cell>
          <cell r="B668" t="str">
            <v>RPRO-260415-0095</v>
          </cell>
          <cell r="C668"/>
          <cell r="D668" t="str">
            <v>PVN-004267</v>
          </cell>
          <cell r="E668" t="str">
            <v>[116-12954] Ultra Nike 25+/-4 Asker C 0.085D Seedpearl 12-0703 Tpx 1.10M X 1.70M 47mm</v>
          </cell>
          <cell r="F668">
            <v>1</v>
          </cell>
          <cell r="G668">
            <v>1</v>
          </cell>
          <cell r="H668">
            <v>0</v>
          </cell>
          <cell r="I668">
            <v>1</v>
          </cell>
          <cell r="J668" t="str">
            <v>NIKE</v>
          </cell>
          <cell r="K668" t="str">
            <v>PO-6686-SO-260415-0057_supplement</v>
          </cell>
          <cell r="L668" t="str">
            <v>FLAT SHEET</v>
          </cell>
          <cell r="M668">
            <v>2</v>
          </cell>
        </row>
        <row r="669">
          <cell r="A669" t="str">
            <v>F-2026-04-166</v>
          </cell>
          <cell r="B669" t="str">
            <v>RPRO-260414-0213</v>
          </cell>
          <cell r="C669"/>
          <cell r="D669" t="str">
            <v>PVN-003236</v>
          </cell>
          <cell r="E669" t="str">
            <v>OrthoLite Eco LT-Hybrid-Converse SEEDPEARL/12-0703TPX Hybrid 0.13D 25+/-4 Asker C 1.1M 2M 5mm</v>
          </cell>
          <cell r="F669">
            <v>1826</v>
          </cell>
          <cell r="G669">
            <v>1826</v>
          </cell>
          <cell r="H669">
            <v>1826</v>
          </cell>
          <cell r="I669">
            <v>0</v>
          </cell>
          <cell r="J669"/>
          <cell r="K669" t="str">
            <v>MPS</v>
          </cell>
          <cell r="L669" t="str">
            <v>SPLITTING</v>
          </cell>
          <cell r="M669">
            <v>2</v>
          </cell>
        </row>
        <row r="670">
          <cell r="A670" t="str">
            <v>F-2026-04-167</v>
          </cell>
          <cell r="B670" t="str">
            <v>RPRO-260414-0214</v>
          </cell>
          <cell r="C670"/>
          <cell r="D670" t="str">
            <v>PVN-003425</v>
          </cell>
          <cell r="E670" t="str">
            <v>OrthoLite Ultra SEEDPEARL/12-0703TPX Flat Sheet 0.085D 78-90 Asker F 1.1M 2M 4mm</v>
          </cell>
          <cell r="F670">
            <v>70</v>
          </cell>
          <cell r="G670">
            <v>70</v>
          </cell>
          <cell r="H670">
            <v>70</v>
          </cell>
          <cell r="I670">
            <v>0</v>
          </cell>
          <cell r="J670"/>
          <cell r="K670" t="str">
            <v>MPS</v>
          </cell>
          <cell r="L670" t="str">
            <v>SPLITTING</v>
          </cell>
          <cell r="M670">
            <v>2</v>
          </cell>
        </row>
        <row r="671">
          <cell r="A671" t="str">
            <v>F-2026-04-168</v>
          </cell>
          <cell r="B671" t="str">
            <v>RPRO-260414-0215</v>
          </cell>
          <cell r="C671"/>
          <cell r="D671" t="str">
            <v>PVN-004210</v>
          </cell>
          <cell r="E671" t="str">
            <v>OrthoLite IMPERIAL SEEDPEARL/12-0703TPX Flat Sheet 0.22D 25+/-4 Asker C 1.1M 1.47M 5mm</v>
          </cell>
          <cell r="F671">
            <v>112</v>
          </cell>
          <cell r="G671">
            <v>112</v>
          </cell>
          <cell r="H671">
            <v>112</v>
          </cell>
          <cell r="I671">
            <v>0</v>
          </cell>
          <cell r="J671"/>
          <cell r="K671" t="str">
            <v>MPS</v>
          </cell>
          <cell r="L671" t="str">
            <v>SPLITTING</v>
          </cell>
          <cell r="M671">
            <v>2</v>
          </cell>
        </row>
        <row r="672">
          <cell r="A672" t="str">
            <v>F-2026-04-169</v>
          </cell>
          <cell r="B672" t="str">
            <v>RPRO-260414-0216</v>
          </cell>
          <cell r="C672"/>
          <cell r="D672" t="str">
            <v>PVN-002884</v>
          </cell>
          <cell r="E672" t="str">
            <v>OrthoLite Ultra-Hybrid SEEDPEARL/12-0703TPX Hybrid Flat Sheet 0.085D 25+/-4 Asker C 1.1M 2M 10mm</v>
          </cell>
          <cell r="F672">
            <v>91</v>
          </cell>
          <cell r="G672">
            <v>91</v>
          </cell>
          <cell r="H672">
            <v>91</v>
          </cell>
          <cell r="I672">
            <v>0</v>
          </cell>
          <cell r="J672" t="str">
            <v>ADIDAS</v>
          </cell>
          <cell r="K672" t="str">
            <v>Pr.Sch.R</v>
          </cell>
          <cell r="L672" t="str">
            <v>MOLDED</v>
          </cell>
          <cell r="M672">
            <v>1</v>
          </cell>
        </row>
        <row r="673">
          <cell r="A673" t="str">
            <v>F-2026-04-170</v>
          </cell>
          <cell r="B673" t="str">
            <v>RPRO-260414-0217</v>
          </cell>
          <cell r="C673"/>
          <cell r="D673" t="str">
            <v>PVN-002827</v>
          </cell>
          <cell r="E673" t="str">
            <v>OrthoLite Regular-Hybrid-Nike SEEDPEARL/12-0703TPX Hybrid Flat Sheet 0.11D 25+/-4 Asker C 1.1M 2M 5mm</v>
          </cell>
          <cell r="F673">
            <v>56</v>
          </cell>
          <cell r="G673">
            <v>56</v>
          </cell>
          <cell r="H673">
            <v>56</v>
          </cell>
          <cell r="I673">
            <v>0</v>
          </cell>
          <cell r="J673" t="str">
            <v>NIKE</v>
          </cell>
          <cell r="K673" t="str">
            <v>Pr.Sch.R</v>
          </cell>
          <cell r="L673" t="str">
            <v>MOLDED</v>
          </cell>
          <cell r="M673">
            <v>1</v>
          </cell>
        </row>
        <row r="674">
          <cell r="A674" t="str">
            <v>F-2026-04-171</v>
          </cell>
          <cell r="B674" t="str">
            <v>RPRO-260414-0218</v>
          </cell>
          <cell r="C674"/>
          <cell r="D674" t="str">
            <v>PVN-003326</v>
          </cell>
          <cell r="E674" t="str">
            <v>OrthoLite X-40 TRUE BLUE/19-4057TPX Flat Sheet 0.16D 35+/-4 Asker C 1.1M 1.7M 14mm</v>
          </cell>
          <cell r="F674">
            <v>27</v>
          </cell>
          <cell r="G674">
            <v>27</v>
          </cell>
          <cell r="H674">
            <v>27</v>
          </cell>
          <cell r="I674">
            <v>0</v>
          </cell>
          <cell r="J674" t="str">
            <v>ADIDAS</v>
          </cell>
          <cell r="K674" t="str">
            <v>Pr.Sch.R</v>
          </cell>
          <cell r="L674" t="str">
            <v>MOLDED</v>
          </cell>
          <cell r="M674">
            <v>1</v>
          </cell>
        </row>
        <row r="675">
          <cell r="A675" t="str">
            <v>F-2026-04-172</v>
          </cell>
          <cell r="B675" t="str">
            <v>RPRO-260414-0219</v>
          </cell>
          <cell r="C675"/>
          <cell r="D675" t="str">
            <v>PVN-004168</v>
          </cell>
          <cell r="E675" t="str">
            <v>OrthoLite X-40-Nike SEEDPEARL/12-0703TPX Flat Sheet 0.16D 35+/-4 Asker C 1.1M 2M 4.5mm</v>
          </cell>
          <cell r="F675">
            <v>372</v>
          </cell>
          <cell r="G675">
            <v>372</v>
          </cell>
          <cell r="H675">
            <v>372</v>
          </cell>
          <cell r="I675">
            <v>0</v>
          </cell>
          <cell r="J675" t="str">
            <v>NIKE</v>
          </cell>
          <cell r="K675" t="str">
            <v>Pr.Sch.R</v>
          </cell>
          <cell r="L675" t="str">
            <v>MOLDED</v>
          </cell>
          <cell r="M675">
            <v>1</v>
          </cell>
        </row>
        <row r="676">
          <cell r="A676" t="str">
            <v>F-2026-04-173</v>
          </cell>
          <cell r="B676" t="str">
            <v>RPRO-260414-0220</v>
          </cell>
          <cell r="C676"/>
          <cell r="D676" t="str">
            <v>PVN-000445</v>
          </cell>
          <cell r="E676" t="str">
            <v>OrthoLite Regular GREY/17-1501TPX Flat Sheet 0.11D 25+/-4 Asker C 1.1M 2M 13mm</v>
          </cell>
          <cell r="F676">
            <v>80</v>
          </cell>
          <cell r="G676">
            <v>80</v>
          </cell>
          <cell r="H676">
            <v>80</v>
          </cell>
          <cell r="I676">
            <v>0</v>
          </cell>
          <cell r="J676" t="str">
            <v>DANNER</v>
          </cell>
          <cell r="K676" t="str">
            <v>Pr.Sch.R</v>
          </cell>
          <cell r="L676" t="str">
            <v>MOLDED</v>
          </cell>
          <cell r="M676">
            <v>1</v>
          </cell>
        </row>
        <row r="677">
          <cell r="A677" t="str">
            <v>F-2026-04-174</v>
          </cell>
          <cell r="B677" t="str">
            <v>RPRO-260415-0099</v>
          </cell>
          <cell r="C677"/>
          <cell r="D677" t="str">
            <v>PVN-003300</v>
          </cell>
          <cell r="E677" t="str">
            <v>OrthoLite Ultra-Hybrid SEEDPEARL/12-0703TPX Hybrid Flat Sheet 0.085D 25+/-4 Asker C 1.1M 2M 2mm</v>
          </cell>
          <cell r="F677">
            <v>1540</v>
          </cell>
          <cell r="G677">
            <v>1540</v>
          </cell>
          <cell r="H677">
            <v>1540</v>
          </cell>
          <cell r="I677">
            <v>0</v>
          </cell>
          <cell r="J677"/>
          <cell r="K677" t="str">
            <v>MPS</v>
          </cell>
          <cell r="L677" t="str">
            <v>SPLITTING</v>
          </cell>
          <cell r="M677">
            <v>2</v>
          </cell>
        </row>
        <row r="678">
          <cell r="A678" t="str">
            <v>F-2026-04-175</v>
          </cell>
          <cell r="B678" t="str">
            <v>RPRO-260415-0100</v>
          </cell>
          <cell r="C678"/>
          <cell r="D678" t="str">
            <v>PVN-003479</v>
          </cell>
          <cell r="E678" t="str">
            <v>OrthoLite Ultra-Hybrid SEEDPEARL/12-0703TPX Hybrid Flat Sheet 0.085D 25+/-4 Asker C 1.1M 1.47M 4mm</v>
          </cell>
          <cell r="F678">
            <v>385</v>
          </cell>
          <cell r="G678">
            <v>385</v>
          </cell>
          <cell r="H678">
            <v>385</v>
          </cell>
          <cell r="I678">
            <v>0</v>
          </cell>
          <cell r="J678"/>
          <cell r="K678" t="str">
            <v>MPS</v>
          </cell>
          <cell r="L678" t="str">
            <v>SPLITTING</v>
          </cell>
          <cell r="M678">
            <v>2</v>
          </cell>
        </row>
        <row r="679">
          <cell r="A679" t="str">
            <v>F-2026-04-176</v>
          </cell>
          <cell r="B679" t="str">
            <v>RPRO-260415-0101</v>
          </cell>
          <cell r="C679"/>
          <cell r="D679" t="str">
            <v>PVN-003543</v>
          </cell>
          <cell r="E679" t="str">
            <v>OrthoLite X-40 TRUE BLUE/19-4057TPX Flat Sheet 0.16D 25+/-4 Asker C 1.1M 1.7M 4mm</v>
          </cell>
          <cell r="F679">
            <v>35</v>
          </cell>
          <cell r="G679">
            <v>35</v>
          </cell>
          <cell r="H679">
            <v>35</v>
          </cell>
          <cell r="I679">
            <v>0</v>
          </cell>
          <cell r="J679"/>
          <cell r="K679" t="str">
            <v>MPS</v>
          </cell>
          <cell r="L679" t="str">
            <v>SPLITTING</v>
          </cell>
          <cell r="M679">
            <v>2</v>
          </cell>
        </row>
        <row r="680">
          <cell r="A680" t="str">
            <v>F-2026-04-177</v>
          </cell>
          <cell r="B680" t="str">
            <v>RPRO-260415-0102</v>
          </cell>
          <cell r="C680"/>
          <cell r="D680" t="str">
            <v>PVN-003448</v>
          </cell>
          <cell r="E680" t="str">
            <v>OrthoLite X-25 BILLIARD/16-5427TPX Flat Sheet 0.12D 20+/-4 Asker C 1.1M 2M 6.2mm</v>
          </cell>
          <cell r="F680">
            <v>220</v>
          </cell>
          <cell r="G680">
            <v>220</v>
          </cell>
          <cell r="H680">
            <v>220</v>
          </cell>
          <cell r="I680">
            <v>0</v>
          </cell>
          <cell r="J680" t="str">
            <v>ADIDAS</v>
          </cell>
          <cell r="K680" t="str">
            <v>Pr.Sch.R</v>
          </cell>
          <cell r="L680" t="str">
            <v>MOLDED</v>
          </cell>
          <cell r="M680">
            <v>1</v>
          </cell>
        </row>
        <row r="681">
          <cell r="A681" t="str">
            <v>F-2026-04-178</v>
          </cell>
          <cell r="B681" t="str">
            <v>RPRO-260415-0103</v>
          </cell>
          <cell r="C681"/>
          <cell r="D681" t="str">
            <v>PVN-004188</v>
          </cell>
          <cell r="E681" t="str">
            <v>OrthoLite Float NEUTRAL GRAY/17-4402TPX Flat Sheet 0.12D 21+/-4 Asker C 1.1M 1.47M 5.5mm</v>
          </cell>
          <cell r="F681">
            <v>575</v>
          </cell>
          <cell r="G681">
            <v>575</v>
          </cell>
          <cell r="H681">
            <v>575</v>
          </cell>
          <cell r="I681">
            <v>0</v>
          </cell>
          <cell r="J681" t="str">
            <v>PUMA</v>
          </cell>
          <cell r="K681" t="str">
            <v>Pr.Sch.R</v>
          </cell>
          <cell r="L681" t="str">
            <v>MOLDED</v>
          </cell>
          <cell r="M681">
            <v>1</v>
          </cell>
        </row>
        <row r="682">
          <cell r="A682" t="str">
            <v>F-2026-04-179</v>
          </cell>
          <cell r="B682" t="str">
            <v>RPRO-260415-0104</v>
          </cell>
          <cell r="C682"/>
          <cell r="D682" t="str">
            <v>PVN-003603</v>
          </cell>
          <cell r="E682" t="str">
            <v>OrthoLite X-40 TRUE BLUE/19-4057TPX Flat Sheet 0.16D 25+/-4 Asker C 1.1M 1.47M 12mm</v>
          </cell>
          <cell r="F682">
            <v>11</v>
          </cell>
          <cell r="G682">
            <v>11</v>
          </cell>
          <cell r="H682">
            <v>11</v>
          </cell>
          <cell r="I682">
            <v>0</v>
          </cell>
          <cell r="J682" t="str">
            <v>ASICS</v>
          </cell>
          <cell r="K682" t="str">
            <v>Pr.Sch.R</v>
          </cell>
          <cell r="L682" t="str">
            <v>MOLDED</v>
          </cell>
          <cell r="M682" t="str">
            <v>1-RM-WIP</v>
          </cell>
        </row>
        <row r="683">
          <cell r="A683" t="str">
            <v>F-2026-04-180</v>
          </cell>
          <cell r="B683" t="str">
            <v>RPRO-260415-0105</v>
          </cell>
          <cell r="C683"/>
          <cell r="D683" t="str">
            <v>PVN-003931</v>
          </cell>
          <cell r="E683" t="str">
            <v>OrthoLite X-40-Hybrid RED/19-1764TPX Hybrid Flat Sheet 0.16D 25+/-4 Asker C 1.1M 1.7M 6.5mm</v>
          </cell>
          <cell r="F683">
            <v>21</v>
          </cell>
          <cell r="G683">
            <v>21</v>
          </cell>
          <cell r="H683">
            <v>21</v>
          </cell>
          <cell r="I683">
            <v>0</v>
          </cell>
          <cell r="J683" t="str">
            <v>REDWING</v>
          </cell>
          <cell r="K683" t="str">
            <v>Pr.Sch.R</v>
          </cell>
          <cell r="L683" t="str">
            <v>MOLDED</v>
          </cell>
          <cell r="M683">
            <v>1</v>
          </cell>
        </row>
        <row r="684">
          <cell r="A684" t="str">
            <v>F-2026-04-181</v>
          </cell>
          <cell r="B684" t="str">
            <v>RPRO-260415-0106</v>
          </cell>
          <cell r="C684"/>
          <cell r="D684" t="str">
            <v>PVN-003342</v>
          </cell>
          <cell r="E684" t="str">
            <v>OrthoLite X-25 BILLIARD/16-5427TPX Flat Sheet 0.12D 20+/-4 Asker C 1.1M 2M 4.5mm</v>
          </cell>
          <cell r="F684">
            <v>93</v>
          </cell>
          <cell r="G684">
            <v>93</v>
          </cell>
          <cell r="H684">
            <v>93</v>
          </cell>
          <cell r="I684">
            <v>0</v>
          </cell>
          <cell r="J684" t="str">
            <v>ADIDAS</v>
          </cell>
          <cell r="K684" t="str">
            <v>Pr.Sch.R</v>
          </cell>
          <cell r="L684" t="str">
            <v>MOLDED</v>
          </cell>
          <cell r="M684">
            <v>1</v>
          </cell>
        </row>
        <row r="685">
          <cell r="A685" t="str">
            <v>F-2026-04-182</v>
          </cell>
          <cell r="B685" t="str">
            <v>RPRO-260415-0107</v>
          </cell>
          <cell r="C685"/>
          <cell r="D685" t="str">
            <v>PVN-004076</v>
          </cell>
          <cell r="E685" t="str">
            <v>OrthoLite Regular NEUTRAL GRAY/17-4402TPX Flat Sheet 0.13D 15+/-4 Asker C 1.1M 2M 24mm</v>
          </cell>
          <cell r="F685">
            <v>5</v>
          </cell>
          <cell r="G685">
            <v>5</v>
          </cell>
          <cell r="H685">
            <v>5</v>
          </cell>
          <cell r="I685">
            <v>0</v>
          </cell>
          <cell r="J685" t="str">
            <v>ASICS</v>
          </cell>
          <cell r="K685" t="str">
            <v>Pr.Sch.R</v>
          </cell>
          <cell r="L685" t="str">
            <v>MOLDED</v>
          </cell>
          <cell r="M685">
            <v>1</v>
          </cell>
        </row>
        <row r="686">
          <cell r="A686" t="str">
            <v>F-2026-04-183</v>
          </cell>
          <cell r="B686" t="str">
            <v>RPRO-260415-0108</v>
          </cell>
          <cell r="C686"/>
          <cell r="D686" t="str">
            <v>PVN-003460</v>
          </cell>
          <cell r="E686" t="str">
            <v>OrthoLite X-25-Hybrid SEEDPEARL/12-0703TPX Hybrid Flat Sheet 0.12D 20+/-4 Asker C 1.1M 2M 5.5mm</v>
          </cell>
          <cell r="F686">
            <v>25</v>
          </cell>
          <cell r="G686">
            <v>25</v>
          </cell>
          <cell r="H686">
            <v>0</v>
          </cell>
          <cell r="I686">
            <v>25</v>
          </cell>
          <cell r="J686" t="str">
            <v>ON RUNNING</v>
          </cell>
          <cell r="K686" t="str">
            <v>Pr.Sch.R</v>
          </cell>
          <cell r="L686" t="str">
            <v>MOLDED</v>
          </cell>
          <cell r="M686">
            <v>1</v>
          </cell>
        </row>
        <row r="687">
          <cell r="A687" t="str">
            <v>F-2026-04-184</v>
          </cell>
          <cell r="B687" t="str">
            <v>RPRO-260415-0109</v>
          </cell>
          <cell r="C687"/>
          <cell r="D687" t="str">
            <v>PVN-004223</v>
          </cell>
          <cell r="E687" t="str">
            <v>OrthoLite Float NEUTRAL GRAY/17-4402TPX Flat Sheet 0.12D 21+/-4 Asker C 1.1M 2M 5mm</v>
          </cell>
          <cell r="F687">
            <v>28</v>
          </cell>
          <cell r="G687">
            <v>28</v>
          </cell>
          <cell r="H687">
            <v>28</v>
          </cell>
          <cell r="I687">
            <v>0</v>
          </cell>
          <cell r="J687" t="str">
            <v>PUMA</v>
          </cell>
          <cell r="K687" t="str">
            <v>Pr.Sch.R</v>
          </cell>
          <cell r="L687" t="str">
            <v>DIE CUT</v>
          </cell>
          <cell r="M687">
            <v>1</v>
          </cell>
        </row>
        <row r="688">
          <cell r="A688" t="str">
            <v>F-2026-04-185</v>
          </cell>
          <cell r="B688" t="str">
            <v>RPRO-260415-0110</v>
          </cell>
          <cell r="C688"/>
          <cell r="D688" t="str">
            <v>PVN-004260</v>
          </cell>
          <cell r="E688" t="str">
            <v>OrthoLite HybridPlus-Recycled MINT GREEN/11-4805TPX Hybrid Flat Sheet 0.12D 35+/-4 Asker C 1.1M 2M 5.5mm</v>
          </cell>
          <cell r="F688">
            <v>25</v>
          </cell>
          <cell r="G688">
            <v>25</v>
          </cell>
          <cell r="H688">
            <v>25</v>
          </cell>
          <cell r="I688">
            <v>0</v>
          </cell>
          <cell r="J688" t="str">
            <v>ON RUNNING</v>
          </cell>
          <cell r="K688" t="str">
            <v>Pr.Sch.R</v>
          </cell>
          <cell r="L688" t="str">
            <v>MOLDED</v>
          </cell>
          <cell r="M688">
            <v>1</v>
          </cell>
        </row>
        <row r="689">
          <cell r="A689" t="str">
            <v>F-2026-04-186</v>
          </cell>
          <cell r="B689" t="str">
            <v>RPRO-260415-0111</v>
          </cell>
          <cell r="C689"/>
          <cell r="D689" t="str">
            <v>PVN-003733</v>
          </cell>
          <cell r="E689" t="str">
            <v>OrthoLite X-40-Hybrid SEEDPEARL/12-0703TPX Hybrid Flat Sheet 0.16D 35+/-4 Asker C 1.1M 1.7M 12.5mm</v>
          </cell>
          <cell r="F689">
            <v>10</v>
          </cell>
          <cell r="G689">
            <v>10</v>
          </cell>
          <cell r="H689">
            <v>10</v>
          </cell>
          <cell r="I689">
            <v>0</v>
          </cell>
          <cell r="J689" t="str">
            <v>OBOZ</v>
          </cell>
          <cell r="K689" t="str">
            <v>Pr.Sch.R</v>
          </cell>
          <cell r="L689" t="str">
            <v>MOLDED</v>
          </cell>
          <cell r="M689">
            <v>1</v>
          </cell>
        </row>
        <row r="690">
          <cell r="A690" t="str">
            <v>F-2026-04-187</v>
          </cell>
          <cell r="B690" t="str">
            <v>RPRO-260415-0112</v>
          </cell>
          <cell r="C690"/>
          <cell r="D690" t="str">
            <v>PVN-003653</v>
          </cell>
          <cell r="E690" t="str">
            <v>OrthoLite X-40 CASTLEROCK/18-0201TPX Flat Sheet 0.16D 25+/-4 Asker C 1.1M 1.7M 11mm</v>
          </cell>
          <cell r="F690">
            <v>72</v>
          </cell>
          <cell r="G690">
            <v>72</v>
          </cell>
          <cell r="H690">
            <v>72</v>
          </cell>
          <cell r="I690">
            <v>0</v>
          </cell>
          <cell r="J690" t="str">
            <v>ROA</v>
          </cell>
          <cell r="K690" t="str">
            <v>Pr.Sch.R</v>
          </cell>
          <cell r="L690" t="str">
            <v>MOLDED</v>
          </cell>
          <cell r="M690">
            <v>1</v>
          </cell>
        </row>
        <row r="691">
          <cell r="A691" t="str">
            <v>F-2026-04-188</v>
          </cell>
          <cell r="B691" t="str">
            <v>RPRO-260415-0113</v>
          </cell>
          <cell r="C691"/>
          <cell r="D691" t="str">
            <v>PVN-004184</v>
          </cell>
          <cell r="E691" t="str">
            <v>Ortholite X-25 NEUTRAL GRAY/17-4402TPX Flat Sheet 0.12D 20+/-4 Asker C 1.1M 2M 4mm</v>
          </cell>
          <cell r="F691">
            <v>35</v>
          </cell>
          <cell r="G691">
            <v>35</v>
          </cell>
          <cell r="H691">
            <v>35</v>
          </cell>
          <cell r="I691">
            <v>0</v>
          </cell>
          <cell r="J691" t="str">
            <v>SOLEWORKS</v>
          </cell>
          <cell r="K691" t="str">
            <v>Pr.Sch.R</v>
          </cell>
          <cell r="L691" t="str">
            <v>DIE CUT</v>
          </cell>
          <cell r="M691">
            <v>1</v>
          </cell>
        </row>
        <row r="692">
          <cell r="A692" t="str">
            <v>F-2026-04-189</v>
          </cell>
          <cell r="B692" t="str">
            <v>RPRO-260415-0114</v>
          </cell>
          <cell r="C692"/>
          <cell r="D692" t="str">
            <v>PVN-004186</v>
          </cell>
          <cell r="E692" t="str">
            <v>Ortholite X-25 LIME GREEN/14-0452TPX Flat Sheet 0.12D 20+/-4 Asker C 1.1M 2M 4mm</v>
          </cell>
          <cell r="F692">
            <v>35</v>
          </cell>
          <cell r="G692">
            <v>35</v>
          </cell>
          <cell r="H692">
            <v>35</v>
          </cell>
          <cell r="I692">
            <v>0</v>
          </cell>
          <cell r="J692" t="str">
            <v>SOLEWORKS</v>
          </cell>
          <cell r="K692" t="str">
            <v>Pr.Sch.R</v>
          </cell>
          <cell r="L692" t="str">
            <v>DIE CUT</v>
          </cell>
          <cell r="M692">
            <v>1</v>
          </cell>
        </row>
        <row r="693">
          <cell r="A693" t="str">
            <v>OIN-2026.04.13-01</v>
          </cell>
          <cell r="B693" t="str">
            <v>RPRO-260416-0026</v>
          </cell>
          <cell r="C693"/>
          <cell r="D693" t="str">
            <v>PVN-003780</v>
          </cell>
          <cell r="E693" t="str">
            <v>[116-361] Ultra 25+/-4 Asker C 0.085D Green 16-5932 Tpx 1.10M X 2.00M 47mm</v>
          </cell>
          <cell r="F693">
            <v>453</v>
          </cell>
          <cell r="G693">
            <v>453</v>
          </cell>
          <cell r="H693">
            <v>23</v>
          </cell>
          <cell r="I693">
            <v>430</v>
          </cell>
          <cell r="J693" t="str">
            <v>CLARKS</v>
          </cell>
          <cell r="K693" t="str">
            <v>PO-7092-SO-260413-0185</v>
          </cell>
          <cell r="L693" t="str">
            <v>FLAT SHEET</v>
          </cell>
          <cell r="M693">
            <v>2</v>
          </cell>
        </row>
        <row r="694">
          <cell r="A694" t="str">
            <v>F-2026-04-190</v>
          </cell>
          <cell r="B694" t="str">
            <v>RPRO-260416-0262</v>
          </cell>
          <cell r="C694"/>
          <cell r="D694" t="str">
            <v>PVN-003236</v>
          </cell>
          <cell r="E694" t="str">
            <v>OrthoLite Eco LT-Hybrid-Converse SEEDPEARL/12-0703TPX Hybrid 0.13D 25+/-4 Asker C 1.1M 2M 5mm</v>
          </cell>
          <cell r="F694">
            <v>2069</v>
          </cell>
          <cell r="G694">
            <v>2069</v>
          </cell>
          <cell r="H694">
            <v>2069</v>
          </cell>
          <cell r="I694">
            <v>0</v>
          </cell>
          <cell r="J694"/>
          <cell r="K694" t="str">
            <v>MPS</v>
          </cell>
          <cell r="L694" t="str">
            <v>SPLITTING</v>
          </cell>
          <cell r="M694">
            <v>2</v>
          </cell>
        </row>
        <row r="695">
          <cell r="A695" t="str">
            <v>F-2026-04-191</v>
          </cell>
          <cell r="B695" t="str">
            <v>RPRO-260416-0263</v>
          </cell>
          <cell r="C695"/>
          <cell r="D695" t="str">
            <v>PVN-000101</v>
          </cell>
          <cell r="E695" t="str">
            <v>OrthoLite Regular AIR BLUE/16-4134TPX Flat Sheet 0.11D 25+/-4 Asker C 1.1M 2M 3mm</v>
          </cell>
          <cell r="F695">
            <v>92</v>
          </cell>
          <cell r="G695">
            <v>92</v>
          </cell>
          <cell r="H695">
            <v>92</v>
          </cell>
          <cell r="I695">
            <v>0</v>
          </cell>
          <cell r="J695"/>
          <cell r="K695" t="str">
            <v>MPS</v>
          </cell>
          <cell r="L695" t="str">
            <v>SPLITTING</v>
          </cell>
          <cell r="M695">
            <v>2</v>
          </cell>
        </row>
        <row r="696">
          <cell r="A696" t="str">
            <v>F-2026-04-192</v>
          </cell>
          <cell r="B696" t="str">
            <v>RPRO-260416-0264</v>
          </cell>
          <cell r="C696"/>
          <cell r="D696" t="str">
            <v>PVN-001277</v>
          </cell>
          <cell r="E696" t="str">
            <v>OrthoLite Ultra GREEN/16-5932TPX Flat Sheet 0.085D 25+/-4 Asker C 1.1M 2M 4mm</v>
          </cell>
          <cell r="F696">
            <v>1330</v>
          </cell>
          <cell r="G696">
            <v>1330</v>
          </cell>
          <cell r="H696">
            <v>1330</v>
          </cell>
          <cell r="I696">
            <v>0</v>
          </cell>
          <cell r="J696"/>
          <cell r="K696" t="str">
            <v>MPS</v>
          </cell>
          <cell r="L696" t="str">
            <v>SPLITTING</v>
          </cell>
          <cell r="M696">
            <v>2</v>
          </cell>
        </row>
        <row r="697">
          <cell r="A697" t="str">
            <v>F-2026-04-193</v>
          </cell>
          <cell r="B697" t="str">
            <v>RPRO-260416-0265</v>
          </cell>
          <cell r="C697"/>
          <cell r="D697" t="str">
            <v>PVN-001319</v>
          </cell>
          <cell r="E697" t="str">
            <v>OrthoLite Ultra GREEN/16-5932TPX 0.085D 25+/-4 Asker C 1.1M 2M 5mm</v>
          </cell>
          <cell r="F697">
            <v>224</v>
          </cell>
          <cell r="G697">
            <v>224</v>
          </cell>
          <cell r="H697">
            <v>224</v>
          </cell>
          <cell r="I697">
            <v>0</v>
          </cell>
          <cell r="J697"/>
          <cell r="K697" t="str">
            <v>MPS</v>
          </cell>
          <cell r="L697" t="str">
            <v>SPLITTING</v>
          </cell>
          <cell r="M697">
            <v>2</v>
          </cell>
        </row>
        <row r="698">
          <cell r="A698" t="str">
            <v>F-2026-04-194</v>
          </cell>
          <cell r="B698" t="str">
            <v>RPRO-260416-0266</v>
          </cell>
          <cell r="C698"/>
          <cell r="D698" t="str">
            <v>PVN-004000</v>
          </cell>
          <cell r="E698" t="str">
            <v>OrthoLite X-35-Nike YELLOW/13-0858TPX Flat Sheet 0.145D 25+/-4 Asker C 1.1M 2M 5.5mm</v>
          </cell>
          <cell r="F698">
            <v>225</v>
          </cell>
          <cell r="G698">
            <v>225</v>
          </cell>
          <cell r="H698">
            <v>225</v>
          </cell>
          <cell r="I698">
            <v>0</v>
          </cell>
          <cell r="J698"/>
          <cell r="K698" t="str">
            <v>MPS</v>
          </cell>
          <cell r="L698" t="str">
            <v>SPLITTING</v>
          </cell>
          <cell r="M698">
            <v>2</v>
          </cell>
        </row>
        <row r="699">
          <cell r="A699" t="str">
            <v>F-2026-04-195</v>
          </cell>
          <cell r="B699" t="str">
            <v>RPRO-260416-0267</v>
          </cell>
          <cell r="C699"/>
          <cell r="D699" t="str">
            <v>PVN-004188</v>
          </cell>
          <cell r="E699" t="str">
            <v>OrthoLite Float NEUTRAL GRAY/17-4402TPX Flat Sheet 0.12D 21+/-4 Asker C 1.1M 1.47M 5.5mm</v>
          </cell>
          <cell r="F699">
            <v>375</v>
          </cell>
          <cell r="G699">
            <v>375</v>
          </cell>
          <cell r="H699">
            <v>375</v>
          </cell>
          <cell r="I699">
            <v>0</v>
          </cell>
          <cell r="J699" t="str">
            <v>PUMA</v>
          </cell>
          <cell r="K699" t="str">
            <v>Pr.Sch.R</v>
          </cell>
          <cell r="L699" t="str">
            <v>MOLDED</v>
          </cell>
          <cell r="M699">
            <v>1</v>
          </cell>
        </row>
        <row r="700">
          <cell r="A700" t="str">
            <v>F-2026-04-196</v>
          </cell>
          <cell r="B700" t="str">
            <v>RPRO-260416-0268</v>
          </cell>
          <cell r="C700"/>
          <cell r="D700" t="str">
            <v>PVN-000505</v>
          </cell>
          <cell r="E700" t="str">
            <v>OrthoLite Regular LIME GREEN/14-0452TPX Flat Sheet 0.11D 25+/-4 Asker C 1.1M 2M 12mm</v>
          </cell>
          <cell r="F700">
            <v>22</v>
          </cell>
          <cell r="G700">
            <v>22</v>
          </cell>
          <cell r="H700">
            <v>22</v>
          </cell>
          <cell r="I700">
            <v>0</v>
          </cell>
          <cell r="J700" t="str">
            <v>ASICS</v>
          </cell>
          <cell r="K700" t="str">
            <v>Pr.Sch.R</v>
          </cell>
          <cell r="L700" t="str">
            <v>MOLDED</v>
          </cell>
          <cell r="M700" t="str">
            <v>1-RM-WIP</v>
          </cell>
        </row>
        <row r="701">
          <cell r="A701" t="str">
            <v>F-2026-04-197</v>
          </cell>
          <cell r="B701" t="str">
            <v>RPRO-260416-0269</v>
          </cell>
          <cell r="C701"/>
          <cell r="D701" t="str">
            <v>PVN-004178</v>
          </cell>
          <cell r="E701" t="str">
            <v>OrthoLite Float NEUTRAL GRAY/17-4402TPX Flat Sheet 0.12D 21+/-4 Asker C 1.1M 2M 5.5mm</v>
          </cell>
          <cell r="F701">
            <v>600</v>
          </cell>
          <cell r="G701">
            <v>600</v>
          </cell>
          <cell r="H701">
            <v>600</v>
          </cell>
          <cell r="I701">
            <v>0</v>
          </cell>
          <cell r="J701" t="str">
            <v>PUMA</v>
          </cell>
          <cell r="K701" t="str">
            <v>Pr.Sch.R</v>
          </cell>
          <cell r="L701" t="str">
            <v>MOLDED</v>
          </cell>
          <cell r="M701">
            <v>1</v>
          </cell>
        </row>
        <row r="702">
          <cell r="A702" t="str">
            <v>F-2026-04-198</v>
          </cell>
          <cell r="B702" t="str">
            <v>RPRO-260416-0270</v>
          </cell>
          <cell r="C702"/>
          <cell r="D702" t="str">
            <v>PVN-003347</v>
          </cell>
          <cell r="E702" t="str">
            <v>OrthoLite X-40-Nike TRUE BLUE/19-4057TPX Flat Sheet 0.16D 35+/-4 Asker C 1.1M 1.7M 4mm</v>
          </cell>
          <cell r="F702">
            <v>105</v>
          </cell>
          <cell r="G702">
            <v>105</v>
          </cell>
          <cell r="H702">
            <v>105</v>
          </cell>
          <cell r="I702">
            <v>0</v>
          </cell>
          <cell r="J702" t="str">
            <v>NIKE</v>
          </cell>
          <cell r="K702" t="str">
            <v>Pr.Sch.R</v>
          </cell>
          <cell r="L702" t="str">
            <v>LAMINATING</v>
          </cell>
          <cell r="M702">
            <v>1</v>
          </cell>
        </row>
        <row r="703">
          <cell r="A703" t="str">
            <v>F-2026-04-200</v>
          </cell>
          <cell r="B703" t="str">
            <v>RPRO-260416-0272</v>
          </cell>
          <cell r="C703"/>
          <cell r="D703" t="str">
            <v>PVN-003671</v>
          </cell>
          <cell r="E703" t="str">
            <v>OrthoLite Eco LT-Hybrid SEEDPEARL/12-0703TPX Hybrid Flat Sheet 0.11D 25+/-4 Asker C 1.1M 2M 13mm</v>
          </cell>
          <cell r="F703">
            <v>10</v>
          </cell>
          <cell r="G703">
            <v>10</v>
          </cell>
          <cell r="H703">
            <v>10</v>
          </cell>
          <cell r="I703">
            <v>0</v>
          </cell>
          <cell r="J703" t="str">
            <v>NEW BALANCE</v>
          </cell>
          <cell r="K703" t="str">
            <v>Pr.Sch.R</v>
          </cell>
          <cell r="L703" t="str">
            <v>MOLDED</v>
          </cell>
          <cell r="M703">
            <v>1</v>
          </cell>
        </row>
        <row r="704">
          <cell r="A704" t="str">
            <v>F-2026-04-201</v>
          </cell>
          <cell r="B704" t="str">
            <v>RPRO-260416-0273</v>
          </cell>
          <cell r="C704"/>
          <cell r="D704" t="str">
            <v>PVN-000060</v>
          </cell>
          <cell r="E704" t="str">
            <v>OrthoLite Regular GREY/17-1501TPX Flat Sheet 0.11D 25+/-4 Asker C 1.1M 2M 14mm</v>
          </cell>
          <cell r="F704">
            <v>180</v>
          </cell>
          <cell r="G704">
            <v>180</v>
          </cell>
          <cell r="H704">
            <v>180</v>
          </cell>
          <cell r="I704">
            <v>0</v>
          </cell>
          <cell r="J704" t="str">
            <v>DANNER</v>
          </cell>
          <cell r="K704" t="str">
            <v>Pr.Sch.R</v>
          </cell>
          <cell r="L704" t="str">
            <v>MOLDED</v>
          </cell>
          <cell r="M704">
            <v>1</v>
          </cell>
        </row>
        <row r="705">
          <cell r="A705" t="str">
            <v>F-2026-04-202</v>
          </cell>
          <cell r="B705" t="str">
            <v>RPRO-260416-0274</v>
          </cell>
          <cell r="C705"/>
          <cell r="D705" t="str">
            <v>PVN-001554</v>
          </cell>
          <cell r="E705" t="str">
            <v>OrthoLite Ultra-Nike YELLOW/13-0858TPX Flat Sheet 0.085D 15+/-4 Asker C 1.1M 2M 3mm</v>
          </cell>
          <cell r="F705">
            <v>46</v>
          </cell>
          <cell r="G705">
            <v>46</v>
          </cell>
          <cell r="H705">
            <v>46</v>
          </cell>
          <cell r="I705">
            <v>0</v>
          </cell>
          <cell r="J705" t="str">
            <v>NIKE</v>
          </cell>
          <cell r="K705" t="str">
            <v>Pr.Sch.R</v>
          </cell>
          <cell r="L705" t="str">
            <v>DIE CUT</v>
          </cell>
          <cell r="M705">
            <v>1</v>
          </cell>
        </row>
        <row r="706">
          <cell r="A706" t="str">
            <v>F-2026-04-203</v>
          </cell>
          <cell r="B706" t="str">
            <v>RPRO-260416-0275</v>
          </cell>
          <cell r="C706"/>
          <cell r="D706" t="str">
            <v>PVN-003503</v>
          </cell>
          <cell r="E706" t="str">
            <v>OrthoLite Ultra-Hybrid-Nike SEEDPEARL/12-0703TPX Hybrid Flat Sheet 0.085D 15+/-4 Asker C 1.1M 2M 3mm</v>
          </cell>
          <cell r="F706">
            <v>92</v>
          </cell>
          <cell r="G706">
            <v>92</v>
          </cell>
          <cell r="H706">
            <v>92</v>
          </cell>
          <cell r="I706">
            <v>0</v>
          </cell>
          <cell r="J706" t="str">
            <v>NIKE</v>
          </cell>
          <cell r="K706" t="str">
            <v>Pr.Sch.R</v>
          </cell>
          <cell r="L706" t="str">
            <v>DIE CUT</v>
          </cell>
          <cell r="M706">
            <v>1</v>
          </cell>
        </row>
        <row r="707">
          <cell r="A707" t="str">
            <v>F-2026-04-204</v>
          </cell>
          <cell r="B707" t="str">
            <v>FPRO-260415-0001</v>
          </cell>
          <cell r="C707"/>
          <cell r="D707" t="str">
            <v>PVN-004178</v>
          </cell>
          <cell r="E707" t="str">
            <v>OrthoLite Float NEUTRAL GRAY/17-4402TPX Flat Sheet 0.12D 21+/-4 Asker C 1.1M 2M 5.5mm</v>
          </cell>
          <cell r="F707">
            <v>1000</v>
          </cell>
          <cell r="G707">
            <v>1000</v>
          </cell>
          <cell r="H707">
            <v>1000</v>
          </cell>
          <cell r="I707">
            <v>0</v>
          </cell>
          <cell r="J707" t="str">
            <v>PUMA</v>
          </cell>
          <cell r="K707" t="str">
            <v>Forecast</v>
          </cell>
          <cell r="L707" t="str">
            <v>MOLDED</v>
          </cell>
          <cell r="M707" t="str">
            <v>1-SLT</v>
          </cell>
        </row>
        <row r="708">
          <cell r="A708" t="str">
            <v>F-2026-04-205</v>
          </cell>
          <cell r="B708" t="str">
            <v>FPRO-260415-0002</v>
          </cell>
          <cell r="C708"/>
          <cell r="D708" t="str">
            <v>PVN-004178</v>
          </cell>
          <cell r="E708" t="str">
            <v>OrthoLite Float NEUTRAL GRAY/17-4402TPX Flat Sheet 0.12D 21+/-4 Asker C 1.1M 2M 5.5mm</v>
          </cell>
          <cell r="F708">
            <v>1000</v>
          </cell>
          <cell r="G708">
            <v>1000</v>
          </cell>
          <cell r="H708">
            <v>0</v>
          </cell>
          <cell r="I708">
            <v>1000</v>
          </cell>
          <cell r="J708" t="str">
            <v>PUMA</v>
          </cell>
          <cell r="K708" t="str">
            <v>Forecast</v>
          </cell>
          <cell r="L708" t="str">
            <v>MOLDED</v>
          </cell>
          <cell r="M708" t="str">
            <v>1-SLT</v>
          </cell>
        </row>
        <row r="709">
          <cell r="A709" t="str">
            <v>F-2026-04-206</v>
          </cell>
          <cell r="B709" t="str">
            <v>FPRO-260415-0003</v>
          </cell>
          <cell r="C709"/>
          <cell r="D709" t="str">
            <v>PVN-004178</v>
          </cell>
          <cell r="E709" t="str">
            <v>OrthoLite Float NEUTRAL GRAY/17-4402TPX Flat Sheet 0.12D 21+/-4 Asker C 1.1M 2M 5.5mm</v>
          </cell>
          <cell r="F709">
            <v>1000</v>
          </cell>
          <cell r="G709">
            <v>1000</v>
          </cell>
          <cell r="H709">
            <v>0</v>
          </cell>
          <cell r="I709">
            <v>1000</v>
          </cell>
          <cell r="J709" t="str">
            <v>PUMA</v>
          </cell>
          <cell r="K709" t="str">
            <v>Forecast</v>
          </cell>
          <cell r="L709" t="str">
            <v>MOLDED</v>
          </cell>
          <cell r="M709" t="str">
            <v>1-SLT</v>
          </cell>
        </row>
        <row r="710">
          <cell r="A710" t="str">
            <v>F-2026-04-207</v>
          </cell>
          <cell r="B710" t="str">
            <v>FPRO-260415-0004</v>
          </cell>
          <cell r="C710"/>
          <cell r="D710" t="str">
            <v>PVN-004178</v>
          </cell>
          <cell r="E710" t="str">
            <v>OrthoLite Float NEUTRAL GRAY/17-4402TPX Flat Sheet 0.12D 21+/-4 Asker C 1.1M 2M 5.5mm</v>
          </cell>
          <cell r="F710">
            <v>1000</v>
          </cell>
          <cell r="G710">
            <v>1000</v>
          </cell>
          <cell r="H710">
            <v>0</v>
          </cell>
          <cell r="I710">
            <v>1000</v>
          </cell>
          <cell r="J710" t="str">
            <v>PUMA</v>
          </cell>
          <cell r="K710" t="str">
            <v>Forecast</v>
          </cell>
          <cell r="L710" t="str">
            <v>MOLDED</v>
          </cell>
          <cell r="M710" t="str">
            <v>1-SLT</v>
          </cell>
        </row>
        <row r="711">
          <cell r="A711" t="str">
            <v>F-2026-04-208</v>
          </cell>
          <cell r="B711" t="str">
            <v>FPRO-260415-0005</v>
          </cell>
          <cell r="C711"/>
          <cell r="D711" t="str">
            <v>PVN-004178</v>
          </cell>
          <cell r="E711" t="str">
            <v>OrthoLite Float NEUTRAL GRAY/17-4402TPX Flat Sheet 0.12D 21+/-4 Asker C 1.1M 2M 5.5mm</v>
          </cell>
          <cell r="F711">
            <v>1000</v>
          </cell>
          <cell r="G711">
            <v>1000</v>
          </cell>
          <cell r="H711">
            <v>0</v>
          </cell>
          <cell r="I711">
            <v>1000</v>
          </cell>
          <cell r="J711" t="str">
            <v>PUMA</v>
          </cell>
          <cell r="K711" t="str">
            <v>Forecast</v>
          </cell>
          <cell r="L711" t="str">
            <v>MOLDED</v>
          </cell>
          <cell r="M711" t="str">
            <v>1-SLT</v>
          </cell>
        </row>
        <row r="712">
          <cell r="A712" t="str">
            <v>F-2026-04-209</v>
          </cell>
          <cell r="B712" t="str">
            <v>FPRO-260415-0006</v>
          </cell>
          <cell r="C712"/>
          <cell r="D712" t="str">
            <v>PVN-004178</v>
          </cell>
          <cell r="E712" t="str">
            <v>OrthoLite Float NEUTRAL GRAY/17-4402TPX Flat Sheet 0.12D 21+/-4 Asker C 1.1M 2M 5.5mm</v>
          </cell>
          <cell r="F712">
            <v>1000</v>
          </cell>
          <cell r="G712">
            <v>1000</v>
          </cell>
          <cell r="H712">
            <v>0</v>
          </cell>
          <cell r="I712">
            <v>1000</v>
          </cell>
          <cell r="J712" t="str">
            <v>PUMA</v>
          </cell>
          <cell r="K712" t="str">
            <v>Forecast</v>
          </cell>
          <cell r="L712" t="str">
            <v>MOLDED</v>
          </cell>
          <cell r="M712" t="str">
            <v>1-SLT</v>
          </cell>
        </row>
        <row r="713">
          <cell r="A713" t="str">
            <v>F-2026-04-210</v>
          </cell>
          <cell r="B713" t="str">
            <v>FPRO-260415-0007</v>
          </cell>
          <cell r="C713"/>
          <cell r="D713" t="str">
            <v>PVN-004178</v>
          </cell>
          <cell r="E713" t="str">
            <v>OrthoLite Float NEUTRAL GRAY/17-4402TPX Flat Sheet 0.12D 21+/-4 Asker C 1.1M 2M 5.5mm</v>
          </cell>
          <cell r="F713">
            <v>350</v>
          </cell>
          <cell r="G713">
            <v>350</v>
          </cell>
          <cell r="H713">
            <v>0</v>
          </cell>
          <cell r="I713">
            <v>350</v>
          </cell>
          <cell r="J713" t="str">
            <v>PUMA</v>
          </cell>
          <cell r="K713" t="str">
            <v>Forecast</v>
          </cell>
          <cell r="L713" t="str">
            <v>MOLDED</v>
          </cell>
          <cell r="M713" t="str">
            <v>1-SLT</v>
          </cell>
        </row>
        <row r="714">
          <cell r="A714" t="str">
            <v>F-2026-04-211</v>
          </cell>
          <cell r="B714" t="str">
            <v>FPRO-260415-0008</v>
          </cell>
          <cell r="C714"/>
          <cell r="D714" t="str">
            <v>PVN-004188</v>
          </cell>
          <cell r="E714" t="str">
            <v>OrthoLite Float NEUTRAL GRAY/17-4402TPX Flat Sheet 0.12D 21+/-4 Asker C 1.1M 1.47M 5.5mm</v>
          </cell>
          <cell r="F714">
            <v>1000</v>
          </cell>
          <cell r="G714">
            <v>1000</v>
          </cell>
          <cell r="H714">
            <v>1000</v>
          </cell>
          <cell r="I714">
            <v>0</v>
          </cell>
          <cell r="J714" t="str">
            <v>PUMA</v>
          </cell>
          <cell r="K714" t="str">
            <v>Forecast</v>
          </cell>
          <cell r="L714" t="str">
            <v>MOLDED</v>
          </cell>
          <cell r="M714" t="str">
            <v>1-SLT</v>
          </cell>
        </row>
        <row r="715">
          <cell r="A715" t="str">
            <v>F-2026-04-212</v>
          </cell>
          <cell r="B715" t="str">
            <v>FPRO-260415-0009</v>
          </cell>
          <cell r="C715"/>
          <cell r="D715" t="str">
            <v>PVN-004188</v>
          </cell>
          <cell r="E715" t="str">
            <v>OrthoLite Float NEUTRAL GRAY/17-4402TPX Flat Sheet 0.12D 21+/-4 Asker C 1.1M 1.47M 5.5mm</v>
          </cell>
          <cell r="F715">
            <v>1000</v>
          </cell>
          <cell r="G715">
            <v>1000</v>
          </cell>
          <cell r="H715">
            <v>0</v>
          </cell>
          <cell r="I715">
            <v>1000</v>
          </cell>
          <cell r="J715" t="str">
            <v>PUMA</v>
          </cell>
          <cell r="K715" t="str">
            <v>Forecast</v>
          </cell>
          <cell r="L715" t="str">
            <v>MOLDED</v>
          </cell>
          <cell r="M715" t="str">
            <v>1-SLT</v>
          </cell>
        </row>
        <row r="716">
          <cell r="A716" t="str">
            <v>F-2026-04-213</v>
          </cell>
          <cell r="B716" t="str">
            <v>FPRO-260415-0010</v>
          </cell>
          <cell r="C716"/>
          <cell r="D716" t="str">
            <v>PVN-004188</v>
          </cell>
          <cell r="E716" t="str">
            <v>OrthoLite Float NEUTRAL GRAY/17-4402TPX Flat Sheet 0.12D 21+/-4 Asker C 1.1M 1.47M 5.5mm</v>
          </cell>
          <cell r="F716">
            <v>550</v>
          </cell>
          <cell r="G716">
            <v>550</v>
          </cell>
          <cell r="H716">
            <v>0</v>
          </cell>
          <cell r="I716">
            <v>550</v>
          </cell>
          <cell r="J716" t="str">
            <v>PUMA</v>
          </cell>
          <cell r="K716" t="str">
            <v>Forecast</v>
          </cell>
          <cell r="L716" t="str">
            <v>MOLDED</v>
          </cell>
          <cell r="M716" t="str">
            <v>1-SLT</v>
          </cell>
        </row>
        <row r="717">
          <cell r="A717" t="str">
            <v>F-2026-04-214-1</v>
          </cell>
          <cell r="B717" t="str">
            <v>FPRO-260415-0011</v>
          </cell>
          <cell r="C717"/>
          <cell r="D717" t="str">
            <v>PVN-003550</v>
          </cell>
          <cell r="E717" t="str">
            <v>OrthoLite HybridPlus-Recycled MINT GREEN/11-4805TPX Hybrid 0.12D 25+/-4 Asker C 1.1M 2M 6mm</v>
          </cell>
          <cell r="F717">
            <v>2000</v>
          </cell>
          <cell r="G717">
            <v>1000</v>
          </cell>
          <cell r="H717">
            <v>0</v>
          </cell>
          <cell r="I717">
            <v>1000</v>
          </cell>
          <cell r="J717" t="str">
            <v>ON RUNNING</v>
          </cell>
          <cell r="K717" t="str">
            <v>Forecast</v>
          </cell>
          <cell r="L717" t="str">
            <v>MOLDED</v>
          </cell>
          <cell r="M717">
            <v>1</v>
          </cell>
        </row>
        <row r="718">
          <cell r="A718" t="str">
            <v>F-2026-04-214-2</v>
          </cell>
          <cell r="B718"/>
          <cell r="C718"/>
          <cell r="D718" t="str">
            <v>PVN-003550</v>
          </cell>
          <cell r="E718" t="str">
            <v>OrthoLite HybridPlus-Recycled MINT GREEN/11-4805TPX Hybrid 0.12D 25+/-4 Asker C 1.1M 2M 6mm</v>
          </cell>
          <cell r="F718">
            <v>2000</v>
          </cell>
          <cell r="G718">
            <v>1000</v>
          </cell>
          <cell r="H718">
            <v>0</v>
          </cell>
          <cell r="I718">
            <v>1000</v>
          </cell>
          <cell r="J718" t="str">
            <v>ON RUNNING</v>
          </cell>
          <cell r="K718" t="str">
            <v>Forecast</v>
          </cell>
          <cell r="L718" t="str">
            <v>MOLDED</v>
          </cell>
          <cell r="M718">
            <v>1</v>
          </cell>
        </row>
        <row r="719">
          <cell r="A719" t="str">
            <v>F-2026-04-215-1</v>
          </cell>
          <cell r="B719" t="str">
            <v>FPRO-260415-0012</v>
          </cell>
          <cell r="C719"/>
          <cell r="D719" t="str">
            <v>PVN-003550</v>
          </cell>
          <cell r="E719" t="str">
            <v>OrthoLite HybridPlus-Recycled MINT GREEN/11-4805TPX Hybrid 0.12D 25+/-4 Asker C 1.1M 2M 6mm</v>
          </cell>
          <cell r="F719">
            <v>1900</v>
          </cell>
          <cell r="G719">
            <v>500</v>
          </cell>
          <cell r="H719">
            <v>0</v>
          </cell>
          <cell r="I719">
            <v>500</v>
          </cell>
          <cell r="J719" t="str">
            <v>ON RUNNING</v>
          </cell>
          <cell r="K719" t="str">
            <v>Forecast</v>
          </cell>
          <cell r="L719" t="str">
            <v>MOLDED</v>
          </cell>
          <cell r="M719">
            <v>1</v>
          </cell>
        </row>
        <row r="720">
          <cell r="A720" t="str">
            <v>F-2026-04-215-2</v>
          </cell>
          <cell r="B720" t="str">
            <v>FPRO-260507-0006</v>
          </cell>
          <cell r="C720"/>
          <cell r="D720" t="str">
            <v>PVN-003550</v>
          </cell>
          <cell r="E720" t="str">
            <v>OrthoLite HybridPlus-Recycled MINT GREEN/11-4805TPX Hybrid 0.12D 25+/-4 Asker C 1.1M 2M 6mm</v>
          </cell>
          <cell r="F720">
            <v>1900</v>
          </cell>
          <cell r="G720">
            <v>1400</v>
          </cell>
          <cell r="H720">
            <v>0</v>
          </cell>
          <cell r="I720">
            <v>1400</v>
          </cell>
          <cell r="J720" t="str">
            <v>ON RUNNING</v>
          </cell>
          <cell r="K720" t="str">
            <v>Forecast</v>
          </cell>
          <cell r="L720" t="str">
            <v>MOLDED</v>
          </cell>
          <cell r="M720">
            <v>1</v>
          </cell>
        </row>
        <row r="721">
          <cell r="A721" t="str">
            <v>F-2026-04-216</v>
          </cell>
          <cell r="B721" t="str">
            <v>FPRO-260415-0013</v>
          </cell>
          <cell r="C721"/>
          <cell r="D721" t="str">
            <v>PVN-004147</v>
          </cell>
          <cell r="E721" t="str">
            <v>OrthoLite X-25 SEEDPEARL/12-0703TPX Flat Sheet 0.12D 20+/-4 Asker C 1.1M 2M 5.5mm</v>
          </cell>
          <cell r="F721">
            <v>100</v>
          </cell>
          <cell r="G721">
            <v>100</v>
          </cell>
          <cell r="H721">
            <v>0</v>
          </cell>
          <cell r="I721">
            <v>100</v>
          </cell>
          <cell r="J721" t="str">
            <v>ON RUNNING</v>
          </cell>
          <cell r="K721" t="str">
            <v>Forecast</v>
          </cell>
          <cell r="L721" t="str">
            <v>MOLDED</v>
          </cell>
          <cell r="M721">
            <v>1</v>
          </cell>
        </row>
        <row r="722">
          <cell r="A722" t="str">
            <v>F-2026-04-217</v>
          </cell>
          <cell r="B722" t="str">
            <v>FPRO-260415-0014</v>
          </cell>
          <cell r="C722"/>
          <cell r="D722" t="str">
            <v>PVN-004231</v>
          </cell>
          <cell r="E722" t="str">
            <v>OrthoLite HybridPlus-Recycled CASTLEROCK/18-0201TPX Hybrid 0.12D 25+/-4 Asker C 1.1M 2M 4.5mm</v>
          </cell>
          <cell r="F722">
            <v>1100</v>
          </cell>
          <cell r="G722">
            <v>1100</v>
          </cell>
          <cell r="H722">
            <v>0</v>
          </cell>
          <cell r="I722">
            <v>1100</v>
          </cell>
          <cell r="J722" t="str">
            <v>ON RUNNING</v>
          </cell>
          <cell r="K722" t="str">
            <v>Forecast</v>
          </cell>
          <cell r="L722" t="str">
            <v>MOLDED</v>
          </cell>
          <cell r="M722">
            <v>1</v>
          </cell>
        </row>
        <row r="723">
          <cell r="A723" t="str">
            <v>F-2026-04-218</v>
          </cell>
          <cell r="B723" t="str">
            <v>FPRO-260416-0003</v>
          </cell>
          <cell r="C723"/>
          <cell r="D723" t="str">
            <v>PVN-002501</v>
          </cell>
          <cell r="E723" t="str">
            <v>OrthoLite Regular-Hybrid SEEDPEARL/12-0703TPX Hybrid Flat Sheet 0.11D 25+/-4 Asker C 1.1M 2M 2mm</v>
          </cell>
          <cell r="F723">
            <v>1000</v>
          </cell>
          <cell r="G723">
            <v>1000</v>
          </cell>
          <cell r="H723">
            <v>0</v>
          </cell>
          <cell r="I723">
            <v>1000</v>
          </cell>
          <cell r="J723" t="str">
            <v>ASICS</v>
          </cell>
          <cell r="K723" t="str">
            <v>Forecast</v>
          </cell>
          <cell r="L723" t="str">
            <v>SPLITTING</v>
          </cell>
          <cell r="M723">
            <v>2</v>
          </cell>
        </row>
        <row r="724">
          <cell r="A724" t="str">
            <v>F-2026-04-219</v>
          </cell>
          <cell r="B724" t="str">
            <v>FPRO-260416-0004</v>
          </cell>
          <cell r="C724"/>
          <cell r="D724" t="str">
            <v>PVN-002501</v>
          </cell>
          <cell r="E724" t="str">
            <v>OrthoLite Regular-Hybrid SEEDPEARL/12-0703TPX Hybrid Flat Sheet 0.11D 25+/-4 Asker C 1.1M 2M 2mm</v>
          </cell>
          <cell r="F724">
            <v>1000</v>
          </cell>
          <cell r="G724">
            <v>1000</v>
          </cell>
          <cell r="H724">
            <v>0</v>
          </cell>
          <cell r="I724">
            <v>1000</v>
          </cell>
          <cell r="J724" t="str">
            <v>ASICS</v>
          </cell>
          <cell r="K724" t="str">
            <v>Forecast</v>
          </cell>
          <cell r="L724" t="str">
            <v>SPLITTING</v>
          </cell>
          <cell r="M724">
            <v>2</v>
          </cell>
        </row>
        <row r="725">
          <cell r="A725" t="str">
            <v>F-2026-04-220</v>
          </cell>
          <cell r="B725" t="str">
            <v>FPRO-260416-0005</v>
          </cell>
          <cell r="C725"/>
          <cell r="D725" t="str">
            <v>PVN-002501</v>
          </cell>
          <cell r="E725" t="str">
            <v>OrthoLite Regular-Hybrid SEEDPEARL/12-0703TPX Hybrid Flat Sheet 0.11D 25+/-4 Asker C 1.1M 2M 2mm</v>
          </cell>
          <cell r="F725">
            <v>1000</v>
          </cell>
          <cell r="G725">
            <v>1000</v>
          </cell>
          <cell r="H725">
            <v>0</v>
          </cell>
          <cell r="I725">
            <v>1000</v>
          </cell>
          <cell r="J725" t="str">
            <v>ASICS</v>
          </cell>
          <cell r="K725" t="str">
            <v>Forecast</v>
          </cell>
          <cell r="L725" t="str">
            <v>SPLITTING</v>
          </cell>
          <cell r="M725">
            <v>2</v>
          </cell>
        </row>
        <row r="726">
          <cell r="A726" t="str">
            <v>F-2026-04-221</v>
          </cell>
          <cell r="B726" t="str">
            <v>FPRO-260416-0006</v>
          </cell>
          <cell r="C726"/>
          <cell r="D726" t="str">
            <v>PVN-002501</v>
          </cell>
          <cell r="E726" t="str">
            <v>OrthoLite Regular-Hybrid SEEDPEARL/12-0703TPX Hybrid Flat Sheet 0.11D 25+/-4 Asker C 1.1M 2M 2mm</v>
          </cell>
          <cell r="F726">
            <v>1000</v>
          </cell>
          <cell r="G726">
            <v>1000</v>
          </cell>
          <cell r="H726">
            <v>0</v>
          </cell>
          <cell r="I726">
            <v>1000</v>
          </cell>
          <cell r="J726" t="str">
            <v>ASICS</v>
          </cell>
          <cell r="K726" t="str">
            <v>Forecast</v>
          </cell>
          <cell r="L726" t="str">
            <v>SPLITTING</v>
          </cell>
          <cell r="M726">
            <v>2</v>
          </cell>
        </row>
        <row r="727">
          <cell r="A727" t="str">
            <v>F-2026-04-222</v>
          </cell>
          <cell r="B727" t="str">
            <v>FPRO-260416-0007</v>
          </cell>
          <cell r="C727"/>
          <cell r="D727" t="str">
            <v>PVN-002501</v>
          </cell>
          <cell r="E727" t="str">
            <v>OrthoLite Regular-Hybrid SEEDPEARL/12-0703TPX Hybrid Flat Sheet 0.11D 25+/-4 Asker C 1.1M 2M 2mm</v>
          </cell>
          <cell r="F727">
            <v>1000</v>
          </cell>
          <cell r="G727">
            <v>1000</v>
          </cell>
          <cell r="H727">
            <v>0</v>
          </cell>
          <cell r="I727">
            <v>1000</v>
          </cell>
          <cell r="J727" t="str">
            <v>ASICS</v>
          </cell>
          <cell r="K727" t="str">
            <v>Forecast</v>
          </cell>
          <cell r="L727" t="str">
            <v>SPLITTING</v>
          </cell>
          <cell r="M727">
            <v>2</v>
          </cell>
        </row>
        <row r="728">
          <cell r="A728" t="str">
            <v>F-2026-04-223</v>
          </cell>
          <cell r="B728" t="str">
            <v>FPRO-260416-0008</v>
          </cell>
          <cell r="C728"/>
          <cell r="D728" t="str">
            <v>PVN-002501</v>
          </cell>
          <cell r="E728" t="str">
            <v>OrthoLite Regular-Hybrid SEEDPEARL/12-0703TPX Hybrid Flat Sheet 0.11D 25+/-4 Asker C 1.1M 2M 2mm</v>
          </cell>
          <cell r="F728">
            <v>1000</v>
          </cell>
          <cell r="G728">
            <v>1000</v>
          </cell>
          <cell r="H728">
            <v>0</v>
          </cell>
          <cell r="I728">
            <v>1000</v>
          </cell>
          <cell r="J728" t="str">
            <v>ASICS</v>
          </cell>
          <cell r="K728" t="str">
            <v>Forecast</v>
          </cell>
          <cell r="L728" t="str">
            <v>SPLITTING</v>
          </cell>
          <cell r="M728">
            <v>2</v>
          </cell>
        </row>
        <row r="729">
          <cell r="A729" t="str">
            <v>F-2026-04-224</v>
          </cell>
          <cell r="B729" t="str">
            <v>FPRO-260416-0009</v>
          </cell>
          <cell r="C729"/>
          <cell r="D729" t="str">
            <v>PVN-002501</v>
          </cell>
          <cell r="E729" t="str">
            <v>OrthoLite Regular-Hybrid SEEDPEARL/12-0703TPX Hybrid Flat Sheet 0.11D 25+/-4 Asker C 1.1M 2M 2mm</v>
          </cell>
          <cell r="F729">
            <v>1000</v>
          </cell>
          <cell r="G729">
            <v>1000</v>
          </cell>
          <cell r="H729">
            <v>0</v>
          </cell>
          <cell r="I729">
            <v>1000</v>
          </cell>
          <cell r="J729" t="str">
            <v>ASICS</v>
          </cell>
          <cell r="K729" t="str">
            <v>Forecast</v>
          </cell>
          <cell r="L729" t="str">
            <v>SPLITTING</v>
          </cell>
          <cell r="M729">
            <v>2</v>
          </cell>
        </row>
        <row r="730">
          <cell r="A730" t="str">
            <v>F-2026-04-225</v>
          </cell>
          <cell r="B730" t="str">
            <v>FPRO-260416-0010</v>
          </cell>
          <cell r="C730"/>
          <cell r="D730" t="str">
            <v>PVN-002501</v>
          </cell>
          <cell r="E730" t="str">
            <v>OrthoLite Regular-Hybrid SEEDPEARL/12-0703TPX Hybrid Flat Sheet 0.11D 25+/-4 Asker C 1.1M 2M 2mm</v>
          </cell>
          <cell r="F730">
            <v>400</v>
          </cell>
          <cell r="G730">
            <v>400</v>
          </cell>
          <cell r="H730">
            <v>0</v>
          </cell>
          <cell r="I730">
            <v>400</v>
          </cell>
          <cell r="J730" t="str">
            <v>ASICS</v>
          </cell>
          <cell r="K730" t="str">
            <v>Forecast</v>
          </cell>
          <cell r="L730" t="str">
            <v>SPLITTING</v>
          </cell>
          <cell r="M730">
            <v>2</v>
          </cell>
        </row>
        <row r="731">
          <cell r="A731" t="str">
            <v>F-2026-04-226</v>
          </cell>
          <cell r="B731" t="str">
            <v>FPRO-260416-0011</v>
          </cell>
          <cell r="C731"/>
          <cell r="D731" t="str">
            <v>PVN-003414</v>
          </cell>
          <cell r="E731" t="str">
            <v>OrthoLite Regular-Hybrid SEEDPEARL/12-0703TPX Hybrid Flat Sheet 0.11D 25+/-4 Asker C 1.1M 2M 12mm</v>
          </cell>
          <cell r="F731">
            <v>2500</v>
          </cell>
          <cell r="G731">
            <v>2500</v>
          </cell>
          <cell r="H731">
            <v>0</v>
          </cell>
          <cell r="I731">
            <v>2500</v>
          </cell>
          <cell r="J731" t="str">
            <v>ASICS</v>
          </cell>
          <cell r="K731" t="str">
            <v>Forecast</v>
          </cell>
          <cell r="L731" t="str">
            <v>MOLDED</v>
          </cell>
          <cell r="M731" t="str">
            <v>1-RM-WIP</v>
          </cell>
        </row>
        <row r="732">
          <cell r="A732" t="str">
            <v>F-2026-04-227</v>
          </cell>
          <cell r="B732" t="str">
            <v>FPRO-260416-0012</v>
          </cell>
          <cell r="C732"/>
          <cell r="D732" t="str">
            <v>PVN-003414</v>
          </cell>
          <cell r="E732" t="str">
            <v>OrthoLite Regular-Hybrid SEEDPEARL/12-0703TPX Hybrid Flat Sheet 0.11D 25+/-4 Asker C 1.1M 2M 12mm</v>
          </cell>
          <cell r="F732">
            <v>2500</v>
          </cell>
          <cell r="G732">
            <v>2500</v>
          </cell>
          <cell r="H732">
            <v>0</v>
          </cell>
          <cell r="I732">
            <v>2500</v>
          </cell>
          <cell r="J732" t="str">
            <v>ASICS</v>
          </cell>
          <cell r="K732" t="str">
            <v>Forecast</v>
          </cell>
          <cell r="L732" t="str">
            <v>MOLDED</v>
          </cell>
          <cell r="M732" t="str">
            <v>1-RM-WIP</v>
          </cell>
        </row>
        <row r="733">
          <cell r="A733" t="str">
            <v>F-2026-04-228</v>
          </cell>
          <cell r="B733" t="str">
            <v>FPRO-260416-0013</v>
          </cell>
          <cell r="C733"/>
          <cell r="D733" t="str">
            <v>PVN-003414</v>
          </cell>
          <cell r="E733" t="str">
            <v>OrthoLite Regular-Hybrid SEEDPEARL/12-0703TPX Hybrid Flat Sheet 0.11D 25+/-4 Asker C 1.1M 2M 12mm</v>
          </cell>
          <cell r="F733">
            <v>2500</v>
          </cell>
          <cell r="G733">
            <v>2500</v>
          </cell>
          <cell r="H733">
            <v>0</v>
          </cell>
          <cell r="I733">
            <v>2500</v>
          </cell>
          <cell r="J733" t="str">
            <v>ASICS</v>
          </cell>
          <cell r="K733" t="str">
            <v>Forecast</v>
          </cell>
          <cell r="L733" t="str">
            <v>MOLDED</v>
          </cell>
          <cell r="M733" t="str">
            <v>1-RM-WIP</v>
          </cell>
        </row>
        <row r="734">
          <cell r="A734" t="str">
            <v>F-2026-04-229</v>
          </cell>
          <cell r="B734" t="str">
            <v>FPRO-260416-0014</v>
          </cell>
          <cell r="C734"/>
          <cell r="D734" t="str">
            <v>PVN-003414</v>
          </cell>
          <cell r="E734" t="str">
            <v>OrthoLite Regular-Hybrid SEEDPEARL/12-0703TPX Hybrid Flat Sheet 0.11D 25+/-4 Asker C 1.1M 2M 12mm</v>
          </cell>
          <cell r="F734">
            <v>2500</v>
          </cell>
          <cell r="G734">
            <v>2500</v>
          </cell>
          <cell r="H734">
            <v>0</v>
          </cell>
          <cell r="I734">
            <v>2500</v>
          </cell>
          <cell r="J734" t="str">
            <v>ASICS</v>
          </cell>
          <cell r="K734" t="str">
            <v>Forecast</v>
          </cell>
          <cell r="L734" t="str">
            <v>MOLDED</v>
          </cell>
          <cell r="M734" t="str">
            <v>1-RM-WIP</v>
          </cell>
        </row>
        <row r="735">
          <cell r="A735" t="str">
            <v>F-2026-04-230</v>
          </cell>
          <cell r="B735" t="str">
            <v>FPRO-260416-0015</v>
          </cell>
          <cell r="C735"/>
          <cell r="D735" t="str">
            <v>PVN-003414</v>
          </cell>
          <cell r="E735" t="str">
            <v>OrthoLite Regular-Hybrid SEEDPEARL/12-0703TPX Hybrid Flat Sheet 0.11D 25+/-4 Asker C 1.1M 2M 12mm</v>
          </cell>
          <cell r="F735">
            <v>2500</v>
          </cell>
          <cell r="G735">
            <v>2500</v>
          </cell>
          <cell r="H735">
            <v>0</v>
          </cell>
          <cell r="I735">
            <v>2500</v>
          </cell>
          <cell r="J735" t="str">
            <v>ASICS</v>
          </cell>
          <cell r="K735" t="str">
            <v>Forecast</v>
          </cell>
          <cell r="L735" t="str">
            <v>MOLDED</v>
          </cell>
          <cell r="M735" t="str">
            <v>1-RM-WIP</v>
          </cell>
        </row>
        <row r="736">
          <cell r="A736" t="str">
            <v>F-2026-04-231</v>
          </cell>
          <cell r="B736" t="str">
            <v>FPRO-260416-0016</v>
          </cell>
          <cell r="C736"/>
          <cell r="D736" t="str">
            <v>PVN-003414</v>
          </cell>
          <cell r="E736" t="str">
            <v>OrthoLite Regular-Hybrid SEEDPEARL/12-0703TPX Hybrid Flat Sheet 0.11D 25+/-4 Asker C 1.1M 2M 12mm</v>
          </cell>
          <cell r="F736">
            <v>2500</v>
          </cell>
          <cell r="G736">
            <v>2500</v>
          </cell>
          <cell r="H736">
            <v>0</v>
          </cell>
          <cell r="I736">
            <v>2500</v>
          </cell>
          <cell r="J736" t="str">
            <v>ASICS</v>
          </cell>
          <cell r="K736" t="str">
            <v>Forecast</v>
          </cell>
          <cell r="L736" t="str">
            <v>MOLDED</v>
          </cell>
          <cell r="M736" t="str">
            <v>1-RM-WIP</v>
          </cell>
        </row>
        <row r="737">
          <cell r="A737" t="str">
            <v>F-2026-04-232</v>
          </cell>
          <cell r="B737" t="str">
            <v>FPRO-260416-0017</v>
          </cell>
          <cell r="C737"/>
          <cell r="D737" t="str">
            <v>PVN-003414</v>
          </cell>
          <cell r="E737" t="str">
            <v>OrthoLite Regular-Hybrid SEEDPEARL/12-0703TPX Hybrid Flat Sheet 0.11D 25+/-4 Asker C 1.1M 2M 12mm</v>
          </cell>
          <cell r="F737">
            <v>1300</v>
          </cell>
          <cell r="G737">
            <v>1300</v>
          </cell>
          <cell r="H737">
            <v>0</v>
          </cell>
          <cell r="I737">
            <v>1300</v>
          </cell>
          <cell r="J737" t="str">
            <v>ASICS</v>
          </cell>
          <cell r="K737" t="str">
            <v>Forecast</v>
          </cell>
          <cell r="L737" t="str">
            <v>MOLDED</v>
          </cell>
          <cell r="M737" t="str">
            <v>1-SLT-WIP</v>
          </cell>
        </row>
        <row r="738">
          <cell r="A738" t="str">
            <v>F-2026-04-233</v>
          </cell>
          <cell r="B738" t="str">
            <v>FPRO-260416-0018</v>
          </cell>
          <cell r="C738"/>
          <cell r="D738" t="str">
            <v>PVN-000258</v>
          </cell>
          <cell r="E738" t="str">
            <v>OrthoLite Regular AIR BLUE/16-4134TPX Flat Sheet 0.13D 35+/-4 Asker C 1.1M 2M 2.5mm</v>
          </cell>
          <cell r="F738">
            <v>2000</v>
          </cell>
          <cell r="G738">
            <v>2000</v>
          </cell>
          <cell r="H738">
            <v>0</v>
          </cell>
          <cell r="I738">
            <v>2000</v>
          </cell>
          <cell r="J738" t="str">
            <v>ASICS</v>
          </cell>
          <cell r="K738" t="str">
            <v>Forecast</v>
          </cell>
          <cell r="L738" t="str">
            <v>SPLITTING</v>
          </cell>
          <cell r="M738">
            <v>2</v>
          </cell>
        </row>
        <row r="739">
          <cell r="A739" t="str">
            <v>F-2026-04-234</v>
          </cell>
          <cell r="B739" t="str">
            <v>FPRO-260416-0019</v>
          </cell>
          <cell r="C739"/>
          <cell r="D739" t="str">
            <v>PVN-000258</v>
          </cell>
          <cell r="E739" t="str">
            <v>OrthoLite Regular AIR BLUE/16-4134TPX Flat Sheet 0.13D 35+/-4 Asker C 1.1M 2M 2.5mm</v>
          </cell>
          <cell r="F739">
            <v>2000</v>
          </cell>
          <cell r="G739">
            <v>2000</v>
          </cell>
          <cell r="H739">
            <v>0</v>
          </cell>
          <cell r="I739">
            <v>2000</v>
          </cell>
          <cell r="J739" t="str">
            <v>ASICS</v>
          </cell>
          <cell r="K739" t="str">
            <v>Forecast</v>
          </cell>
          <cell r="L739" t="str">
            <v>SPLITTING</v>
          </cell>
          <cell r="M739">
            <v>2</v>
          </cell>
        </row>
        <row r="740">
          <cell r="A740" t="str">
            <v>F-2026-04-235</v>
          </cell>
          <cell r="B740" t="str">
            <v>FPRO-260416-0020</v>
          </cell>
          <cell r="C740"/>
          <cell r="D740" t="str">
            <v>PVN-000258</v>
          </cell>
          <cell r="E740" t="str">
            <v>OrthoLite Regular AIR BLUE/16-4134TPX Flat Sheet 0.13D 35+/-4 Asker C 1.1M 2M 2.5mm</v>
          </cell>
          <cell r="F740">
            <v>2000</v>
          </cell>
          <cell r="G740">
            <v>2000</v>
          </cell>
          <cell r="H740">
            <v>0</v>
          </cell>
          <cell r="I740">
            <v>2000</v>
          </cell>
          <cell r="J740" t="str">
            <v>ASICS</v>
          </cell>
          <cell r="K740" t="str">
            <v>Forecast</v>
          </cell>
          <cell r="L740" t="str">
            <v>SPLITTING</v>
          </cell>
          <cell r="M740">
            <v>2</v>
          </cell>
        </row>
        <row r="741">
          <cell r="A741" t="str">
            <v>F-2026-04-236</v>
          </cell>
          <cell r="B741" t="str">
            <v>FPRO-260416-0021</v>
          </cell>
          <cell r="C741"/>
          <cell r="D741" t="str">
            <v>PVN-000258</v>
          </cell>
          <cell r="E741" t="str">
            <v>OrthoLite Regular AIR BLUE/16-4134TPX Flat Sheet 0.13D 35+/-4 Asker C 1.1M 2M 2.5mm</v>
          </cell>
          <cell r="F741">
            <v>2000</v>
          </cell>
          <cell r="G741">
            <v>2000</v>
          </cell>
          <cell r="H741">
            <v>0</v>
          </cell>
          <cell r="I741">
            <v>2000</v>
          </cell>
          <cell r="J741" t="str">
            <v>ASICS</v>
          </cell>
          <cell r="K741" t="str">
            <v>Forecast</v>
          </cell>
          <cell r="L741" t="str">
            <v>SPLITTING</v>
          </cell>
          <cell r="M741">
            <v>2</v>
          </cell>
        </row>
        <row r="742">
          <cell r="A742" t="str">
            <v>F-2026-04-237</v>
          </cell>
          <cell r="B742" t="str">
            <v>FPRO-260416-0022</v>
          </cell>
          <cell r="C742"/>
          <cell r="D742" t="str">
            <v>PVN-000258</v>
          </cell>
          <cell r="E742" t="str">
            <v>OrthoLite Regular AIR BLUE/16-4134TPX Flat Sheet 0.13D 35+/-4 Asker C 1.1M 2M 2.5mm</v>
          </cell>
          <cell r="F742">
            <v>1500</v>
          </cell>
          <cell r="G742">
            <v>1500</v>
          </cell>
          <cell r="H742">
            <v>0</v>
          </cell>
          <cell r="I742">
            <v>1500</v>
          </cell>
          <cell r="J742" t="str">
            <v>ASICS</v>
          </cell>
          <cell r="K742" t="str">
            <v>Forecast</v>
          </cell>
          <cell r="L742" t="str">
            <v>SPLITTING</v>
          </cell>
          <cell r="M742">
            <v>2</v>
          </cell>
        </row>
        <row r="743">
          <cell r="A743" t="str">
            <v>F-2026-04-238</v>
          </cell>
          <cell r="B743" t="str">
            <v>FPRO-260416-0023</v>
          </cell>
          <cell r="C743"/>
          <cell r="D743" t="str">
            <v>PVN-003576</v>
          </cell>
          <cell r="E743" t="str">
            <v>OrthoLite X-55-Hybrid FOSSIL/17-0909TPX Hybrid Flat Sheet 0.16D 25+/-4 Asker C 1.1M 1.7M 12mm</v>
          </cell>
          <cell r="F743">
            <v>2000</v>
          </cell>
          <cell r="G743">
            <v>2000</v>
          </cell>
          <cell r="H743">
            <v>0</v>
          </cell>
          <cell r="I743">
            <v>2000</v>
          </cell>
          <cell r="J743" t="str">
            <v>ASICS</v>
          </cell>
          <cell r="K743" t="str">
            <v>Forecast</v>
          </cell>
          <cell r="L743" t="str">
            <v>MOLDED</v>
          </cell>
          <cell r="M743" t="str">
            <v>1-RM-WIP</v>
          </cell>
        </row>
        <row r="744">
          <cell r="A744" t="str">
            <v>F-2026-04-239</v>
          </cell>
          <cell r="B744" t="str">
            <v>FPRO-260416-0024</v>
          </cell>
          <cell r="C744"/>
          <cell r="D744" t="str">
            <v>PVN-003576</v>
          </cell>
          <cell r="E744" t="str">
            <v>OrthoLite X-55-Hybrid FOSSIL/17-0909TPX Hybrid Flat Sheet 0.16D 25+/-4 Asker C 1.1M 1.7M 12mm</v>
          </cell>
          <cell r="F744">
            <v>2000</v>
          </cell>
          <cell r="G744">
            <v>2000</v>
          </cell>
          <cell r="H744">
            <v>0</v>
          </cell>
          <cell r="I744">
            <v>2000</v>
          </cell>
          <cell r="J744" t="str">
            <v>ASICS</v>
          </cell>
          <cell r="K744" t="str">
            <v>Forecast</v>
          </cell>
          <cell r="L744" t="str">
            <v>MOLDED</v>
          </cell>
          <cell r="M744" t="str">
            <v>1-RM-WIP</v>
          </cell>
        </row>
        <row r="745">
          <cell r="A745" t="str">
            <v>F-2026-04-240</v>
          </cell>
          <cell r="B745" t="str">
            <v>FPRO-260416-0025</v>
          </cell>
          <cell r="C745"/>
          <cell r="D745" t="str">
            <v>PVN-003576</v>
          </cell>
          <cell r="E745" t="str">
            <v>OrthoLite X-55-Hybrid FOSSIL/17-0909TPX Hybrid Flat Sheet 0.16D 25+/-4 Asker C 1.1M 1.7M 12mm</v>
          </cell>
          <cell r="F745">
            <v>2000</v>
          </cell>
          <cell r="G745">
            <v>2000</v>
          </cell>
          <cell r="H745">
            <v>0</v>
          </cell>
          <cell r="I745">
            <v>2000</v>
          </cell>
          <cell r="J745" t="str">
            <v>ASICS</v>
          </cell>
          <cell r="K745" t="str">
            <v>Forecast</v>
          </cell>
          <cell r="L745" t="str">
            <v>MOLDED</v>
          </cell>
          <cell r="M745" t="str">
            <v>1-RM-WIP</v>
          </cell>
        </row>
        <row r="746">
          <cell r="A746" t="str">
            <v>F-2026-04-241</v>
          </cell>
          <cell r="B746" t="str">
            <v>FPRO-260416-0026</v>
          </cell>
          <cell r="C746"/>
          <cell r="D746" t="str">
            <v>PVN-003576</v>
          </cell>
          <cell r="E746" t="str">
            <v>OrthoLite X-55-Hybrid FOSSIL/17-0909TPX Hybrid Flat Sheet 0.16D 25+/-4 Asker C 1.1M 1.7M 12mm</v>
          </cell>
          <cell r="F746">
            <v>2000</v>
          </cell>
          <cell r="G746">
            <v>2000</v>
          </cell>
          <cell r="H746">
            <v>0</v>
          </cell>
          <cell r="I746">
            <v>2000</v>
          </cell>
          <cell r="J746" t="str">
            <v>ASICS</v>
          </cell>
          <cell r="K746" t="str">
            <v>Forecast</v>
          </cell>
          <cell r="L746" t="str">
            <v>MOLDED</v>
          </cell>
          <cell r="M746" t="str">
            <v>1-RM-WIP</v>
          </cell>
        </row>
        <row r="747">
          <cell r="A747" t="str">
            <v>F-2026-04-242</v>
          </cell>
          <cell r="B747" t="str">
            <v>FPRO-260416-0027</v>
          </cell>
          <cell r="C747"/>
          <cell r="D747" t="str">
            <v>PVN-003576</v>
          </cell>
          <cell r="E747" t="str">
            <v>OrthoLite X-55-Hybrid FOSSIL/17-0909TPX Hybrid Flat Sheet 0.16D 25+/-4 Asker C 1.1M 1.7M 12mm</v>
          </cell>
          <cell r="F747">
            <v>500</v>
          </cell>
          <cell r="G747">
            <v>500</v>
          </cell>
          <cell r="H747">
            <v>0</v>
          </cell>
          <cell r="I747">
            <v>500</v>
          </cell>
          <cell r="J747" t="str">
            <v>ASICS</v>
          </cell>
          <cell r="K747" t="str">
            <v>Forecast</v>
          </cell>
          <cell r="L747" t="str">
            <v>MOLDED</v>
          </cell>
          <cell r="M747" t="str">
            <v>1-RM-WIP</v>
          </cell>
        </row>
        <row r="748">
          <cell r="A748" t="str">
            <v>F-2026-04-243</v>
          </cell>
          <cell r="B748" t="str">
            <v>FPRO-260416-0028</v>
          </cell>
          <cell r="C748"/>
          <cell r="D748" t="str">
            <v>PVN-002465</v>
          </cell>
          <cell r="E748" t="str">
            <v>OrthoLite Regular-Hybrid SEEDPEARL/12-0703TPX Hybrid Flat Sheet 0.11D 25+/-4 Asker C 1.1M 2M 5mm</v>
          </cell>
          <cell r="F748">
            <v>2500</v>
          </cell>
          <cell r="G748">
            <v>2500</v>
          </cell>
          <cell r="H748">
            <v>0</v>
          </cell>
          <cell r="I748">
            <v>2500</v>
          </cell>
          <cell r="J748" t="str">
            <v>ASICS</v>
          </cell>
          <cell r="K748" t="str">
            <v>Forecast</v>
          </cell>
          <cell r="L748" t="str">
            <v>DIE CUT</v>
          </cell>
          <cell r="M748">
            <v>1</v>
          </cell>
        </row>
        <row r="749">
          <cell r="A749" t="str">
            <v>F-2026-04-244</v>
          </cell>
          <cell r="B749" t="str">
            <v>FPRO-260416-0029</v>
          </cell>
          <cell r="C749"/>
          <cell r="D749" t="str">
            <v>PVN-002465</v>
          </cell>
          <cell r="E749" t="str">
            <v>OrthoLite Regular-Hybrid SEEDPEARL/12-0703TPX Hybrid Flat Sheet 0.11D 25+/-4 Asker C 1.1M 2M 5mm</v>
          </cell>
          <cell r="F749">
            <v>2500</v>
          </cell>
          <cell r="G749">
            <v>2500</v>
          </cell>
          <cell r="H749">
            <v>0</v>
          </cell>
          <cell r="I749">
            <v>2500</v>
          </cell>
          <cell r="J749" t="str">
            <v>ASICS</v>
          </cell>
          <cell r="K749" t="str">
            <v>Forecast</v>
          </cell>
          <cell r="L749" t="str">
            <v>DIE CUT</v>
          </cell>
          <cell r="M749">
            <v>1</v>
          </cell>
        </row>
        <row r="750">
          <cell r="A750" t="str">
            <v>F-2026-04-245</v>
          </cell>
          <cell r="B750" t="str">
            <v>FPRO-260416-0030</v>
          </cell>
          <cell r="C750"/>
          <cell r="D750" t="str">
            <v>PVN-002465</v>
          </cell>
          <cell r="E750" t="str">
            <v>OrthoLite Regular-Hybrid SEEDPEARL/12-0703TPX Hybrid Flat Sheet 0.11D 25+/-4 Asker C 1.1M 2M 5mm</v>
          </cell>
          <cell r="F750">
            <v>2500</v>
          </cell>
          <cell r="G750">
            <v>2500</v>
          </cell>
          <cell r="H750">
            <v>0</v>
          </cell>
          <cell r="I750">
            <v>2500</v>
          </cell>
          <cell r="J750" t="str">
            <v>ASICS</v>
          </cell>
          <cell r="K750" t="str">
            <v>Forecast</v>
          </cell>
          <cell r="L750" t="str">
            <v>DIE CUT</v>
          </cell>
          <cell r="M750">
            <v>1</v>
          </cell>
        </row>
        <row r="751">
          <cell r="A751" t="str">
            <v>F-2026-04-246</v>
          </cell>
          <cell r="B751" t="str">
            <v>FPRO-260416-0031</v>
          </cell>
          <cell r="C751"/>
          <cell r="D751" t="str">
            <v>PVN-002465</v>
          </cell>
          <cell r="E751" t="str">
            <v>OrthoLite Regular-Hybrid SEEDPEARL/12-0703TPX Hybrid Flat Sheet 0.11D 25+/-4 Asker C 1.1M 2M 5mm</v>
          </cell>
          <cell r="F751">
            <v>2500</v>
          </cell>
          <cell r="G751">
            <v>2500</v>
          </cell>
          <cell r="H751">
            <v>0</v>
          </cell>
          <cell r="I751">
            <v>2500</v>
          </cell>
          <cell r="J751" t="str">
            <v>ASICS</v>
          </cell>
          <cell r="K751" t="str">
            <v>Forecast</v>
          </cell>
          <cell r="L751" t="str">
            <v>DIE CUT</v>
          </cell>
          <cell r="M751">
            <v>1</v>
          </cell>
        </row>
        <row r="752">
          <cell r="A752" t="str">
            <v>F-2026-04-247</v>
          </cell>
          <cell r="B752" t="str">
            <v>FPRO-260416-0032</v>
          </cell>
          <cell r="C752"/>
          <cell r="D752" t="str">
            <v>PVN-002465</v>
          </cell>
          <cell r="E752" t="str">
            <v>OrthoLite Regular-Hybrid SEEDPEARL/12-0703TPX Hybrid Flat Sheet 0.11D 25+/-4 Asker C 1.1M 2M 5mm</v>
          </cell>
          <cell r="F752">
            <v>2500</v>
          </cell>
          <cell r="G752">
            <v>2500</v>
          </cell>
          <cell r="H752">
            <v>0</v>
          </cell>
          <cell r="I752">
            <v>2500</v>
          </cell>
          <cell r="J752" t="str">
            <v>ASICS</v>
          </cell>
          <cell r="K752" t="str">
            <v>Forecast</v>
          </cell>
          <cell r="L752" t="str">
            <v>DIE CUT</v>
          </cell>
          <cell r="M752">
            <v>1</v>
          </cell>
        </row>
        <row r="753">
          <cell r="A753" t="str">
            <v>F-2026-04-248</v>
          </cell>
          <cell r="B753" t="str">
            <v>FPRO-260416-0033</v>
          </cell>
          <cell r="C753"/>
          <cell r="D753" t="str">
            <v>PVN-002465</v>
          </cell>
          <cell r="E753" t="str">
            <v>OrthoLite Regular-Hybrid SEEDPEARL/12-0703TPX Hybrid Flat Sheet 0.11D 25+/-4 Asker C 1.1M 2M 5mm</v>
          </cell>
          <cell r="F753">
            <v>2500</v>
          </cell>
          <cell r="G753">
            <v>2500</v>
          </cell>
          <cell r="H753">
            <v>0</v>
          </cell>
          <cell r="I753">
            <v>2500</v>
          </cell>
          <cell r="J753" t="str">
            <v>ASICS</v>
          </cell>
          <cell r="K753" t="str">
            <v>Forecast</v>
          </cell>
          <cell r="L753" t="str">
            <v>DIE CUT</v>
          </cell>
          <cell r="M753">
            <v>1</v>
          </cell>
        </row>
        <row r="754">
          <cell r="A754" t="str">
            <v>F-2026-04-249</v>
          </cell>
          <cell r="B754" t="str">
            <v>FPRO-260416-0034</v>
          </cell>
          <cell r="C754"/>
          <cell r="D754" t="str">
            <v>PVN-002465</v>
          </cell>
          <cell r="E754" t="str">
            <v>OrthoLite Regular-Hybrid SEEDPEARL/12-0703TPX Hybrid Flat Sheet 0.11D 25+/-4 Asker C 1.1M 2M 5mm</v>
          </cell>
          <cell r="F754">
            <v>2500</v>
          </cell>
          <cell r="G754">
            <v>2500</v>
          </cell>
          <cell r="H754">
            <v>0</v>
          </cell>
          <cell r="I754">
            <v>2500</v>
          </cell>
          <cell r="J754" t="str">
            <v>ASICS</v>
          </cell>
          <cell r="K754" t="str">
            <v>Forecast</v>
          </cell>
          <cell r="L754" t="str">
            <v>DIE CUT</v>
          </cell>
          <cell r="M754">
            <v>1</v>
          </cell>
        </row>
        <row r="755">
          <cell r="A755" t="str">
            <v>F-2026-04-250</v>
          </cell>
          <cell r="B755" t="str">
            <v>FPRO-260416-0035</v>
          </cell>
          <cell r="C755"/>
          <cell r="D755" t="str">
            <v>PVN-002465</v>
          </cell>
          <cell r="E755" t="str">
            <v>OrthoLite Regular-Hybrid SEEDPEARL/12-0703TPX Hybrid Flat Sheet 0.11D 25+/-4 Asker C 1.1M 2M 5mm</v>
          </cell>
          <cell r="F755">
            <v>2500</v>
          </cell>
          <cell r="G755">
            <v>2500</v>
          </cell>
          <cell r="H755">
            <v>0</v>
          </cell>
          <cell r="I755">
            <v>2500</v>
          </cell>
          <cell r="J755" t="str">
            <v>ASICS</v>
          </cell>
          <cell r="K755" t="str">
            <v>Forecast</v>
          </cell>
          <cell r="L755" t="str">
            <v>DIE CUT</v>
          </cell>
          <cell r="M755">
            <v>1</v>
          </cell>
        </row>
        <row r="756">
          <cell r="A756" t="str">
            <v>F-2026-04-251</v>
          </cell>
          <cell r="B756" t="str">
            <v>FPRO-260416-0036</v>
          </cell>
          <cell r="C756"/>
          <cell r="D756" t="str">
            <v>PVN-002465</v>
          </cell>
          <cell r="E756" t="str">
            <v>OrthoLite Regular-Hybrid SEEDPEARL/12-0703TPX Hybrid Flat Sheet 0.11D 25+/-4 Asker C 1.1M 2M 5mm</v>
          </cell>
          <cell r="F756">
            <v>2500</v>
          </cell>
          <cell r="G756">
            <v>2500</v>
          </cell>
          <cell r="H756">
            <v>0</v>
          </cell>
          <cell r="I756">
            <v>2500</v>
          </cell>
          <cell r="J756" t="str">
            <v>ASICS</v>
          </cell>
          <cell r="K756" t="str">
            <v>Forecast</v>
          </cell>
          <cell r="L756" t="str">
            <v>DIE CUT</v>
          </cell>
          <cell r="M756">
            <v>1</v>
          </cell>
        </row>
        <row r="757">
          <cell r="A757" t="str">
            <v>F-2026-04-252</v>
          </cell>
          <cell r="B757" t="str">
            <v>FPRO-260416-0037</v>
          </cell>
          <cell r="C757"/>
          <cell r="D757" t="str">
            <v>PVN-002465</v>
          </cell>
          <cell r="E757" t="str">
            <v>OrthoLite Regular-Hybrid SEEDPEARL/12-0703TPX Hybrid Flat Sheet 0.11D 25+/-4 Asker C 1.1M 2M 5mm</v>
          </cell>
          <cell r="F757">
            <v>2500</v>
          </cell>
          <cell r="G757">
            <v>2500</v>
          </cell>
          <cell r="H757">
            <v>0</v>
          </cell>
          <cell r="I757">
            <v>2500</v>
          </cell>
          <cell r="J757" t="str">
            <v>ASICS</v>
          </cell>
          <cell r="K757" t="str">
            <v>Forecast</v>
          </cell>
          <cell r="L757" t="str">
            <v>DIE CUT</v>
          </cell>
          <cell r="M757">
            <v>1</v>
          </cell>
        </row>
        <row r="758">
          <cell r="A758" t="str">
            <v>F-2026-04-253</v>
          </cell>
          <cell r="B758" t="str">
            <v>FPRO-260416-0038</v>
          </cell>
          <cell r="C758"/>
          <cell r="D758" t="str">
            <v>PVN-002465</v>
          </cell>
          <cell r="E758" t="str">
            <v>OrthoLite Regular-Hybrid SEEDPEARL/12-0703TPX Hybrid Flat Sheet 0.11D 25+/-4 Asker C 1.1M 2M 5mm</v>
          </cell>
          <cell r="F758">
            <v>2500</v>
          </cell>
          <cell r="G758">
            <v>2500</v>
          </cell>
          <cell r="H758">
            <v>0</v>
          </cell>
          <cell r="I758">
            <v>2500</v>
          </cell>
          <cell r="J758" t="str">
            <v>ASICS</v>
          </cell>
          <cell r="K758" t="str">
            <v>Forecast</v>
          </cell>
          <cell r="L758" t="str">
            <v>DIE CUT</v>
          </cell>
          <cell r="M758">
            <v>1</v>
          </cell>
        </row>
        <row r="759">
          <cell r="A759" t="str">
            <v>F-2026-04-254</v>
          </cell>
          <cell r="B759" t="str">
            <v>FPRO-260416-0039</v>
          </cell>
          <cell r="C759"/>
          <cell r="D759" t="str">
            <v>PVN-002465</v>
          </cell>
          <cell r="E759" t="str">
            <v>OrthoLite Regular-Hybrid SEEDPEARL/12-0703TPX Hybrid Flat Sheet 0.11D 25+/-4 Asker C 1.1M 2M 5mm</v>
          </cell>
          <cell r="F759">
            <v>2500</v>
          </cell>
          <cell r="G759">
            <v>2500</v>
          </cell>
          <cell r="H759">
            <v>0</v>
          </cell>
          <cell r="I759">
            <v>2500</v>
          </cell>
          <cell r="J759" t="str">
            <v>ASICS</v>
          </cell>
          <cell r="K759" t="str">
            <v>Forecast</v>
          </cell>
          <cell r="L759" t="str">
            <v>DIE CUT</v>
          </cell>
          <cell r="M759">
            <v>1</v>
          </cell>
        </row>
        <row r="760">
          <cell r="A760" t="str">
            <v>F-2026-04-255</v>
          </cell>
          <cell r="B760" t="str">
            <v>FPRO-260416-0040</v>
          </cell>
          <cell r="C760"/>
          <cell r="D760" t="str">
            <v>PVN-002465</v>
          </cell>
          <cell r="E760" t="str">
            <v>OrthoLite Regular-Hybrid SEEDPEARL/12-0703TPX Hybrid Flat Sheet 0.11D 25+/-4 Asker C 1.1M 2M 5mm</v>
          </cell>
          <cell r="F760">
            <v>2500</v>
          </cell>
          <cell r="G760">
            <v>2500</v>
          </cell>
          <cell r="H760">
            <v>0</v>
          </cell>
          <cell r="I760">
            <v>2500</v>
          </cell>
          <cell r="J760" t="str">
            <v>ASICS</v>
          </cell>
          <cell r="K760" t="str">
            <v>Forecast</v>
          </cell>
          <cell r="L760" t="str">
            <v>DIE CUT</v>
          </cell>
          <cell r="M760">
            <v>1</v>
          </cell>
        </row>
        <row r="761">
          <cell r="A761" t="str">
            <v>F-2026-04-256</v>
          </cell>
          <cell r="B761" t="str">
            <v>FPRO-260416-0041</v>
          </cell>
          <cell r="C761"/>
          <cell r="D761" t="str">
            <v>PVN-002465</v>
          </cell>
          <cell r="E761" t="str">
            <v>OrthoLite Regular-Hybrid SEEDPEARL/12-0703TPX Hybrid Flat Sheet 0.11D 25+/-4 Asker C 1.1M 2M 5mm</v>
          </cell>
          <cell r="F761">
            <v>1500</v>
          </cell>
          <cell r="G761">
            <v>1500</v>
          </cell>
          <cell r="H761">
            <v>0</v>
          </cell>
          <cell r="I761">
            <v>1500</v>
          </cell>
          <cell r="J761" t="str">
            <v>ASICS</v>
          </cell>
          <cell r="K761" t="str">
            <v>Forecast</v>
          </cell>
          <cell r="L761" t="str">
            <v>DIE CUT</v>
          </cell>
          <cell r="M761">
            <v>1</v>
          </cell>
        </row>
        <row r="762">
          <cell r="A762" t="str">
            <v>F-2026-04-257</v>
          </cell>
          <cell r="B762" t="str">
            <v>RPRO-260417-0230</v>
          </cell>
          <cell r="C762"/>
          <cell r="D762" t="str">
            <v>PVN-001983</v>
          </cell>
          <cell r="E762" t="str">
            <v>OrthoLite X-40 SEEDPEARL/12-0703TPX Flat Sheet 0.16D 25+/-4 Asker C 1.1M 1.7M 5mm</v>
          </cell>
          <cell r="F762">
            <v>700</v>
          </cell>
          <cell r="G762">
            <v>700</v>
          </cell>
          <cell r="H762">
            <v>700</v>
          </cell>
          <cell r="I762">
            <v>0</v>
          </cell>
          <cell r="J762"/>
          <cell r="K762" t="str">
            <v>MPS</v>
          </cell>
          <cell r="L762" t="str">
            <v>SPLITTING</v>
          </cell>
          <cell r="M762">
            <v>2</v>
          </cell>
        </row>
        <row r="763">
          <cell r="A763" t="str">
            <v>F-2026-04-258</v>
          </cell>
          <cell r="B763" t="str">
            <v>RPRO-260417-0231</v>
          </cell>
          <cell r="C763"/>
          <cell r="D763" t="str">
            <v>PVN-003418</v>
          </cell>
          <cell r="E763" t="str">
            <v>OrthoLite Ultra SEEDPEARL/12-0703TPX Flat Sheet 0.085D 78-90 Asker F 1.1M 2M 5mm</v>
          </cell>
          <cell r="F763">
            <v>140</v>
          </cell>
          <cell r="G763">
            <v>140</v>
          </cell>
          <cell r="H763">
            <v>140</v>
          </cell>
          <cell r="I763">
            <v>0</v>
          </cell>
          <cell r="J763"/>
          <cell r="K763" t="str">
            <v>MPS</v>
          </cell>
          <cell r="L763" t="str">
            <v>SPLITTING</v>
          </cell>
          <cell r="M763">
            <v>2</v>
          </cell>
        </row>
        <row r="764">
          <cell r="A764" t="str">
            <v>F-2026-04-259</v>
          </cell>
          <cell r="B764" t="str">
            <v>RPRO-260417-0232</v>
          </cell>
          <cell r="C764"/>
          <cell r="D764" t="str">
            <v>PVN-003425</v>
          </cell>
          <cell r="E764" t="str">
            <v>OrthoLite Ultra SEEDPEARL/12-0703TPX Flat Sheet 0.085D 78-90 Asker F 1.1M 2M 4mm</v>
          </cell>
          <cell r="F764">
            <v>1120</v>
          </cell>
          <cell r="G764">
            <v>1120</v>
          </cell>
          <cell r="H764">
            <v>1120</v>
          </cell>
          <cell r="I764">
            <v>0</v>
          </cell>
          <cell r="J764"/>
          <cell r="K764" t="str">
            <v>MPS</v>
          </cell>
          <cell r="L764" t="str">
            <v>SPLITTING</v>
          </cell>
          <cell r="M764">
            <v>2</v>
          </cell>
        </row>
        <row r="765">
          <cell r="A765" t="str">
            <v>F-2026-04-260</v>
          </cell>
          <cell r="B765" t="str">
            <v>RPRO-260417-0233</v>
          </cell>
          <cell r="C765"/>
          <cell r="D765" t="str">
            <v>PVN-004188</v>
          </cell>
          <cell r="E765" t="str">
            <v>OrthoLite Float NEUTRAL GRAY/17-4402TPX Flat Sheet 0.12D 21+/-4 Asker C 1.1M 1.47M 5.5mm</v>
          </cell>
          <cell r="F765">
            <v>50</v>
          </cell>
          <cell r="G765">
            <v>50</v>
          </cell>
          <cell r="H765">
            <v>50</v>
          </cell>
          <cell r="I765">
            <v>0</v>
          </cell>
          <cell r="J765" t="str">
            <v>PUMA</v>
          </cell>
          <cell r="K765" t="str">
            <v>Pr.Sch.R</v>
          </cell>
          <cell r="L765" t="str">
            <v>MOLDED</v>
          </cell>
          <cell r="M765">
            <v>1</v>
          </cell>
        </row>
        <row r="766">
          <cell r="A766" t="str">
            <v>F-2026-04-261</v>
          </cell>
          <cell r="B766" t="str">
            <v>RPRO-260417-0234</v>
          </cell>
          <cell r="C766"/>
          <cell r="D766" t="str">
            <v>PVN-002325</v>
          </cell>
          <cell r="E766" t="str">
            <v>OrthoLite Regular-Nike RED/19-1764TPX Flat Sheet 0.11D 25+/-4 Asker C 1.1M 2M 5.2mm</v>
          </cell>
          <cell r="F766">
            <v>260</v>
          </cell>
          <cell r="G766">
            <v>260</v>
          </cell>
          <cell r="H766">
            <v>260</v>
          </cell>
          <cell r="I766">
            <v>0</v>
          </cell>
          <cell r="J766" t="str">
            <v>NIKE</v>
          </cell>
          <cell r="K766" t="str">
            <v>Pr.Sch.R</v>
          </cell>
          <cell r="L766" t="str">
            <v>MOLDED</v>
          </cell>
          <cell r="M766">
            <v>1</v>
          </cell>
        </row>
        <row r="767">
          <cell r="A767" t="str">
            <v>F-2026-04-262</v>
          </cell>
          <cell r="B767" t="str">
            <v>RPRO-260417-0235</v>
          </cell>
          <cell r="C767"/>
          <cell r="D767" t="str">
            <v>PVN-003642</v>
          </cell>
          <cell r="E767" t="str">
            <v>OrthoLite X-35-Hybrid-Nike SEEDPEARL/12-0703TPX Hybrid Flat Sheet 0.145D 25+/-4 Asker C 1.1M 2M 6.2mm</v>
          </cell>
          <cell r="F767">
            <v>242</v>
          </cell>
          <cell r="G767">
            <v>242</v>
          </cell>
          <cell r="H767">
            <v>242</v>
          </cell>
          <cell r="I767">
            <v>0</v>
          </cell>
          <cell r="J767" t="str">
            <v>NIKE</v>
          </cell>
          <cell r="K767" t="str">
            <v>Pr.Sch.R</v>
          </cell>
          <cell r="L767" t="str">
            <v>MOLDED</v>
          </cell>
          <cell r="M767">
            <v>1</v>
          </cell>
        </row>
        <row r="768">
          <cell r="A768" t="str">
            <v>F-2026-04-263</v>
          </cell>
          <cell r="B768" t="str">
            <v>RPRO-260417-0236</v>
          </cell>
          <cell r="C768"/>
          <cell r="D768" t="str">
            <v>PVN-004247</v>
          </cell>
          <cell r="E768" t="str">
            <v>OrthoLite X-40-Hybrid-Nike SEEDPEARL/12-0703TPX Hybrid Flat Sheet 0.16D 25+/-4 Asker C 1.1M 2M 4.2mm</v>
          </cell>
          <cell r="F768">
            <v>165</v>
          </cell>
          <cell r="G768">
            <v>165</v>
          </cell>
          <cell r="H768">
            <v>165</v>
          </cell>
          <cell r="I768">
            <v>0</v>
          </cell>
          <cell r="J768" t="str">
            <v>NIKE</v>
          </cell>
          <cell r="K768" t="str">
            <v>Pr.Sch.R</v>
          </cell>
          <cell r="L768" t="str">
            <v>MOLDED</v>
          </cell>
          <cell r="M768">
            <v>1</v>
          </cell>
        </row>
        <row r="769">
          <cell r="A769" t="str">
            <v>F-2026-04-264</v>
          </cell>
          <cell r="B769" t="str">
            <v>RPRO-260417-0237</v>
          </cell>
          <cell r="C769"/>
          <cell r="D769" t="str">
            <v>PVN-004178</v>
          </cell>
          <cell r="E769" t="str">
            <v>OrthoLite Float NEUTRAL GRAY/17-4402TPX Flat Sheet 0.12D 21+/-4 Asker C 1.1M 2M 5.5mm</v>
          </cell>
          <cell r="F769">
            <v>300</v>
          </cell>
          <cell r="G769">
            <v>300</v>
          </cell>
          <cell r="H769">
            <v>300</v>
          </cell>
          <cell r="I769">
            <v>0</v>
          </cell>
          <cell r="J769" t="str">
            <v>PUMA</v>
          </cell>
          <cell r="K769" t="str">
            <v>Pr.Sch.R</v>
          </cell>
          <cell r="L769" t="str">
            <v>MOLDED</v>
          </cell>
          <cell r="M769">
            <v>1</v>
          </cell>
        </row>
        <row r="770">
          <cell r="A770" t="str">
            <v>F-2026-04-265</v>
          </cell>
          <cell r="B770" t="str">
            <v>RPRO-260417-0238</v>
          </cell>
          <cell r="C770"/>
          <cell r="D770" t="str">
            <v>PVN-003347</v>
          </cell>
          <cell r="E770" t="str">
            <v>OrthoLite X-40-Nike TRUE BLUE/19-4057TPX Flat Sheet 0.16D 35+/-4 Asker C 1.1M 1.7M 4mm</v>
          </cell>
          <cell r="F770">
            <v>175</v>
          </cell>
          <cell r="G770">
            <v>175</v>
          </cell>
          <cell r="H770">
            <v>175</v>
          </cell>
          <cell r="I770">
            <v>0</v>
          </cell>
          <cell r="J770" t="str">
            <v>NIKE</v>
          </cell>
          <cell r="K770" t="str">
            <v>Pr.Sch.R</v>
          </cell>
          <cell r="L770" t="str">
            <v>LAMINATING</v>
          </cell>
          <cell r="M770">
            <v>1</v>
          </cell>
        </row>
        <row r="771">
          <cell r="A771" t="str">
            <v>F-2026-04-266</v>
          </cell>
          <cell r="B771" t="str">
            <v>RPRO-260417-0239</v>
          </cell>
          <cell r="C771"/>
          <cell r="D771" t="str">
            <v>PVN-004327</v>
          </cell>
          <cell r="E771" t="str">
            <v>OrthoLite X-55-Hybrid FOSSIL/17-0909TPX Hybrid Flat Sheet 0.16D 25+/-4 Asker C 1.1M 2M 6mm</v>
          </cell>
          <cell r="F771">
            <v>161</v>
          </cell>
          <cell r="G771">
            <v>161</v>
          </cell>
          <cell r="H771">
            <v>161</v>
          </cell>
          <cell r="I771">
            <v>0</v>
          </cell>
          <cell r="J771" t="str">
            <v>ASICS</v>
          </cell>
          <cell r="K771" t="str">
            <v>Pr.Sch.R</v>
          </cell>
          <cell r="L771" t="str">
            <v>MOLDED</v>
          </cell>
          <cell r="M771">
            <v>1</v>
          </cell>
        </row>
        <row r="772">
          <cell r="A772" t="str">
            <v>F-2026-04-267</v>
          </cell>
          <cell r="B772" t="str">
            <v>RPRO-260417-0240</v>
          </cell>
          <cell r="C772"/>
          <cell r="D772" t="str">
            <v>PVN-003733</v>
          </cell>
          <cell r="E772" t="str">
            <v>OrthoLite X-40-Hybrid SEEDPEARL/12-0703TPX Hybrid Flat Sheet 0.16D 35+/-4 Asker C 1.1M 1.7M 12.5mm</v>
          </cell>
          <cell r="F772">
            <v>20</v>
          </cell>
          <cell r="G772">
            <v>20</v>
          </cell>
          <cell r="H772">
            <v>20</v>
          </cell>
          <cell r="I772">
            <v>0</v>
          </cell>
          <cell r="J772" t="str">
            <v>OBOZ</v>
          </cell>
          <cell r="K772" t="str">
            <v>Pr.Sch.R</v>
          </cell>
          <cell r="L772" t="str">
            <v>MOLDED</v>
          </cell>
          <cell r="M772">
            <v>1</v>
          </cell>
        </row>
        <row r="773">
          <cell r="A773" t="str">
            <v>F-2026-04-268</v>
          </cell>
          <cell r="B773" t="str">
            <v>RPRO-260417-0241</v>
          </cell>
          <cell r="C773"/>
          <cell r="D773" t="str">
            <v>PVN-004352</v>
          </cell>
          <cell r="E773" t="str">
            <v>OrthoLite Ultra GREEN/16-5932TPX Flat Sheet 0.085D 15+/-4 Asker C 1.1M 2M 11mm</v>
          </cell>
          <cell r="F773">
            <v>168</v>
          </cell>
          <cell r="G773">
            <v>168</v>
          </cell>
          <cell r="H773">
            <v>168</v>
          </cell>
          <cell r="I773">
            <v>0</v>
          </cell>
          <cell r="J773" t="str">
            <v>BLACKYAK</v>
          </cell>
          <cell r="K773" t="str">
            <v>Pr.Sch.R</v>
          </cell>
          <cell r="L773" t="str">
            <v>MOLDED</v>
          </cell>
          <cell r="M773">
            <v>1</v>
          </cell>
        </row>
        <row r="774">
          <cell r="A774" t="str">
            <v>F-2026-04-269</v>
          </cell>
          <cell r="B774" t="str">
            <v>RPRO-260417-0242</v>
          </cell>
          <cell r="C774"/>
          <cell r="D774" t="str">
            <v>PVN-004003</v>
          </cell>
          <cell r="E774" t="str">
            <v>OrthoLite Regular GREY/17-1501TPX Flat Sheet 0.11D 25+/-4 Asker C 1.1M 2M 11mm</v>
          </cell>
          <cell r="F774">
            <v>12</v>
          </cell>
          <cell r="G774">
            <v>12</v>
          </cell>
          <cell r="H774">
            <v>12</v>
          </cell>
          <cell r="I774">
            <v>0</v>
          </cell>
          <cell r="J774" t="str">
            <v>DANNER</v>
          </cell>
          <cell r="K774" t="str">
            <v>Pr.Sch.R</v>
          </cell>
          <cell r="L774" t="str">
            <v>MOLDED</v>
          </cell>
          <cell r="M774">
            <v>1</v>
          </cell>
        </row>
        <row r="775">
          <cell r="A775" t="str">
            <v>F-2026-04-270</v>
          </cell>
          <cell r="B775" t="str">
            <v>RPRO-260418-0031</v>
          </cell>
          <cell r="C775"/>
          <cell r="D775" t="str">
            <v>PVN-003244</v>
          </cell>
          <cell r="E775" t="str">
            <v>OrthoLite X-35-Hybrid-Nike SEEDPEARL/12-0703TPX Hybrid Flat Sheet 0.145D 25+/-4 Asker C 1.1M 2M 5.2mm (SLT)</v>
          </cell>
          <cell r="F775">
            <v>100</v>
          </cell>
          <cell r="G775">
            <v>100</v>
          </cell>
          <cell r="H775">
            <v>100</v>
          </cell>
          <cell r="I775">
            <v>0</v>
          </cell>
          <cell r="J775" t="str">
            <v>NIKE</v>
          </cell>
          <cell r="K775" t="str">
            <v>Pr.Sch.R</v>
          </cell>
          <cell r="L775" t="str">
            <v>MOLDED</v>
          </cell>
          <cell r="M775" t="str">
            <v>1-SLT</v>
          </cell>
        </row>
        <row r="776">
          <cell r="A776" t="str">
            <v>F-2026-04-271</v>
          </cell>
          <cell r="B776" t="str">
            <v>RPRO-260418-0032</v>
          </cell>
          <cell r="C776"/>
          <cell r="D776" t="str">
            <v>PVN-003244</v>
          </cell>
          <cell r="E776" t="str">
            <v>OrthoLite X-35-Hybrid-Nike SEEDPEARL/12-0703TPX Hybrid Flat Sheet 0.145D 25+/-4 Asker C 1.1M 2M 5.2mm</v>
          </cell>
          <cell r="F776">
            <v>118</v>
          </cell>
          <cell r="G776">
            <v>118</v>
          </cell>
          <cell r="H776">
            <v>118</v>
          </cell>
          <cell r="I776">
            <v>0</v>
          </cell>
          <cell r="J776" t="str">
            <v>NIKE</v>
          </cell>
          <cell r="K776" t="str">
            <v>Pr.Sch.R</v>
          </cell>
          <cell r="L776" t="str">
            <v>MOLDED</v>
          </cell>
          <cell r="M776" t="str">
            <v>1-SLT</v>
          </cell>
        </row>
        <row r="777">
          <cell r="A777" t="str">
            <v>F-2026-04-272</v>
          </cell>
          <cell r="B777" t="str">
            <v>FPRO-260418-0002</v>
          </cell>
          <cell r="C777"/>
          <cell r="D777" t="str">
            <v>PVN-003236</v>
          </cell>
          <cell r="E777" t="str">
            <v>OrthoLite Eco LT-Hybrid-Converse SEEDPEARL/12-0703TPX Hybrid 0.13D 25+/-4 Asker C 1.1M 2M 5mm</v>
          </cell>
          <cell r="F777">
            <v>855</v>
          </cell>
          <cell r="G777">
            <v>855</v>
          </cell>
          <cell r="H777">
            <v>855</v>
          </cell>
          <cell r="I777">
            <v>0</v>
          </cell>
          <cell r="J777" t="str">
            <v>CONVERSE</v>
          </cell>
          <cell r="K777" t="str">
            <v>Forecast</v>
          </cell>
          <cell r="L777" t="str">
            <v>DIE CUT</v>
          </cell>
          <cell r="M777">
            <v>1</v>
          </cell>
        </row>
        <row r="778">
          <cell r="A778" t="str">
            <v>F-2026-04-274</v>
          </cell>
          <cell r="B778" t="str">
            <v>FPRO-260418-0004</v>
          </cell>
          <cell r="C778"/>
          <cell r="D778" t="str">
            <v>PVN-003238</v>
          </cell>
          <cell r="E778" t="str">
            <v>OrthoLite Eco LT-Hybrid-Converse SEEDPEARL/12-0703TPX Hybrid 0.11D 25+/-4 Asker C 1.1M 2M 5mm</v>
          </cell>
          <cell r="F778">
            <v>2209</v>
          </cell>
          <cell r="G778">
            <v>2209</v>
          </cell>
          <cell r="H778">
            <v>0</v>
          </cell>
          <cell r="I778">
            <v>2209</v>
          </cell>
          <cell r="J778" t="str">
            <v>CONVERSE</v>
          </cell>
          <cell r="K778" t="str">
            <v>Forecast</v>
          </cell>
          <cell r="L778" t="str">
            <v>SPLITTING</v>
          </cell>
          <cell r="M778">
            <v>2</v>
          </cell>
        </row>
        <row r="779">
          <cell r="A779" t="str">
            <v>F-2026-04-275</v>
          </cell>
          <cell r="B779" t="str">
            <v>RPRO-260420-0504</v>
          </cell>
          <cell r="C779"/>
          <cell r="D779" t="str">
            <v>PVN-001277</v>
          </cell>
          <cell r="E779" t="str">
            <v>OrthoLite Ultra GREEN/16-5932TPX Flat Sheet 0.085D 25+/-4 Asker C 1.1M 2M 4mm</v>
          </cell>
          <cell r="F779">
            <v>70</v>
          </cell>
          <cell r="G779">
            <v>70</v>
          </cell>
          <cell r="H779">
            <v>70</v>
          </cell>
          <cell r="I779">
            <v>0</v>
          </cell>
          <cell r="J779"/>
          <cell r="K779" t="str">
            <v>MPS</v>
          </cell>
          <cell r="L779" t="str">
            <v>SPLITTING</v>
          </cell>
          <cell r="M779">
            <v>2</v>
          </cell>
        </row>
        <row r="780">
          <cell r="A780" t="str">
            <v>F-2026-04-276</v>
          </cell>
          <cell r="B780" t="str">
            <v>RPRO-260420-0505</v>
          </cell>
          <cell r="C780"/>
          <cell r="D780" t="str">
            <v>PVN-001814</v>
          </cell>
          <cell r="E780" t="str">
            <v>OrthoLite Regular GREEN/16-5932TPX Flat Sheet 0.13D 35+/-4 Asker C 1.1M 2M 3.5mm</v>
          </cell>
          <cell r="F780">
            <v>320</v>
          </cell>
          <cell r="G780">
            <v>320</v>
          </cell>
          <cell r="H780">
            <v>320</v>
          </cell>
          <cell r="I780">
            <v>0</v>
          </cell>
          <cell r="J780"/>
          <cell r="K780" t="str">
            <v>MPS</v>
          </cell>
          <cell r="L780" t="str">
            <v>SPLITTING</v>
          </cell>
          <cell r="M780">
            <v>2</v>
          </cell>
        </row>
        <row r="781">
          <cell r="A781" t="str">
            <v>F-2026-04-277</v>
          </cell>
          <cell r="B781" t="str">
            <v>RPRO-260420-0506</v>
          </cell>
          <cell r="C781"/>
          <cell r="D781" t="str">
            <v>PVN-004188</v>
          </cell>
          <cell r="E781" t="str">
            <v>OrthoLite Float NEUTRAL GRAY/17-4402TPX Flat Sheet 0.12D 21+/-4 Asker C 1.1M 1.47M 5.5mm</v>
          </cell>
          <cell r="F781">
            <v>25</v>
          </cell>
          <cell r="G781">
            <v>25</v>
          </cell>
          <cell r="H781">
            <v>25</v>
          </cell>
          <cell r="I781">
            <v>0</v>
          </cell>
          <cell r="J781" t="str">
            <v>PUMA</v>
          </cell>
          <cell r="K781" t="str">
            <v>Pr.Sch.R</v>
          </cell>
          <cell r="L781" t="str">
            <v>MOLDED</v>
          </cell>
          <cell r="M781">
            <v>1</v>
          </cell>
        </row>
        <row r="782">
          <cell r="A782" t="str">
            <v>F-2026-04-278</v>
          </cell>
          <cell r="B782" t="str">
            <v>RPRO-260420-0507</v>
          </cell>
          <cell r="C782"/>
          <cell r="D782" t="str">
            <v>PVN-003603</v>
          </cell>
          <cell r="E782" t="str">
            <v>OrthoLite X-40 TRUE BLUE/19-4057TPX Flat Sheet 0.16D 25+/-4 Asker C 1.1M 1.47M 12mm (SLT)</v>
          </cell>
          <cell r="F782">
            <v>44</v>
          </cell>
          <cell r="G782">
            <v>44</v>
          </cell>
          <cell r="H782">
            <v>44</v>
          </cell>
          <cell r="I782">
            <v>0</v>
          </cell>
          <cell r="J782" t="str">
            <v>ASICS</v>
          </cell>
          <cell r="K782" t="str">
            <v>Pr.Sch.R</v>
          </cell>
          <cell r="L782" t="str">
            <v>MOLDED</v>
          </cell>
          <cell r="M782" t="str">
            <v>1-SLT</v>
          </cell>
        </row>
        <row r="783">
          <cell r="A783" t="str">
            <v>F-2026-04-279</v>
          </cell>
          <cell r="B783" t="str">
            <v>RPRO-260420-0508-đã xóa</v>
          </cell>
          <cell r="C783"/>
          <cell r="D783" t="str">
            <v>PVN-002413</v>
          </cell>
          <cell r="E783" t="str">
            <v>OrthoLite Regular-Nike AIR BLUE/16-4134TPX Flat Sheet 0.11D 25+/-4 Asker C 1.1M 2M 4.2mm (SLT)</v>
          </cell>
          <cell r="F783">
            <v>528</v>
          </cell>
          <cell r="G783">
            <v>528</v>
          </cell>
          <cell r="H783">
            <v>0</v>
          </cell>
          <cell r="I783">
            <v>528</v>
          </cell>
          <cell r="J783" t="str">
            <v>NIKE</v>
          </cell>
          <cell r="K783" t="str">
            <v>Pr.Sch.R</v>
          </cell>
          <cell r="L783" t="str">
            <v>MOLDED</v>
          </cell>
          <cell r="M783" t="str">
            <v>1-SLT</v>
          </cell>
        </row>
        <row r="784">
          <cell r="A784" t="str">
            <v>F-2026-04-280</v>
          </cell>
          <cell r="B784" t="str">
            <v>RPRO-260420-0509</v>
          </cell>
          <cell r="C784"/>
          <cell r="D784" t="str">
            <v>PVN-004178</v>
          </cell>
          <cell r="E784" t="str">
            <v>OrthoLite Float NEUTRAL GRAY/17-4402TPX Flat Sheet 0.12D 21+/-4 Asker C 1.1M 2M 5.5mm</v>
          </cell>
          <cell r="F784">
            <v>50</v>
          </cell>
          <cell r="G784">
            <v>50</v>
          </cell>
          <cell r="H784">
            <v>50</v>
          </cell>
          <cell r="I784">
            <v>0</v>
          </cell>
          <cell r="J784" t="str">
            <v>PUMA</v>
          </cell>
          <cell r="K784" t="str">
            <v>Pr.Sch.R</v>
          </cell>
          <cell r="L784" t="str">
            <v>MOLDED</v>
          </cell>
          <cell r="M784">
            <v>1</v>
          </cell>
        </row>
        <row r="785">
          <cell r="A785" t="str">
            <v>F-2026-04-281</v>
          </cell>
          <cell r="B785" t="str">
            <v>RPRO-260420-0510</v>
          </cell>
          <cell r="C785"/>
          <cell r="D785" t="str">
            <v>PVN-003387</v>
          </cell>
          <cell r="E785" t="str">
            <v>OrthoLite X-40 TRUE BLUE/19-4057TPX Flat Sheet 0.16D 35+/-4 Asker C 1.1M 1.7M 13.5mm</v>
          </cell>
          <cell r="F785">
            <v>18</v>
          </cell>
          <cell r="G785">
            <v>18</v>
          </cell>
          <cell r="H785">
            <v>18</v>
          </cell>
          <cell r="I785">
            <v>0</v>
          </cell>
          <cell r="J785" t="str">
            <v>ADIDAS</v>
          </cell>
          <cell r="K785" t="str">
            <v>Pr.Sch.R</v>
          </cell>
          <cell r="L785" t="str">
            <v>MOLDED</v>
          </cell>
          <cell r="M785">
            <v>1</v>
          </cell>
        </row>
        <row r="786">
          <cell r="A786" t="str">
            <v>F-2026-04-282</v>
          </cell>
          <cell r="B786" t="str">
            <v>RPRO-260420-0511</v>
          </cell>
          <cell r="C786"/>
          <cell r="D786" t="str">
            <v>PVN-003244</v>
          </cell>
          <cell r="E786" t="str">
            <v>OrthoLite X-35-Hybrid-Nike SEEDPEARL/12-0703TPX Hybrid Flat Sheet 0.145D 25+/-4 Asker C 1.1M 2M 5.2mm (SLT)</v>
          </cell>
          <cell r="F786">
            <v>286</v>
          </cell>
          <cell r="G786">
            <v>286</v>
          </cell>
          <cell r="H786">
            <v>0</v>
          </cell>
          <cell r="I786">
            <v>286</v>
          </cell>
          <cell r="J786" t="str">
            <v>NIKE</v>
          </cell>
          <cell r="K786" t="str">
            <v>Pr.Sch.R</v>
          </cell>
          <cell r="L786" t="str">
            <v>MOLDED</v>
          </cell>
          <cell r="M786" t="str">
            <v>1-SLT</v>
          </cell>
        </row>
        <row r="787">
          <cell r="A787" t="str">
            <v>F-2026-04-283</v>
          </cell>
          <cell r="B787" t="str">
            <v>RPRO-260420-0512</v>
          </cell>
          <cell r="C787"/>
          <cell r="D787" t="str">
            <v>PVN-003347</v>
          </cell>
          <cell r="E787" t="str">
            <v>OrthoLite X-40-Nike TRUE BLUE/19-4057TPX Flat Sheet 0.16D 35+/-4 Asker C 1.1M 1.7M 4mm</v>
          </cell>
          <cell r="F787">
            <v>140</v>
          </cell>
          <cell r="G787">
            <v>140</v>
          </cell>
          <cell r="H787">
            <v>140</v>
          </cell>
          <cell r="I787">
            <v>0</v>
          </cell>
          <cell r="J787" t="str">
            <v>NIKE</v>
          </cell>
          <cell r="K787" t="str">
            <v>Pr.Sch.R</v>
          </cell>
          <cell r="L787" t="str">
            <v>LAMINATING</v>
          </cell>
          <cell r="M787">
            <v>1</v>
          </cell>
        </row>
        <row r="788">
          <cell r="A788" t="str">
            <v>F-2026-04-284</v>
          </cell>
          <cell r="B788" t="str">
            <v>RPRO-260420-0513</v>
          </cell>
          <cell r="C788"/>
          <cell r="D788" t="str">
            <v>PVN-004072</v>
          </cell>
          <cell r="E788" t="str">
            <v>OrthoLite X-25 BILLIARD/16-5427TPX Flat Sheet 0.12D 20+/-4 Asker C 1.1M 2M 20mm</v>
          </cell>
          <cell r="F788">
            <v>6</v>
          </cell>
          <cell r="G788">
            <v>6</v>
          </cell>
          <cell r="H788">
            <v>6</v>
          </cell>
          <cell r="I788">
            <v>0</v>
          </cell>
          <cell r="J788" t="str">
            <v>FOOTJOY</v>
          </cell>
          <cell r="K788" t="str">
            <v>Pr.Sch.R</v>
          </cell>
          <cell r="L788" t="str">
            <v>MOLDED</v>
          </cell>
          <cell r="M788">
            <v>1</v>
          </cell>
        </row>
        <row r="789">
          <cell r="A789" t="str">
            <v>F-2026-04-285</v>
          </cell>
          <cell r="B789" t="str">
            <v>RPRO-260420-0514</v>
          </cell>
          <cell r="C789"/>
          <cell r="D789" t="str">
            <v>PVN-003764</v>
          </cell>
          <cell r="E789" t="str">
            <v>OrthoLite X-25-Hybrid SEEDPEARL/12-0703TPX Hybrid Flat Sheet 0.12D 20+/-4 Asker C 1.1M 2M 5mm</v>
          </cell>
          <cell r="F789">
            <v>56</v>
          </cell>
          <cell r="G789">
            <v>56</v>
          </cell>
          <cell r="H789">
            <v>56</v>
          </cell>
          <cell r="I789">
            <v>0</v>
          </cell>
          <cell r="J789" t="str">
            <v>FOOTJOY</v>
          </cell>
          <cell r="K789" t="str">
            <v>Pr.Sch.R</v>
          </cell>
          <cell r="L789" t="str">
            <v>OTHERS</v>
          </cell>
          <cell r="M789">
            <v>1</v>
          </cell>
        </row>
        <row r="790">
          <cell r="A790" t="str">
            <v>F-2026-04-286</v>
          </cell>
          <cell r="B790" t="str">
            <v>RPRO-260420-0515</v>
          </cell>
          <cell r="C790"/>
          <cell r="D790" t="str">
            <v>PVN-004352</v>
          </cell>
          <cell r="E790" t="str">
            <v>OrthoLite Ultra GREEN/16-5932TPX Flat Sheet 0.085D 15+/-4 Asker C 1.1M 2M 11mm</v>
          </cell>
          <cell r="F790">
            <v>120</v>
          </cell>
          <cell r="G790">
            <v>120</v>
          </cell>
          <cell r="H790">
            <v>120</v>
          </cell>
          <cell r="I790">
            <v>0</v>
          </cell>
          <cell r="J790" t="str">
            <v>BLACKYAK</v>
          </cell>
          <cell r="K790" t="str">
            <v>Pr.Sch.R</v>
          </cell>
          <cell r="L790" t="str">
            <v>MOLDED</v>
          </cell>
          <cell r="M790">
            <v>1</v>
          </cell>
        </row>
        <row r="791">
          <cell r="A791" t="str">
            <v>F-2026-04-287</v>
          </cell>
          <cell r="B791" t="str">
            <v>RPRO-260420-0516</v>
          </cell>
          <cell r="C791"/>
          <cell r="D791" t="str">
            <v>PVN-003011</v>
          </cell>
          <cell r="E791" t="str">
            <v>OrthoLite Ultra-Hybrid SEEDPEARL/12-0703TPX Hybrid Flat Sheet 0.085D 25+/-4 Asker C 1.1M 2M 16mm</v>
          </cell>
          <cell r="F791">
            <v>8</v>
          </cell>
          <cell r="G791">
            <v>8</v>
          </cell>
          <cell r="H791">
            <v>8</v>
          </cell>
          <cell r="I791">
            <v>0</v>
          </cell>
          <cell r="J791" t="str">
            <v>CLARKS</v>
          </cell>
          <cell r="K791" t="str">
            <v>Pr.Sch.R</v>
          </cell>
          <cell r="L791" t="str">
            <v>MOLDED</v>
          </cell>
          <cell r="M791">
            <v>1</v>
          </cell>
        </row>
        <row r="792">
          <cell r="A792" t="str">
            <v>OIN-2026.04.16-01</v>
          </cell>
          <cell r="B792" t="str">
            <v>RPRO-260421-0643</v>
          </cell>
          <cell r="C792"/>
          <cell r="D792" t="str">
            <v>PVN-003780</v>
          </cell>
          <cell r="E792" t="str">
            <v>[116-361] Ultra 25+/-4 Asker C 0.085D Green 16-5932 Tpx 1.10M X 2.00M 47mm</v>
          </cell>
          <cell r="F792">
            <v>532</v>
          </cell>
          <cell r="G792">
            <v>532</v>
          </cell>
          <cell r="H792">
            <v>532</v>
          </cell>
          <cell r="I792">
            <v>0</v>
          </cell>
          <cell r="J792" t="str">
            <v>ADIDAS</v>
          </cell>
          <cell r="K792" t="str">
            <v>PO-7115-SO-260417-0049</v>
          </cell>
          <cell r="L792" t="str">
            <v>FLAT SHEET</v>
          </cell>
          <cell r="M792">
            <v>2</v>
          </cell>
        </row>
        <row r="793">
          <cell r="A793" t="str">
            <v>OIN-2026.04.16-02</v>
          </cell>
          <cell r="B793" t="str">
            <v>RPRO-260421-0644</v>
          </cell>
          <cell r="C793"/>
          <cell r="D793" t="str">
            <v>PVN-004394</v>
          </cell>
          <cell r="E793" t="str">
            <v>[116-17888] Regular 25+/-4 Asker C 0.11D Air Blue 16-4134 Tpx 1.10M X 2.00M 47mm</v>
          </cell>
          <cell r="F793">
            <v>532</v>
          </cell>
          <cell r="G793">
            <v>532</v>
          </cell>
          <cell r="H793">
            <v>532</v>
          </cell>
          <cell r="I793">
            <v>0</v>
          </cell>
          <cell r="J793" t="str">
            <v>GAS</v>
          </cell>
          <cell r="K793" t="str">
            <v>PO-7115-SO-260417-0050</v>
          </cell>
          <cell r="L793" t="str">
            <v>FLAT SHEET</v>
          </cell>
          <cell r="M793">
            <v>2</v>
          </cell>
        </row>
        <row r="794">
          <cell r="A794" t="str">
            <v>OIN-2026.04.16-03</v>
          </cell>
          <cell r="B794" t="str">
            <v>RPRO-260421-0645</v>
          </cell>
          <cell r="C794"/>
          <cell r="D794" t="str">
            <v>PVN-003821</v>
          </cell>
          <cell r="E794" t="str">
            <v>[118-467] Eco Lite Hybrid 35+/-4 Asker C 0.13D Lime Green 14-0452 Tpx 1.10M X 2.00M 47mm</v>
          </cell>
          <cell r="F794">
            <v>21</v>
          </cell>
          <cell r="G794">
            <v>21</v>
          </cell>
          <cell r="H794">
            <v>21</v>
          </cell>
          <cell r="I794">
            <v>0</v>
          </cell>
          <cell r="J794" t="str">
            <v>GEOX</v>
          </cell>
          <cell r="K794" t="str">
            <v>PO-7115-SO-260417-0051</v>
          </cell>
          <cell r="L794" t="str">
            <v>FLAT SHEET</v>
          </cell>
          <cell r="M794">
            <v>2</v>
          </cell>
        </row>
        <row r="795">
          <cell r="A795" t="str">
            <v>OIN-2026.04.16-04</v>
          </cell>
          <cell r="B795" t="str">
            <v>RPRO-260421-0646</v>
          </cell>
          <cell r="C795"/>
          <cell r="D795" t="str">
            <v>PVN-004395</v>
          </cell>
          <cell r="E795" t="str">
            <v>[116-17889] Eco Lite Hybrid 35+/-4 Asker C 0.13D Fossil 17-0909 Tpx 1.10M X 2.00M 47mm</v>
          </cell>
          <cell r="F795">
            <v>11</v>
          </cell>
          <cell r="G795">
            <v>11</v>
          </cell>
          <cell r="H795">
            <v>11</v>
          </cell>
          <cell r="I795">
            <v>0</v>
          </cell>
          <cell r="J795" t="str">
            <v>GEOX</v>
          </cell>
          <cell r="K795" t="str">
            <v>PO-7115-SO-260417-0052</v>
          </cell>
          <cell r="L795" t="str">
            <v>FLAT SHEET</v>
          </cell>
          <cell r="M795">
            <v>2</v>
          </cell>
        </row>
        <row r="796">
          <cell r="A796" t="str">
            <v>OIN-2026.04.17-01</v>
          </cell>
          <cell r="B796" t="str">
            <v>RPRO-260421-0647</v>
          </cell>
          <cell r="C796"/>
          <cell r="D796" t="str">
            <v>PVN-003782</v>
          </cell>
          <cell r="E796" t="str">
            <v>[116-446] Ultra 25+/-4 Asker C 0.085D Burnt Sienna 17-1544 Tpx 1.10M X 2.00M 47mm</v>
          </cell>
          <cell r="F796">
            <v>21</v>
          </cell>
          <cell r="G796">
            <v>21</v>
          </cell>
          <cell r="H796">
            <v>21</v>
          </cell>
          <cell r="I796">
            <v>0</v>
          </cell>
          <cell r="J796" t="str">
            <v>CLARKS</v>
          </cell>
          <cell r="K796" t="str">
            <v>PO-7121</v>
          </cell>
          <cell r="L796" t="str">
            <v>FLAT SHEET</v>
          </cell>
          <cell r="M796">
            <v>2</v>
          </cell>
        </row>
        <row r="797">
          <cell r="A797" t="str">
            <v>F-2026-04-288</v>
          </cell>
          <cell r="B797" t="str">
            <v>RPRO-260421-0635</v>
          </cell>
          <cell r="C797"/>
          <cell r="D797" t="str">
            <v>PVN-003347</v>
          </cell>
          <cell r="E797" t="str">
            <v>OrthoLite X-40-Nike TRUE BLUE/19-4057TPX Flat Sheet 0.16D 35+/-4 Asker C 1.1M 1.7M 4mm</v>
          </cell>
          <cell r="F797">
            <v>105</v>
          </cell>
          <cell r="G797">
            <v>105</v>
          </cell>
          <cell r="H797">
            <v>105</v>
          </cell>
          <cell r="I797">
            <v>0</v>
          </cell>
          <cell r="J797"/>
          <cell r="K797" t="str">
            <v>MPS</v>
          </cell>
          <cell r="L797" t="str">
            <v>SPLITTING</v>
          </cell>
          <cell r="M797">
            <v>2</v>
          </cell>
        </row>
        <row r="798">
          <cell r="A798" t="str">
            <v>F-2026-04-289</v>
          </cell>
          <cell r="B798" t="str">
            <v>RPRO-260421-0636</v>
          </cell>
          <cell r="C798"/>
          <cell r="D798" t="str">
            <v>PVN-003461</v>
          </cell>
          <cell r="E798" t="str">
            <v>OrthoLite HybridPlus-Recycled MINT GREEN/11-4805TPX Hybrid Flat Sheet 0.12D 25+/-4 Asker C 1.1M 2M 11mm</v>
          </cell>
          <cell r="F798">
            <v>36</v>
          </cell>
          <cell r="G798">
            <v>36</v>
          </cell>
          <cell r="H798">
            <v>36</v>
          </cell>
          <cell r="I798">
            <v>0</v>
          </cell>
          <cell r="J798" t="str">
            <v>AKU</v>
          </cell>
          <cell r="K798" t="str">
            <v>Pr.Sch.R</v>
          </cell>
          <cell r="L798" t="str">
            <v>MOLDED</v>
          </cell>
          <cell r="M798">
            <v>1</v>
          </cell>
        </row>
        <row r="799">
          <cell r="A799" t="str">
            <v>F-2026-04-290</v>
          </cell>
          <cell r="B799" t="str">
            <v>RPRO-260421-0637</v>
          </cell>
          <cell r="C799"/>
          <cell r="D799" t="str">
            <v>PVN-003745</v>
          </cell>
          <cell r="E799" t="str">
            <v>OrthoLite X-25 BILLIARD/16-5427TPX Flat Sheet 0.12D 20+/-4 Asker C 1.1M 2M 16mm</v>
          </cell>
          <cell r="F799">
            <v>368</v>
          </cell>
          <cell r="G799">
            <v>368</v>
          </cell>
          <cell r="H799">
            <v>368</v>
          </cell>
          <cell r="I799">
            <v>0</v>
          </cell>
          <cell r="J799" t="str">
            <v>FOOTJOY</v>
          </cell>
          <cell r="K799" t="str">
            <v>Pr.Sch.R</v>
          </cell>
          <cell r="L799" t="str">
            <v>MOLDED</v>
          </cell>
          <cell r="M799">
            <v>1</v>
          </cell>
        </row>
        <row r="800">
          <cell r="A800" t="str">
            <v>F-2026-04-291</v>
          </cell>
          <cell r="B800" t="str">
            <v>RPRO-260421-0638</v>
          </cell>
          <cell r="C800"/>
          <cell r="D800" t="str">
            <v>PVN-004002</v>
          </cell>
          <cell r="E800" t="str">
            <v>OrthoLite X-25-Hybrid SEEDPEARL/12-0703TPX Hybrid Flat Sheet 0.12D 20+/-4 Asker C 1.1M 2M 14mm</v>
          </cell>
          <cell r="F800">
            <v>36</v>
          </cell>
          <cell r="G800">
            <v>36</v>
          </cell>
          <cell r="H800">
            <v>36</v>
          </cell>
          <cell r="I800">
            <v>0</v>
          </cell>
          <cell r="J800" t="str">
            <v>FOOTJOY</v>
          </cell>
          <cell r="K800" t="str">
            <v>Pr.Sch.R</v>
          </cell>
          <cell r="L800" t="str">
            <v>MOLDED</v>
          </cell>
          <cell r="M800">
            <v>1</v>
          </cell>
        </row>
        <row r="801">
          <cell r="A801" t="str">
            <v>F-2026-04-292</v>
          </cell>
          <cell r="B801" t="str">
            <v>RPRO-260421-0639</v>
          </cell>
          <cell r="C801"/>
          <cell r="D801" t="str">
            <v>PVN-003816</v>
          </cell>
          <cell r="E801" t="str">
            <v>OrthoLite Ultra-Hybrid SEEDPEARL/12-0703TPX Hybrid Flat Sheet 0.085D 78-90 Asker F 1.1M 2M 2.5mm</v>
          </cell>
          <cell r="F801">
            <v>112</v>
          </cell>
          <cell r="G801">
            <v>112</v>
          </cell>
          <cell r="H801">
            <v>112</v>
          </cell>
          <cell r="I801">
            <v>0</v>
          </cell>
          <cell r="J801" t="str">
            <v>FOOTJOY</v>
          </cell>
          <cell r="K801" t="str">
            <v>Pr.Sch.R</v>
          </cell>
          <cell r="L801" t="str">
            <v>DIE CUT</v>
          </cell>
          <cell r="M801">
            <v>1</v>
          </cell>
        </row>
        <row r="802">
          <cell r="A802" t="str">
            <v>F-2026-04-293</v>
          </cell>
          <cell r="B802" t="str">
            <v>RPRO-260421-0640</v>
          </cell>
          <cell r="C802"/>
          <cell r="D802" t="str">
            <v>PVN-003460</v>
          </cell>
          <cell r="E802" t="str">
            <v>OrthoLite X-25-Hybrid SEEDPEARL/12-0703TPX Hybrid Flat Sheet 0.12D 20+/-4 Asker C 1.1M 2M 5.5mm</v>
          </cell>
          <cell r="F802">
            <v>75</v>
          </cell>
          <cell r="G802">
            <v>75</v>
          </cell>
          <cell r="H802">
            <v>75</v>
          </cell>
          <cell r="I802">
            <v>0</v>
          </cell>
          <cell r="J802" t="str">
            <v>ON RUNNING</v>
          </cell>
          <cell r="K802" t="str">
            <v>Pr.Sch.R</v>
          </cell>
          <cell r="L802" t="str">
            <v>MOLDED</v>
          </cell>
          <cell r="M802">
            <v>1</v>
          </cell>
        </row>
        <row r="803">
          <cell r="A803" t="str">
            <v>F-2026-04-294</v>
          </cell>
          <cell r="B803" t="str">
            <v>RPRO-260421-0641</v>
          </cell>
          <cell r="C803"/>
          <cell r="D803" t="str">
            <v>PVN-004260</v>
          </cell>
          <cell r="E803" t="str">
            <v>OrthoLite HybridPlus-Recycled MINT GREEN/11-4805TPX Hybrid Flat Sheet 0.12D 35+/-4 Asker C 1.1M 2M 5.5mm</v>
          </cell>
          <cell r="F803">
            <v>175</v>
          </cell>
          <cell r="G803">
            <v>175</v>
          </cell>
          <cell r="H803">
            <v>175</v>
          </cell>
          <cell r="I803">
            <v>0</v>
          </cell>
          <cell r="J803" t="str">
            <v>ON RUNNING</v>
          </cell>
          <cell r="K803" t="str">
            <v>Pr.Sch.R</v>
          </cell>
          <cell r="L803" t="str">
            <v>MOLDED</v>
          </cell>
          <cell r="M803">
            <v>1</v>
          </cell>
        </row>
        <row r="804">
          <cell r="A804" t="str">
            <v>F-2026-04-295</v>
          </cell>
          <cell r="B804" t="str">
            <v>RPRO-260421-0642</v>
          </cell>
          <cell r="C804"/>
          <cell r="D804" t="str">
            <v>PVN-004066</v>
          </cell>
          <cell r="E804" t="str">
            <v>OrthoLite Regular NEUTRAL GRAY/17-4402TPX Flat Sheet 0.16D 51+/-4 Asker C 1.1M 1.7M 9.5mm</v>
          </cell>
          <cell r="F804">
            <v>28</v>
          </cell>
          <cell r="G804">
            <v>28</v>
          </cell>
          <cell r="H804">
            <v>28</v>
          </cell>
          <cell r="I804">
            <v>0</v>
          </cell>
          <cell r="J804" t="str">
            <v>FOOTJOY</v>
          </cell>
          <cell r="K804" t="str">
            <v>Pr.Sch.R</v>
          </cell>
          <cell r="L804" t="str">
            <v>MOLDED</v>
          </cell>
          <cell r="M804">
            <v>1</v>
          </cell>
        </row>
        <row r="805">
          <cell r="A805" t="str">
            <v>F-2026-04-296</v>
          </cell>
          <cell r="B805" t="str">
            <v>FPRO-260418-0001</v>
          </cell>
          <cell r="C805"/>
          <cell r="D805" t="str">
            <v>PVN-003517</v>
          </cell>
          <cell r="E805" t="str">
            <v>OrthoLite Regular GREY/17-1501TPX Flat Sheet 0.16D 51+/-4 Asker C 1.1M 1.7M 12mm</v>
          </cell>
          <cell r="F805">
            <v>804</v>
          </cell>
          <cell r="G805">
            <v>804</v>
          </cell>
          <cell r="H805">
            <v>804</v>
          </cell>
          <cell r="I805">
            <v>0</v>
          </cell>
          <cell r="J805" t="str">
            <v>CONVERSE</v>
          </cell>
          <cell r="K805" t="str">
            <v>Pr.Sch.R</v>
          </cell>
          <cell r="L805" t="str">
            <v>DIE CUT</v>
          </cell>
          <cell r="M805">
            <v>1</v>
          </cell>
        </row>
        <row r="806">
          <cell r="A806" t="str">
            <v>F-2026-04-297</v>
          </cell>
          <cell r="B806" t="str">
            <v>RPRO-260421-0698</v>
          </cell>
          <cell r="C806"/>
          <cell r="D806" t="str">
            <v>PVN-003236</v>
          </cell>
          <cell r="E806" t="str">
            <v>OrthoLite Eco LT-Hybrid-Converse SEEDPEARL/12-0703TPX Hybrid 0.13D 25+/-4 Asker C 1.1M 2M 5mm</v>
          </cell>
          <cell r="F806">
            <v>584</v>
          </cell>
          <cell r="G806">
            <v>584</v>
          </cell>
          <cell r="H806">
            <v>584</v>
          </cell>
          <cell r="I806">
            <v>0</v>
          </cell>
          <cell r="J806"/>
          <cell r="K806" t="str">
            <v>MPS</v>
          </cell>
          <cell r="L806" t="str">
            <v>SPLITTING</v>
          </cell>
          <cell r="M806">
            <v>2</v>
          </cell>
        </row>
        <row r="807">
          <cell r="A807" t="str">
            <v>F-2026-04-298</v>
          </cell>
          <cell r="B807" t="str">
            <v>RPRO-260422-0090</v>
          </cell>
          <cell r="C807"/>
          <cell r="D807" t="str">
            <v>PVN-001550</v>
          </cell>
          <cell r="E807" t="str">
            <v>OrthoLite Regular-Nike AIR BLUE/16-4134TPX Flat Sheet 0.11D 25+/-4 Asker C 1.1M 1.7M 2mm</v>
          </cell>
          <cell r="F807">
            <v>1190</v>
          </cell>
          <cell r="G807">
            <v>1190</v>
          </cell>
          <cell r="H807">
            <v>1190</v>
          </cell>
          <cell r="I807">
            <v>0</v>
          </cell>
          <cell r="J807" t="str">
            <v>NIKE</v>
          </cell>
          <cell r="K807" t="str">
            <v>Pr.Sch.R</v>
          </cell>
          <cell r="L807" t="str">
            <v>LAMINATING</v>
          </cell>
          <cell r="M807">
            <v>1</v>
          </cell>
        </row>
        <row r="808">
          <cell r="A808" t="str">
            <v>F-2026-04-299</v>
          </cell>
          <cell r="B808" t="str">
            <v>RPRO-260422-0091</v>
          </cell>
          <cell r="C808"/>
          <cell r="D808" t="str">
            <v>PVN-003448</v>
          </cell>
          <cell r="E808" t="str">
            <v>OrthoLite X-25 BILLIARD/16-5427TPX Flat Sheet 0.12D 20+/-4 Asker C 1.1M 2M 6.2mm</v>
          </cell>
          <cell r="F808">
            <v>44</v>
          </cell>
          <cell r="G808">
            <v>44</v>
          </cell>
          <cell r="H808">
            <v>44</v>
          </cell>
          <cell r="I808">
            <v>0</v>
          </cell>
          <cell r="J808" t="str">
            <v>ADIDAS</v>
          </cell>
          <cell r="K808" t="str">
            <v>Pr.Sch.R</v>
          </cell>
          <cell r="L808" t="str">
            <v>MOLDED</v>
          </cell>
          <cell r="M808">
            <v>1</v>
          </cell>
        </row>
        <row r="809">
          <cell r="A809" t="str">
            <v>F-2026-04-300</v>
          </cell>
          <cell r="B809" t="str">
            <v>RPRO-260422-0092</v>
          </cell>
          <cell r="C809"/>
          <cell r="D809" t="str">
            <v>PVN-000121</v>
          </cell>
          <cell r="E809" t="str">
            <v>OrthoLite Regular AIR BLUE/16-4134TPX Flat Sheet 0.13D 35+/-4 Asker C 1.1M 2M 12mm</v>
          </cell>
          <cell r="F809">
            <v>11</v>
          </cell>
          <cell r="G809">
            <v>11</v>
          </cell>
          <cell r="H809">
            <v>11</v>
          </cell>
          <cell r="I809">
            <v>0</v>
          </cell>
          <cell r="J809" t="str">
            <v>ASICS</v>
          </cell>
          <cell r="K809" t="str">
            <v>Pr.Sch.R</v>
          </cell>
          <cell r="L809" t="str">
            <v>MOLDED</v>
          </cell>
          <cell r="M809" t="str">
            <v>1-RM-WIP</v>
          </cell>
        </row>
        <row r="810">
          <cell r="A810" t="str">
            <v>F-2026-04-301</v>
          </cell>
          <cell r="B810" t="str">
            <v>RPRO-260422-0093</v>
          </cell>
          <cell r="C810"/>
          <cell r="D810" t="str">
            <v>PVN-002827</v>
          </cell>
          <cell r="E810" t="str">
            <v>OrthoLite Regular-Hybrid-Nike SEEDPEARL/12-0703TPX Hybrid Flat Sheet 0.11D 25+/-4 Asker C 1.1M 2M 5mm</v>
          </cell>
          <cell r="F810">
            <v>28</v>
          </cell>
          <cell r="G810">
            <v>28</v>
          </cell>
          <cell r="H810">
            <v>28</v>
          </cell>
          <cell r="I810">
            <v>0</v>
          </cell>
          <cell r="J810" t="str">
            <v>NIKE</v>
          </cell>
          <cell r="K810" t="str">
            <v>Pr.Sch.R</v>
          </cell>
          <cell r="L810" t="str">
            <v>MOLDED</v>
          </cell>
          <cell r="M810">
            <v>1</v>
          </cell>
        </row>
        <row r="811">
          <cell r="A811" t="str">
            <v>F-2026-04-302</v>
          </cell>
          <cell r="B811" t="str">
            <v>RPRO-260422-0094</v>
          </cell>
          <cell r="C811"/>
          <cell r="D811" t="str">
            <v>PVN-003642</v>
          </cell>
          <cell r="E811" t="str">
            <v>OrthoLite X-35-Hybrid-Nike SEEDPEARL/12-0703TPX Hybrid Flat Sheet 0.145D 25+/-4 Asker C 1.1M 2M 6.2mm</v>
          </cell>
          <cell r="F811">
            <v>22</v>
          </cell>
          <cell r="G811">
            <v>22</v>
          </cell>
          <cell r="H811">
            <v>22</v>
          </cell>
          <cell r="I811">
            <v>0</v>
          </cell>
          <cell r="J811" t="str">
            <v>NIKE</v>
          </cell>
          <cell r="K811" t="str">
            <v>Pr.Sch.R</v>
          </cell>
          <cell r="L811" t="str">
            <v>MOLDED</v>
          </cell>
          <cell r="M811">
            <v>1</v>
          </cell>
        </row>
        <row r="812">
          <cell r="A812" t="str">
            <v>F-2026-04-303</v>
          </cell>
          <cell r="B812" t="str">
            <v>RPRO-260422-0095</v>
          </cell>
          <cell r="C812"/>
          <cell r="D812" t="str">
            <v>PVN-001319</v>
          </cell>
          <cell r="E812" t="str">
            <v>OrthoLite Ultra GREEN/16-5932TPX Flat Sheet 0.085D 25+/-4 Asker C 1.1M 2M 5mm</v>
          </cell>
          <cell r="F812">
            <v>28</v>
          </cell>
          <cell r="G812">
            <v>28</v>
          </cell>
          <cell r="H812">
            <v>28</v>
          </cell>
          <cell r="I812">
            <v>0</v>
          </cell>
          <cell r="J812" t="str">
            <v>NEW BALANCE</v>
          </cell>
          <cell r="K812" t="str">
            <v>Pr.Sch.R</v>
          </cell>
          <cell r="L812" t="str">
            <v>DIE CUT</v>
          </cell>
          <cell r="M812">
            <v>1</v>
          </cell>
        </row>
        <row r="813">
          <cell r="A813" t="str">
            <v>F-2026-04-304</v>
          </cell>
          <cell r="B813" t="str">
            <v>RPRO-260422-0096</v>
          </cell>
          <cell r="C813"/>
          <cell r="D813" t="str">
            <v>PVN-004315</v>
          </cell>
          <cell r="E813" t="str">
            <v>OrthoLite X-25-Nike BILLIARD/16-5427TPX Flat Sheet 0.12D 20+/-4 Asker C 1.1M 2M 5mm</v>
          </cell>
          <cell r="F813">
            <v>196</v>
          </cell>
          <cell r="G813">
            <v>196</v>
          </cell>
          <cell r="H813">
            <v>196</v>
          </cell>
          <cell r="I813">
            <v>0</v>
          </cell>
          <cell r="J813" t="str">
            <v>NIKE</v>
          </cell>
          <cell r="K813" t="str">
            <v>Pr.Sch.R</v>
          </cell>
          <cell r="L813" t="str">
            <v>DIE CUT</v>
          </cell>
          <cell r="M813">
            <v>1</v>
          </cell>
        </row>
        <row r="814">
          <cell r="A814" t="str">
            <v>F-2026-04-305</v>
          </cell>
          <cell r="B814" t="str">
            <v>RPRO-260422-0097</v>
          </cell>
          <cell r="C814"/>
          <cell r="D814" t="str">
            <v>PVN-004061</v>
          </cell>
          <cell r="E814" t="str">
            <v>OrthoLite X-55 RED/19-1764TPX Flat Sheet 0.16D 25+/-4 Asker C 1.1M 1.47M 18mm</v>
          </cell>
          <cell r="F814">
            <v>7</v>
          </cell>
          <cell r="G814">
            <v>7</v>
          </cell>
          <cell r="H814">
            <v>7</v>
          </cell>
          <cell r="I814">
            <v>0</v>
          </cell>
          <cell r="J814" t="str">
            <v>WILSON</v>
          </cell>
          <cell r="K814" t="str">
            <v>Pr.Sch.R</v>
          </cell>
          <cell r="L814" t="str">
            <v>MOLDED</v>
          </cell>
          <cell r="M814">
            <v>1</v>
          </cell>
        </row>
        <row r="815">
          <cell r="A815" t="str">
            <v>F-2026-04-306</v>
          </cell>
          <cell r="B815" t="str">
            <v>RPRO-260422-0098</v>
          </cell>
          <cell r="C815"/>
          <cell r="D815" t="str">
            <v>PVN-003745</v>
          </cell>
          <cell r="E815" t="str">
            <v>OrthoLite X-25 BILLIARD/16-5427TPX Flat Sheet 0.12D 20+/-4 Asker C 1.1M 2M 16mm</v>
          </cell>
          <cell r="F815">
            <v>16</v>
          </cell>
          <cell r="G815">
            <v>16</v>
          </cell>
          <cell r="H815">
            <v>16</v>
          </cell>
          <cell r="I815">
            <v>0</v>
          </cell>
          <cell r="J815" t="str">
            <v>FOOTJOY</v>
          </cell>
          <cell r="K815" t="str">
            <v>Pr.Sch.R</v>
          </cell>
          <cell r="L815" t="str">
            <v>MOLDED</v>
          </cell>
          <cell r="M815">
            <v>1</v>
          </cell>
        </row>
        <row r="816">
          <cell r="A816" t="str">
            <v>F-2026-04-307</v>
          </cell>
          <cell r="B816" t="str">
            <v>RPRO-260422-0099</v>
          </cell>
          <cell r="C816"/>
          <cell r="D816" t="str">
            <v>PVN-003494</v>
          </cell>
          <cell r="E816" t="str">
            <v>OrthoLite X-25 BILLIARD/16-5427TPX Flat Sheet 0.12D 20+/-4 Asker C 1.1M 2M 5.5mm</v>
          </cell>
          <cell r="F816">
            <v>25</v>
          </cell>
          <cell r="G816">
            <v>25</v>
          </cell>
          <cell r="H816">
            <v>25</v>
          </cell>
          <cell r="I816">
            <v>0</v>
          </cell>
          <cell r="J816" t="str">
            <v>LOTTO</v>
          </cell>
          <cell r="K816" t="str">
            <v>Pr.Sch.R</v>
          </cell>
          <cell r="L816" t="str">
            <v>MOLDED</v>
          </cell>
          <cell r="M816">
            <v>1</v>
          </cell>
        </row>
        <row r="817">
          <cell r="A817" t="str">
            <v>F-2026-04-308</v>
          </cell>
          <cell r="B817" t="str">
            <v>RPRO-260422-0100</v>
          </cell>
          <cell r="C817"/>
          <cell r="D817" t="str">
            <v>PVN-002773</v>
          </cell>
          <cell r="E817" t="str">
            <v>OrthoLite Regular-Hybrid-Nike SEEDPEARL/12-0703TPX Hybrid Flat Sheet 0.11D 25+/-4 Asker C 1.1M 2M 4mm</v>
          </cell>
          <cell r="F817">
            <v>490</v>
          </cell>
          <cell r="G817">
            <v>490</v>
          </cell>
          <cell r="H817">
            <v>490</v>
          </cell>
          <cell r="I817">
            <v>0</v>
          </cell>
          <cell r="J817" t="str">
            <v>NIKE</v>
          </cell>
          <cell r="K817" t="str">
            <v>Pr.Sch.R</v>
          </cell>
          <cell r="L817" t="str">
            <v>DIE CUT</v>
          </cell>
          <cell r="M817">
            <v>1</v>
          </cell>
        </row>
        <row r="818">
          <cell r="A818" t="str">
            <v>F-2026-04-309</v>
          </cell>
          <cell r="B818" t="str">
            <v>RPRO-260423-0480</v>
          </cell>
          <cell r="C818"/>
          <cell r="D818" t="str">
            <v>PVN-000458</v>
          </cell>
          <cell r="E818" t="str">
            <v>OrthoLite Regular GREEN/16-5932TPX Flat Sheet 0.13D 35+/-4 Asker C 1.1M 2M 3mm</v>
          </cell>
          <cell r="F818">
            <v>1196</v>
          </cell>
          <cell r="G818">
            <v>1196</v>
          </cell>
          <cell r="H818">
            <v>1196</v>
          </cell>
          <cell r="I818">
            <v>0</v>
          </cell>
          <cell r="J818"/>
          <cell r="K818" t="str">
            <v>MPS</v>
          </cell>
          <cell r="L818" t="str">
            <v>SPLITTING</v>
          </cell>
          <cell r="M818">
            <v>2</v>
          </cell>
        </row>
        <row r="819">
          <cell r="A819" t="str">
            <v>F-2026-04-310</v>
          </cell>
          <cell r="B819" t="str">
            <v>RPRO-260423-0481</v>
          </cell>
          <cell r="C819"/>
          <cell r="D819" t="str">
            <v>PVN-001550</v>
          </cell>
          <cell r="E819" t="str">
            <v>OrthoLite Regular-Nike AIR BLUE/16-4134TPX Flat Sheet 0.11D 25+/-4 Asker C 1.1M 1.7M 2mm</v>
          </cell>
          <cell r="F819">
            <v>1960</v>
          </cell>
          <cell r="G819">
            <v>1960</v>
          </cell>
          <cell r="H819">
            <v>1960</v>
          </cell>
          <cell r="I819">
            <v>0</v>
          </cell>
          <cell r="J819" t="str">
            <v>NIKE</v>
          </cell>
          <cell r="K819" t="str">
            <v>Pr.Sch.R</v>
          </cell>
          <cell r="L819" t="str">
            <v>LAMINATING</v>
          </cell>
          <cell r="M819">
            <v>1</v>
          </cell>
        </row>
        <row r="820">
          <cell r="A820" t="str">
            <v>F-2026-04-311</v>
          </cell>
          <cell r="B820" t="str">
            <v>RPRO-260423-0482</v>
          </cell>
          <cell r="C820"/>
          <cell r="D820" t="str">
            <v>PVN-004168</v>
          </cell>
          <cell r="E820" t="str">
            <v>OrthoLite X-40-Nike SEEDPEARL/12-0703TPX Flat Sheet 0.16D 35+/-4 Asker C 1.1M 2M 4.5mm</v>
          </cell>
          <cell r="F820">
            <v>31</v>
          </cell>
          <cell r="G820">
            <v>31</v>
          </cell>
          <cell r="H820">
            <v>31</v>
          </cell>
          <cell r="I820">
            <v>0</v>
          </cell>
          <cell r="J820" t="str">
            <v>NIKE</v>
          </cell>
          <cell r="K820" t="str">
            <v>Pr.Sch.R</v>
          </cell>
          <cell r="L820" t="str">
            <v>MOLDED</v>
          </cell>
          <cell r="M820">
            <v>1</v>
          </cell>
        </row>
        <row r="821">
          <cell r="A821" t="str">
            <v>F-2026-04-312</v>
          </cell>
          <cell r="B821" t="str">
            <v>RPRO-260423-0483</v>
          </cell>
          <cell r="C821"/>
          <cell r="D821" t="str">
            <v>PVN-004223</v>
          </cell>
          <cell r="E821" t="str">
            <v>OrthoLite Float NEUTRAL GRAY/17-4402TPX Flat Sheet 0.12D 21+/-4 Asker C 1.1M 2M 5mm</v>
          </cell>
          <cell r="F821">
            <v>28</v>
          </cell>
          <cell r="G821">
            <v>28</v>
          </cell>
          <cell r="H821">
            <v>28</v>
          </cell>
          <cell r="I821">
            <v>0</v>
          </cell>
          <cell r="J821" t="str">
            <v>PUMA</v>
          </cell>
          <cell r="K821" t="str">
            <v>Pr.Sch.R</v>
          </cell>
          <cell r="L821" t="str">
            <v>DIE CUT</v>
          </cell>
          <cell r="M821">
            <v>1</v>
          </cell>
        </row>
        <row r="822">
          <cell r="A822" t="str">
            <v>F-2026-04-313</v>
          </cell>
          <cell r="B822" t="str">
            <v>RPRO-260423-0484</v>
          </cell>
          <cell r="C822"/>
          <cell r="D822" t="str">
            <v>PVN-003752</v>
          </cell>
          <cell r="E822" t="str">
            <v>OrthoLite X-25-Hybrid SEEDPEARL/12-0703TPX Hybrid Flat Sheet 0.12D 20+/-4 Asker C 1.1M 1.47M 4.5mm</v>
          </cell>
          <cell r="F822">
            <v>31</v>
          </cell>
          <cell r="G822">
            <v>31</v>
          </cell>
          <cell r="H822">
            <v>31</v>
          </cell>
          <cell r="I822">
            <v>0</v>
          </cell>
          <cell r="J822" t="str">
            <v>ON RUNNING</v>
          </cell>
          <cell r="K822" t="str">
            <v>Pr.Sch.R</v>
          </cell>
          <cell r="L822" t="str">
            <v>MOLDED</v>
          </cell>
          <cell r="M822">
            <v>1</v>
          </cell>
        </row>
        <row r="823">
          <cell r="A823" t="str">
            <v>F-2026-04-314</v>
          </cell>
          <cell r="B823" t="str">
            <v>RPRO-260423-0485</v>
          </cell>
          <cell r="C823"/>
          <cell r="D823" t="str">
            <v>PVN-003878</v>
          </cell>
          <cell r="E823" t="str">
            <v>OrthoLite Ultra-Hybrid SEEDPEARL/12-0703TPX Hybrid Flat Sheet 0.095D 33+/-4 Asker C 1.1M 2M 4mm</v>
          </cell>
          <cell r="F823">
            <v>140</v>
          </cell>
          <cell r="G823">
            <v>140</v>
          </cell>
          <cell r="H823">
            <v>140</v>
          </cell>
          <cell r="I823">
            <v>0</v>
          </cell>
          <cell r="J823" t="str">
            <v>ON RUNNING</v>
          </cell>
          <cell r="K823" t="str">
            <v>Pr.Sch.R</v>
          </cell>
          <cell r="L823" t="str">
            <v>DIE CUT</v>
          </cell>
          <cell r="M823">
            <v>1</v>
          </cell>
        </row>
        <row r="824">
          <cell r="A824" t="str">
            <v>F-2026-04-315</v>
          </cell>
          <cell r="B824" t="str">
            <v>RPRO-260424-1161</v>
          </cell>
          <cell r="C824"/>
          <cell r="D824" t="str">
            <v>PVN-003924</v>
          </cell>
          <cell r="E824" t="str">
            <v>OrthoLite Regular-Hybrid SEEDPEARL/12-0703TPX Hybrid Flat Sheet 0.13D 25+/-4 Asker C 1.1M 1.7M 5mm</v>
          </cell>
          <cell r="F824">
            <v>56</v>
          </cell>
          <cell r="G824">
            <v>56</v>
          </cell>
          <cell r="H824">
            <v>56</v>
          </cell>
          <cell r="I824">
            <v>0</v>
          </cell>
          <cell r="J824"/>
          <cell r="K824" t="str">
            <v>Pr.Sch.R</v>
          </cell>
          <cell r="L824"/>
          <cell r="M824">
            <v>1</v>
          </cell>
        </row>
        <row r="825">
          <cell r="A825" t="str">
            <v>F-2026-04-316</v>
          </cell>
          <cell r="B825" t="str">
            <v>RPRO-260424-1162</v>
          </cell>
          <cell r="C825"/>
          <cell r="D825" t="str">
            <v>PVN-001277</v>
          </cell>
          <cell r="E825" t="str">
            <v>OrthoLite Ultra GREEN/16-5932TPX Flat Sheet 0.085D 25+/-4 Asker C 1.1M 2M 4mm</v>
          </cell>
          <cell r="F825">
            <v>385</v>
          </cell>
          <cell r="G825">
            <v>385</v>
          </cell>
          <cell r="H825">
            <v>385</v>
          </cell>
          <cell r="I825">
            <v>0</v>
          </cell>
          <cell r="J825"/>
          <cell r="K825" t="str">
            <v>Pr.Sch.R</v>
          </cell>
          <cell r="L825"/>
          <cell r="M825">
            <v>1</v>
          </cell>
        </row>
        <row r="826">
          <cell r="A826" t="str">
            <v>F-2026-04-317</v>
          </cell>
          <cell r="B826" t="str">
            <v>RPRO-260424-1163</v>
          </cell>
          <cell r="C826"/>
          <cell r="D826" t="str">
            <v>PVN-003300</v>
          </cell>
          <cell r="E826" t="str">
            <v>OrthoLite Ultra-Hybrid SEEDPEARL/12-0703TPX Hybrid Flat Sheet 0.085D 25+/-4 Asker C 1.1M 2M 2mm</v>
          </cell>
          <cell r="F826">
            <v>420</v>
          </cell>
          <cell r="G826">
            <v>420</v>
          </cell>
          <cell r="H826">
            <v>420</v>
          </cell>
          <cell r="I826">
            <v>0</v>
          </cell>
          <cell r="J826"/>
          <cell r="K826" t="str">
            <v>Pr.Sch.R</v>
          </cell>
          <cell r="L826"/>
          <cell r="M826">
            <v>1</v>
          </cell>
        </row>
        <row r="827">
          <cell r="A827" t="str">
            <v>F-2026-04-318</v>
          </cell>
          <cell r="B827" t="str">
            <v>RPRO-260424-1164</v>
          </cell>
          <cell r="C827"/>
          <cell r="D827" t="str">
            <v>PVN-001550</v>
          </cell>
          <cell r="E827" t="str">
            <v>OrthoLite Regular-Nike AIR BLUE/16-4134TPX Flat Sheet 0.11D 25+/-4 Asker C 1.1M 1.7M 2mm</v>
          </cell>
          <cell r="F827">
            <v>3430</v>
          </cell>
          <cell r="G827">
            <v>3430</v>
          </cell>
          <cell r="H827">
            <v>0</v>
          </cell>
          <cell r="I827">
            <v>3430</v>
          </cell>
          <cell r="J827" t="str">
            <v>NIKE</v>
          </cell>
          <cell r="K827" t="str">
            <v>Pr.Sch.R</v>
          </cell>
          <cell r="L827" t="str">
            <v>LAMINATING</v>
          </cell>
          <cell r="M827">
            <v>1</v>
          </cell>
        </row>
        <row r="828">
          <cell r="A828" t="str">
            <v>F-2026-04-319</v>
          </cell>
          <cell r="B828" t="str">
            <v>RPRO-260424-1165</v>
          </cell>
          <cell r="C828"/>
          <cell r="D828" t="str">
            <v>PVN-004188</v>
          </cell>
          <cell r="E828" t="str">
            <v>OrthoLite Float NEUTRAL GRAY/17-4402TPX Flat Sheet 0.12D 21+/-4 Asker C 1.1M 1.47M 5.5mm</v>
          </cell>
          <cell r="F828">
            <v>100</v>
          </cell>
          <cell r="G828">
            <v>100</v>
          </cell>
          <cell r="H828">
            <v>100</v>
          </cell>
          <cell r="I828">
            <v>0</v>
          </cell>
          <cell r="J828" t="str">
            <v>PUMA</v>
          </cell>
          <cell r="K828" t="str">
            <v>Pr.Sch.R</v>
          </cell>
          <cell r="L828" t="str">
            <v>MOLDED</v>
          </cell>
          <cell r="M828">
            <v>1</v>
          </cell>
        </row>
        <row r="829">
          <cell r="A829" t="str">
            <v>F-2026-04-320</v>
          </cell>
          <cell r="B829" t="str">
            <v>RPRO-260424-1166</v>
          </cell>
          <cell r="C829"/>
          <cell r="D829" t="str">
            <v>PVN-004178</v>
          </cell>
          <cell r="E829" t="str">
            <v>OrthoLite Float NEUTRAL GRAY/17-4402TPX Flat Sheet 0.12D 21+/-4 Asker C 1.1M 2M 5.5mm</v>
          </cell>
          <cell r="F829">
            <v>650</v>
          </cell>
          <cell r="G829">
            <v>650</v>
          </cell>
          <cell r="H829">
            <v>650</v>
          </cell>
          <cell r="I829">
            <v>0</v>
          </cell>
          <cell r="J829" t="str">
            <v>PUMA</v>
          </cell>
          <cell r="K829" t="str">
            <v>Pr.Sch.R</v>
          </cell>
          <cell r="L829" t="str">
            <v>MOLDED</v>
          </cell>
          <cell r="M829">
            <v>1</v>
          </cell>
        </row>
        <row r="830">
          <cell r="A830" t="str">
            <v>F-2026-04-321</v>
          </cell>
          <cell r="B830" t="str">
            <v>RPRO-260424-1167</v>
          </cell>
          <cell r="C830"/>
          <cell r="D830" t="str">
            <v>PVN-004315</v>
          </cell>
          <cell r="E830" t="str">
            <v>OrthoLite X-25-Nike BILLIARD/16-5427TPX Flat Sheet 0.12D 20+/-4 Asker C 1.1M 2M 5mm</v>
          </cell>
          <cell r="F830">
            <v>504</v>
          </cell>
          <cell r="G830">
            <v>504</v>
          </cell>
          <cell r="H830">
            <v>504</v>
          </cell>
          <cell r="I830">
            <v>0</v>
          </cell>
          <cell r="J830" t="str">
            <v>NIKE</v>
          </cell>
          <cell r="K830" t="str">
            <v>Pr.Sch.R</v>
          </cell>
          <cell r="L830" t="str">
            <v>DIE CUT</v>
          </cell>
          <cell r="M830">
            <v>1</v>
          </cell>
        </row>
        <row r="831">
          <cell r="A831" t="str">
            <v>F-2026-04-322</v>
          </cell>
          <cell r="B831" t="str">
            <v>RPRO-260424-1168</v>
          </cell>
          <cell r="C831"/>
          <cell r="D831" t="str">
            <v>PVN-002875</v>
          </cell>
          <cell r="E831" t="str">
            <v>OrthoLite Ultra-Hybrid-Nike SEEDPEARL/12-0703TPX Hybrid Flat Sheet 0.085D 25+/-4 Asker C 1.1M 2M 3mm</v>
          </cell>
          <cell r="F831">
            <v>414</v>
          </cell>
          <cell r="G831">
            <v>414</v>
          </cell>
          <cell r="H831">
            <v>0</v>
          </cell>
          <cell r="I831">
            <v>414</v>
          </cell>
          <cell r="J831" t="str">
            <v>NIKE</v>
          </cell>
          <cell r="K831" t="str">
            <v>Pr.Sch.R</v>
          </cell>
          <cell r="L831" t="str">
            <v>DIE CUT</v>
          </cell>
          <cell r="M831">
            <v>1</v>
          </cell>
        </row>
        <row r="832">
          <cell r="A832" t="str">
            <v>F-2026-04-323</v>
          </cell>
          <cell r="B832" t="str">
            <v>RPRO-260424-1169</v>
          </cell>
          <cell r="C832"/>
          <cell r="D832" t="str">
            <v>PVN-003494</v>
          </cell>
          <cell r="E832" t="str">
            <v>OrthoLite X-25 BILLIARD/16-5427TPX Flat Sheet 0.12D 20+/-4 Asker C 1.1M 2M 5.5mm</v>
          </cell>
          <cell r="F832">
            <v>175</v>
          </cell>
          <cell r="G832">
            <v>175</v>
          </cell>
          <cell r="H832">
            <v>0</v>
          </cell>
          <cell r="I832">
            <v>175</v>
          </cell>
          <cell r="J832" t="str">
            <v>LOTTO</v>
          </cell>
          <cell r="K832" t="str">
            <v>Pr.Sch.R</v>
          </cell>
          <cell r="L832" t="str">
            <v>MOLDED</v>
          </cell>
          <cell r="M832">
            <v>1</v>
          </cell>
        </row>
        <row r="833">
          <cell r="A833" t="str">
            <v>F-2026-04-324</v>
          </cell>
          <cell r="B833" t="str">
            <v>RPRO-260424-1170</v>
          </cell>
          <cell r="C833"/>
          <cell r="D833" t="str">
            <v>PVN-004177</v>
          </cell>
          <cell r="E833" t="str">
            <v>OrthoLite Float SEEDPEARL/12-0703TPX Flat Sheet 0.12D 21+/-4 Asker C 1.1M 2M 5.5mm</v>
          </cell>
          <cell r="F833">
            <v>50</v>
          </cell>
          <cell r="G833">
            <v>50</v>
          </cell>
          <cell r="H833">
            <v>50</v>
          </cell>
          <cell r="I833">
            <v>0</v>
          </cell>
          <cell r="J833" t="str">
            <v>ON RUNNING</v>
          </cell>
          <cell r="K833" t="str">
            <v>Pr.Sch.R</v>
          </cell>
          <cell r="L833" t="str">
            <v>MOLDED</v>
          </cell>
          <cell r="M833">
            <v>1</v>
          </cell>
        </row>
        <row r="834">
          <cell r="A834" t="str">
            <v>F-2026-04-325</v>
          </cell>
          <cell r="B834" t="str">
            <v>RPRO-260424-1171</v>
          </cell>
          <cell r="C834"/>
          <cell r="D834" t="str">
            <v>PVN-003752</v>
          </cell>
          <cell r="E834" t="str">
            <v>OrthoLite X-25-Hybrid SEEDPEARL/12-0703TPX Hybrid Flat Sheet 0.12D 20+/-4 Asker C 1.1M 1.47M 4.5mm</v>
          </cell>
          <cell r="F834">
            <v>62</v>
          </cell>
          <cell r="G834">
            <v>62</v>
          </cell>
          <cell r="H834">
            <v>62</v>
          </cell>
          <cell r="I834">
            <v>0</v>
          </cell>
          <cell r="J834" t="str">
            <v>ON RUNNING</v>
          </cell>
          <cell r="K834" t="str">
            <v>Pr.Sch.R</v>
          </cell>
          <cell r="L834" t="str">
            <v>MOLDED</v>
          </cell>
          <cell r="M834">
            <v>1</v>
          </cell>
        </row>
        <row r="835">
          <cell r="A835" t="str">
            <v>F-2026-04-326</v>
          </cell>
          <cell r="B835" t="str">
            <v>RPRO-260424-1172</v>
          </cell>
          <cell r="C835"/>
          <cell r="D835" t="str">
            <v>PVN-003796</v>
          </cell>
          <cell r="E835" t="str">
            <v>OrthoLite Regular-Hybrid SEEDPEARL/12-0703TPX Hybrid Flat Sheet 0.11D 25+/-4 Asker C 1.1M 2M 3.5mm</v>
          </cell>
          <cell r="F835">
            <v>320</v>
          </cell>
          <cell r="G835">
            <v>320</v>
          </cell>
          <cell r="H835">
            <v>320</v>
          </cell>
          <cell r="I835">
            <v>0</v>
          </cell>
          <cell r="J835" t="str">
            <v>ASICS</v>
          </cell>
          <cell r="K835" t="str">
            <v>Pr.Sch.R</v>
          </cell>
          <cell r="L835" t="str">
            <v>DIE CUT</v>
          </cell>
          <cell r="M835">
            <v>1</v>
          </cell>
        </row>
        <row r="836">
          <cell r="A836" t="str">
            <v>F-2026-04-327</v>
          </cell>
          <cell r="B836" t="str">
            <v>RPRO-260424-1173</v>
          </cell>
          <cell r="C836"/>
          <cell r="D836" t="str">
            <v>PVN-004104</v>
          </cell>
          <cell r="E836" t="str">
            <v>OrthoLite Float BLUE ATOLL/16-4535TPX Flat Sheet 0.12D 21+/-4 Asker C 1.1M 2M 5mm</v>
          </cell>
          <cell r="F836">
            <v>168</v>
          </cell>
          <cell r="G836">
            <v>168</v>
          </cell>
          <cell r="H836">
            <v>168</v>
          </cell>
          <cell r="I836">
            <v>0</v>
          </cell>
          <cell r="J836" t="str">
            <v>DESCENTE</v>
          </cell>
          <cell r="K836" t="str">
            <v>Pr.Sch.R</v>
          </cell>
          <cell r="L836" t="str">
            <v>DIE CUT</v>
          </cell>
          <cell r="M836">
            <v>1</v>
          </cell>
        </row>
        <row r="837">
          <cell r="A837" t="str">
            <v>F-2026-04-328</v>
          </cell>
          <cell r="B837" t="str">
            <v>RPRO-260424-1174</v>
          </cell>
          <cell r="C837"/>
          <cell r="D837" t="str">
            <v>PVN-004092</v>
          </cell>
          <cell r="E837" t="str">
            <v>OrthoLite Float BLUE ATOLL/16-4535TPX Flat Sheet 0.12D 21+/-4 Asker C 1.1M 2M 14.5mm</v>
          </cell>
          <cell r="F837">
            <v>99</v>
          </cell>
          <cell r="G837">
            <v>99</v>
          </cell>
          <cell r="H837">
            <v>99</v>
          </cell>
          <cell r="I837">
            <v>0</v>
          </cell>
          <cell r="J837" t="str">
            <v>LOWA</v>
          </cell>
          <cell r="K837" t="str">
            <v>Pr.Sch.R</v>
          </cell>
          <cell r="L837" t="str">
            <v>MOLDED</v>
          </cell>
          <cell r="M837">
            <v>1</v>
          </cell>
        </row>
        <row r="838">
          <cell r="A838" t="str">
            <v>F-2026-04-329</v>
          </cell>
          <cell r="B838" t="str">
            <v>RPRO-260424-1175</v>
          </cell>
          <cell r="C838"/>
          <cell r="D838" t="str">
            <v>PVN-003743</v>
          </cell>
          <cell r="E838" t="str">
            <v>OrthoLite Ultra-Hybrid SEEDPEARL/12-0703TPX Hybrid Flat Sheet 0.085D 25+/-4 Asker C 1.1M 2M 5.5mm</v>
          </cell>
          <cell r="F838">
            <v>50</v>
          </cell>
          <cell r="G838">
            <v>50</v>
          </cell>
          <cell r="H838">
            <v>50</v>
          </cell>
          <cell r="I838">
            <v>0</v>
          </cell>
          <cell r="J838" t="str">
            <v>LOWA</v>
          </cell>
          <cell r="K838" t="str">
            <v>Pr.Sch.R</v>
          </cell>
          <cell r="L838" t="str">
            <v>MOLDED</v>
          </cell>
          <cell r="M838">
            <v>1</v>
          </cell>
        </row>
        <row r="839">
          <cell r="A839" t="str">
            <v>F-2026-04-330</v>
          </cell>
          <cell r="B839" t="str">
            <v>RPRO-260424-1176</v>
          </cell>
          <cell r="C839"/>
          <cell r="D839" t="str">
            <v>PVN-003240</v>
          </cell>
          <cell r="E839" t="str">
            <v>OrthoLite Eco LT-Hybrid-Converse SEEDPEARL/12-0703TPX Hybrid Flat Sheet 0.13D 25+/-4 Asker C 1.1M 1.47M 5mm (SLT)</v>
          </cell>
          <cell r="F839">
            <v>112</v>
          </cell>
          <cell r="G839">
            <v>112</v>
          </cell>
          <cell r="H839">
            <v>112</v>
          </cell>
          <cell r="I839">
            <v>0</v>
          </cell>
          <cell r="J839" t="str">
            <v>CONVERSE</v>
          </cell>
          <cell r="K839" t="str">
            <v>Pr.Sch.R</v>
          </cell>
          <cell r="L839" t="str">
            <v>DIE CUT</v>
          </cell>
          <cell r="M839" t="str">
            <v>1-SLT</v>
          </cell>
        </row>
        <row r="840">
          <cell r="A840" t="str">
            <v>F-2026-04-331</v>
          </cell>
          <cell r="B840" t="str">
            <v>RPRO-260424-1177</v>
          </cell>
          <cell r="C840"/>
          <cell r="D840" t="str">
            <v>PVN-002876</v>
          </cell>
          <cell r="E840" t="str">
            <v>OrthoLite Ultra-Hybrid-Nike SEEDPEARL/12-0703TPX Hybrid Flat Sheet 0.085D 25+/-4 Asker C 1.1M 2M 5mm</v>
          </cell>
          <cell r="F840">
            <v>168</v>
          </cell>
          <cell r="G840">
            <v>168</v>
          </cell>
          <cell r="H840">
            <v>0</v>
          </cell>
          <cell r="I840">
            <v>168</v>
          </cell>
          <cell r="J840" t="str">
            <v>NIKE</v>
          </cell>
          <cell r="K840" t="str">
            <v>Pr.Sch.R</v>
          </cell>
          <cell r="L840" t="str">
            <v>MOLDED</v>
          </cell>
          <cell r="M840">
            <v>1</v>
          </cell>
        </row>
        <row r="841">
          <cell r="A841" t="str">
            <v>F-2026-04-332</v>
          </cell>
          <cell r="B841" t="str">
            <v>RPRO-260424-1178</v>
          </cell>
          <cell r="C841"/>
          <cell r="D841" t="str">
            <v>PVN-004362</v>
          </cell>
          <cell r="E841" t="str">
            <v>OrthoLite Regular RED/19-1764TPX Flat Sheet 0.15D 45+/-4 Asker C 1.1M 1.7M 2mm</v>
          </cell>
          <cell r="F841">
            <v>140</v>
          </cell>
          <cell r="G841">
            <v>140</v>
          </cell>
          <cell r="H841">
            <v>140</v>
          </cell>
          <cell r="I841">
            <v>0</v>
          </cell>
          <cell r="J841" t="str">
            <v>SALOMON</v>
          </cell>
          <cell r="K841" t="str">
            <v>Pr.Sch.R</v>
          </cell>
          <cell r="L841" t="str">
            <v>MOLDED</v>
          </cell>
          <cell r="M841">
            <v>1</v>
          </cell>
        </row>
        <row r="842">
          <cell r="A842" t="str">
            <v>F-2026-04-333</v>
          </cell>
          <cell r="B842" t="str">
            <v>RPRO-260424-1179</v>
          </cell>
          <cell r="C842"/>
          <cell r="D842" t="str">
            <v>PVN-004373</v>
          </cell>
          <cell r="E842" t="str">
            <v>OrthoLite Ultra-Hybrid SEEDPEARL/12-0703TPX Hybrid Flat Sheet 0.095D 33+/-4 Asker C 1.1M 2M 5.2mm</v>
          </cell>
          <cell r="F842">
            <v>156</v>
          </cell>
          <cell r="G842">
            <v>156</v>
          </cell>
          <cell r="H842">
            <v>156</v>
          </cell>
          <cell r="I842">
            <v>0</v>
          </cell>
          <cell r="J842" t="str">
            <v>SALOMON</v>
          </cell>
          <cell r="K842" t="str">
            <v>Pr.Sch.R</v>
          </cell>
          <cell r="L842" t="str">
            <v>MOLDED</v>
          </cell>
          <cell r="M842">
            <v>1</v>
          </cell>
        </row>
        <row r="843">
          <cell r="A843" t="str">
            <v>F-2026-04-334</v>
          </cell>
          <cell r="B843" t="str">
            <v>RPRO-260428-1290</v>
          </cell>
          <cell r="C843"/>
          <cell r="D843" t="str">
            <v>PVN-004210</v>
          </cell>
          <cell r="E843" t="str">
            <v>OrthoLite IMPERIAL SEEDPEARL/12-0703TPX Flat Sheet 0.22D 25+/-4 Asker C 1.1M 1.47M 5mm</v>
          </cell>
          <cell r="F843">
            <v>28</v>
          </cell>
          <cell r="G843">
            <v>28</v>
          </cell>
          <cell r="H843">
            <v>0</v>
          </cell>
          <cell r="I843">
            <v>28</v>
          </cell>
          <cell r="J843"/>
          <cell r="K843" t="str">
            <v>MPS</v>
          </cell>
          <cell r="L843" t="str">
            <v>SPLITTING</v>
          </cell>
          <cell r="M843">
            <v>2</v>
          </cell>
        </row>
        <row r="844">
          <cell r="A844" t="str">
            <v>F-2026-04-335</v>
          </cell>
          <cell r="B844" t="str">
            <v>RPRO-260428-1291</v>
          </cell>
          <cell r="C844"/>
          <cell r="D844" t="str">
            <v>PVN-001550</v>
          </cell>
          <cell r="E844" t="str">
            <v>OrthoLite Regular-Nike AIR BLUE/16-4134TPX Flat Sheet 0.11D 25+/-4 Asker C 1.1M 1.7M 2mm</v>
          </cell>
          <cell r="F844">
            <v>1470</v>
          </cell>
          <cell r="G844">
            <v>1470</v>
          </cell>
          <cell r="H844">
            <v>0</v>
          </cell>
          <cell r="I844">
            <v>1470</v>
          </cell>
          <cell r="J844" t="str">
            <v>NIKE</v>
          </cell>
          <cell r="K844" t="str">
            <v>Pr.Sch.R</v>
          </cell>
          <cell r="L844" t="str">
            <v>LAMINATING</v>
          </cell>
          <cell r="M844">
            <v>1</v>
          </cell>
        </row>
        <row r="845">
          <cell r="A845" t="str">
            <v>F-2026-04-336</v>
          </cell>
          <cell r="B845" t="str">
            <v>RPRO-260428-1292</v>
          </cell>
          <cell r="C845"/>
          <cell r="D845" t="str">
            <v>PVN-004188</v>
          </cell>
          <cell r="E845" t="str">
            <v>OrthoLite Float NEUTRAL GRAY/17-4402TPX Flat Sheet 0.12D 21+/-4 Asker C 1.1M 1.47M 5.5mm</v>
          </cell>
          <cell r="F845">
            <v>825</v>
          </cell>
          <cell r="G845">
            <v>825</v>
          </cell>
          <cell r="H845">
            <v>687</v>
          </cell>
          <cell r="I845">
            <v>138</v>
          </cell>
          <cell r="J845" t="str">
            <v>PUMA</v>
          </cell>
          <cell r="K845" t="str">
            <v>Pr.Sch.R</v>
          </cell>
          <cell r="L845" t="str">
            <v>MOLDED</v>
          </cell>
          <cell r="M845">
            <v>1</v>
          </cell>
        </row>
        <row r="846">
          <cell r="A846" t="str">
            <v>F-2026-04-337</v>
          </cell>
          <cell r="B846" t="str">
            <v>RPRO-260428-1293</v>
          </cell>
          <cell r="C846"/>
          <cell r="D846" t="str">
            <v>PVN-000121</v>
          </cell>
          <cell r="E846" t="str">
            <v>OrthoLite Regular AIR BLUE/16-4134TPX Flat Sheet 0.13D 35+/-4 Asker C 1.1M 2M 12mm</v>
          </cell>
          <cell r="F846">
            <v>214</v>
          </cell>
          <cell r="G846">
            <v>214</v>
          </cell>
          <cell r="H846">
            <v>0</v>
          </cell>
          <cell r="I846">
            <v>214</v>
          </cell>
          <cell r="J846" t="str">
            <v>ASICS</v>
          </cell>
          <cell r="K846" t="str">
            <v>Pr.Sch.R</v>
          </cell>
          <cell r="L846" t="str">
            <v>MOLDED</v>
          </cell>
          <cell r="M846" t="str">
            <v>1-RM-WIP</v>
          </cell>
        </row>
        <row r="847">
          <cell r="A847" t="str">
            <v>F-2026-04-338</v>
          </cell>
          <cell r="B847" t="str">
            <v>RPRO-260428-1294</v>
          </cell>
          <cell r="C847"/>
          <cell r="D847" t="str">
            <v>PVN-000505</v>
          </cell>
          <cell r="E847" t="str">
            <v>OrthoLite Regular LIME GREEN/14-0452TPX Flat Sheet 0.11D 25+/-4 Asker C 1.1M 2M 12mm</v>
          </cell>
          <cell r="F847">
            <v>242</v>
          </cell>
          <cell r="G847">
            <v>242</v>
          </cell>
          <cell r="H847">
            <v>242</v>
          </cell>
          <cell r="I847">
            <v>0</v>
          </cell>
          <cell r="J847" t="str">
            <v>ASICS</v>
          </cell>
          <cell r="K847" t="str">
            <v>Pr.Sch.R</v>
          </cell>
          <cell r="L847" t="str">
            <v>MOLDED</v>
          </cell>
          <cell r="M847" t="str">
            <v>1-RM-WIP</v>
          </cell>
        </row>
        <row r="848">
          <cell r="A848" t="str">
            <v>F-2026-04-339</v>
          </cell>
          <cell r="B848" t="str">
            <v>RPRO-260428-1295</v>
          </cell>
          <cell r="C848"/>
          <cell r="D848" t="str">
            <v>PVN-003601</v>
          </cell>
          <cell r="E848" t="str">
            <v>OrthoLite Regular-Hybrid SEEDPEARL/12-0703TPX Hybrid Flat Sheet 0.11D 25+/-4 Asker C 1.1M 2M 20mm</v>
          </cell>
          <cell r="F848">
            <v>42</v>
          </cell>
          <cell r="G848">
            <v>42</v>
          </cell>
          <cell r="H848">
            <v>0</v>
          </cell>
          <cell r="I848">
            <v>42</v>
          </cell>
          <cell r="J848" t="str">
            <v>ASICS</v>
          </cell>
          <cell r="K848" t="str">
            <v>Pr.Sch.R</v>
          </cell>
          <cell r="L848" t="str">
            <v>MOLDED</v>
          </cell>
          <cell r="M848">
            <v>1</v>
          </cell>
        </row>
        <row r="849">
          <cell r="A849" t="str">
            <v>F-2026-04-340</v>
          </cell>
          <cell r="B849" t="str">
            <v>RPRO-260428-1296</v>
          </cell>
          <cell r="C849"/>
          <cell r="D849" t="str">
            <v>PVN-004091</v>
          </cell>
          <cell r="E849" t="str">
            <v>OrthoLite X-25 BILLIARD/16-5427TPX Flat Sheet 0.12D 20+/-4 Asker C 1.1M 2M 3.5mm</v>
          </cell>
          <cell r="F849">
            <v>40</v>
          </cell>
          <cell r="G849">
            <v>40</v>
          </cell>
          <cell r="H849">
            <v>0</v>
          </cell>
          <cell r="I849">
            <v>40</v>
          </cell>
          <cell r="J849" t="str">
            <v>BROOKS</v>
          </cell>
          <cell r="K849" t="str">
            <v>Pr.Sch.R</v>
          </cell>
          <cell r="L849" t="str">
            <v>MOLDED</v>
          </cell>
          <cell r="M849">
            <v>1</v>
          </cell>
        </row>
        <row r="850">
          <cell r="A850" t="str">
            <v>F-2026-04-341</v>
          </cell>
          <cell r="B850" t="str">
            <v>RPRO-260428-1297</v>
          </cell>
          <cell r="C850"/>
          <cell r="D850" t="str">
            <v>PVN-003243</v>
          </cell>
          <cell r="E850" t="str">
            <v>OrthoLite X-35-Hybrid-Nike AMAZON/18-6024TPX Hybrid Flat Sheet 0.145D 25+/-4 Asker C 1.1M 2M 5.2mm</v>
          </cell>
          <cell r="F850">
            <v>910</v>
          </cell>
          <cell r="G850">
            <v>910</v>
          </cell>
          <cell r="H850">
            <v>910</v>
          </cell>
          <cell r="I850">
            <v>0</v>
          </cell>
          <cell r="J850" t="str">
            <v>NIKE</v>
          </cell>
          <cell r="K850" t="str">
            <v>Pr.Sch.R</v>
          </cell>
          <cell r="L850" t="str">
            <v>MOLDED</v>
          </cell>
          <cell r="M850">
            <v>1</v>
          </cell>
        </row>
        <row r="851">
          <cell r="A851" t="str">
            <v>F-2026-04-342-1</v>
          </cell>
          <cell r="B851" t="str">
            <v>RPRO-260428-1298</v>
          </cell>
          <cell r="C851"/>
          <cell r="D851" t="str">
            <v>PVN-004178</v>
          </cell>
          <cell r="E851" t="str">
            <v>OrthoLite Float NEUTRAL GRAY/17-4402TPX Flat Sheet 0.12D 21+/-4 Asker C 1.1M 2M 5.5mm</v>
          </cell>
          <cell r="F851">
            <v>1175</v>
          </cell>
          <cell r="G851">
            <v>500</v>
          </cell>
          <cell r="H851">
            <v>0</v>
          </cell>
          <cell r="I851">
            <v>500</v>
          </cell>
          <cell r="J851" t="str">
            <v>PUMA</v>
          </cell>
          <cell r="K851" t="str">
            <v>Pr.Sch.R</v>
          </cell>
          <cell r="L851" t="str">
            <v>MOLDED</v>
          </cell>
          <cell r="M851" t="str">
            <v>1-SLT</v>
          </cell>
        </row>
        <row r="852">
          <cell r="A852" t="str">
            <v>F-2026-04-342-2</v>
          </cell>
          <cell r="B852" t="str">
            <v>RPRO-260509-0212</v>
          </cell>
          <cell r="C852"/>
          <cell r="D852" t="str">
            <v>PVN-004178</v>
          </cell>
          <cell r="E852" t="str">
            <v>OrthoLite Float NEUTRAL GRAY/17-4402TPX Flat Sheet 0.12D 21+/-4 Asker C 1.1M 2M 5.5mm</v>
          </cell>
          <cell r="F852">
            <v>1175</v>
          </cell>
          <cell r="G852">
            <v>675</v>
          </cell>
          <cell r="H852">
            <v>0</v>
          </cell>
          <cell r="I852">
            <v>675</v>
          </cell>
          <cell r="J852" t="str">
            <v>PUMA</v>
          </cell>
          <cell r="K852" t="str">
            <v>Pr.Sch.R</v>
          </cell>
          <cell r="L852" t="str">
            <v>MOLDED</v>
          </cell>
          <cell r="M852">
            <v>1</v>
          </cell>
        </row>
        <row r="853">
          <cell r="A853" t="str">
            <v>F-2026-04-343</v>
          </cell>
          <cell r="B853" t="str">
            <v>RPRO-260428-1299</v>
          </cell>
          <cell r="C853"/>
          <cell r="D853" t="str">
            <v>PVN-002699</v>
          </cell>
          <cell r="E853" t="str">
            <v>OrthoLite Regular-Hybrid SEEDPEARL/12-0703TPX Hybrid Flat Sheet 0.11D 25+/-4 Asker C 1.1M 2M 4.5mm</v>
          </cell>
          <cell r="F853">
            <v>248</v>
          </cell>
          <cell r="G853">
            <v>248</v>
          </cell>
          <cell r="H853">
            <v>248</v>
          </cell>
          <cell r="I853">
            <v>0</v>
          </cell>
          <cell r="J853" t="str">
            <v>ASICS</v>
          </cell>
          <cell r="K853" t="str">
            <v>Pr.Sch.R</v>
          </cell>
          <cell r="L853" t="str">
            <v>DIE CUT</v>
          </cell>
          <cell r="M853">
            <v>1</v>
          </cell>
        </row>
        <row r="854">
          <cell r="A854" t="str">
            <v>F-2026-04-344</v>
          </cell>
          <cell r="B854" t="str">
            <v>RPRO-260428-1300</v>
          </cell>
          <cell r="C854"/>
          <cell r="D854" t="str">
            <v>PVN-000412</v>
          </cell>
          <cell r="E854" t="str">
            <v>OrthoLite Regular LIME GREEN/14-0452TPX Flat Sheet 0.11D 25+/-4 Asker C 1.1M 2M 5mm</v>
          </cell>
          <cell r="F854">
            <v>84</v>
          </cell>
          <cell r="G854">
            <v>84</v>
          </cell>
          <cell r="H854">
            <v>0</v>
          </cell>
          <cell r="I854">
            <v>84</v>
          </cell>
          <cell r="J854" t="str">
            <v>ASICS</v>
          </cell>
          <cell r="K854" t="str">
            <v>Pr.Sch.R</v>
          </cell>
          <cell r="L854" t="str">
            <v>DIE CUT</v>
          </cell>
          <cell r="M854">
            <v>1</v>
          </cell>
        </row>
        <row r="855">
          <cell r="A855" t="str">
            <v>F-2026-04-345</v>
          </cell>
          <cell r="B855" t="str">
            <v>RPRO-260428-1301</v>
          </cell>
          <cell r="C855"/>
          <cell r="D855" t="str">
            <v>PVN-004327</v>
          </cell>
          <cell r="E855" t="str">
            <v>OrthoLite X-55-Hybrid FOSSIL/17-0909TPX Hybrid Flat Sheet 0.16D 25+/-4 Asker C 1.1M 2M 6mm</v>
          </cell>
          <cell r="F855">
            <v>46</v>
          </cell>
          <cell r="G855">
            <v>46</v>
          </cell>
          <cell r="H855">
            <v>0</v>
          </cell>
          <cell r="I855">
            <v>46</v>
          </cell>
          <cell r="J855" t="str">
            <v>ASICS</v>
          </cell>
          <cell r="K855" t="str">
            <v>Pr.Sch.R</v>
          </cell>
          <cell r="L855" t="str">
            <v>MOLDED</v>
          </cell>
          <cell r="M855">
            <v>1</v>
          </cell>
        </row>
        <row r="856">
          <cell r="A856" t="str">
            <v>F-2026-04-346</v>
          </cell>
          <cell r="B856" t="str">
            <v>RPRO-260428-1302</v>
          </cell>
          <cell r="C856"/>
          <cell r="D856" t="str">
            <v>PVN-003244</v>
          </cell>
          <cell r="E856" t="str">
            <v>OrthoLite X-35-Hybrid-Nike SEEDPEARL/12-0703TPX Hybrid Flat Sheet 0.145D 25+/-4 Asker C 1.1M 2M 5.2mm</v>
          </cell>
          <cell r="F856">
            <v>234</v>
          </cell>
          <cell r="G856">
            <v>234</v>
          </cell>
          <cell r="H856">
            <v>234</v>
          </cell>
          <cell r="I856">
            <v>0</v>
          </cell>
          <cell r="J856" t="str">
            <v>NIKE</v>
          </cell>
          <cell r="K856" t="str">
            <v>Pr.Sch.R</v>
          </cell>
          <cell r="L856" t="str">
            <v>MOLDED</v>
          </cell>
          <cell r="M856">
            <v>1</v>
          </cell>
        </row>
        <row r="857">
          <cell r="A857" t="str">
            <v>F-2026-04-347</v>
          </cell>
          <cell r="B857" t="str">
            <v>RPRO-260428-1303</v>
          </cell>
          <cell r="C857"/>
          <cell r="D857" t="str">
            <v>PVN-004061</v>
          </cell>
          <cell r="E857" t="str">
            <v>OrthoLite X-55 RED/19-1764TPX Flat Sheet 0.16D 25+/-4 Asker C 1.1M 1.47M 18mm</v>
          </cell>
          <cell r="F857">
            <v>112</v>
          </cell>
          <cell r="G857">
            <v>112</v>
          </cell>
          <cell r="H857">
            <v>0</v>
          </cell>
          <cell r="I857">
            <v>112</v>
          </cell>
          <cell r="J857" t="str">
            <v>WILSON</v>
          </cell>
          <cell r="K857" t="str">
            <v>Pr.Sch.R</v>
          </cell>
          <cell r="L857" t="str">
            <v>MOLDED</v>
          </cell>
          <cell r="M857">
            <v>1</v>
          </cell>
        </row>
        <row r="858">
          <cell r="A858" t="str">
            <v>F-2026-04-348</v>
          </cell>
          <cell r="B858" t="str">
            <v>RPRO-260428-1304</v>
          </cell>
          <cell r="C858"/>
          <cell r="D858" t="str">
            <v>PVN-003479</v>
          </cell>
          <cell r="E858" t="str">
            <v>OrthoLite Ultra-Hybrid SEEDPEARL/12-0703TPX Hybrid Flat Sheet 0.085D 25+/-4 Asker C 1.1M 1.47M 4mm</v>
          </cell>
          <cell r="F858">
            <v>595</v>
          </cell>
          <cell r="G858">
            <v>595</v>
          </cell>
          <cell r="H858">
            <v>561</v>
          </cell>
          <cell r="I858">
            <v>34</v>
          </cell>
          <cell r="J858" t="str">
            <v>SALOMON</v>
          </cell>
          <cell r="K858" t="str">
            <v>Pr.Sch.R</v>
          </cell>
          <cell r="L858" t="str">
            <v>LAMINATING</v>
          </cell>
          <cell r="M858">
            <v>1</v>
          </cell>
        </row>
        <row r="859">
          <cell r="A859" t="str">
            <v>F-2026-04-349</v>
          </cell>
          <cell r="B859" t="str">
            <v>RPRO-260428-1305</v>
          </cell>
          <cell r="C859"/>
          <cell r="D859" t="str">
            <v>PVN-003494</v>
          </cell>
          <cell r="E859" t="str">
            <v>OrthoLite X-25 BILLIARD/16-5427TPX Flat Sheet 0.12D 20+/-4 Asker C 1.1M 2M 5.5mm</v>
          </cell>
          <cell r="F859">
            <v>25</v>
          </cell>
          <cell r="G859">
            <v>25</v>
          </cell>
          <cell r="H859">
            <v>25</v>
          </cell>
          <cell r="I859">
            <v>0</v>
          </cell>
          <cell r="J859" t="str">
            <v>LOTTO</v>
          </cell>
          <cell r="K859" t="str">
            <v>Pr.Sch.R</v>
          </cell>
          <cell r="L859" t="str">
            <v>MOLDED</v>
          </cell>
          <cell r="M859">
            <v>1</v>
          </cell>
        </row>
        <row r="860">
          <cell r="A860" t="str">
            <v>F-2026-04-350</v>
          </cell>
          <cell r="B860" t="str">
            <v>RPRO-260428-1306</v>
          </cell>
          <cell r="C860"/>
          <cell r="D860" t="str">
            <v>PVN-003148</v>
          </cell>
          <cell r="E860" t="str">
            <v>OrthoLite X-35-Hybrid SEEDPEARL/12-0703TPX Hybrid Flat Sheet 0.145D 25+/-4 Asker C 1.1M 2M 4.5mm</v>
          </cell>
          <cell r="F860">
            <v>31</v>
          </cell>
          <cell r="G860">
            <v>31</v>
          </cell>
          <cell r="H860">
            <v>0</v>
          </cell>
          <cell r="I860">
            <v>31</v>
          </cell>
          <cell r="J860" t="str">
            <v>WILSON</v>
          </cell>
          <cell r="K860" t="str">
            <v>Pr.Sch.R</v>
          </cell>
          <cell r="L860" t="str">
            <v>MOLDED</v>
          </cell>
          <cell r="M860">
            <v>1</v>
          </cell>
        </row>
        <row r="861">
          <cell r="A861" t="str">
            <v>F-2026-04-351</v>
          </cell>
          <cell r="B861" t="str">
            <v>RPRO-260428-1307</v>
          </cell>
          <cell r="C861"/>
          <cell r="D861" t="str">
            <v>PVN-003238</v>
          </cell>
          <cell r="E861" t="str">
            <v>OrthoLite Eco LT-Hybrid-Converse SEEDPEARL/12-0703TPX Hybrid Flat Sheet 0.11D 25+/-4 Asker C 1.1M 2M 5mm</v>
          </cell>
          <cell r="F861">
            <v>140</v>
          </cell>
          <cell r="G861">
            <v>140</v>
          </cell>
          <cell r="H861">
            <v>0</v>
          </cell>
          <cell r="I861">
            <v>140</v>
          </cell>
          <cell r="J861" t="str">
            <v>CONVERSE</v>
          </cell>
          <cell r="K861" t="str">
            <v>Pr.Sch.R</v>
          </cell>
          <cell r="L861" t="str">
            <v>DIE CUT</v>
          </cell>
          <cell r="M861">
            <v>1</v>
          </cell>
        </row>
        <row r="862">
          <cell r="A862" t="str">
            <v>F-2026-04-352</v>
          </cell>
          <cell r="B862" t="str">
            <v>RPRO-260428-1308</v>
          </cell>
          <cell r="C862"/>
          <cell r="D862" t="str">
            <v>PVN-003011</v>
          </cell>
          <cell r="E862" t="str">
            <v>OrthoLite Ultra-Hybrid SEEDPEARL/12-0703TPX Hybrid Flat Sheet 0.085D 25+/-4 Asker C 1.1M 2M 16mm</v>
          </cell>
          <cell r="F862">
            <v>8</v>
          </cell>
          <cell r="G862">
            <v>8</v>
          </cell>
          <cell r="H862">
            <v>8</v>
          </cell>
          <cell r="I862">
            <v>0</v>
          </cell>
          <cell r="J862" t="str">
            <v>CLARKS</v>
          </cell>
          <cell r="K862" t="str">
            <v>Pr.Sch.R</v>
          </cell>
          <cell r="L862" t="str">
            <v>MOLDED</v>
          </cell>
          <cell r="M862">
            <v>1</v>
          </cell>
        </row>
        <row r="863">
          <cell r="A863" t="str">
            <v>F-2026-04-353</v>
          </cell>
          <cell r="B863" t="str">
            <v>RPRO-260428-1309</v>
          </cell>
          <cell r="C863"/>
          <cell r="D863" t="str">
            <v>PVN-003415</v>
          </cell>
          <cell r="E863" t="str">
            <v>OrthoLite Ultra YELLOW/13-0858TPX Flat Sheet 0.085D 5-10 Asker C 1.1M 2M 2.5mm</v>
          </cell>
          <cell r="F863">
            <v>56</v>
          </cell>
          <cell r="G863">
            <v>56</v>
          </cell>
          <cell r="H863">
            <v>56</v>
          </cell>
          <cell r="I863">
            <v>0</v>
          </cell>
          <cell r="J863" t="str">
            <v>CLARKS</v>
          </cell>
          <cell r="K863" t="str">
            <v>Pr.Sch.R</v>
          </cell>
          <cell r="L863" t="str">
            <v>MOLDED</v>
          </cell>
          <cell r="M863">
            <v>1</v>
          </cell>
        </row>
        <row r="864">
          <cell r="A864" t="str">
            <v>F-2026-04-354</v>
          </cell>
          <cell r="B864" t="str">
            <v>RPRO-260429-0442</v>
          </cell>
          <cell r="C864"/>
          <cell r="D864" t="str">
            <v>PVN-004195</v>
          </cell>
          <cell r="E864" t="str">
            <v>OrthoLite IMPERIAL SEEDPEARL/12-0703TPX Flat Sheet 0.22D 25+/-4 Asker C 1.1M 1.47M 4mm</v>
          </cell>
          <cell r="F864">
            <v>700</v>
          </cell>
          <cell r="G864">
            <v>700</v>
          </cell>
          <cell r="H864">
            <v>0</v>
          </cell>
          <cell r="I864">
            <v>700</v>
          </cell>
          <cell r="J864"/>
          <cell r="K864" t="str">
            <v>MPS</v>
          </cell>
          <cell r="L864" t="str">
            <v>SPLITTING</v>
          </cell>
          <cell r="M864">
            <v>2</v>
          </cell>
        </row>
        <row r="865">
          <cell r="A865" t="str">
            <v>F-2026-04-355</v>
          </cell>
          <cell r="B865" t="str">
            <v>RPRO-260429-0443</v>
          </cell>
          <cell r="C865"/>
          <cell r="D865" t="str">
            <v>PVN-000101</v>
          </cell>
          <cell r="E865" t="str">
            <v>OrthoLite Regular AIR BLUE/16-4134TPX Flat Sheet 0.11D 25+/-4 Asker C 1.1M 2M 3mm</v>
          </cell>
          <cell r="F865">
            <v>46</v>
          </cell>
          <cell r="G865">
            <v>46</v>
          </cell>
          <cell r="H865">
            <v>46</v>
          </cell>
          <cell r="I865">
            <v>0</v>
          </cell>
          <cell r="J865"/>
          <cell r="K865" t="str">
            <v>MPS</v>
          </cell>
          <cell r="L865" t="str">
            <v>SPLITTING</v>
          </cell>
          <cell r="M865">
            <v>2</v>
          </cell>
        </row>
        <row r="866">
          <cell r="A866" t="str">
            <v>F-2026-04-356</v>
          </cell>
          <cell r="B866" t="str">
            <v>RPRO-260429-0444</v>
          </cell>
          <cell r="C866"/>
          <cell r="D866" t="str">
            <v>PVN-000930</v>
          </cell>
          <cell r="E866" t="str">
            <v>OrthoLite Eco LT 300C(ADIDAS BLUEBIRD) Flat Sheet 0.11D 25+/-4 Asker C 1.1M 2M 3mm</v>
          </cell>
          <cell r="F866">
            <v>966</v>
          </cell>
          <cell r="G866">
            <v>966</v>
          </cell>
          <cell r="H866">
            <v>966</v>
          </cell>
          <cell r="I866">
            <v>0</v>
          </cell>
          <cell r="J866"/>
          <cell r="K866" t="str">
            <v>MPS</v>
          </cell>
          <cell r="L866" t="str">
            <v>SPLITTING</v>
          </cell>
          <cell r="M866">
            <v>2</v>
          </cell>
        </row>
        <row r="867">
          <cell r="A867" t="str">
            <v>F-2026-04-357</v>
          </cell>
          <cell r="B867" t="str">
            <v>RPRO-260429-0445</v>
          </cell>
          <cell r="C867"/>
          <cell r="D867" t="str">
            <v>PVN-001091</v>
          </cell>
          <cell r="E867" t="str">
            <v>OrthoLite Eco LT GREY/17-1501TPX Flat Sheet 0.11D 25+/-4 Asker C 1.1M 2M 4mm</v>
          </cell>
          <cell r="F867">
            <v>35</v>
          </cell>
          <cell r="G867">
            <v>35</v>
          </cell>
          <cell r="H867">
            <v>0</v>
          </cell>
          <cell r="I867">
            <v>35</v>
          </cell>
          <cell r="J867"/>
          <cell r="K867" t="str">
            <v>MPS</v>
          </cell>
          <cell r="L867" t="str">
            <v>SPLITTING</v>
          </cell>
          <cell r="M867">
            <v>2</v>
          </cell>
        </row>
        <row r="868">
          <cell r="A868" t="str">
            <v>F-2026-04-358</v>
          </cell>
          <cell r="B868" t="str">
            <v>RPRO-260429-0446</v>
          </cell>
          <cell r="C868"/>
          <cell r="D868" t="str">
            <v>PVN-001277</v>
          </cell>
          <cell r="E868" t="str">
            <v>OrthoLite Ultra GREEN/16-5932TPX Flat Sheet 0.085D 25+/-4 Asker C 1.1M 2M 4mm</v>
          </cell>
          <cell r="F868">
            <v>2835</v>
          </cell>
          <cell r="G868">
            <v>2835</v>
          </cell>
          <cell r="H868">
            <v>0</v>
          </cell>
          <cell r="I868">
            <v>2835</v>
          </cell>
          <cell r="J868"/>
          <cell r="K868" t="str">
            <v>MPS</v>
          </cell>
          <cell r="L868" t="str">
            <v>SPLITTING</v>
          </cell>
          <cell r="M868">
            <v>2</v>
          </cell>
        </row>
        <row r="869">
          <cell r="A869" t="str">
            <v>F-2026-04-359</v>
          </cell>
          <cell r="B869" t="str">
            <v>RPRO-260429-0447</v>
          </cell>
          <cell r="C869"/>
          <cell r="D869" t="str">
            <v>PVN-001983</v>
          </cell>
          <cell r="E869" t="str">
            <v>OrthoLite X-40 SEEDPEARL/12-0703TPX Flat Sheet 0.16D 25+/-4 Asker C 1.1M 1.7M 5mm</v>
          </cell>
          <cell r="F869">
            <v>168</v>
          </cell>
          <cell r="G869">
            <v>168</v>
          </cell>
          <cell r="H869">
            <v>0</v>
          </cell>
          <cell r="I869">
            <v>168</v>
          </cell>
          <cell r="J869"/>
          <cell r="K869" t="str">
            <v>MPS</v>
          </cell>
          <cell r="L869" t="str">
            <v>SPLITTING</v>
          </cell>
          <cell r="M869">
            <v>2</v>
          </cell>
        </row>
        <row r="870">
          <cell r="A870" t="str">
            <v>F-2026-04-360</v>
          </cell>
          <cell r="B870" t="str">
            <v>RPRO-260429-0448</v>
          </cell>
          <cell r="C870"/>
          <cell r="D870" t="str">
            <v>PVN-003300</v>
          </cell>
          <cell r="E870" t="str">
            <v>OrthoLite Ultra-Hybrid SEEDPEARL/12-0703TPX Hybrid Flat Sheet 0.085D 25+/-4 Asker C 1.1M 2M 2mm</v>
          </cell>
          <cell r="F870">
            <v>280</v>
          </cell>
          <cell r="G870">
            <v>280</v>
          </cell>
          <cell r="H870">
            <v>280</v>
          </cell>
          <cell r="I870">
            <v>0</v>
          </cell>
          <cell r="J870"/>
          <cell r="K870" t="str">
            <v>MPS</v>
          </cell>
          <cell r="L870" t="str">
            <v>SPLITTING</v>
          </cell>
          <cell r="M870">
            <v>2</v>
          </cell>
        </row>
        <row r="871">
          <cell r="A871" t="str">
            <v>F-2026-04-361</v>
          </cell>
          <cell r="B871" t="str">
            <v>RPRO-260429-0449</v>
          </cell>
          <cell r="C871"/>
          <cell r="D871" t="str">
            <v>PVN-003315</v>
          </cell>
          <cell r="E871" t="str">
            <v>OrthoLite Ultra-Hybrid SEEDPEARL/12-0703TPX Hybrid 0.085D 25+/-4 Asker C 1.1M 2M 3.5mm</v>
          </cell>
          <cell r="F871">
            <v>280</v>
          </cell>
          <cell r="G871">
            <v>280</v>
          </cell>
          <cell r="H871">
            <v>0</v>
          </cell>
          <cell r="I871">
            <v>280</v>
          </cell>
          <cell r="J871"/>
          <cell r="K871" t="str">
            <v>MPS</v>
          </cell>
          <cell r="L871" t="str">
            <v>SPLITTING</v>
          </cell>
          <cell r="M871">
            <v>2</v>
          </cell>
        </row>
        <row r="872">
          <cell r="A872" t="str">
            <v>F-2026-04-362</v>
          </cell>
          <cell r="B872" t="str">
            <v>RPRO-260429-0450</v>
          </cell>
          <cell r="C872"/>
          <cell r="D872" t="str">
            <v>PVN-003425</v>
          </cell>
          <cell r="E872" t="str">
            <v>OrthoLite Ultra SEEDPEARL/12-0703TPX Flat Sheet 0.085D 78-90 Asker F 1.1M 2M 4mm</v>
          </cell>
          <cell r="F872">
            <v>175</v>
          </cell>
          <cell r="G872">
            <v>175</v>
          </cell>
          <cell r="H872">
            <v>175</v>
          </cell>
          <cell r="I872">
            <v>0</v>
          </cell>
          <cell r="J872"/>
          <cell r="K872" t="str">
            <v>MPS</v>
          </cell>
          <cell r="L872" t="str">
            <v>SPLITTING</v>
          </cell>
          <cell r="M872">
            <v>2</v>
          </cell>
        </row>
        <row r="873">
          <cell r="A873" t="str">
            <v>F-2026-04-363</v>
          </cell>
          <cell r="B873" t="str">
            <v>RPRO-260429-0451</v>
          </cell>
          <cell r="C873"/>
          <cell r="D873" t="str">
            <v>PVN-003478</v>
          </cell>
          <cell r="E873" t="str">
            <v>Ortholite X-25 SEEDPEARL/12-0703TPX Flat Sheet 0.12D 20+/-4 Asker C 1.1M 2M 4mm</v>
          </cell>
          <cell r="F873">
            <v>455</v>
          </cell>
          <cell r="G873">
            <v>455</v>
          </cell>
          <cell r="H873">
            <v>455</v>
          </cell>
          <cell r="I873">
            <v>0</v>
          </cell>
          <cell r="J873"/>
          <cell r="K873" t="str">
            <v>MPS</v>
          </cell>
          <cell r="L873" t="str">
            <v>SPLITTING</v>
          </cell>
          <cell r="M873">
            <v>2</v>
          </cell>
        </row>
        <row r="874">
          <cell r="A874" t="str">
            <v>F-2026-04-364</v>
          </cell>
          <cell r="B874" t="str">
            <v>RPRO-260429-0452</v>
          </cell>
          <cell r="C874"/>
          <cell r="D874" t="str">
            <v>PVN-003954</v>
          </cell>
          <cell r="E874" t="str">
            <v>OrthoLite X-40 SEEDPEARL/12-0703TPX Flat Sheet 0.16D 25+/-4 Asker C 1.1M 1.7M 4mm</v>
          </cell>
          <cell r="F874">
            <v>455</v>
          </cell>
          <cell r="G874">
            <v>455</v>
          </cell>
          <cell r="H874">
            <v>0</v>
          </cell>
          <cell r="I874">
            <v>455</v>
          </cell>
          <cell r="J874"/>
          <cell r="K874" t="str">
            <v>MPS</v>
          </cell>
          <cell r="L874" t="str">
            <v>SPLITTING</v>
          </cell>
          <cell r="M874">
            <v>2</v>
          </cell>
        </row>
        <row r="875">
          <cell r="A875" t="str">
            <v>F-2026-04-365</v>
          </cell>
          <cell r="B875" t="str">
            <v>RPRO-260429-0453</v>
          </cell>
          <cell r="C875"/>
          <cell r="D875" t="str">
            <v>PVN-004210</v>
          </cell>
          <cell r="E875" t="str">
            <v>OrthoLite IMPERIAL SEEDPEARL/12-0703TPX Flat Sheet 0.22D 25+/-4 Asker C 1.1M 1.47M 5mm</v>
          </cell>
          <cell r="F875">
            <v>420</v>
          </cell>
          <cell r="G875">
            <v>420</v>
          </cell>
          <cell r="H875">
            <v>0</v>
          </cell>
          <cell r="I875">
            <v>420</v>
          </cell>
          <cell r="J875"/>
          <cell r="K875" t="str">
            <v>MPS</v>
          </cell>
          <cell r="L875" t="str">
            <v>SPLITTING</v>
          </cell>
          <cell r="M875">
            <v>2</v>
          </cell>
        </row>
        <row r="876">
          <cell r="A876" t="str">
            <v>F-2026-04-366</v>
          </cell>
          <cell r="B876" t="str">
            <v>RPRO-260429-0456</v>
          </cell>
          <cell r="C876"/>
          <cell r="D876" t="str">
            <v>PVN-003448</v>
          </cell>
          <cell r="E876" t="str">
            <v>OrthoLite X-25 BILLIARD/16-5427TPX Flat Sheet 0.12D 20+/-4 Asker C 1.1M 2M 6.2mm</v>
          </cell>
          <cell r="F876">
            <v>154</v>
          </cell>
          <cell r="G876">
            <v>154</v>
          </cell>
          <cell r="H876">
            <v>154</v>
          </cell>
          <cell r="I876">
            <v>0</v>
          </cell>
          <cell r="J876" t="str">
            <v>ADIDAS</v>
          </cell>
          <cell r="K876" t="str">
            <v>Pr.Sch.R</v>
          </cell>
          <cell r="L876" t="str">
            <v>MOLDED</v>
          </cell>
          <cell r="M876">
            <v>1</v>
          </cell>
        </row>
        <row r="877">
          <cell r="A877" t="str">
            <v>F-2026-04-367</v>
          </cell>
          <cell r="B877" t="str">
            <v>RPRO-260429-0457</v>
          </cell>
          <cell r="C877"/>
          <cell r="D877" t="str">
            <v>PVN-003931</v>
          </cell>
          <cell r="E877" t="str">
            <v>OrthoLite X-40-Hybrid RED/19-1764TPX Hybrid Flat Sheet 0.16D 25+/-4 Asker C 1.1M 1.7M 6.5mm</v>
          </cell>
          <cell r="F877">
            <v>84</v>
          </cell>
          <cell r="G877">
            <v>84</v>
          </cell>
          <cell r="H877">
            <v>0</v>
          </cell>
          <cell r="I877">
            <v>84</v>
          </cell>
          <cell r="J877" t="str">
            <v>REDWING</v>
          </cell>
          <cell r="K877" t="str">
            <v>Pr.Sch.R</v>
          </cell>
          <cell r="L877" t="str">
            <v>MOLDED</v>
          </cell>
          <cell r="M877">
            <v>1</v>
          </cell>
        </row>
        <row r="878">
          <cell r="A878" t="str">
            <v>F-2026-04-368</v>
          </cell>
          <cell r="B878" t="str">
            <v>RPRO-260429-0458</v>
          </cell>
          <cell r="C878"/>
          <cell r="D878" t="str">
            <v>PVN-004033</v>
          </cell>
          <cell r="E878" t="str">
            <v>OrthoLite X-40-Hybrid NEUTRAL GRAY/17-4402TPX Hybrid Flat Sheet 0.16D 35+/-4 Asker C 1.1M 2M 2mm</v>
          </cell>
          <cell r="F878">
            <v>70</v>
          </cell>
          <cell r="G878">
            <v>70</v>
          </cell>
          <cell r="H878">
            <v>0</v>
          </cell>
          <cell r="I878">
            <v>70</v>
          </cell>
          <cell r="J878" t="str">
            <v>REDWING</v>
          </cell>
          <cell r="K878" t="str">
            <v>Pr.Sch.R</v>
          </cell>
          <cell r="L878" t="str">
            <v>MOLDED</v>
          </cell>
          <cell r="M878">
            <v>1</v>
          </cell>
        </row>
        <row r="879">
          <cell r="A879" t="str">
            <v>F-2026-04-369</v>
          </cell>
          <cell r="B879" t="str">
            <v>RPRO-260429-0459</v>
          </cell>
          <cell r="C879"/>
          <cell r="D879" t="str">
            <v>PVN-003326</v>
          </cell>
          <cell r="E879" t="str">
            <v>OrthoLite X-40 TRUE BLUE/19-4057TPX Flat Sheet 0.16D 35+/-4 Asker C 1.1M 1.7M 14mm</v>
          </cell>
          <cell r="F879">
            <v>18</v>
          </cell>
          <cell r="G879">
            <v>18</v>
          </cell>
          <cell r="H879">
            <v>18</v>
          </cell>
          <cell r="I879">
            <v>0</v>
          </cell>
          <cell r="J879" t="str">
            <v>ADIDAS</v>
          </cell>
          <cell r="K879" t="str">
            <v>Pr.Sch.R</v>
          </cell>
          <cell r="L879" t="str">
            <v>MOLDED</v>
          </cell>
          <cell r="M879">
            <v>1</v>
          </cell>
        </row>
        <row r="880">
          <cell r="A880" t="str">
            <v>F-2026-04-370</v>
          </cell>
          <cell r="B880" t="str">
            <v>RPRO-260429-0460</v>
          </cell>
          <cell r="C880"/>
          <cell r="D880" t="str">
            <v>PVN-003692</v>
          </cell>
          <cell r="E880" t="str">
            <v>OrthoLite Ultra-Hybrid SEEDPEARL/12-0703TPX Hybrid Flat Sheet 0.095D 33+/-4 Asker C 1.1M 2M 15.5mm</v>
          </cell>
          <cell r="F880">
            <v>120</v>
          </cell>
          <cell r="G880">
            <v>120</v>
          </cell>
          <cell r="H880">
            <v>0</v>
          </cell>
          <cell r="I880">
            <v>120</v>
          </cell>
          <cell r="J880" t="str">
            <v>GARMONT</v>
          </cell>
          <cell r="K880" t="str">
            <v>Pr.Sch.R</v>
          </cell>
          <cell r="L880" t="str">
            <v>MOLDED</v>
          </cell>
          <cell r="M880">
            <v>1</v>
          </cell>
        </row>
        <row r="881">
          <cell r="A881" t="str">
            <v>F-2026-04-371</v>
          </cell>
          <cell r="B881" t="str">
            <v>RPRO-260429-0461</v>
          </cell>
          <cell r="C881"/>
          <cell r="D881" t="str">
            <v>PVN-003387</v>
          </cell>
          <cell r="E881" t="str">
            <v>OrthoLite X-40 TRUE BLUE/19-4057TPX Flat Sheet 0.16D 35+/-4 Asker C 1.1M 1.7M 13.5mm</v>
          </cell>
          <cell r="F881">
            <v>63</v>
          </cell>
          <cell r="G881">
            <v>63</v>
          </cell>
          <cell r="H881">
            <v>63</v>
          </cell>
          <cell r="I881">
            <v>0</v>
          </cell>
          <cell r="J881" t="str">
            <v>ADIDAS</v>
          </cell>
          <cell r="K881" t="str">
            <v>Pr.Sch.R</v>
          </cell>
          <cell r="L881" t="str">
            <v>MOLDED</v>
          </cell>
          <cell r="M881">
            <v>1</v>
          </cell>
        </row>
        <row r="882">
          <cell r="A882" t="str">
            <v>F-2026-04-372</v>
          </cell>
          <cell r="B882" t="str">
            <v>RPRO-260429-0462</v>
          </cell>
          <cell r="C882"/>
          <cell r="D882" t="str">
            <v>PVN-002884</v>
          </cell>
          <cell r="E882" t="str">
            <v>OrthoLite Ultra-Hybrid SEEDPEARL/12-0703TPX Hybrid Flat Sheet 0.085D 25+/-4 Asker C 1.1M 2M 10mm</v>
          </cell>
          <cell r="F882">
            <v>234</v>
          </cell>
          <cell r="G882">
            <v>234</v>
          </cell>
          <cell r="H882">
            <v>234</v>
          </cell>
          <cell r="I882">
            <v>0</v>
          </cell>
          <cell r="J882" t="str">
            <v>ADIDAS</v>
          </cell>
          <cell r="K882" t="str">
            <v>Pr.Sch.R</v>
          </cell>
          <cell r="L882" t="str">
            <v>MOLDED</v>
          </cell>
          <cell r="M882">
            <v>1</v>
          </cell>
        </row>
        <row r="883">
          <cell r="A883" t="str">
            <v>F-2026-04-373</v>
          </cell>
          <cell r="B883" t="str">
            <v>RPRO-260429-0463</v>
          </cell>
          <cell r="C883"/>
          <cell r="D883" t="str">
            <v>PVN-004255</v>
          </cell>
          <cell r="E883" t="str">
            <v>OrthoLite Eco LT 300C(ADIDAS BLUEBIRD) Flat Sheet 0.11D 25+/-4 Asker C 1.1M 1.47M 12mm</v>
          </cell>
          <cell r="F883">
            <v>33</v>
          </cell>
          <cell r="G883">
            <v>33</v>
          </cell>
          <cell r="H883">
            <v>33</v>
          </cell>
          <cell r="I883">
            <v>0</v>
          </cell>
          <cell r="J883" t="str">
            <v>ADIDAS</v>
          </cell>
          <cell r="K883" t="str">
            <v>Pr.Sch.R</v>
          </cell>
          <cell r="L883" t="str">
            <v>MOLDED</v>
          </cell>
          <cell r="M883">
            <v>1</v>
          </cell>
        </row>
        <row r="884">
          <cell r="A884" t="str">
            <v>F-2026-04-374</v>
          </cell>
          <cell r="B884" t="str">
            <v>RPRO-260429-0464</v>
          </cell>
          <cell r="C884"/>
          <cell r="D884" t="str">
            <v>PVN-003347</v>
          </cell>
          <cell r="E884" t="str">
            <v>OrthoLite X-40-Nike TRUE BLUE/19-4057TPX Flat Sheet 0.16D 35+/-4 Asker C 1.1M 1.7M 4mm</v>
          </cell>
          <cell r="F884">
            <v>70</v>
          </cell>
          <cell r="G884">
            <v>70</v>
          </cell>
          <cell r="H884">
            <v>0</v>
          </cell>
          <cell r="I884">
            <v>70</v>
          </cell>
          <cell r="J884" t="str">
            <v>NIKE</v>
          </cell>
          <cell r="K884" t="str">
            <v>Pr.Sch.R</v>
          </cell>
          <cell r="L884" t="str">
            <v>LAMINATING</v>
          </cell>
          <cell r="M884">
            <v>1</v>
          </cell>
        </row>
        <row r="885">
          <cell r="A885" t="str">
            <v>F-2026-04-375</v>
          </cell>
          <cell r="B885" t="str">
            <v>RPRO-260429-0465</v>
          </cell>
          <cell r="C885"/>
          <cell r="D885" t="str">
            <v>PVN-001585</v>
          </cell>
          <cell r="E885" t="str">
            <v>OrthoLite Regular-Nike AIR BLUE/16-4134TPX Flat Sheet 0.13D 35+/-4 Asker C 1.1M 2M 6mm</v>
          </cell>
          <cell r="F885">
            <v>1978</v>
          </cell>
          <cell r="G885">
            <v>1978</v>
          </cell>
          <cell r="H885">
            <v>1732</v>
          </cell>
          <cell r="I885">
            <v>246</v>
          </cell>
          <cell r="J885" t="str">
            <v>NIKE</v>
          </cell>
          <cell r="K885" t="str">
            <v>Pr.Sch.R</v>
          </cell>
          <cell r="L885" t="str">
            <v>MOLDED</v>
          </cell>
          <cell r="M885">
            <v>1</v>
          </cell>
        </row>
        <row r="886">
          <cell r="A886" t="str">
            <v>F-2026-04-376</v>
          </cell>
          <cell r="B886" t="str">
            <v>RPRO-260429-0466</v>
          </cell>
          <cell r="C886"/>
          <cell r="D886" t="str">
            <v>PVN-002773</v>
          </cell>
          <cell r="E886" t="str">
            <v>OrthoLite Regular-Hybrid-Nike SEEDPEARL/12-0703TPX Hybrid Flat Sheet 0.11D 25+/-4 Asker C 1.1M 2M 4mm</v>
          </cell>
          <cell r="F886">
            <v>35</v>
          </cell>
          <cell r="G886">
            <v>35</v>
          </cell>
          <cell r="H886">
            <v>35</v>
          </cell>
          <cell r="I886">
            <v>0</v>
          </cell>
          <cell r="J886" t="str">
            <v>NIKE</v>
          </cell>
          <cell r="K886" t="str">
            <v>Pr.Sch.R</v>
          </cell>
          <cell r="L886" t="str">
            <v>DIE CUT</v>
          </cell>
          <cell r="M886">
            <v>1</v>
          </cell>
        </row>
        <row r="887">
          <cell r="A887" t="str">
            <v>F-2026-04-377</v>
          </cell>
          <cell r="B887" t="str">
            <v>RPRO-260429-0467</v>
          </cell>
          <cell r="C887"/>
          <cell r="D887" t="str">
            <v>PVN-003503</v>
          </cell>
          <cell r="E887" t="str">
            <v>OrthoLite Ultra-Hybrid-Nike SEEDPEARL/12-0703TPX Hybrid Flat Sheet 0.085D 15+/-4 Asker C 1.1M 2M 3mm</v>
          </cell>
          <cell r="F887">
            <v>138</v>
          </cell>
          <cell r="G887">
            <v>138</v>
          </cell>
          <cell r="H887">
            <v>138</v>
          </cell>
          <cell r="I887">
            <v>0</v>
          </cell>
          <cell r="J887" t="str">
            <v>NIKE</v>
          </cell>
          <cell r="K887" t="str">
            <v>Pr.Sch.R</v>
          </cell>
          <cell r="L887" t="str">
            <v>DIE CUT</v>
          </cell>
          <cell r="M887">
            <v>1</v>
          </cell>
        </row>
        <row r="888">
          <cell r="A888" t="str">
            <v>F-2026-04-378</v>
          </cell>
          <cell r="B888" t="str">
            <v>RPRO-260429-0468</v>
          </cell>
          <cell r="C888"/>
          <cell r="D888" t="str">
            <v>PVN-003987</v>
          </cell>
          <cell r="E888" t="str">
            <v>OrthoLite Ultra-Hybrid SEEDPEARL/12-0703TPX Hybrid Flat Sheet 0.085D 25+/-4 Asker C 1.1M 2M 6.2mm</v>
          </cell>
          <cell r="F888">
            <v>44</v>
          </cell>
          <cell r="G888">
            <v>44</v>
          </cell>
          <cell r="H888">
            <v>44</v>
          </cell>
          <cell r="I888">
            <v>0</v>
          </cell>
          <cell r="J888" t="str">
            <v>ADIDAS</v>
          </cell>
          <cell r="K888" t="str">
            <v>Pr.Sch.R</v>
          </cell>
          <cell r="L888" t="str">
            <v>MOLDED</v>
          </cell>
          <cell r="M888">
            <v>1</v>
          </cell>
        </row>
        <row r="889">
          <cell r="A889" t="str">
            <v>F-2026-04-379</v>
          </cell>
          <cell r="B889" t="str">
            <v>RPRO-260429-0469</v>
          </cell>
          <cell r="C889"/>
          <cell r="D889" t="str">
            <v>PVN-001554</v>
          </cell>
          <cell r="E889" t="str">
            <v>OrthoLite Ultra-Nike YELLOW/13-0858TPX Flat Sheet 0.085D 15+/-4 Asker C 1.1M 2M 3mm</v>
          </cell>
          <cell r="F889">
            <v>184</v>
          </cell>
          <cell r="G889">
            <v>184</v>
          </cell>
          <cell r="H889">
            <v>184</v>
          </cell>
          <cell r="I889">
            <v>0</v>
          </cell>
          <cell r="J889" t="str">
            <v>NIKE</v>
          </cell>
          <cell r="K889" t="str">
            <v>Pr.Sch.R</v>
          </cell>
          <cell r="L889" t="str">
            <v>DIE CUT</v>
          </cell>
          <cell r="M889">
            <v>1</v>
          </cell>
        </row>
        <row r="890">
          <cell r="A890" t="str">
            <v>F-2026-04-380</v>
          </cell>
          <cell r="B890" t="str">
            <v>FPRO-260428-0003</v>
          </cell>
          <cell r="C890"/>
          <cell r="D890" t="str">
            <v>PVN-003298</v>
          </cell>
          <cell r="E890" t="str">
            <v>OrthoLite Ultra-Hybrid SEEDPEARL/12-0703TPX Hybrid 0.085D 25+/-4 Asker C 1.1M 2M 4mm</v>
          </cell>
          <cell r="F890">
            <v>7000</v>
          </cell>
          <cell r="G890">
            <v>7000</v>
          </cell>
          <cell r="H890">
            <v>0</v>
          </cell>
          <cell r="I890">
            <v>7000</v>
          </cell>
          <cell r="J890" t="str">
            <v>ADIDAS</v>
          </cell>
          <cell r="K890" t="str">
            <v>Forecast</v>
          </cell>
          <cell r="L890" t="str">
            <v>SPLITTING</v>
          </cell>
          <cell r="M890">
            <v>2</v>
          </cell>
        </row>
        <row r="891">
          <cell r="A891" t="str">
            <v>F-2026-04-381</v>
          </cell>
          <cell r="B891" t="str">
            <v>FPRO-260428-0004</v>
          </cell>
          <cell r="C891"/>
          <cell r="D891" t="str">
            <v>PVN-003298</v>
          </cell>
          <cell r="E891" t="str">
            <v>OrthoLite Ultra-Hybrid SEEDPEARL/12-0703TPX Hybrid 0.085D 25+/-4 Asker C 1.1M 2M 4mm</v>
          </cell>
          <cell r="F891">
            <v>7000</v>
          </cell>
          <cell r="G891">
            <v>7000</v>
          </cell>
          <cell r="H891">
            <v>0</v>
          </cell>
          <cell r="I891">
            <v>7000</v>
          </cell>
          <cell r="J891" t="str">
            <v>ADIDAS</v>
          </cell>
          <cell r="K891" t="str">
            <v>Forecast</v>
          </cell>
          <cell r="L891" t="str">
            <v>SPLITTING</v>
          </cell>
          <cell r="M891">
            <v>2</v>
          </cell>
        </row>
        <row r="892">
          <cell r="A892" t="str">
            <v>F-2026-04-382</v>
          </cell>
          <cell r="B892" t="str">
            <v>FPRO-260428-0012</v>
          </cell>
          <cell r="C892"/>
          <cell r="D892" t="str">
            <v>PVN-003298</v>
          </cell>
          <cell r="E892" t="str">
            <v>OrthoLite Ultra-Hybrid SEEDPEARL/12-0703TPX Hybrid 0.085D 25+/-4 Asker C 1.1M 2M 4mm</v>
          </cell>
          <cell r="F892">
            <v>7000</v>
          </cell>
          <cell r="G892">
            <v>7000</v>
          </cell>
          <cell r="H892">
            <v>0</v>
          </cell>
          <cell r="I892">
            <v>7000</v>
          </cell>
          <cell r="J892" t="str">
            <v>ADIDAS</v>
          </cell>
          <cell r="K892" t="str">
            <v>Forecast</v>
          </cell>
          <cell r="L892" t="str">
            <v>SPLITTING</v>
          </cell>
          <cell r="M892">
            <v>2</v>
          </cell>
        </row>
        <row r="893">
          <cell r="A893" t="str">
            <v>F-2026-04-383</v>
          </cell>
          <cell r="B893" t="str">
            <v>FPRO-260428-0013</v>
          </cell>
          <cell r="C893"/>
          <cell r="D893" t="str">
            <v>PVN-003298</v>
          </cell>
          <cell r="E893" t="str">
            <v>OrthoLite Ultra-Hybrid SEEDPEARL/12-0703TPX Hybrid 0.085D 25+/-4 Asker C 1.1M 2M 4mm</v>
          </cell>
          <cell r="F893">
            <v>7000</v>
          </cell>
          <cell r="G893">
            <v>7000</v>
          </cell>
          <cell r="H893">
            <v>0</v>
          </cell>
          <cell r="I893">
            <v>7000</v>
          </cell>
          <cell r="J893" t="str">
            <v>ADIDAS</v>
          </cell>
          <cell r="K893" t="str">
            <v>Forecast</v>
          </cell>
          <cell r="L893" t="str">
            <v>SPLITTING</v>
          </cell>
          <cell r="M893">
            <v>2</v>
          </cell>
        </row>
        <row r="894">
          <cell r="A894" t="str">
            <v>F-2026-04-384</v>
          </cell>
          <cell r="B894" t="str">
            <v>FPRO-260428-0014</v>
          </cell>
          <cell r="C894"/>
          <cell r="D894" t="str">
            <v>PVN-003298</v>
          </cell>
          <cell r="E894" t="str">
            <v>OrthoLite Ultra-Hybrid SEEDPEARL/12-0703TPX Hybrid 0.085D 25+/-4 Asker C 1.1M 2M 4mm</v>
          </cell>
          <cell r="F894">
            <v>7000</v>
          </cell>
          <cell r="G894">
            <v>7000</v>
          </cell>
          <cell r="H894">
            <v>0</v>
          </cell>
          <cell r="I894">
            <v>7000</v>
          </cell>
          <cell r="J894" t="str">
            <v>ADIDAS</v>
          </cell>
          <cell r="K894" t="str">
            <v>Forecast</v>
          </cell>
          <cell r="L894" t="str">
            <v>SPLITTING</v>
          </cell>
          <cell r="M894">
            <v>2</v>
          </cell>
        </row>
        <row r="895">
          <cell r="A895" t="str">
            <v>F-2026-04-385</v>
          </cell>
          <cell r="B895" t="str">
            <v>FPRO-260428-0015</v>
          </cell>
          <cell r="C895"/>
          <cell r="D895" t="str">
            <v>PVN-003298</v>
          </cell>
          <cell r="E895" t="str">
            <v>OrthoLite Ultra-Hybrid SEEDPEARL/12-0703TPX Hybrid 0.085D 25+/-4 Asker C 1.1M 2M 4mm</v>
          </cell>
          <cell r="F895">
            <v>7000</v>
          </cell>
          <cell r="G895">
            <v>7000</v>
          </cell>
          <cell r="H895">
            <v>0</v>
          </cell>
          <cell r="I895">
            <v>7000</v>
          </cell>
          <cell r="J895" t="str">
            <v>ADIDAS</v>
          </cell>
          <cell r="K895" t="str">
            <v>Forecast</v>
          </cell>
          <cell r="L895" t="str">
            <v>SPLITTING</v>
          </cell>
          <cell r="M895">
            <v>2</v>
          </cell>
        </row>
        <row r="896">
          <cell r="A896" t="str">
            <v>F-2026-04-386</v>
          </cell>
          <cell r="B896" t="str">
            <v>FPRO-260428-0016</v>
          </cell>
          <cell r="C896"/>
          <cell r="D896" t="str">
            <v>PVN-003299</v>
          </cell>
          <cell r="E896" t="str">
            <v>OrthoLite Ultra-Hybrid SEEDPEARL/12-0703TPX Hybrid 0.085D 25+/-4 Asker C 1.1M 2M 3mm</v>
          </cell>
          <cell r="F896">
            <v>7000</v>
          </cell>
          <cell r="G896">
            <v>7000</v>
          </cell>
          <cell r="H896">
            <v>0</v>
          </cell>
          <cell r="I896">
            <v>7000</v>
          </cell>
          <cell r="J896" t="str">
            <v>ADIDAS</v>
          </cell>
          <cell r="K896" t="str">
            <v>Forecast</v>
          </cell>
          <cell r="L896" t="str">
            <v>SPLITTING</v>
          </cell>
          <cell r="M896">
            <v>2</v>
          </cell>
        </row>
        <row r="897">
          <cell r="A897" t="str">
            <v>F-2026-04-387</v>
          </cell>
          <cell r="B897" t="str">
            <v>FPRO-260428-0017</v>
          </cell>
          <cell r="C897"/>
          <cell r="D897" t="str">
            <v>PVN-003299</v>
          </cell>
          <cell r="E897" t="str">
            <v>OrthoLite Ultra-Hybrid SEEDPEARL/12-0703TPX Hybrid 0.085D 25+/-4 Asker C 1.1M 2M 3mm</v>
          </cell>
          <cell r="F897">
            <v>7000</v>
          </cell>
          <cell r="G897">
            <v>7000</v>
          </cell>
          <cell r="H897">
            <v>0</v>
          </cell>
          <cell r="I897">
            <v>7000</v>
          </cell>
          <cell r="J897" t="str">
            <v>ADIDAS</v>
          </cell>
          <cell r="K897" t="str">
            <v>Forecast</v>
          </cell>
          <cell r="L897" t="str">
            <v>SPLITTING</v>
          </cell>
          <cell r="M897">
            <v>2</v>
          </cell>
        </row>
        <row r="898">
          <cell r="A898" t="str">
            <v>F-2026-04-388</v>
          </cell>
          <cell r="B898" t="str">
            <v>FPRO-260428-0018</v>
          </cell>
          <cell r="C898"/>
          <cell r="D898" t="str">
            <v>PVN-003299</v>
          </cell>
          <cell r="E898" t="str">
            <v>OrthoLite Ultra-Hybrid SEEDPEARL/12-0703TPX Hybrid 0.085D 25+/-4 Asker C 1.1M 2M 3mm</v>
          </cell>
          <cell r="F898">
            <v>7000</v>
          </cell>
          <cell r="G898">
            <v>7000</v>
          </cell>
          <cell r="H898">
            <v>0</v>
          </cell>
          <cell r="I898">
            <v>7000</v>
          </cell>
          <cell r="J898" t="str">
            <v>ADIDAS</v>
          </cell>
          <cell r="K898" t="str">
            <v>Forecast</v>
          </cell>
          <cell r="L898" t="str">
            <v>SPLITTING</v>
          </cell>
          <cell r="M898">
            <v>2</v>
          </cell>
        </row>
        <row r="899">
          <cell r="A899" t="str">
            <v>F-2026-04-389</v>
          </cell>
          <cell r="B899" t="str">
            <v>FPRO-260428-0019</v>
          </cell>
          <cell r="C899"/>
          <cell r="D899" t="str">
            <v>PVN-003299</v>
          </cell>
          <cell r="E899" t="str">
            <v>OrthoLite Ultra-Hybrid SEEDPEARL/12-0703TPX Hybrid 0.085D 25+/-4 Asker C 1.1M 2M 3mm</v>
          </cell>
          <cell r="F899">
            <v>2500</v>
          </cell>
          <cell r="G899">
            <v>2500</v>
          </cell>
          <cell r="H899">
            <v>0</v>
          </cell>
          <cell r="I899">
            <v>2500</v>
          </cell>
          <cell r="J899" t="str">
            <v>ADIDAS</v>
          </cell>
          <cell r="K899" t="str">
            <v>Forecast</v>
          </cell>
          <cell r="L899" t="str">
            <v>SPLITTING</v>
          </cell>
          <cell r="M899">
            <v>2</v>
          </cell>
        </row>
        <row r="900">
          <cell r="A900" t="str">
            <v>F-2026-04-390</v>
          </cell>
          <cell r="B900" t="str">
            <v>FPRO-260429-0003</v>
          </cell>
          <cell r="C900"/>
          <cell r="D900" t="str">
            <v>PVN-001550</v>
          </cell>
          <cell r="E900" t="str">
            <v>OrthoLite Regular-Nike AIR BLUE/16-4134TPX 0.11D 25+/-4 Asker C 1.1M 1.7M 2mm</v>
          </cell>
          <cell r="F900">
            <v>2000</v>
          </cell>
          <cell r="G900">
            <v>2000</v>
          </cell>
          <cell r="H900">
            <v>0</v>
          </cell>
          <cell r="I900">
            <v>2000</v>
          </cell>
          <cell r="J900" t="str">
            <v>NIKE</v>
          </cell>
          <cell r="K900" t="str">
            <v>Forecast</v>
          </cell>
          <cell r="L900" t="str">
            <v>DIE CUT</v>
          </cell>
          <cell r="M900">
            <v>1</v>
          </cell>
        </row>
        <row r="901">
          <cell r="A901" t="str">
            <v>F-2026-04-391</v>
          </cell>
          <cell r="B901" t="str">
            <v>FPRO-260429-0004</v>
          </cell>
          <cell r="C901"/>
          <cell r="D901" t="str">
            <v>PVN-001550</v>
          </cell>
          <cell r="E901" t="str">
            <v>OrthoLite Regular-Nike AIR BLUE/16-4134TPX 0.11D 25+/-4 Asker C 1.1M 1.7M 2mm</v>
          </cell>
          <cell r="F901">
            <v>2000</v>
          </cell>
          <cell r="G901">
            <v>2000</v>
          </cell>
          <cell r="H901">
            <v>0</v>
          </cell>
          <cell r="I901">
            <v>2000</v>
          </cell>
          <cell r="J901" t="str">
            <v>NIKE</v>
          </cell>
          <cell r="K901" t="str">
            <v>Forecast</v>
          </cell>
          <cell r="L901" t="str">
            <v>DIE CUT</v>
          </cell>
          <cell r="M901">
            <v>1</v>
          </cell>
        </row>
        <row r="902">
          <cell r="A902" t="str">
            <v>F-2026-04-392</v>
          </cell>
          <cell r="B902" t="str">
            <v>FPRO-260429-0005</v>
          </cell>
          <cell r="C902"/>
          <cell r="D902" t="str">
            <v>PVN-001550</v>
          </cell>
          <cell r="E902" t="str">
            <v>OrthoLite Regular-Nike AIR BLUE/16-4134TPX 0.11D 25+/-4 Asker C 1.1M 1.7M 2mm</v>
          </cell>
          <cell r="F902">
            <v>600</v>
          </cell>
          <cell r="G902">
            <v>600</v>
          </cell>
          <cell r="H902">
            <v>0</v>
          </cell>
          <cell r="I902">
            <v>600</v>
          </cell>
          <cell r="J902" t="str">
            <v>NIKE</v>
          </cell>
          <cell r="K902" t="str">
            <v>Forecast</v>
          </cell>
          <cell r="L902" t="str">
            <v>DIE CUT</v>
          </cell>
          <cell r="M902">
            <v>1</v>
          </cell>
        </row>
        <row r="903">
          <cell r="A903" t="str">
            <v>F-2026-04-393</v>
          </cell>
          <cell r="B903" t="str">
            <v>FPRO-260429-0006</v>
          </cell>
          <cell r="C903"/>
          <cell r="D903" t="str">
            <v>PVN-001560</v>
          </cell>
          <cell r="E903" t="str">
            <v>OrthoLite Ultra-Nike FOSSIL/17-0909TPX 0.085D 25+/-4 Asker C 1.1M 2M 4mm</v>
          </cell>
          <cell r="F903">
            <v>1000</v>
          </cell>
          <cell r="G903">
            <v>1000</v>
          </cell>
          <cell r="H903">
            <v>0</v>
          </cell>
          <cell r="I903">
            <v>1000</v>
          </cell>
          <cell r="J903" t="str">
            <v>NIKE</v>
          </cell>
          <cell r="K903" t="str">
            <v>Forecast</v>
          </cell>
          <cell r="L903" t="str">
            <v>DIE CUT</v>
          </cell>
          <cell r="M903">
            <v>1</v>
          </cell>
        </row>
        <row r="904">
          <cell r="A904" t="str">
            <v>F-2026-04-394</v>
          </cell>
          <cell r="B904" t="str">
            <v>FPRO-260429-0007</v>
          </cell>
          <cell r="C904"/>
          <cell r="D904" t="str">
            <v>PVN-001560</v>
          </cell>
          <cell r="E904" t="str">
            <v>OrthoLite Ultra-Nike FOSSIL/17-0909TPX 0.085D 25+/-4 Asker C 1.1M 2M 4mm</v>
          </cell>
          <cell r="F904">
            <v>1000</v>
          </cell>
          <cell r="G904">
            <v>1000</v>
          </cell>
          <cell r="H904">
            <v>0</v>
          </cell>
          <cell r="I904">
            <v>1000</v>
          </cell>
          <cell r="J904" t="str">
            <v>NIKE</v>
          </cell>
          <cell r="K904" t="str">
            <v>Forecast</v>
          </cell>
          <cell r="L904" t="str">
            <v>DIE CUT</v>
          </cell>
          <cell r="M904">
            <v>1</v>
          </cell>
        </row>
        <row r="905">
          <cell r="A905" t="str">
            <v>F-2026-04-395</v>
          </cell>
          <cell r="B905" t="str">
            <v>FPRO-260429-0008</v>
          </cell>
          <cell r="C905"/>
          <cell r="D905" t="str">
            <v>PVN-001560</v>
          </cell>
          <cell r="E905" t="str">
            <v>OrthoLite Ultra-Nike FOSSIL/17-0909TPX 0.085D 25+/-4 Asker C 1.1M 2M 4mm</v>
          </cell>
          <cell r="F905">
            <v>1000</v>
          </cell>
          <cell r="G905">
            <v>1000</v>
          </cell>
          <cell r="H905">
            <v>0</v>
          </cell>
          <cell r="I905">
            <v>1000</v>
          </cell>
          <cell r="J905" t="str">
            <v>NIKE</v>
          </cell>
          <cell r="K905" t="str">
            <v>Forecast</v>
          </cell>
          <cell r="L905" t="str">
            <v>DIE CUT</v>
          </cell>
          <cell r="M905">
            <v>1</v>
          </cell>
        </row>
        <row r="906">
          <cell r="A906" t="str">
            <v>F-2026-04-396</v>
          </cell>
          <cell r="B906" t="str">
            <v>FPRO-260429-0009</v>
          </cell>
          <cell r="C906"/>
          <cell r="D906" t="str">
            <v>PVN-001560</v>
          </cell>
          <cell r="E906" t="str">
            <v>OrthoLite Ultra-Nike FOSSIL/17-0909TPX 0.085D 25+/-4 Asker C 1.1M 2M 4mm</v>
          </cell>
          <cell r="F906">
            <v>1000</v>
          </cell>
          <cell r="G906">
            <v>1000</v>
          </cell>
          <cell r="H906">
            <v>0</v>
          </cell>
          <cell r="I906">
            <v>1000</v>
          </cell>
          <cell r="J906" t="str">
            <v>NIKE</v>
          </cell>
          <cell r="K906" t="str">
            <v>Forecast</v>
          </cell>
          <cell r="L906" t="str">
            <v>DIE CUT</v>
          </cell>
          <cell r="M906">
            <v>1</v>
          </cell>
        </row>
        <row r="907">
          <cell r="A907" t="str">
            <v>F-2026-04-397</v>
          </cell>
          <cell r="B907" t="str">
            <v>FPRO-260429-0010</v>
          </cell>
          <cell r="C907"/>
          <cell r="D907" t="str">
            <v>PVN-001560</v>
          </cell>
          <cell r="E907" t="str">
            <v>OrthoLite Ultra-Nike FOSSIL/17-0909TPX 0.085D 25+/-4 Asker C 1.1M 2M 4mm</v>
          </cell>
          <cell r="F907">
            <v>1000</v>
          </cell>
          <cell r="G907">
            <v>1000</v>
          </cell>
          <cell r="H907">
            <v>0</v>
          </cell>
          <cell r="I907">
            <v>1000</v>
          </cell>
          <cell r="J907" t="str">
            <v>NIKE</v>
          </cell>
          <cell r="K907" t="str">
            <v>Forecast</v>
          </cell>
          <cell r="L907" t="str">
            <v>DIE CUT</v>
          </cell>
          <cell r="M907">
            <v>1</v>
          </cell>
        </row>
        <row r="908">
          <cell r="A908" t="str">
            <v>F-2026-04-398</v>
          </cell>
          <cell r="B908" t="str">
            <v>FPRO-260429-0011</v>
          </cell>
          <cell r="C908"/>
          <cell r="D908" t="str">
            <v>PVN-001560</v>
          </cell>
          <cell r="E908" t="str">
            <v>OrthoLite Ultra-Nike FOSSIL/17-0909TPX 0.085D 25+/-4 Asker C 1.1M 2M 4mm</v>
          </cell>
          <cell r="F908">
            <v>1000</v>
          </cell>
          <cell r="G908">
            <v>1000</v>
          </cell>
          <cell r="H908">
            <v>0</v>
          </cell>
          <cell r="I908">
            <v>1000</v>
          </cell>
          <cell r="J908" t="str">
            <v>NIKE</v>
          </cell>
          <cell r="K908" t="str">
            <v>Forecast</v>
          </cell>
          <cell r="L908" t="str">
            <v>DIE CUT</v>
          </cell>
          <cell r="M908">
            <v>1</v>
          </cell>
        </row>
        <row r="909">
          <cell r="A909" t="str">
            <v>F-2026-04-399</v>
          </cell>
          <cell r="B909" t="str">
            <v>FPRO-260429-0012</v>
          </cell>
          <cell r="C909"/>
          <cell r="D909" t="str">
            <v>PVN-001560</v>
          </cell>
          <cell r="E909" t="str">
            <v>OrthoLite Ultra-Nike FOSSIL/17-0909TPX 0.085D 25+/-4 Asker C 1.1M 2M 4mm</v>
          </cell>
          <cell r="F909">
            <v>400</v>
          </cell>
          <cell r="G909">
            <v>400</v>
          </cell>
          <cell r="H909">
            <v>0</v>
          </cell>
          <cell r="I909">
            <v>400</v>
          </cell>
          <cell r="J909" t="str">
            <v>NIKE</v>
          </cell>
          <cell r="K909" t="str">
            <v>Forecast</v>
          </cell>
          <cell r="L909" t="str">
            <v>DIE CUT</v>
          </cell>
          <cell r="M909">
            <v>1</v>
          </cell>
        </row>
        <row r="910">
          <cell r="A910" t="str">
            <v>F-2026-04-400</v>
          </cell>
          <cell r="B910" t="str">
            <v>FPRO-260429-0013</v>
          </cell>
          <cell r="C910"/>
          <cell r="D910" t="str">
            <v>PVN-001562</v>
          </cell>
          <cell r="E910" t="str">
            <v>OrthoLite Ultra-Nike LIME GREEN/14-0452TPX 0.085D 25+/-4 Asker C 1.1M 2M 4mm</v>
          </cell>
          <cell r="F910">
            <v>1000</v>
          </cell>
          <cell r="G910">
            <v>1000</v>
          </cell>
          <cell r="H910">
            <v>0</v>
          </cell>
          <cell r="I910">
            <v>1000</v>
          </cell>
          <cell r="J910" t="str">
            <v>NIKE</v>
          </cell>
          <cell r="K910" t="str">
            <v>Forecast</v>
          </cell>
          <cell r="L910" t="str">
            <v>DIE CUT</v>
          </cell>
          <cell r="M910">
            <v>1</v>
          </cell>
        </row>
        <row r="911">
          <cell r="A911" t="str">
            <v>F-2026-04-401</v>
          </cell>
          <cell r="B911" t="str">
            <v>FPRO-260429-0014</v>
          </cell>
          <cell r="C911"/>
          <cell r="D911" t="str">
            <v>PVN-001562</v>
          </cell>
          <cell r="E911" t="str">
            <v>OrthoLite Ultra-Nike LIME GREEN/14-0452TPX 0.085D 25+/-4 Asker C 1.1M 2M 4mm</v>
          </cell>
          <cell r="F911">
            <v>1000</v>
          </cell>
          <cell r="G911">
            <v>1000</v>
          </cell>
          <cell r="H911">
            <v>0</v>
          </cell>
          <cell r="I911">
            <v>1000</v>
          </cell>
          <cell r="J911" t="str">
            <v>NIKE</v>
          </cell>
          <cell r="K911" t="str">
            <v>Forecast</v>
          </cell>
          <cell r="L911" t="str">
            <v>DIE CUT</v>
          </cell>
          <cell r="M911">
            <v>1</v>
          </cell>
        </row>
        <row r="912">
          <cell r="A912" t="str">
            <v>F-2026-04-402</v>
          </cell>
          <cell r="B912" t="str">
            <v>FPRO-260429-0015</v>
          </cell>
          <cell r="C912"/>
          <cell r="D912" t="str">
            <v>PVN-001562</v>
          </cell>
          <cell r="E912" t="str">
            <v>OrthoLite Ultra-Nike LIME GREEN/14-0452TPX 0.085D 25+/-4 Asker C 1.1M 2M 4mm</v>
          </cell>
          <cell r="F912">
            <v>1000</v>
          </cell>
          <cell r="G912">
            <v>1000</v>
          </cell>
          <cell r="H912">
            <v>0</v>
          </cell>
          <cell r="I912">
            <v>1000</v>
          </cell>
          <cell r="J912" t="str">
            <v>NIKE</v>
          </cell>
          <cell r="K912" t="str">
            <v>Forecast</v>
          </cell>
          <cell r="L912" t="str">
            <v>DIE CUT</v>
          </cell>
          <cell r="M912">
            <v>1</v>
          </cell>
        </row>
        <row r="913">
          <cell r="A913" t="str">
            <v>F-2026-04-403</v>
          </cell>
          <cell r="B913" t="str">
            <v>FPRO-260429-0016</v>
          </cell>
          <cell r="C913"/>
          <cell r="D913" t="str">
            <v>PVN-001562</v>
          </cell>
          <cell r="E913" t="str">
            <v>OrthoLite Ultra-Nike LIME GREEN/14-0452TPX 0.085D 25+/-4 Asker C 1.1M 2M 4mm</v>
          </cell>
          <cell r="F913">
            <v>1000</v>
          </cell>
          <cell r="G913">
            <v>1000</v>
          </cell>
          <cell r="H913">
            <v>0</v>
          </cell>
          <cell r="I913">
            <v>1000</v>
          </cell>
          <cell r="J913" t="str">
            <v>NIKE</v>
          </cell>
          <cell r="K913" t="str">
            <v>Forecast</v>
          </cell>
          <cell r="L913" t="str">
            <v>DIE CUT</v>
          </cell>
          <cell r="M913">
            <v>1</v>
          </cell>
        </row>
        <row r="914">
          <cell r="A914" t="str">
            <v>F-2026-04-404</v>
          </cell>
          <cell r="B914" t="str">
            <v>FPRO-260429-0017</v>
          </cell>
          <cell r="C914"/>
          <cell r="D914" t="str">
            <v>PVN-001562</v>
          </cell>
          <cell r="E914" t="str">
            <v>OrthoLite Ultra-Nike LIME GREEN/14-0452TPX 0.085D 25+/-4 Asker C 1.1M 2M 4mm</v>
          </cell>
          <cell r="F914">
            <v>1000</v>
          </cell>
          <cell r="G914">
            <v>1000</v>
          </cell>
          <cell r="H914">
            <v>0</v>
          </cell>
          <cell r="I914">
            <v>1000</v>
          </cell>
          <cell r="J914" t="str">
            <v>NIKE</v>
          </cell>
          <cell r="K914" t="str">
            <v>Forecast</v>
          </cell>
          <cell r="L914" t="str">
            <v>DIE CUT</v>
          </cell>
          <cell r="M914">
            <v>1</v>
          </cell>
        </row>
        <row r="915">
          <cell r="A915" t="str">
            <v>F-2026-04-405</v>
          </cell>
          <cell r="B915" t="str">
            <v>FPRO-260429-0018</v>
          </cell>
          <cell r="C915"/>
          <cell r="D915" t="str">
            <v>PVN-001562</v>
          </cell>
          <cell r="E915" t="str">
            <v>OrthoLite Ultra-Nike LIME GREEN/14-0452TPX 0.085D 25+/-4 Asker C 1.1M 2M 4mm</v>
          </cell>
          <cell r="F915">
            <v>1000</v>
          </cell>
          <cell r="G915">
            <v>1000</v>
          </cell>
          <cell r="H915">
            <v>0</v>
          </cell>
          <cell r="I915">
            <v>1000</v>
          </cell>
          <cell r="J915" t="str">
            <v>NIKE</v>
          </cell>
          <cell r="K915" t="str">
            <v>Forecast</v>
          </cell>
          <cell r="L915" t="str">
            <v>DIE CUT</v>
          </cell>
          <cell r="M915">
            <v>1</v>
          </cell>
        </row>
        <row r="916">
          <cell r="A916" t="str">
            <v>F-2026-04-406</v>
          </cell>
          <cell r="B916" t="str">
            <v>FPRO-260429-0019</v>
          </cell>
          <cell r="C916"/>
          <cell r="D916" t="str">
            <v>PVN-001562</v>
          </cell>
          <cell r="E916" t="str">
            <v>OrthoLite Ultra-Nike LIME GREEN/14-0452TPX 0.085D 25+/-4 Asker C 1.1M 2M 4mm</v>
          </cell>
          <cell r="F916">
            <v>1000</v>
          </cell>
          <cell r="G916">
            <v>1000</v>
          </cell>
          <cell r="H916">
            <v>0</v>
          </cell>
          <cell r="I916">
            <v>1000</v>
          </cell>
          <cell r="J916" t="str">
            <v>NIKE</v>
          </cell>
          <cell r="K916" t="str">
            <v>Forecast</v>
          </cell>
          <cell r="L916" t="str">
            <v>DIE CUT</v>
          </cell>
          <cell r="M916">
            <v>1</v>
          </cell>
        </row>
        <row r="917">
          <cell r="A917" t="str">
            <v>F-2026-04-407</v>
          </cell>
          <cell r="B917" t="str">
            <v>FPRO-260429-0020</v>
          </cell>
          <cell r="C917"/>
          <cell r="D917" t="str">
            <v>PVN-001562</v>
          </cell>
          <cell r="E917" t="str">
            <v>OrthoLite Ultra-Nike LIME GREEN/14-0452TPX 0.085D 25+/-4 Asker C 1.1M 2M 4mm</v>
          </cell>
          <cell r="F917">
            <v>1000</v>
          </cell>
          <cell r="G917">
            <v>1000</v>
          </cell>
          <cell r="H917">
            <v>0</v>
          </cell>
          <cell r="I917">
            <v>1000</v>
          </cell>
          <cell r="J917" t="str">
            <v>NIKE</v>
          </cell>
          <cell r="K917" t="str">
            <v>Forecast</v>
          </cell>
          <cell r="L917" t="str">
            <v>DIE CUT</v>
          </cell>
          <cell r="M917">
            <v>1</v>
          </cell>
        </row>
        <row r="918">
          <cell r="A918" t="str">
            <v>F-2026-04-408</v>
          </cell>
          <cell r="B918" t="str">
            <v>FPRO-260429-0021</v>
          </cell>
          <cell r="C918"/>
          <cell r="D918" t="str">
            <v>PVN-001562</v>
          </cell>
          <cell r="E918" t="str">
            <v>OrthoLite Ultra-Nike LIME GREEN/14-0452TPX 0.085D 25+/-4 Asker C 1.1M 2M 4mm</v>
          </cell>
          <cell r="F918">
            <v>300</v>
          </cell>
          <cell r="G918">
            <v>300</v>
          </cell>
          <cell r="H918">
            <v>0</v>
          </cell>
          <cell r="I918">
            <v>300</v>
          </cell>
          <cell r="J918" t="str">
            <v>NIKE</v>
          </cell>
          <cell r="K918" t="str">
            <v>Forecast</v>
          </cell>
          <cell r="L918" t="str">
            <v>DIE CUT</v>
          </cell>
          <cell r="M918">
            <v>1</v>
          </cell>
        </row>
        <row r="919">
          <cell r="A919" t="str">
            <v>F-2026-04-409-1</v>
          </cell>
          <cell r="B919" t="str">
            <v>FPRO-260429-0022</v>
          </cell>
          <cell r="C919"/>
          <cell r="D919" t="str">
            <v>PVN-001565</v>
          </cell>
          <cell r="E919" t="str">
            <v>OrthoLite Regular-Nike AIR BLUE/16-4134TPX 0.11D 15+/-4 Asker C 1.1M 2M 4mm</v>
          </cell>
          <cell r="F919">
            <v>1100</v>
          </cell>
          <cell r="G919">
            <v>600</v>
          </cell>
          <cell r="H919">
            <v>0</v>
          </cell>
          <cell r="I919">
            <v>600</v>
          </cell>
          <cell r="J919" t="str">
            <v>NIKE</v>
          </cell>
          <cell r="K919" t="str">
            <v>Forecast</v>
          </cell>
          <cell r="L919" t="str">
            <v>DIE CUT</v>
          </cell>
          <cell r="M919">
            <v>1</v>
          </cell>
        </row>
        <row r="920">
          <cell r="A920" t="str">
            <v>F-2026-04-409-2</v>
          </cell>
          <cell r="B920"/>
          <cell r="C920"/>
          <cell r="D920" t="str">
            <v>PVN-001565</v>
          </cell>
          <cell r="E920" t="str">
            <v>OrthoLite Regular-Nike AIR BLUE/16-4134TPX 0.11D 15+/-4 Asker C 1.1M 2M 4mm</v>
          </cell>
          <cell r="F920">
            <v>1100</v>
          </cell>
          <cell r="G920">
            <v>500</v>
          </cell>
          <cell r="H920">
            <v>0</v>
          </cell>
          <cell r="I920">
            <v>500</v>
          </cell>
          <cell r="J920" t="str">
            <v>NIKE</v>
          </cell>
          <cell r="K920" t="str">
            <v>Forecast</v>
          </cell>
          <cell r="L920" t="str">
            <v>DIE CUT</v>
          </cell>
          <cell r="M920">
            <v>1</v>
          </cell>
        </row>
        <row r="921">
          <cell r="A921" t="str">
            <v>F-2026-04-410</v>
          </cell>
          <cell r="B921" t="str">
            <v>FPRO-260429-0023</v>
          </cell>
          <cell r="C921"/>
          <cell r="D921" t="str">
            <v>PVN-001565</v>
          </cell>
          <cell r="E921" t="str">
            <v>OrthoLite Regular-Nike AIR BLUE/16-4134TPX 0.11D 15+/-4 Asker C 1.1M 2M 4mm</v>
          </cell>
          <cell r="F921">
            <v>1000</v>
          </cell>
          <cell r="G921">
            <v>1000</v>
          </cell>
          <cell r="H921">
            <v>0</v>
          </cell>
          <cell r="I921">
            <v>1000</v>
          </cell>
          <cell r="J921" t="str">
            <v>NIKE</v>
          </cell>
          <cell r="K921" t="str">
            <v>Forecast</v>
          </cell>
          <cell r="L921" t="str">
            <v>DIE CUT</v>
          </cell>
          <cell r="M921">
            <v>1</v>
          </cell>
        </row>
        <row r="922">
          <cell r="A922" t="str">
            <v>F-2026-04-411</v>
          </cell>
          <cell r="B922" t="str">
            <v>FPRO-260429-0024</v>
          </cell>
          <cell r="C922"/>
          <cell r="D922" t="str">
            <v>PVN-001565</v>
          </cell>
          <cell r="E922" t="str">
            <v>OrthoLite Regular-Nike AIR BLUE/16-4134TPX 0.11D 15+/-4 Asker C 1.1M 2M 4mm</v>
          </cell>
          <cell r="F922">
            <v>1000</v>
          </cell>
          <cell r="G922">
            <v>1000</v>
          </cell>
          <cell r="H922">
            <v>0</v>
          </cell>
          <cell r="I922">
            <v>1000</v>
          </cell>
          <cell r="J922" t="str">
            <v>NIKE</v>
          </cell>
          <cell r="K922" t="str">
            <v>Forecast</v>
          </cell>
          <cell r="L922" t="str">
            <v>DIE CUT</v>
          </cell>
          <cell r="M922">
            <v>1</v>
          </cell>
        </row>
        <row r="923">
          <cell r="A923" t="str">
            <v>F-2026-04-412</v>
          </cell>
          <cell r="B923" t="str">
            <v>FPRO-260429-0025</v>
          </cell>
          <cell r="C923"/>
          <cell r="D923" t="str">
            <v>PVN-001566</v>
          </cell>
          <cell r="E923" t="str">
            <v>OrthoLite Ultra-Nike SEEDPEARL/12-0703TPX 0.085D 25+/-4 Asker C 1.1M 2M 4mm</v>
          </cell>
          <cell r="F923">
            <v>2000</v>
          </cell>
          <cell r="G923">
            <v>2000</v>
          </cell>
          <cell r="H923">
            <v>0</v>
          </cell>
          <cell r="I923">
            <v>2000</v>
          </cell>
          <cell r="J923" t="str">
            <v>NIKE</v>
          </cell>
          <cell r="K923" t="str">
            <v>Forecast</v>
          </cell>
          <cell r="L923" t="str">
            <v>DIE CUT</v>
          </cell>
          <cell r="M923">
            <v>1</v>
          </cell>
        </row>
        <row r="924">
          <cell r="A924" t="str">
            <v>F-2026-04-413</v>
          </cell>
          <cell r="B924" t="str">
            <v>FPRO-260429-0026</v>
          </cell>
          <cell r="C924"/>
          <cell r="D924" t="str">
            <v>PVN-001566</v>
          </cell>
          <cell r="E924" t="str">
            <v>OrthoLite Ultra-Nike SEEDPEARL/12-0703TPX 0.085D 25+/-4 Asker C 1.1M 2M 4mm</v>
          </cell>
          <cell r="F924">
            <v>2000</v>
          </cell>
          <cell r="G924">
            <v>2000</v>
          </cell>
          <cell r="H924">
            <v>0</v>
          </cell>
          <cell r="I924">
            <v>2000</v>
          </cell>
          <cell r="J924" t="str">
            <v>NIKE</v>
          </cell>
          <cell r="K924" t="str">
            <v>Forecast</v>
          </cell>
          <cell r="L924" t="str">
            <v>DIE CUT</v>
          </cell>
          <cell r="M924">
            <v>1</v>
          </cell>
        </row>
        <row r="925">
          <cell r="A925" t="str">
            <v>F-2026-04-414</v>
          </cell>
          <cell r="B925" t="str">
            <v>FPRO-260429-0027</v>
          </cell>
          <cell r="C925"/>
          <cell r="D925" t="str">
            <v>PVN-001566</v>
          </cell>
          <cell r="E925" t="str">
            <v>OrthoLite Ultra-Nike SEEDPEARL/12-0703TPX 0.085D 25+/-4 Asker C 1.1M 2M 4mm</v>
          </cell>
          <cell r="F925">
            <v>2000</v>
          </cell>
          <cell r="G925">
            <v>2000</v>
          </cell>
          <cell r="H925">
            <v>0</v>
          </cell>
          <cell r="I925">
            <v>2000</v>
          </cell>
          <cell r="J925" t="str">
            <v>NIKE</v>
          </cell>
          <cell r="K925" t="str">
            <v>Forecast</v>
          </cell>
          <cell r="L925" t="str">
            <v>DIE CUT</v>
          </cell>
          <cell r="M925">
            <v>1</v>
          </cell>
        </row>
        <row r="926">
          <cell r="A926" t="str">
            <v>F-2026-04-415</v>
          </cell>
          <cell r="B926" t="str">
            <v>FPRO-260429-0028</v>
          </cell>
          <cell r="C926"/>
          <cell r="D926" t="str">
            <v>PVN-001566</v>
          </cell>
          <cell r="E926" t="str">
            <v>OrthoLite Ultra-Nike SEEDPEARL/12-0703TPX 0.085D 25+/-4 Asker C 1.1M 2M 4mm</v>
          </cell>
          <cell r="F926">
            <v>2000</v>
          </cell>
          <cell r="G926">
            <v>2000</v>
          </cell>
          <cell r="H926">
            <v>0</v>
          </cell>
          <cell r="I926">
            <v>2000</v>
          </cell>
          <cell r="J926" t="str">
            <v>NIKE</v>
          </cell>
          <cell r="K926" t="str">
            <v>Forecast</v>
          </cell>
          <cell r="L926" t="str">
            <v>DIE CUT</v>
          </cell>
          <cell r="M926">
            <v>1</v>
          </cell>
        </row>
        <row r="927">
          <cell r="A927" t="str">
            <v>F-2026-04-416</v>
          </cell>
          <cell r="B927" t="str">
            <v>FPRO-260429-0029</v>
          </cell>
          <cell r="C927"/>
          <cell r="D927" t="str">
            <v>PVN-001566</v>
          </cell>
          <cell r="E927" t="str">
            <v>OrthoLite Ultra-Nike SEEDPEARL/12-0703TPX 0.085D 25+/-4 Asker C 1.1M 2M 4mm</v>
          </cell>
          <cell r="F927">
            <v>2000</v>
          </cell>
          <cell r="G927">
            <v>2000</v>
          </cell>
          <cell r="H927">
            <v>0</v>
          </cell>
          <cell r="I927">
            <v>2000</v>
          </cell>
          <cell r="J927" t="str">
            <v>NIKE</v>
          </cell>
          <cell r="K927" t="str">
            <v>Forecast</v>
          </cell>
          <cell r="L927" t="str">
            <v>DIE CUT</v>
          </cell>
          <cell r="M927">
            <v>1</v>
          </cell>
        </row>
        <row r="928">
          <cell r="A928" t="str">
            <v>F-2026-04-417</v>
          </cell>
          <cell r="B928" t="str">
            <v>FPRO-260429-0030</v>
          </cell>
          <cell r="C928"/>
          <cell r="D928" t="str">
            <v>PVN-001566</v>
          </cell>
          <cell r="E928" t="str">
            <v>OrthoLite Ultra-Nike SEEDPEARL/12-0703TPX 0.085D 25+/-4 Asker C 1.1M 2M 4mm</v>
          </cell>
          <cell r="F928">
            <v>2000</v>
          </cell>
          <cell r="G928">
            <v>2000</v>
          </cell>
          <cell r="H928">
            <v>0</v>
          </cell>
          <cell r="I928">
            <v>2000</v>
          </cell>
          <cell r="J928" t="str">
            <v>NIKE</v>
          </cell>
          <cell r="K928" t="str">
            <v>Forecast</v>
          </cell>
          <cell r="L928" t="str">
            <v>DIE CUT</v>
          </cell>
          <cell r="M928">
            <v>1</v>
          </cell>
        </row>
        <row r="929">
          <cell r="A929" t="str">
            <v>F-2026-04-418</v>
          </cell>
          <cell r="B929" t="str">
            <v>FPRO-260429-0031</v>
          </cell>
          <cell r="C929"/>
          <cell r="D929" t="str">
            <v>PVN-001566</v>
          </cell>
          <cell r="E929" t="str">
            <v>OrthoLite Ultra-Nike SEEDPEARL/12-0703TPX 0.085D 25+/-4 Asker C 1.1M 2M 4mm</v>
          </cell>
          <cell r="F929">
            <v>500</v>
          </cell>
          <cell r="G929">
            <v>500</v>
          </cell>
          <cell r="H929">
            <v>0</v>
          </cell>
          <cell r="I929">
            <v>500</v>
          </cell>
          <cell r="J929" t="str">
            <v>NIKE</v>
          </cell>
          <cell r="K929" t="str">
            <v>Forecast</v>
          </cell>
          <cell r="L929" t="str">
            <v>DIE CUT</v>
          </cell>
          <cell r="M929">
            <v>1</v>
          </cell>
        </row>
        <row r="930">
          <cell r="A930" t="str">
            <v>F-2026-04-419</v>
          </cell>
          <cell r="B930" t="str">
            <v>FPRO-260429-0032</v>
          </cell>
          <cell r="C930"/>
          <cell r="D930" t="str">
            <v>PVN-001579</v>
          </cell>
          <cell r="E930" t="str">
            <v>OrthoLite Regular-Nike AIR BLUE/16-4134TPX Flat Sheet 0.11D 25+/-4 Asker C 1.1M 2M 4mm</v>
          </cell>
          <cell r="F930">
            <v>800</v>
          </cell>
          <cell r="G930">
            <v>800</v>
          </cell>
          <cell r="H930">
            <v>0</v>
          </cell>
          <cell r="I930">
            <v>800</v>
          </cell>
          <cell r="J930" t="str">
            <v>NIKE</v>
          </cell>
          <cell r="K930" t="str">
            <v>Forecast</v>
          </cell>
          <cell r="L930" t="str">
            <v>DIE CUT</v>
          </cell>
          <cell r="M930">
            <v>1</v>
          </cell>
        </row>
        <row r="931">
          <cell r="A931" t="str">
            <v>F-2026-04-420</v>
          </cell>
          <cell r="B931" t="str">
            <v>FPRO-260429-0033</v>
          </cell>
          <cell r="C931"/>
          <cell r="D931" t="str">
            <v>PVN-001579</v>
          </cell>
          <cell r="E931" t="str">
            <v>OrthoLite Regular-Nike AIR BLUE/16-4134TPX Flat Sheet 0.11D 25+/-4 Asker C 1.1M 2M 4mm</v>
          </cell>
          <cell r="F931">
            <v>500</v>
          </cell>
          <cell r="G931">
            <v>500</v>
          </cell>
          <cell r="H931">
            <v>0</v>
          </cell>
          <cell r="I931">
            <v>500</v>
          </cell>
          <cell r="J931" t="str">
            <v>NIKE</v>
          </cell>
          <cell r="K931" t="str">
            <v>Forecast</v>
          </cell>
          <cell r="L931" t="str">
            <v>DIE CUT</v>
          </cell>
          <cell r="M931">
            <v>1</v>
          </cell>
        </row>
        <row r="932">
          <cell r="A932" t="str">
            <v>F-2026-04-421</v>
          </cell>
          <cell r="B932" t="str">
            <v>FPRO-260429-0034</v>
          </cell>
          <cell r="C932"/>
          <cell r="D932" t="str">
            <v>PVN-001579</v>
          </cell>
          <cell r="E932" t="str">
            <v>OrthoLite Regular-Nike AIR BLUE/16-4134TPX Flat Sheet 0.11D 25+/-4 Asker C 1.1M 2M 4mm</v>
          </cell>
          <cell r="F932">
            <v>500</v>
          </cell>
          <cell r="G932">
            <v>500</v>
          </cell>
          <cell r="H932">
            <v>0</v>
          </cell>
          <cell r="I932">
            <v>500</v>
          </cell>
          <cell r="J932" t="str">
            <v>NIKE</v>
          </cell>
          <cell r="K932" t="str">
            <v>Forecast</v>
          </cell>
          <cell r="L932" t="str">
            <v>DIE CUT</v>
          </cell>
          <cell r="M932">
            <v>1</v>
          </cell>
        </row>
        <row r="933">
          <cell r="A933" t="str">
            <v>F-2026-04-422</v>
          </cell>
          <cell r="B933" t="str">
            <v>FPRO-260429-0035</v>
          </cell>
          <cell r="C933"/>
          <cell r="D933" t="str">
            <v>PVN-001618</v>
          </cell>
          <cell r="E933" t="str">
            <v>OrthoLite Ultra-Nike GREY/17-1501TPX 0.085D 25+/-4 Asker C 1.1M 2M 4mm</v>
          </cell>
          <cell r="F933">
            <v>500</v>
          </cell>
          <cell r="G933">
            <v>500</v>
          </cell>
          <cell r="H933">
            <v>0</v>
          </cell>
          <cell r="I933">
            <v>500</v>
          </cell>
          <cell r="J933" t="str">
            <v>NIKE</v>
          </cell>
          <cell r="K933" t="str">
            <v>Forecast</v>
          </cell>
          <cell r="L933" t="str">
            <v>DIE CUT</v>
          </cell>
          <cell r="M933">
            <v>1</v>
          </cell>
        </row>
        <row r="934">
          <cell r="A934" t="str">
            <v>F-2026-04-423</v>
          </cell>
          <cell r="B934" t="str">
            <v>FPRO-260429-0036</v>
          </cell>
          <cell r="C934"/>
          <cell r="D934" t="str">
            <v>PVN-001618</v>
          </cell>
          <cell r="E934" t="str">
            <v>OrthoLite Ultra-Nike GREY/17-1501TPX 0.085D 25+/-4 Asker C 1.1M 2M 4mm</v>
          </cell>
          <cell r="F934">
            <v>500</v>
          </cell>
          <cell r="G934">
            <v>500</v>
          </cell>
          <cell r="H934">
            <v>0</v>
          </cell>
          <cell r="I934">
            <v>500</v>
          </cell>
          <cell r="J934" t="str">
            <v>NIKE</v>
          </cell>
          <cell r="K934" t="str">
            <v>Forecast</v>
          </cell>
          <cell r="L934" t="str">
            <v>DIE CUT</v>
          </cell>
          <cell r="M934">
            <v>1</v>
          </cell>
        </row>
        <row r="935">
          <cell r="A935" t="str">
            <v>F-2026-04-424</v>
          </cell>
          <cell r="B935" t="str">
            <v>FPRO-260429-0037</v>
          </cell>
          <cell r="C935"/>
          <cell r="D935" t="str">
            <v>PVN-001618</v>
          </cell>
          <cell r="E935" t="str">
            <v>OrthoLite Ultra-Nike GREY/17-1501TPX 0.085D 25+/-4 Asker C 1.1M 2M 4mm</v>
          </cell>
          <cell r="F935">
            <v>500</v>
          </cell>
          <cell r="G935">
            <v>500</v>
          </cell>
          <cell r="H935">
            <v>0</v>
          </cell>
          <cell r="I935">
            <v>500</v>
          </cell>
          <cell r="J935" t="str">
            <v>NIKE</v>
          </cell>
          <cell r="K935" t="str">
            <v>Forecast</v>
          </cell>
          <cell r="L935" t="str">
            <v>DIE CUT</v>
          </cell>
          <cell r="M935">
            <v>1</v>
          </cell>
        </row>
        <row r="936">
          <cell r="A936" t="str">
            <v>F-2026-04-425</v>
          </cell>
          <cell r="B936" t="str">
            <v>FPRO-260429-0038</v>
          </cell>
          <cell r="C936"/>
          <cell r="D936" t="str">
            <v>PVN-001618</v>
          </cell>
          <cell r="E936" t="str">
            <v>OrthoLite Ultra-Nike GREY/17-1501TPX 0.085D 25+/-4 Asker C 1.1M 2M 4mm</v>
          </cell>
          <cell r="F936">
            <v>500</v>
          </cell>
          <cell r="G936">
            <v>500</v>
          </cell>
          <cell r="H936">
            <v>0</v>
          </cell>
          <cell r="I936">
            <v>500</v>
          </cell>
          <cell r="J936" t="str">
            <v>NIKE</v>
          </cell>
          <cell r="K936" t="str">
            <v>Forecast</v>
          </cell>
          <cell r="L936" t="str">
            <v>DIE CUT</v>
          </cell>
          <cell r="M936">
            <v>1</v>
          </cell>
        </row>
        <row r="937">
          <cell r="A937" t="str">
            <v>F-2026-04-426</v>
          </cell>
          <cell r="B937" t="str">
            <v>FPRO-260429-0039</v>
          </cell>
          <cell r="C937"/>
          <cell r="D937" t="str">
            <v>PVN-001618</v>
          </cell>
          <cell r="E937" t="str">
            <v>OrthoLite Ultra-Nike GREY/17-1501TPX 0.085D 25+/-4 Asker C 1.1M 2M 4mm</v>
          </cell>
          <cell r="F937">
            <v>500</v>
          </cell>
          <cell r="G937">
            <v>500</v>
          </cell>
          <cell r="H937">
            <v>0</v>
          </cell>
          <cell r="I937">
            <v>500</v>
          </cell>
          <cell r="J937" t="str">
            <v>NIKE</v>
          </cell>
          <cell r="K937" t="str">
            <v>Forecast</v>
          </cell>
          <cell r="L937" t="str">
            <v>DIE CUT</v>
          </cell>
          <cell r="M937">
            <v>1</v>
          </cell>
        </row>
        <row r="938">
          <cell r="A938" t="str">
            <v>F-2026-04-427</v>
          </cell>
          <cell r="B938" t="str">
            <v>FPRO-260429-0040</v>
          </cell>
          <cell r="C938"/>
          <cell r="D938" t="str">
            <v>PVN-001618</v>
          </cell>
          <cell r="E938" t="str">
            <v>OrthoLite Ultra-Nike GREY/17-1501TPX 0.085D 25+/-4 Asker C 1.1M 2M 4mm</v>
          </cell>
          <cell r="F938">
            <v>500</v>
          </cell>
          <cell r="G938">
            <v>500</v>
          </cell>
          <cell r="H938">
            <v>0</v>
          </cell>
          <cell r="I938">
            <v>500</v>
          </cell>
          <cell r="J938" t="str">
            <v>NIKE</v>
          </cell>
          <cell r="K938" t="str">
            <v>Forecast</v>
          </cell>
          <cell r="L938" t="str">
            <v>DIE CUT</v>
          </cell>
          <cell r="M938">
            <v>1</v>
          </cell>
        </row>
        <row r="939">
          <cell r="A939" t="str">
            <v>F-2026-04-428</v>
          </cell>
          <cell r="B939" t="str">
            <v>FPRO-260429-0041</v>
          </cell>
          <cell r="C939"/>
          <cell r="D939" t="str">
            <v>PVN-002413</v>
          </cell>
          <cell r="E939" t="str">
            <v>OrthoLite Regular-Nike AIR BLUE/16-4134TPX 0.11D 25+/-4 Asker C 1.1M 2M 4.2mm</v>
          </cell>
          <cell r="F939">
            <v>2000</v>
          </cell>
          <cell r="G939">
            <v>2000</v>
          </cell>
          <cell r="H939">
            <v>0</v>
          </cell>
          <cell r="I939">
            <v>2000</v>
          </cell>
          <cell r="J939" t="str">
            <v>NIKE</v>
          </cell>
          <cell r="K939" t="str">
            <v>Forecast</v>
          </cell>
          <cell r="L939" t="str">
            <v>DIE CUT</v>
          </cell>
          <cell r="M939">
            <v>1</v>
          </cell>
        </row>
        <row r="940">
          <cell r="A940" t="str">
            <v>F-2026-04-429</v>
          </cell>
          <cell r="B940" t="str">
            <v>FPRO-260429-0042</v>
          </cell>
          <cell r="C940"/>
          <cell r="D940" t="str">
            <v>PVN-002413</v>
          </cell>
          <cell r="E940" t="str">
            <v>OrthoLite Regular-Nike AIR BLUE/16-4134TPX 0.11D 25+/-4 Asker C 1.1M 2M 4.2mm</v>
          </cell>
          <cell r="F940">
            <v>2000</v>
          </cell>
          <cell r="G940">
            <v>2000</v>
          </cell>
          <cell r="H940">
            <v>0</v>
          </cell>
          <cell r="I940">
            <v>2000</v>
          </cell>
          <cell r="J940" t="str">
            <v>NIKE</v>
          </cell>
          <cell r="K940" t="str">
            <v>Forecast</v>
          </cell>
          <cell r="L940" t="str">
            <v>DIE CUT</v>
          </cell>
          <cell r="M940">
            <v>1</v>
          </cell>
        </row>
        <row r="941">
          <cell r="A941" t="str">
            <v>F-2026-04-430</v>
          </cell>
          <cell r="B941" t="str">
            <v>FPRO-260429-0043</v>
          </cell>
          <cell r="C941"/>
          <cell r="D941" t="str">
            <v>PVN-002413</v>
          </cell>
          <cell r="E941" t="str">
            <v>OrthoLite Regular-Nike AIR BLUE/16-4134TPX 0.11D 25+/-4 Asker C 1.1M 2M 4.2mm</v>
          </cell>
          <cell r="F941">
            <v>2000</v>
          </cell>
          <cell r="G941">
            <v>2000</v>
          </cell>
          <cell r="H941">
            <v>0</v>
          </cell>
          <cell r="I941">
            <v>2000</v>
          </cell>
          <cell r="J941" t="str">
            <v>NIKE</v>
          </cell>
          <cell r="K941" t="str">
            <v>Forecast</v>
          </cell>
          <cell r="L941" t="str">
            <v>DIE CUT</v>
          </cell>
          <cell r="M941">
            <v>1</v>
          </cell>
        </row>
        <row r="942">
          <cell r="A942" t="str">
            <v>F-2026-04-431</v>
          </cell>
          <cell r="B942" t="str">
            <v>FPRO-260429-0044</v>
          </cell>
          <cell r="C942"/>
          <cell r="D942" t="str">
            <v>PVN-002413</v>
          </cell>
          <cell r="E942" t="str">
            <v>OrthoLite Regular-Nike AIR BLUE/16-4134TPX 0.11D 25+/-4 Asker C 1.1M 2M 4.2mm</v>
          </cell>
          <cell r="F942">
            <v>2000</v>
          </cell>
          <cell r="G942">
            <v>2000</v>
          </cell>
          <cell r="H942">
            <v>0</v>
          </cell>
          <cell r="I942">
            <v>2000</v>
          </cell>
          <cell r="J942" t="str">
            <v>NIKE</v>
          </cell>
          <cell r="K942" t="str">
            <v>Forecast</v>
          </cell>
          <cell r="L942" t="str">
            <v>DIE CUT</v>
          </cell>
          <cell r="M942">
            <v>1</v>
          </cell>
        </row>
        <row r="943">
          <cell r="A943" t="str">
            <v>F-2026-04-432</v>
          </cell>
          <cell r="B943" t="str">
            <v>FPRO-260429-0045</v>
          </cell>
          <cell r="C943"/>
          <cell r="D943" t="str">
            <v>PVN-002413</v>
          </cell>
          <cell r="E943" t="str">
            <v>OrthoLite Regular-Nike AIR BLUE/16-4134TPX 0.11D 25+/-4 Asker C 1.1M 2M 4.2mm</v>
          </cell>
          <cell r="F943">
            <v>2000</v>
          </cell>
          <cell r="G943">
            <v>2000</v>
          </cell>
          <cell r="H943">
            <v>0</v>
          </cell>
          <cell r="I943">
            <v>2000</v>
          </cell>
          <cell r="J943" t="str">
            <v>NIKE</v>
          </cell>
          <cell r="K943" t="str">
            <v>Forecast</v>
          </cell>
          <cell r="L943" t="str">
            <v>DIE CUT</v>
          </cell>
          <cell r="M943">
            <v>1</v>
          </cell>
        </row>
        <row r="944">
          <cell r="A944" t="str">
            <v>F-2026-04-433</v>
          </cell>
          <cell r="B944" t="str">
            <v>FPRO-260429-0046</v>
          </cell>
          <cell r="C944"/>
          <cell r="D944" t="str">
            <v>PVN-002413</v>
          </cell>
          <cell r="E944" t="str">
            <v>OrthoLite Regular-Nike AIR BLUE/16-4134TPX 0.11D 25+/-4 Asker C 1.1M 2M 4.2mm</v>
          </cell>
          <cell r="F944">
            <v>2000</v>
          </cell>
          <cell r="G944">
            <v>2000</v>
          </cell>
          <cell r="H944">
            <v>0</v>
          </cell>
          <cell r="I944">
            <v>2000</v>
          </cell>
          <cell r="J944" t="str">
            <v>NIKE</v>
          </cell>
          <cell r="K944" t="str">
            <v>Forecast</v>
          </cell>
          <cell r="L944" t="str">
            <v>DIE CUT</v>
          </cell>
          <cell r="M944">
            <v>1</v>
          </cell>
        </row>
        <row r="945">
          <cell r="A945" t="str">
            <v>F-2026-04-434</v>
          </cell>
          <cell r="B945" t="str">
            <v>FPRO-260429-0047</v>
          </cell>
          <cell r="C945"/>
          <cell r="D945" t="str">
            <v>PVN-002413</v>
          </cell>
          <cell r="E945" t="str">
            <v>OrthoLite Regular-Nike AIR BLUE/16-4134TPX 0.11D 25+/-4 Asker C 1.1M 2M 4.2mm</v>
          </cell>
          <cell r="F945">
            <v>1100</v>
          </cell>
          <cell r="G945">
            <v>1100</v>
          </cell>
          <cell r="H945">
            <v>0</v>
          </cell>
          <cell r="I945">
            <v>1100</v>
          </cell>
          <cell r="J945" t="str">
            <v>NIKE</v>
          </cell>
          <cell r="K945" t="str">
            <v>Forecast</v>
          </cell>
          <cell r="L945" t="str">
            <v>DIE CUT</v>
          </cell>
          <cell r="M945">
            <v>1</v>
          </cell>
        </row>
        <row r="946">
          <cell r="A946" t="str">
            <v>F-2026-04-435</v>
          </cell>
          <cell r="B946" t="str">
            <v>FPRO-260429-0048</v>
          </cell>
          <cell r="C946"/>
          <cell r="D946" t="str">
            <v>PVN-002875</v>
          </cell>
          <cell r="E946" t="str">
            <v>OrthoLite Ultra-Hybrid-Nike SEEDPEARL/12-0703TPX Hybrid 0.085D 25+/-4 Asker C 1.1M 2M 3mm</v>
          </cell>
          <cell r="F946">
            <v>1000</v>
          </cell>
          <cell r="G946">
            <v>1000</v>
          </cell>
          <cell r="H946">
            <v>0</v>
          </cell>
          <cell r="I946">
            <v>1000</v>
          </cell>
          <cell r="J946" t="str">
            <v>NIKE</v>
          </cell>
          <cell r="K946" t="str">
            <v>Forecast</v>
          </cell>
          <cell r="L946" t="str">
            <v>DIE CUT</v>
          </cell>
          <cell r="M946">
            <v>1</v>
          </cell>
        </row>
        <row r="947">
          <cell r="A947" t="str">
            <v>F-2026-04-436</v>
          </cell>
          <cell r="B947" t="str">
            <v>FPRO-260429-0049</v>
          </cell>
          <cell r="C947"/>
          <cell r="D947" t="str">
            <v>PVN-002875</v>
          </cell>
          <cell r="E947" t="str">
            <v>OrthoLite Ultra-Hybrid-Nike SEEDPEARL/12-0703TPX Hybrid 0.085D 25+/-4 Asker C 1.1M 2M 3mm</v>
          </cell>
          <cell r="F947">
            <v>1000</v>
          </cell>
          <cell r="G947">
            <v>1000</v>
          </cell>
          <cell r="H947">
            <v>0</v>
          </cell>
          <cell r="I947">
            <v>1000</v>
          </cell>
          <cell r="J947" t="str">
            <v>NIKE</v>
          </cell>
          <cell r="K947" t="str">
            <v>Forecast</v>
          </cell>
          <cell r="L947" t="str">
            <v>DIE CUT</v>
          </cell>
          <cell r="M947">
            <v>1</v>
          </cell>
        </row>
        <row r="948">
          <cell r="A948" t="str">
            <v>F-2026-04-437</v>
          </cell>
          <cell r="B948" t="str">
            <v>FPRO-260429-0050</v>
          </cell>
          <cell r="C948"/>
          <cell r="D948" t="str">
            <v>PVN-002875</v>
          </cell>
          <cell r="E948" t="str">
            <v>OrthoLite Ultra-Hybrid-Nike SEEDPEARL/12-0703TPX Hybrid 0.085D 25+/-4 Asker C 1.1M 2M 3mm</v>
          </cell>
          <cell r="F948">
            <v>1000</v>
          </cell>
          <cell r="G948">
            <v>1000</v>
          </cell>
          <cell r="H948">
            <v>0</v>
          </cell>
          <cell r="I948">
            <v>1000</v>
          </cell>
          <cell r="J948" t="str">
            <v>NIKE</v>
          </cell>
          <cell r="K948" t="str">
            <v>Forecast</v>
          </cell>
          <cell r="L948" t="str">
            <v>DIE CUT</v>
          </cell>
          <cell r="M948">
            <v>1</v>
          </cell>
        </row>
        <row r="949">
          <cell r="A949" t="str">
            <v>F-2026-04-438</v>
          </cell>
          <cell r="B949" t="str">
            <v>FPRO-260429-0051</v>
          </cell>
          <cell r="C949"/>
          <cell r="D949" t="str">
            <v>PVN-002875</v>
          </cell>
          <cell r="E949" t="str">
            <v>OrthoLite Ultra-Hybrid-Nike SEEDPEARL/12-0703TPX Hybrid 0.085D 25+/-4 Asker C 1.1M 2M 3mm</v>
          </cell>
          <cell r="F949">
            <v>800</v>
          </cell>
          <cell r="G949">
            <v>800</v>
          </cell>
          <cell r="H949">
            <v>0</v>
          </cell>
          <cell r="I949">
            <v>800</v>
          </cell>
          <cell r="J949" t="str">
            <v>NIKE</v>
          </cell>
          <cell r="K949" t="str">
            <v>Forecast</v>
          </cell>
          <cell r="L949" t="str">
            <v>DIE CUT</v>
          </cell>
          <cell r="M949">
            <v>1</v>
          </cell>
        </row>
        <row r="950">
          <cell r="A950" t="str">
            <v>F-2026-04-439</v>
          </cell>
          <cell r="B950" t="str">
            <v>FPRO-260429-0052</v>
          </cell>
          <cell r="C950"/>
          <cell r="D950" t="str">
            <v>PVN-002966</v>
          </cell>
          <cell r="E950" t="str">
            <v>OrthoLite Ultra-Hybrid-Nike SEEDPEARL/12-0703TPX Hybrid 0.085D 25+/-4 Asker C 1.1M 2M 4mm</v>
          </cell>
          <cell r="F950">
            <v>2300</v>
          </cell>
          <cell r="G950">
            <v>2300</v>
          </cell>
          <cell r="H950">
            <v>0</v>
          </cell>
          <cell r="I950">
            <v>2300</v>
          </cell>
          <cell r="J950" t="str">
            <v>NIKE</v>
          </cell>
          <cell r="K950" t="str">
            <v>Forecast</v>
          </cell>
          <cell r="L950" t="str">
            <v>DIE CUT</v>
          </cell>
          <cell r="M950">
            <v>1</v>
          </cell>
        </row>
        <row r="951">
          <cell r="A951" t="str">
            <v>F-2026-04-440</v>
          </cell>
          <cell r="B951" t="str">
            <v>FPRO-260429-0053</v>
          </cell>
          <cell r="C951"/>
          <cell r="D951" t="str">
            <v>PVN-003243</v>
          </cell>
          <cell r="E951" t="str">
            <v>OrthoLite X-35-Hybrid-Nike AMAZON/18-6024TPX Hybrid 0.145D 25+/-4 Asker C 1.1M 2M 5.2mm</v>
          </cell>
          <cell r="F951">
            <v>1000</v>
          </cell>
          <cell r="G951">
            <v>1000</v>
          </cell>
          <cell r="H951">
            <v>0</v>
          </cell>
          <cell r="I951">
            <v>1000</v>
          </cell>
          <cell r="J951" t="str">
            <v>NIKE</v>
          </cell>
          <cell r="K951" t="str">
            <v>Forecast</v>
          </cell>
          <cell r="L951" t="str">
            <v>MOLDED</v>
          </cell>
          <cell r="M951">
            <v>1</v>
          </cell>
        </row>
        <row r="952">
          <cell r="A952" t="str">
            <v>F-2026-04-441</v>
          </cell>
          <cell r="B952" t="str">
            <v>FPRO-260429-0054</v>
          </cell>
          <cell r="C952"/>
          <cell r="D952" t="str">
            <v>PVN-003243</v>
          </cell>
          <cell r="E952" t="str">
            <v>OrthoLite X-35-Hybrid-Nike AMAZON/18-6024TPX Hybrid 0.145D 25+/-4 Asker C 1.1M 2M 5.2mm</v>
          </cell>
          <cell r="F952">
            <v>1000</v>
          </cell>
          <cell r="G952">
            <v>1000</v>
          </cell>
          <cell r="H952">
            <v>0</v>
          </cell>
          <cell r="I952">
            <v>1000</v>
          </cell>
          <cell r="J952" t="str">
            <v>NIKE</v>
          </cell>
          <cell r="K952" t="str">
            <v>Forecast</v>
          </cell>
          <cell r="L952" t="str">
            <v>MOLDED</v>
          </cell>
          <cell r="M952">
            <v>1</v>
          </cell>
        </row>
        <row r="953">
          <cell r="A953" t="str">
            <v>F-2026-04-442</v>
          </cell>
          <cell r="B953" t="str">
            <v>FPRO-260429-0055</v>
          </cell>
          <cell r="C953"/>
          <cell r="D953" t="str">
            <v>PVN-003243</v>
          </cell>
          <cell r="E953" t="str">
            <v>OrthoLite X-35-Hybrid-Nike AMAZON/18-6024TPX Hybrid 0.145D 25+/-4 Asker C 1.1M 2M 5.2mm</v>
          </cell>
          <cell r="F953">
            <v>400</v>
          </cell>
          <cell r="G953">
            <v>400</v>
          </cell>
          <cell r="H953">
            <v>0</v>
          </cell>
          <cell r="I953">
            <v>400</v>
          </cell>
          <cell r="J953" t="str">
            <v>NIKE</v>
          </cell>
          <cell r="K953" t="str">
            <v>Forecast</v>
          </cell>
          <cell r="L953" t="str">
            <v>MOLDED</v>
          </cell>
          <cell r="M953" t="str">
            <v>1-SLT</v>
          </cell>
        </row>
        <row r="954">
          <cell r="A954" t="str">
            <v>F-2026-04-443</v>
          </cell>
          <cell r="B954" t="str">
            <v>FPRO-260429-0056</v>
          </cell>
          <cell r="C954"/>
          <cell r="D954" t="str">
            <v>PVN-003573</v>
          </cell>
          <cell r="E954" t="str">
            <v>OrthoLite X-35-Hybrid-Nike SEEDPEARL/12-0703TPX Hybrid 0.145D 25+/-4 Asker C 1.1M 2M 4.2mm</v>
          </cell>
          <cell r="F954">
            <v>2000</v>
          </cell>
          <cell r="G954">
            <v>2000</v>
          </cell>
          <cell r="H954">
            <v>0</v>
          </cell>
          <cell r="I954">
            <v>2000</v>
          </cell>
          <cell r="J954" t="str">
            <v>NIKE</v>
          </cell>
          <cell r="K954" t="str">
            <v>Forecast</v>
          </cell>
          <cell r="L954" t="str">
            <v>MOLDED</v>
          </cell>
          <cell r="M954">
            <v>1</v>
          </cell>
        </row>
        <row r="955">
          <cell r="A955" t="str">
            <v>F-2026-04-444</v>
          </cell>
          <cell r="B955" t="str">
            <v>FPRO-260429-0057</v>
          </cell>
          <cell r="C955"/>
          <cell r="D955" t="str">
            <v>PVN-003573</v>
          </cell>
          <cell r="E955" t="str">
            <v>OrthoLite X-35-Hybrid-Nike SEEDPEARL/12-0703TPX Hybrid 0.145D 25+/-4 Asker C 1.1M 2M 4.2mm</v>
          </cell>
          <cell r="F955">
            <v>2000</v>
          </cell>
          <cell r="G955">
            <v>2000</v>
          </cell>
          <cell r="H955">
            <v>0</v>
          </cell>
          <cell r="I955">
            <v>2000</v>
          </cell>
          <cell r="J955" t="str">
            <v>NIKE</v>
          </cell>
          <cell r="K955" t="str">
            <v>Forecast</v>
          </cell>
          <cell r="L955" t="str">
            <v>MOLDED</v>
          </cell>
          <cell r="M955">
            <v>1</v>
          </cell>
        </row>
        <row r="956">
          <cell r="A956" t="str">
            <v>F-2026-04-445</v>
          </cell>
          <cell r="B956" t="str">
            <v>FPRO-260429-0058</v>
          </cell>
          <cell r="C956"/>
          <cell r="D956" t="str">
            <v>PVN-003573</v>
          </cell>
          <cell r="E956" t="str">
            <v>OrthoLite X-35-Hybrid-Nike SEEDPEARL/12-0703TPX Hybrid 0.145D 25+/-4 Asker C 1.1M 2M 4.2mm</v>
          </cell>
          <cell r="F956">
            <v>2000</v>
          </cell>
          <cell r="G956">
            <v>2000</v>
          </cell>
          <cell r="H956">
            <v>0</v>
          </cell>
          <cell r="I956">
            <v>2000</v>
          </cell>
          <cell r="J956" t="str">
            <v>NIKE</v>
          </cell>
          <cell r="K956" t="str">
            <v>Forecast</v>
          </cell>
          <cell r="L956" t="str">
            <v>MOLDED</v>
          </cell>
          <cell r="M956">
            <v>1</v>
          </cell>
        </row>
        <row r="957">
          <cell r="A957" t="str">
            <v>F-2026-04-446</v>
          </cell>
          <cell r="B957" t="str">
            <v>FPRO-260429-0059</v>
          </cell>
          <cell r="C957"/>
          <cell r="D957" t="str">
            <v>PVN-003573</v>
          </cell>
          <cell r="E957" t="str">
            <v>OrthoLite X-35-Hybrid-Nike SEEDPEARL/12-0703TPX Hybrid 0.145D 25+/-4 Asker C 1.1M 2M 4.2mm</v>
          </cell>
          <cell r="F957">
            <v>2000</v>
          </cell>
          <cell r="G957">
            <v>2000</v>
          </cell>
          <cell r="H957">
            <v>0</v>
          </cell>
          <cell r="I957">
            <v>2000</v>
          </cell>
          <cell r="J957" t="str">
            <v>NIKE</v>
          </cell>
          <cell r="K957" t="str">
            <v>Forecast</v>
          </cell>
          <cell r="L957" t="str">
            <v>MOLDED</v>
          </cell>
          <cell r="M957">
            <v>1</v>
          </cell>
        </row>
        <row r="958">
          <cell r="A958" t="str">
            <v>F-2026-04-447</v>
          </cell>
          <cell r="B958" t="str">
            <v>FPRO-260429-0060</v>
          </cell>
          <cell r="C958"/>
          <cell r="D958" t="str">
            <v>PVN-003573</v>
          </cell>
          <cell r="E958" t="str">
            <v>OrthoLite X-35-Hybrid-Nike SEEDPEARL/12-0703TPX Hybrid 0.145D 25+/-4 Asker C 1.1M 2M 4.2mm</v>
          </cell>
          <cell r="F958">
            <v>2000</v>
          </cell>
          <cell r="G958">
            <v>2000</v>
          </cell>
          <cell r="H958">
            <v>0</v>
          </cell>
          <cell r="I958">
            <v>2000</v>
          </cell>
          <cell r="J958" t="str">
            <v>NIKE</v>
          </cell>
          <cell r="K958" t="str">
            <v>Forecast</v>
          </cell>
          <cell r="L958" t="str">
            <v>MOLDED</v>
          </cell>
          <cell r="M958">
            <v>1</v>
          </cell>
        </row>
        <row r="959">
          <cell r="A959" t="str">
            <v>F-2026-04-448</v>
          </cell>
          <cell r="B959" t="str">
            <v>FPRO-260429-0061</v>
          </cell>
          <cell r="C959"/>
          <cell r="D959" t="str">
            <v>PVN-003573</v>
          </cell>
          <cell r="E959" t="str">
            <v>OrthoLite X-35-Hybrid-Nike SEEDPEARL/12-0703TPX Hybrid 0.145D 25+/-4 Asker C 1.1M 2M 4.2mm</v>
          </cell>
          <cell r="F959">
            <v>1000</v>
          </cell>
          <cell r="G959">
            <v>1000</v>
          </cell>
          <cell r="H959">
            <v>0</v>
          </cell>
          <cell r="I959">
            <v>1000</v>
          </cell>
          <cell r="J959" t="str">
            <v>NIKE</v>
          </cell>
          <cell r="K959" t="str">
            <v>Forecast</v>
          </cell>
          <cell r="L959" t="str">
            <v>MOLDED</v>
          </cell>
          <cell r="M959">
            <v>1</v>
          </cell>
        </row>
        <row r="960">
          <cell r="A960" t="str">
            <v>F-2026-04-449</v>
          </cell>
          <cell r="B960" t="str">
            <v>FPRO-260429-0062</v>
          </cell>
          <cell r="C960"/>
          <cell r="D960" t="str">
            <v>PVN-001556</v>
          </cell>
          <cell r="E960" t="str">
            <v>OrthoLite Ultra-Nike YELLOW/13-0858TPX 0.085D 25+/-4 Asker C 1.1M 2M 4mm</v>
          </cell>
          <cell r="F960">
            <v>150</v>
          </cell>
          <cell r="G960">
            <v>150</v>
          </cell>
          <cell r="H960">
            <v>0</v>
          </cell>
          <cell r="I960">
            <v>150</v>
          </cell>
          <cell r="J960" t="str">
            <v>NIKE</v>
          </cell>
          <cell r="K960" t="str">
            <v>Forecast</v>
          </cell>
          <cell r="L960" t="str">
            <v>DIE CUT</v>
          </cell>
          <cell r="M960">
            <v>1</v>
          </cell>
        </row>
        <row r="961">
          <cell r="A961" t="str">
            <v>OIN-2026.04.27-01</v>
          </cell>
          <cell r="B961" t="str">
            <v>RPRO-260507-0002</v>
          </cell>
          <cell r="C961"/>
          <cell r="D961" t="str">
            <v>PVN-004232</v>
          </cell>
          <cell r="E961" t="str">
            <v>[116-12300] Eco Lite 15+/-4 Asker C 0.11D Lime Green 14-0452 Tpx 1.10M X 2.00M 47mm</v>
          </cell>
          <cell r="F961">
            <v>32</v>
          </cell>
          <cell r="G961">
            <v>32</v>
          </cell>
          <cell r="H961">
            <v>0</v>
          </cell>
          <cell r="I961">
            <v>32</v>
          </cell>
          <cell r="J961" t="str">
            <v>JOOP</v>
          </cell>
          <cell r="K961" t="str">
            <v>PO-7183-SO-260429-0011</v>
          </cell>
          <cell r="L961" t="str">
            <v>FLAT SHEET</v>
          </cell>
          <cell r="M961">
            <v>2</v>
          </cell>
        </row>
        <row r="962">
          <cell r="A962" t="str">
            <v>OIN-2026.04.28-01</v>
          </cell>
          <cell r="B962" t="str">
            <v>RPRO-260507-0005</v>
          </cell>
          <cell r="C962"/>
          <cell r="D962" t="str">
            <v>PVN-003782</v>
          </cell>
          <cell r="E962" t="str">
            <v>[116-446] Ultra 25+/-4 Asker C 0.085D Burnt Sienna 17-1544 Tpx 1.10M X 2.00M 47mm</v>
          </cell>
          <cell r="F962">
            <v>3</v>
          </cell>
          <cell r="G962">
            <v>3</v>
          </cell>
          <cell r="H962">
            <v>0</v>
          </cell>
          <cell r="I962">
            <v>3</v>
          </cell>
          <cell r="J962" t="str">
            <v>CLARKS</v>
          </cell>
          <cell r="K962" t="str">
            <v>PO-7201-SO-260429-0012</v>
          </cell>
          <cell r="L962" t="str">
            <v>FLAT SHEET</v>
          </cell>
          <cell r="M962">
            <v>2</v>
          </cell>
        </row>
        <row r="963">
          <cell r="A963" t="str">
            <v>OIN-2026.05.01-01</v>
          </cell>
          <cell r="B963" t="str">
            <v>RPRO-260507-0008</v>
          </cell>
          <cell r="C963"/>
          <cell r="D963" t="str">
            <v>PVN-004275</v>
          </cell>
          <cell r="E963" t="str">
            <v>[116-13102] X 40 25+/-4 Asker C 0.16D Castlerock 18-0201 Tpx 1.10M X 2.00M 47mm</v>
          </cell>
          <cell r="F963">
            <v>11</v>
          </cell>
          <cell r="G963">
            <v>11</v>
          </cell>
          <cell r="H963">
            <v>0</v>
          </cell>
          <cell r="I963">
            <v>11</v>
          </cell>
          <cell r="J963" t="str">
            <v>CLARKS</v>
          </cell>
          <cell r="K963" t="str">
            <v>PO-7224-SO-260504-0001</v>
          </cell>
          <cell r="L963" t="str">
            <v>FLAT SHEET</v>
          </cell>
          <cell r="M963">
            <v>2</v>
          </cell>
        </row>
        <row r="964">
          <cell r="A964" t="str">
            <v>F-2026-05-01</v>
          </cell>
          <cell r="B964" t="str">
            <v>RPRO-260504-0913</v>
          </cell>
          <cell r="C964"/>
          <cell r="D964" t="str">
            <v>PVN-004195</v>
          </cell>
          <cell r="E964" t="str">
            <v>OrthoLite IMPERIAL SEEDPEARL/12-0703TPX Flat Sheet 0.22D 25+/-4 Asker C 1.1M 1.47M 4mm</v>
          </cell>
          <cell r="F964">
            <v>44</v>
          </cell>
          <cell r="G964">
            <v>44</v>
          </cell>
          <cell r="H964">
            <v>0</v>
          </cell>
          <cell r="I964">
            <v>44</v>
          </cell>
          <cell r="J964"/>
          <cell r="K964" t="str">
            <v>MPS</v>
          </cell>
          <cell r="L964" t="str">
            <v>SPLITTING</v>
          </cell>
          <cell r="M964">
            <v>2</v>
          </cell>
        </row>
        <row r="965">
          <cell r="A965" t="str">
            <v>F-2026-05-02</v>
          </cell>
          <cell r="B965" t="str">
            <v>RPRO-260504-0914</v>
          </cell>
          <cell r="C965"/>
          <cell r="D965" t="str">
            <v>PVN-000981</v>
          </cell>
          <cell r="E965" t="str">
            <v>OrthoLite Ultra YELLOW/13-0858TPX Flat Sheet 0.085D 25+/-4 Asker C 1.1M 2M 3mm</v>
          </cell>
          <cell r="F965">
            <v>828</v>
          </cell>
          <cell r="G965">
            <v>828</v>
          </cell>
          <cell r="H965">
            <v>0</v>
          </cell>
          <cell r="I965">
            <v>828</v>
          </cell>
          <cell r="J965"/>
          <cell r="K965" t="str">
            <v>MPS</v>
          </cell>
          <cell r="L965" t="str">
            <v>SPLITTING</v>
          </cell>
          <cell r="M965">
            <v>2</v>
          </cell>
        </row>
        <row r="966">
          <cell r="A966" t="str">
            <v>F-2026-05-03</v>
          </cell>
          <cell r="B966" t="str">
            <v>RPRO-260504-0915</v>
          </cell>
          <cell r="C966"/>
          <cell r="D966" t="str">
            <v>PVN-001277</v>
          </cell>
          <cell r="E966" t="str">
            <v>OrthoLite Ultra GREEN/16-5932TPX Flat Sheet 0.085D 25+/-4 Asker C 1.1M 2M 4mm</v>
          </cell>
          <cell r="F966">
            <v>105</v>
          </cell>
          <cell r="G966">
            <v>105</v>
          </cell>
          <cell r="H966">
            <v>0</v>
          </cell>
          <cell r="I966">
            <v>105</v>
          </cell>
          <cell r="J966"/>
          <cell r="K966" t="str">
            <v>MPS</v>
          </cell>
          <cell r="L966" t="str">
            <v>SPLITTING</v>
          </cell>
          <cell r="M966">
            <v>2</v>
          </cell>
        </row>
        <row r="967">
          <cell r="A967" t="str">
            <v>F-2026-05-04</v>
          </cell>
          <cell r="B967" t="str">
            <v>RPRO-260504-0916</v>
          </cell>
          <cell r="C967"/>
          <cell r="D967" t="str">
            <v>PVN-001319</v>
          </cell>
          <cell r="E967" t="str">
            <v>OrthoLite Ultra GREEN/16-5932TPX 0.085D 25+/-4 Asker C 1.1M 2M 5mm</v>
          </cell>
          <cell r="F967">
            <v>196</v>
          </cell>
          <cell r="G967">
            <v>196</v>
          </cell>
          <cell r="H967">
            <v>196</v>
          </cell>
          <cell r="I967">
            <v>0</v>
          </cell>
          <cell r="J967"/>
          <cell r="K967" t="str">
            <v>MPS</v>
          </cell>
          <cell r="L967" t="str">
            <v>SPLITTING</v>
          </cell>
          <cell r="M967">
            <v>2</v>
          </cell>
        </row>
        <row r="968">
          <cell r="A968" t="str">
            <v>F-2026-05-05</v>
          </cell>
          <cell r="B968" t="str">
            <v>RPRO-260504-0917</v>
          </cell>
          <cell r="C968"/>
          <cell r="D968" t="str">
            <v>PVN-001814</v>
          </cell>
          <cell r="E968" t="str">
            <v>OrthoLite Regular GREEN/16-5932TPX Flat Sheet 0.13D 35+/-4 Asker C 1.1M 2M 3.5mm</v>
          </cell>
          <cell r="F968">
            <v>160</v>
          </cell>
          <cell r="G968">
            <v>160</v>
          </cell>
          <cell r="H968">
            <v>0</v>
          </cell>
          <cell r="I968">
            <v>160</v>
          </cell>
          <cell r="J968"/>
          <cell r="K968" t="str">
            <v>MPS</v>
          </cell>
          <cell r="L968" t="str">
            <v>SPLITTING</v>
          </cell>
          <cell r="M968">
            <v>2</v>
          </cell>
        </row>
        <row r="969">
          <cell r="A969" t="str">
            <v>F-2026-05-06</v>
          </cell>
          <cell r="B969" t="str">
            <v>RPRO-260504-0918</v>
          </cell>
          <cell r="C969"/>
          <cell r="D969" t="str">
            <v>PVN-003300</v>
          </cell>
          <cell r="E969" t="str">
            <v>OrthoLite Ultra-Hybrid SEEDPEARL/12-0703TPX Hybrid Flat Sheet 0.085D 25+/-4 Asker C 1.1M 2M 2mm</v>
          </cell>
          <cell r="F969">
            <v>560</v>
          </cell>
          <cell r="G969">
            <v>560</v>
          </cell>
          <cell r="H969">
            <v>560</v>
          </cell>
          <cell r="I969">
            <v>0</v>
          </cell>
          <cell r="J969"/>
          <cell r="K969" t="str">
            <v>MPS</v>
          </cell>
          <cell r="L969" t="str">
            <v>SPLITTING</v>
          </cell>
          <cell r="M969">
            <v>2</v>
          </cell>
        </row>
        <row r="970">
          <cell r="A970" t="str">
            <v>F-2026-05-07</v>
          </cell>
          <cell r="B970" t="str">
            <v>RPRO-260504-0919</v>
          </cell>
          <cell r="C970"/>
          <cell r="D970" t="str">
            <v>PVN-003418</v>
          </cell>
          <cell r="E970" t="str">
            <v>OrthoLite Ultra SEEDPEARL/12-0703TPX Flat Sheet 0.085D 78-90 Asker F 1.1M 2M 5mm</v>
          </cell>
          <cell r="F970">
            <v>364</v>
          </cell>
          <cell r="G970">
            <v>364</v>
          </cell>
          <cell r="H970">
            <v>364</v>
          </cell>
          <cell r="I970">
            <v>0</v>
          </cell>
          <cell r="J970"/>
          <cell r="K970" t="str">
            <v>MPS</v>
          </cell>
          <cell r="L970" t="str">
            <v>SPLITTING</v>
          </cell>
          <cell r="M970">
            <v>2</v>
          </cell>
        </row>
        <row r="971">
          <cell r="A971" t="str">
            <v>F-2026-05-08</v>
          </cell>
          <cell r="B971" t="str">
            <v>RPRO-260504-0920</v>
          </cell>
          <cell r="C971"/>
          <cell r="D971" t="str">
            <v>PVN-003425</v>
          </cell>
          <cell r="E971" t="str">
            <v>OrthoLite Ultra SEEDPEARL/12-0703TPX Flat Sheet 0.085D 78-90 Asker F 1.1M 2M 4mm</v>
          </cell>
          <cell r="F971">
            <v>595</v>
          </cell>
          <cell r="G971">
            <v>595</v>
          </cell>
          <cell r="H971">
            <v>569</v>
          </cell>
          <cell r="I971">
            <v>26</v>
          </cell>
          <cell r="J971"/>
          <cell r="K971" t="str">
            <v>MPS</v>
          </cell>
          <cell r="L971" t="str">
            <v>SPLITTING</v>
          </cell>
          <cell r="M971">
            <v>2</v>
          </cell>
        </row>
        <row r="972">
          <cell r="A972" t="str">
            <v>F-2026-05-09</v>
          </cell>
          <cell r="B972" t="str">
            <v>RPRO-260504-0921</v>
          </cell>
          <cell r="C972"/>
          <cell r="D972" t="str">
            <v>PVN-004210</v>
          </cell>
          <cell r="E972" t="str">
            <v>OrthoLite IMPERIAL SEEDPEARL/12-0703TPX Flat Sheet 0.22D 25+/-4 Asker C 1.1M 1.47M 5mm</v>
          </cell>
          <cell r="F972">
            <v>28</v>
          </cell>
          <cell r="G972">
            <v>28</v>
          </cell>
          <cell r="H972">
            <v>0</v>
          </cell>
          <cell r="I972">
            <v>28</v>
          </cell>
          <cell r="J972"/>
          <cell r="K972" t="str">
            <v>MPS</v>
          </cell>
          <cell r="L972" t="str">
            <v>SPLITTING</v>
          </cell>
          <cell r="M972">
            <v>2</v>
          </cell>
        </row>
        <row r="973">
          <cell r="A973" t="str">
            <v>F-2026-05-10</v>
          </cell>
          <cell r="B973" t="str">
            <v>RPRO-260504-0922</v>
          </cell>
          <cell r="C973"/>
          <cell r="D973" t="str">
            <v>PVN-003969</v>
          </cell>
          <cell r="E973" t="str">
            <v>OrthoLite Eco LT 300C(ADIDAS BLUEBIRD) Flat Sheet 0.11D 25+/-4 Asker C 1.1M 2M 12mm</v>
          </cell>
          <cell r="F973">
            <v>11</v>
          </cell>
          <cell r="G973">
            <v>11</v>
          </cell>
          <cell r="H973">
            <v>0</v>
          </cell>
          <cell r="I973">
            <v>11</v>
          </cell>
          <cell r="J973" t="str">
            <v>ADIDAS</v>
          </cell>
          <cell r="K973" t="str">
            <v>Pr.Sch.R</v>
          </cell>
          <cell r="L973" t="str">
            <v>MOLDED</v>
          </cell>
          <cell r="M973">
            <v>1</v>
          </cell>
        </row>
        <row r="974">
          <cell r="A974" t="str">
            <v>F-2026-05-11</v>
          </cell>
          <cell r="B974" t="str">
            <v>RPRO-260504-0923</v>
          </cell>
          <cell r="C974"/>
          <cell r="D974" t="str">
            <v>PVN-003448</v>
          </cell>
          <cell r="E974" t="str">
            <v>OrthoLite X-25 BILLIARD/16-5427TPX Flat Sheet 0.12D 20+/-4 Asker C 1.1M 2M 6.2mm</v>
          </cell>
          <cell r="F974">
            <v>814</v>
          </cell>
          <cell r="G974">
            <v>814</v>
          </cell>
          <cell r="H974">
            <v>0</v>
          </cell>
          <cell r="I974">
            <v>814</v>
          </cell>
          <cell r="J974" t="str">
            <v>ADIDAS</v>
          </cell>
          <cell r="K974" t="str">
            <v>Pr.Sch.R</v>
          </cell>
          <cell r="L974" t="str">
            <v>MOLDED</v>
          </cell>
          <cell r="M974">
            <v>1</v>
          </cell>
        </row>
        <row r="975">
          <cell r="A975" t="str">
            <v>F-2026-05-12</v>
          </cell>
          <cell r="B975" t="str">
            <v>RPRO-260504-0924</v>
          </cell>
          <cell r="C975"/>
          <cell r="D975" t="str">
            <v>PVN-004138</v>
          </cell>
          <cell r="E975" t="str">
            <v>OrthoLite X-40-Hybrid SEEDPEARL/12-0703TPX Hybrid Flat Sheet 0.16D 25+/-4 Asker C 1.1M 2M 5.5mm</v>
          </cell>
          <cell r="F975">
            <v>1650</v>
          </cell>
          <cell r="G975">
            <v>1650</v>
          </cell>
          <cell r="H975">
            <v>0</v>
          </cell>
          <cell r="I975">
            <v>1650</v>
          </cell>
          <cell r="J975" t="str">
            <v>ON RUNNING</v>
          </cell>
          <cell r="K975" t="str">
            <v>Pr.Sch.R</v>
          </cell>
          <cell r="L975" t="str">
            <v>MOLDED</v>
          </cell>
          <cell r="M975">
            <v>1</v>
          </cell>
        </row>
        <row r="976">
          <cell r="A976" t="str">
            <v>F-2026-05-13</v>
          </cell>
          <cell r="B976" t="str">
            <v>RPRO-260504-0925</v>
          </cell>
          <cell r="C976"/>
          <cell r="D976" t="str">
            <v>PVN-004178</v>
          </cell>
          <cell r="E976" t="str">
            <v>OrthoLite Float NEUTRAL GRAY/17-4402TPX Flat Sheet 0.12D 21+/-4 Asker C 1.1M 2M 5.5mm</v>
          </cell>
          <cell r="F976">
            <v>500</v>
          </cell>
          <cell r="G976">
            <v>500</v>
          </cell>
          <cell r="H976">
            <v>0</v>
          </cell>
          <cell r="I976">
            <v>500</v>
          </cell>
          <cell r="J976" t="str">
            <v>PUMA</v>
          </cell>
          <cell r="K976" t="str">
            <v>Pr.Sch.R</v>
          </cell>
          <cell r="L976" t="str">
            <v>MOLDED</v>
          </cell>
          <cell r="M976">
            <v>1</v>
          </cell>
        </row>
        <row r="977">
          <cell r="A977" t="str">
            <v>F-2026-05-14</v>
          </cell>
          <cell r="B977" t="str">
            <v>RPRO-260504-0926</v>
          </cell>
          <cell r="C977"/>
          <cell r="D977" t="str">
            <v>PVN-004327</v>
          </cell>
          <cell r="E977" t="str">
            <v>OrthoLite X-55-Hybrid FOSSIL/17-0909TPX Hybrid Flat Sheet 0.16D 25+/-4 Asker C 1.1M 2M 6mm</v>
          </cell>
          <cell r="F977">
            <v>46</v>
          </cell>
          <cell r="G977">
            <v>46</v>
          </cell>
          <cell r="H977">
            <v>0</v>
          </cell>
          <cell r="I977">
            <v>46</v>
          </cell>
          <cell r="J977" t="str">
            <v>ASICS</v>
          </cell>
          <cell r="K977" t="str">
            <v>Pr.Sch.R</v>
          </cell>
          <cell r="L977" t="str">
            <v>MOLDED</v>
          </cell>
          <cell r="M977">
            <v>1</v>
          </cell>
        </row>
        <row r="978">
          <cell r="A978" t="str">
            <v>F-2026-05-15</v>
          </cell>
          <cell r="B978" t="str">
            <v>RPRO-260504-0927</v>
          </cell>
          <cell r="C978"/>
          <cell r="D978" t="str">
            <v>PVN-004061</v>
          </cell>
          <cell r="E978" t="str">
            <v>OrthoLite X-55 RED/19-1764TPX Flat Sheet 0.16D 25+/-4 Asker C 1.1M 1.47M 18mm</v>
          </cell>
          <cell r="F978">
            <v>7</v>
          </cell>
          <cell r="G978">
            <v>7</v>
          </cell>
          <cell r="H978">
            <v>0</v>
          </cell>
          <cell r="I978">
            <v>7</v>
          </cell>
          <cell r="J978" t="str">
            <v>WILSON</v>
          </cell>
          <cell r="K978" t="str">
            <v>Pr.Sch.R</v>
          </cell>
          <cell r="L978" t="str">
            <v>MOLDED</v>
          </cell>
          <cell r="M978">
            <v>1</v>
          </cell>
        </row>
        <row r="979">
          <cell r="A979" t="str">
            <v>F-2026-05-16</v>
          </cell>
          <cell r="B979" t="str">
            <v>RPRO-260504-0928</v>
          </cell>
          <cell r="C979"/>
          <cell r="D979" t="str">
            <v>PVN-003745</v>
          </cell>
          <cell r="E979" t="str">
            <v>OrthoLite X-25 BILLIARD/16-5427TPX Flat Sheet 0.12D 20+/-4 Asker C 1.1M 2M 16mm</v>
          </cell>
          <cell r="F979">
            <v>112</v>
          </cell>
          <cell r="G979">
            <v>112</v>
          </cell>
          <cell r="H979">
            <v>112</v>
          </cell>
          <cell r="I979">
            <v>0</v>
          </cell>
          <cell r="J979" t="str">
            <v>FOOTJOY</v>
          </cell>
          <cell r="K979" t="str">
            <v>Pr.Sch.R</v>
          </cell>
          <cell r="L979" t="str">
            <v>MOLDED</v>
          </cell>
          <cell r="M979">
            <v>1</v>
          </cell>
        </row>
        <row r="980">
          <cell r="A980" t="str">
            <v>F-2026-05-17</v>
          </cell>
          <cell r="B980" t="str">
            <v>RPRO-260504-0929</v>
          </cell>
          <cell r="C980"/>
          <cell r="D980" t="str">
            <v>PVN-004066</v>
          </cell>
          <cell r="E980" t="str">
            <v>OrthoLite Regular NEUTRAL GRAY/17-4402TPX Flat Sheet 0.16D 51+/-4 Asker C 1.1M 1.7M 9.5mm</v>
          </cell>
          <cell r="F980">
            <v>14</v>
          </cell>
          <cell r="G980">
            <v>14</v>
          </cell>
          <cell r="H980">
            <v>14</v>
          </cell>
          <cell r="I980">
            <v>0</v>
          </cell>
          <cell r="J980" t="str">
            <v>FOOTJOY</v>
          </cell>
          <cell r="K980" t="str">
            <v>Pr.Sch.R</v>
          </cell>
          <cell r="L980" t="str">
            <v>MOLDED</v>
          </cell>
          <cell r="M980">
            <v>1</v>
          </cell>
        </row>
        <row r="981">
          <cell r="A981" t="str">
            <v>F-2026-05-18</v>
          </cell>
          <cell r="B981" t="str">
            <v>RPRO-260504-0930</v>
          </cell>
          <cell r="C981"/>
          <cell r="D981" t="str">
            <v>PVN-003764</v>
          </cell>
          <cell r="E981" t="str">
            <v>OrthoLite X-25-Hybrid SEEDPEARL/12-0703TPX Hybrid Flat Sheet 0.12D 20+/-4 Asker C 1.1M 2M 5mm</v>
          </cell>
          <cell r="F981">
            <v>84</v>
          </cell>
          <cell r="G981">
            <v>84</v>
          </cell>
          <cell r="H981">
            <v>0</v>
          </cell>
          <cell r="I981">
            <v>84</v>
          </cell>
          <cell r="J981" t="str">
            <v>FOOTJOY</v>
          </cell>
          <cell r="K981" t="str">
            <v>Pr.Sch.R</v>
          </cell>
          <cell r="L981" t="str">
            <v>OTHERS</v>
          </cell>
          <cell r="M981">
            <v>1</v>
          </cell>
        </row>
        <row r="982">
          <cell r="A982" t="str">
            <v>F-2026-05-19</v>
          </cell>
          <cell r="B982" t="str">
            <v>RPRO-260504-0931</v>
          </cell>
          <cell r="C982"/>
          <cell r="D982" t="str">
            <v>PVN-001585</v>
          </cell>
          <cell r="E982" t="str">
            <v>OrthoLite Regular-Nike AIR BLUE/16-4134TPX Flat Sheet 0.13D 35+/-4 Asker C 1.1M 2M 6mm</v>
          </cell>
          <cell r="F982">
            <v>345</v>
          </cell>
          <cell r="G982">
            <v>345</v>
          </cell>
          <cell r="H982">
            <v>270</v>
          </cell>
          <cell r="I982">
            <v>75</v>
          </cell>
          <cell r="J982" t="str">
            <v>NIKE</v>
          </cell>
          <cell r="K982" t="str">
            <v>Pr.Sch.R</v>
          </cell>
          <cell r="L982" t="str">
            <v>MOLDED</v>
          </cell>
          <cell r="M982">
            <v>1</v>
          </cell>
        </row>
        <row r="983">
          <cell r="A983" t="str">
            <v>F-2026-05-20</v>
          </cell>
          <cell r="B983" t="str">
            <v>RPRO-260504-0932</v>
          </cell>
          <cell r="C983"/>
          <cell r="D983" t="str">
            <v>PVN-002473</v>
          </cell>
          <cell r="E983" t="str">
            <v>OrthoLite Eco LT-Hybrid SEEDPEARL/12-0703TPX Hybrid Flat Sheet 0.11D 25+/-4 Asker C 1.1M 2M 5mm</v>
          </cell>
          <cell r="F983">
            <v>280</v>
          </cell>
          <cell r="G983">
            <v>280</v>
          </cell>
          <cell r="H983">
            <v>0</v>
          </cell>
          <cell r="I983">
            <v>280</v>
          </cell>
          <cell r="J983" t="str">
            <v>NEW BALANCE</v>
          </cell>
          <cell r="K983" t="str">
            <v>Pr.Sch.R</v>
          </cell>
          <cell r="L983" t="str">
            <v>DIE CUT</v>
          </cell>
          <cell r="M983">
            <v>1</v>
          </cell>
        </row>
        <row r="984">
          <cell r="A984" t="str">
            <v>F-2026-05-21</v>
          </cell>
          <cell r="B984" t="str">
            <v>RPRO-260504-0933</v>
          </cell>
          <cell r="C984"/>
          <cell r="D984" t="str">
            <v>PVN-003478</v>
          </cell>
          <cell r="E984" t="str">
            <v>Ortholite X-25 SEEDPEARL/12-0703TPX Flat Sheet 0.12D 20+/-4 Asker C 1.1M 2M 4mm</v>
          </cell>
          <cell r="F984">
            <v>35</v>
          </cell>
          <cell r="G984">
            <v>35</v>
          </cell>
          <cell r="H984">
            <v>35</v>
          </cell>
          <cell r="I984">
            <v>0</v>
          </cell>
          <cell r="J984" t="str">
            <v>SOLEWORKS</v>
          </cell>
          <cell r="K984" t="str">
            <v>Pr.Sch.R</v>
          </cell>
          <cell r="L984" t="str">
            <v>DIE CUT</v>
          </cell>
          <cell r="M984">
            <v>1</v>
          </cell>
        </row>
        <row r="985">
          <cell r="A985" t="str">
            <v>F-2026-05-22</v>
          </cell>
          <cell r="B985" t="str">
            <v>RPRO-260504-0934</v>
          </cell>
          <cell r="C985"/>
          <cell r="D985" t="str">
            <v>PVN-003503</v>
          </cell>
          <cell r="E985" t="str">
            <v>OrthoLite Ultra-Hybrid-Nike SEEDPEARL/12-0703TPX Hybrid Flat Sheet 0.085D 15+/-4 Asker C 1.1M 2M 3mm</v>
          </cell>
          <cell r="F985">
            <v>276</v>
          </cell>
          <cell r="G985">
            <v>276</v>
          </cell>
          <cell r="H985">
            <v>0</v>
          </cell>
          <cell r="I985">
            <v>276</v>
          </cell>
          <cell r="J985" t="str">
            <v>NIKE</v>
          </cell>
          <cell r="K985" t="str">
            <v>Pr.Sch.R</v>
          </cell>
          <cell r="L985" t="str">
            <v>DIE CUT</v>
          </cell>
          <cell r="M985">
            <v>1</v>
          </cell>
        </row>
        <row r="986">
          <cell r="A986" t="str">
            <v>F-2026-05-23</v>
          </cell>
          <cell r="B986" t="str">
            <v>RPRO-260504-0935</v>
          </cell>
          <cell r="C986"/>
          <cell r="D986" t="str">
            <v>PVN-003878</v>
          </cell>
          <cell r="E986" t="str">
            <v>OrthoLite Ultra-Hybrid SEEDPEARL/12-0703TPX Hybrid Flat Sheet 0.095D 33+/-4 Asker C 1.1M 2M 4mm</v>
          </cell>
          <cell r="F986">
            <v>35</v>
          </cell>
          <cell r="G986">
            <v>35</v>
          </cell>
          <cell r="H986">
            <v>0</v>
          </cell>
          <cell r="I986">
            <v>35</v>
          </cell>
          <cell r="J986" t="str">
            <v>ON RUNNING</v>
          </cell>
          <cell r="K986" t="str">
            <v>Pr.Sch.R</v>
          </cell>
          <cell r="L986" t="str">
            <v>DIE CUT</v>
          </cell>
          <cell r="M986">
            <v>1</v>
          </cell>
        </row>
        <row r="987">
          <cell r="A987" t="str">
            <v>F-2026-05-24-1</v>
          </cell>
          <cell r="B987" t="str">
            <v>RPRO-260504-0936</v>
          </cell>
          <cell r="C987"/>
          <cell r="D987" t="str">
            <v>PVN-003236</v>
          </cell>
          <cell r="E987" t="str">
            <v>OrthoLite Eco LT-Hybrid-Converse SEEDPEARL/12-0703TPX Hybrid Flat Sheet 0.13D 25+/-4 Asker C 1.1M 2M 5mm</v>
          </cell>
          <cell r="F987">
            <v>2081</v>
          </cell>
          <cell r="G987">
            <v>820</v>
          </cell>
          <cell r="H987">
            <v>820</v>
          </cell>
          <cell r="I987">
            <v>0</v>
          </cell>
          <cell r="J987" t="str">
            <v>CONVERSE</v>
          </cell>
          <cell r="K987" t="str">
            <v>Pr.Sch.R</v>
          </cell>
          <cell r="L987" t="str">
            <v>DIE CUT</v>
          </cell>
          <cell r="M987">
            <v>1</v>
          </cell>
        </row>
        <row r="988">
          <cell r="A988" t="str">
            <v>F-2026-05-24-2</v>
          </cell>
          <cell r="B988" t="str">
            <v>RPRO-260504-0936</v>
          </cell>
          <cell r="C988"/>
          <cell r="D988" t="str">
            <v>PVN-003236</v>
          </cell>
          <cell r="E988" t="str">
            <v>OrthoLite Eco LT-Hybrid-Converse SEEDPEARL/12-0703TPX Hybrid Flat Sheet 0.13D 25+/-4 Asker C 1.1M 2M 5mm</v>
          </cell>
          <cell r="F988">
            <v>2081</v>
          </cell>
          <cell r="G988">
            <v>1261</v>
          </cell>
          <cell r="H988">
            <v>1220</v>
          </cell>
          <cell r="I988">
            <v>41</v>
          </cell>
          <cell r="J988" t="str">
            <v>CONVERSE</v>
          </cell>
          <cell r="K988" t="str">
            <v>Pr.Sch.R</v>
          </cell>
          <cell r="L988" t="str">
            <v>DIE CUT</v>
          </cell>
          <cell r="M988">
            <v>1</v>
          </cell>
        </row>
        <row r="989">
          <cell r="A989" t="str">
            <v>F-2026-05-25</v>
          </cell>
          <cell r="B989" t="str">
            <v>RPRO-260504-0937</v>
          </cell>
          <cell r="C989"/>
          <cell r="D989" t="str">
            <v>PVN-003341</v>
          </cell>
          <cell r="E989" t="str">
            <v>OrthoLite X-25 BILLIARD/16-5427TPX Flat Sheet 0.12D 20+/-4 Asker C 1.1M 2M 6mm</v>
          </cell>
          <cell r="F989">
            <v>92</v>
          </cell>
          <cell r="G989">
            <v>92</v>
          </cell>
          <cell r="H989">
            <v>0</v>
          </cell>
          <cell r="I989">
            <v>92</v>
          </cell>
          <cell r="J989" t="str">
            <v>LOTTO</v>
          </cell>
          <cell r="K989" t="str">
            <v>Pr.Sch.R</v>
          </cell>
          <cell r="L989" t="str">
            <v>MOLDED</v>
          </cell>
          <cell r="M989">
            <v>1</v>
          </cell>
        </row>
        <row r="990">
          <cell r="A990" t="str">
            <v>F-2026-05-26</v>
          </cell>
          <cell r="B990" t="str">
            <v>RPRO-260504-0938</v>
          </cell>
          <cell r="C990"/>
          <cell r="D990" t="str">
            <v>PVN-001554</v>
          </cell>
          <cell r="E990" t="str">
            <v>OrthoLite Ultra-Nike YELLOW/13-0858TPX Flat Sheet 0.085D 15+/-4 Asker C 1.1M 2M 3mm</v>
          </cell>
          <cell r="F990">
            <v>46</v>
          </cell>
          <cell r="G990">
            <v>46</v>
          </cell>
          <cell r="H990">
            <v>46</v>
          </cell>
          <cell r="I990">
            <v>0</v>
          </cell>
          <cell r="J990" t="str">
            <v>NIKE</v>
          </cell>
          <cell r="K990" t="str">
            <v>Pr.Sch.R</v>
          </cell>
          <cell r="L990" t="str">
            <v>DIE CUT</v>
          </cell>
          <cell r="M990">
            <v>1</v>
          </cell>
        </row>
        <row r="991">
          <cell r="A991" t="str">
            <v>F-2026-05-27</v>
          </cell>
          <cell r="B991" t="str">
            <v>RPRO-260504-0939</v>
          </cell>
          <cell r="C991"/>
          <cell r="D991" t="str">
            <v>PVN-004155</v>
          </cell>
          <cell r="E991" t="str">
            <v>OrthoLite X-40 TRUE BLUE/19-4057TPX Flat Sheet 0.16D 35+/-4 Asker C 1.1M 1.7M 3.2mm</v>
          </cell>
          <cell r="F991">
            <v>129</v>
          </cell>
          <cell r="G991">
            <v>129</v>
          </cell>
          <cell r="H991">
            <v>0</v>
          </cell>
          <cell r="I991">
            <v>129</v>
          </cell>
          <cell r="J991" t="str">
            <v>ADIDAS</v>
          </cell>
          <cell r="K991" t="str">
            <v>Pr.Sch.R</v>
          </cell>
          <cell r="L991" t="str">
            <v>MOLDED</v>
          </cell>
          <cell r="M991">
            <v>1</v>
          </cell>
        </row>
        <row r="992">
          <cell r="A992" t="str">
            <v>F-2026-05-28</v>
          </cell>
          <cell r="B992" t="str">
            <v>RPRO-260504-0940</v>
          </cell>
          <cell r="C992"/>
          <cell r="D992" t="str">
            <v>PVN-003502</v>
          </cell>
          <cell r="E992" t="str">
            <v>OrthoLite Ultra-Hybrid-Nike SEEDPEARL/12-0703TPX Hybrid Flat Sheet 0.085D 15+/-4 Asker C 1.1M 2M 2mm</v>
          </cell>
          <cell r="F992">
            <v>140</v>
          </cell>
          <cell r="G992">
            <v>140</v>
          </cell>
          <cell r="H992">
            <v>0</v>
          </cell>
          <cell r="I992">
            <v>140</v>
          </cell>
          <cell r="J992" t="str">
            <v>NIKE</v>
          </cell>
          <cell r="K992" t="str">
            <v>Pr.Sch.R</v>
          </cell>
          <cell r="L992" t="str">
            <v>DIE CUT</v>
          </cell>
          <cell r="M992">
            <v>1</v>
          </cell>
        </row>
        <row r="993">
          <cell r="A993" t="str">
            <v>F-2026-05-29</v>
          </cell>
          <cell r="B993" t="str">
            <v>RPRO-260505-0668</v>
          </cell>
          <cell r="C993"/>
          <cell r="D993" t="str">
            <v>PVN-004195</v>
          </cell>
          <cell r="E993" t="str">
            <v>OrthoLite IMPERIAL SEEDPEARL/12-0703TPX Flat Sheet 0.22D 25+/-4 Asker C 1.1M 1.47M 4mm</v>
          </cell>
          <cell r="F993">
            <v>92</v>
          </cell>
          <cell r="G993">
            <v>92</v>
          </cell>
          <cell r="H993">
            <v>0</v>
          </cell>
          <cell r="I993">
            <v>92</v>
          </cell>
          <cell r="J993"/>
          <cell r="K993" t="str">
            <v>MPS</v>
          </cell>
          <cell r="L993" t="str">
            <v>SPLITTING</v>
          </cell>
          <cell r="M993">
            <v>2</v>
          </cell>
        </row>
        <row r="994">
          <cell r="A994" t="str">
            <v>F-2026-05-30</v>
          </cell>
          <cell r="B994" t="str">
            <v>RPRO-260505-0669</v>
          </cell>
          <cell r="C994"/>
          <cell r="D994" t="str">
            <v>PVN-000930</v>
          </cell>
          <cell r="E994" t="str">
            <v>OrthoLite Eco LT 300C(ADIDAS BLUEBIRD) Flat Sheet 0.11D 25+/-4 Asker C 1.1M 2M 3mm</v>
          </cell>
          <cell r="F994">
            <v>138</v>
          </cell>
          <cell r="G994">
            <v>138</v>
          </cell>
          <cell r="H994">
            <v>138</v>
          </cell>
          <cell r="I994">
            <v>0</v>
          </cell>
          <cell r="J994"/>
          <cell r="K994" t="str">
            <v>MPS</v>
          </cell>
          <cell r="L994" t="str">
            <v>SPLITTING</v>
          </cell>
          <cell r="M994">
            <v>2</v>
          </cell>
        </row>
        <row r="995">
          <cell r="A995" t="str">
            <v>F-2026-05-31</v>
          </cell>
          <cell r="B995" t="str">
            <v>RPRO-260505-0670</v>
          </cell>
          <cell r="C995"/>
          <cell r="D995" t="str">
            <v>PVN-001277</v>
          </cell>
          <cell r="E995" t="str">
            <v>OrthoLite Ultra GREEN/16-5932TPX Flat Sheet 0.085D 25+/-4 Asker C 1.1M 2M 4mm</v>
          </cell>
          <cell r="F995">
            <v>455</v>
          </cell>
          <cell r="G995">
            <v>455</v>
          </cell>
          <cell r="H995">
            <v>0</v>
          </cell>
          <cell r="I995">
            <v>455</v>
          </cell>
          <cell r="J995"/>
          <cell r="K995" t="str">
            <v>MPS</v>
          </cell>
          <cell r="L995" t="str">
            <v>SPLITTING</v>
          </cell>
          <cell r="M995">
            <v>2</v>
          </cell>
        </row>
        <row r="996">
          <cell r="A996" t="str">
            <v>F-2026-05-32</v>
          </cell>
          <cell r="B996" t="str">
            <v>RPRO-260505-0671</v>
          </cell>
          <cell r="C996"/>
          <cell r="D996" t="str">
            <v>PVN-001319</v>
          </cell>
          <cell r="E996" t="str">
            <v>OrthoLite Ultra GREEN/16-5932TPX 0.085D 25+/-4 Asker C 1.1M 2M 5mm</v>
          </cell>
          <cell r="F996">
            <v>224</v>
          </cell>
          <cell r="G996">
            <v>224</v>
          </cell>
          <cell r="H996">
            <v>174</v>
          </cell>
          <cell r="I996">
            <v>50</v>
          </cell>
          <cell r="J996"/>
          <cell r="K996" t="str">
            <v>MPS</v>
          </cell>
          <cell r="L996" t="str">
            <v>SPLITTING</v>
          </cell>
          <cell r="M996">
            <v>2</v>
          </cell>
        </row>
        <row r="997">
          <cell r="A997" t="str">
            <v>F-2026-05-33</v>
          </cell>
          <cell r="B997" t="str">
            <v>RPRO-260505-0672</v>
          </cell>
          <cell r="C997"/>
          <cell r="D997" t="str">
            <v>PVN-003596</v>
          </cell>
          <cell r="E997" t="str">
            <v>OrthoLite X-35-Hybrid SEEDPEARL/12-0703TPX Hybrid Flat Sheet 0.145D 25+/-4 Asker C 1.1M 2M 3mm</v>
          </cell>
          <cell r="F997">
            <v>46</v>
          </cell>
          <cell r="G997">
            <v>46</v>
          </cell>
          <cell r="H997">
            <v>46</v>
          </cell>
          <cell r="I997">
            <v>0</v>
          </cell>
          <cell r="J997"/>
          <cell r="K997" t="str">
            <v>MPS</v>
          </cell>
          <cell r="L997" t="str">
            <v>SPLITTING</v>
          </cell>
          <cell r="M997">
            <v>2</v>
          </cell>
        </row>
        <row r="998">
          <cell r="A998" t="str">
            <v>F-2026-05-34</v>
          </cell>
          <cell r="B998" t="str">
            <v>RPRO-260505-0673</v>
          </cell>
          <cell r="C998"/>
          <cell r="D998" t="str">
            <v>PVN-004210</v>
          </cell>
          <cell r="E998" t="str">
            <v>OrthoLite IMPERIAL SEEDPEARL/12-0703TPX Flat Sheet 0.22D 25+/-4 Asker C 1.1M 1.47M 5mm</v>
          </cell>
          <cell r="F998">
            <v>28</v>
          </cell>
          <cell r="G998">
            <v>28</v>
          </cell>
          <cell r="H998">
            <v>0</v>
          </cell>
          <cell r="I998">
            <v>28</v>
          </cell>
          <cell r="J998"/>
          <cell r="K998" t="str">
            <v>MPS</v>
          </cell>
          <cell r="L998" t="str">
            <v>SPLITTING</v>
          </cell>
          <cell r="M998">
            <v>2</v>
          </cell>
        </row>
        <row r="999">
          <cell r="A999" t="str">
            <v>F-2026-05-35</v>
          </cell>
          <cell r="B999" t="str">
            <v>RPRO-260505-0674</v>
          </cell>
          <cell r="C999"/>
          <cell r="D999" t="str">
            <v>PVN-003895</v>
          </cell>
          <cell r="E999" t="str">
            <v>OrthoLite X-40 RED/19-1764TPX Flat Sheet 0.16D 25+/-4 Asker C 1.1M 1.7M 5mm</v>
          </cell>
          <cell r="F999">
            <v>28</v>
          </cell>
          <cell r="G999">
            <v>28</v>
          </cell>
          <cell r="H999">
            <v>0</v>
          </cell>
          <cell r="I999">
            <v>28</v>
          </cell>
          <cell r="J999" t="str">
            <v>PAYNTR</v>
          </cell>
          <cell r="K999" t="str">
            <v>Pr.Sch.R</v>
          </cell>
          <cell r="L999" t="str">
            <v>MOLDED</v>
          </cell>
          <cell r="M999">
            <v>1</v>
          </cell>
        </row>
        <row r="1000">
          <cell r="A1000" t="str">
            <v>F-2026-05-36</v>
          </cell>
          <cell r="B1000" t="str">
            <v>RPRO-260505-0675</v>
          </cell>
          <cell r="C1000"/>
          <cell r="D1000" t="str">
            <v>PVN-004178</v>
          </cell>
          <cell r="E1000" t="str">
            <v>OrthoLite Float NEUTRAL GRAY/17-4402TPX Flat Sheet 0.12D 21+/-4 Asker C 1.1M 2M 5.5mm</v>
          </cell>
          <cell r="F1000">
            <v>2200</v>
          </cell>
          <cell r="G1000">
            <v>2200</v>
          </cell>
          <cell r="H1000">
            <v>0</v>
          </cell>
          <cell r="I1000">
            <v>2200</v>
          </cell>
          <cell r="J1000" t="str">
            <v>PUMA</v>
          </cell>
          <cell r="K1000" t="str">
            <v>Pr.Sch.R</v>
          </cell>
          <cell r="L1000" t="str">
            <v>MOLDED</v>
          </cell>
          <cell r="M1000">
            <v>1</v>
          </cell>
        </row>
        <row r="1001">
          <cell r="A1001" t="str">
            <v>F-2026-05-37</v>
          </cell>
          <cell r="B1001" t="str">
            <v>RPRO-260505-0676</v>
          </cell>
          <cell r="C1001"/>
          <cell r="D1001" t="str">
            <v>PVN-003244</v>
          </cell>
          <cell r="E1001" t="str">
            <v>OrthoLite X-35-Hybrid-Nike SEEDPEARL/12-0703TPX Hybrid Flat Sheet 0.145D 25+/-4 Asker C 1.1M 2M 5.2mm (SLT)</v>
          </cell>
          <cell r="F1001">
            <v>78</v>
          </cell>
          <cell r="G1001">
            <v>78</v>
          </cell>
          <cell r="H1001">
            <v>78</v>
          </cell>
          <cell r="I1001">
            <v>0</v>
          </cell>
          <cell r="J1001" t="str">
            <v>NIKE</v>
          </cell>
          <cell r="K1001" t="str">
            <v>Pr.Sch.R</v>
          </cell>
          <cell r="L1001" t="str">
            <v>MOLDED</v>
          </cell>
          <cell r="M1001" t="str">
            <v>1-SLT</v>
          </cell>
        </row>
        <row r="1002">
          <cell r="A1002" t="str">
            <v>F-2026-05-38</v>
          </cell>
          <cell r="B1002" t="str">
            <v>RPRO-260505-0677</v>
          </cell>
          <cell r="C1002"/>
          <cell r="D1002" t="str">
            <v>PVN-004260</v>
          </cell>
          <cell r="E1002" t="str">
            <v>OrthoLite HybridPlus-Recycled MINT GREEN/11-4805TPX Hybrid Flat Sheet 0.12D 35+/-4 Asker C 1.1M 2M 5.5mm</v>
          </cell>
          <cell r="F1002">
            <v>450</v>
          </cell>
          <cell r="G1002">
            <v>450</v>
          </cell>
          <cell r="H1002">
            <v>0</v>
          </cell>
          <cell r="I1002">
            <v>450</v>
          </cell>
          <cell r="J1002" t="str">
            <v>ON RUNNING</v>
          </cell>
          <cell r="K1002" t="str">
            <v>Pr.Sch.R</v>
          </cell>
          <cell r="L1002" t="str">
            <v>MOLDED</v>
          </cell>
          <cell r="M1002">
            <v>1</v>
          </cell>
        </row>
        <row r="1003">
          <cell r="A1003" t="str">
            <v>F-2026-05-39</v>
          </cell>
          <cell r="B1003" t="str">
            <v>RPRO-260505-0678</v>
          </cell>
          <cell r="C1003"/>
          <cell r="D1003" t="str">
            <v>PVN-004168</v>
          </cell>
          <cell r="E1003" t="str">
            <v>OrthoLite X-40-Nike SEEDPEARL/12-0703TPX Flat Sheet 0.16D 35+/-4 Asker C 1.1M 2M 4.5mm</v>
          </cell>
          <cell r="F1003">
            <v>186</v>
          </cell>
          <cell r="G1003">
            <v>186</v>
          </cell>
          <cell r="H1003">
            <v>186</v>
          </cell>
          <cell r="I1003">
            <v>0</v>
          </cell>
          <cell r="J1003" t="str">
            <v>NIKE</v>
          </cell>
          <cell r="K1003" t="str">
            <v>Pr.Sch.R</v>
          </cell>
          <cell r="L1003" t="str">
            <v>MOLDED</v>
          </cell>
          <cell r="M1003">
            <v>1</v>
          </cell>
        </row>
        <row r="1004">
          <cell r="A1004" t="str">
            <v>F-2026-05-40</v>
          </cell>
          <cell r="B1004" t="str">
            <v>RPRO-260505-0679</v>
          </cell>
          <cell r="C1004"/>
          <cell r="D1004" t="str">
            <v>PVN-003347</v>
          </cell>
          <cell r="E1004" t="str">
            <v>OrthoLite X-40-Nike TRUE BLUE/19-4057TPX Flat Sheet 0.16D 35+/-4 Asker C 1.1M 1.7M 4mm</v>
          </cell>
          <cell r="F1004">
            <v>455</v>
          </cell>
          <cell r="G1004">
            <v>455</v>
          </cell>
          <cell r="H1004">
            <v>0</v>
          </cell>
          <cell r="I1004">
            <v>455</v>
          </cell>
          <cell r="J1004" t="str">
            <v>NIKE</v>
          </cell>
          <cell r="K1004" t="str">
            <v>Pr.Sch.R</v>
          </cell>
          <cell r="L1004" t="str">
            <v>LAMINATING</v>
          </cell>
          <cell r="M1004">
            <v>1</v>
          </cell>
        </row>
        <row r="1005">
          <cell r="A1005" t="str">
            <v>F-2026-05-41</v>
          </cell>
          <cell r="B1005" t="str">
            <v>RPRO-260505-0680</v>
          </cell>
          <cell r="C1005"/>
          <cell r="D1005" t="str">
            <v>PVN-003745</v>
          </cell>
          <cell r="E1005" t="str">
            <v>OrthoLite X-25 BILLIARD/16-5427TPX Flat Sheet 0.12D 20+/-4 Asker C 1.1M 2M 16mm</v>
          </cell>
          <cell r="F1005">
            <v>8</v>
          </cell>
          <cell r="G1005">
            <v>8</v>
          </cell>
          <cell r="H1005">
            <v>8</v>
          </cell>
          <cell r="I1005">
            <v>0</v>
          </cell>
          <cell r="J1005" t="str">
            <v>FOOTJOY</v>
          </cell>
          <cell r="K1005" t="str">
            <v>Pr.Sch.R</v>
          </cell>
          <cell r="L1005" t="str">
            <v>MOLDED</v>
          </cell>
          <cell r="M1005">
            <v>1</v>
          </cell>
        </row>
        <row r="1006">
          <cell r="A1006" t="str">
            <v>F-2026-05-42</v>
          </cell>
          <cell r="B1006" t="str">
            <v>RPRO-260505-0681</v>
          </cell>
          <cell r="C1006"/>
          <cell r="D1006" t="str">
            <v>PVN-004104</v>
          </cell>
          <cell r="E1006" t="str">
            <v>OrthoLite Float BLUE ATOLL/16-4535TPX Flat Sheet 0.12D 21+/-4 Asker C 1.1M 2M 5mm</v>
          </cell>
          <cell r="F1006">
            <v>56</v>
          </cell>
          <cell r="G1006">
            <v>56</v>
          </cell>
          <cell r="H1006">
            <v>0</v>
          </cell>
          <cell r="I1006">
            <v>56</v>
          </cell>
          <cell r="J1006" t="str">
            <v>DESCENTE</v>
          </cell>
          <cell r="K1006" t="str">
            <v>Pr.Sch.R</v>
          </cell>
          <cell r="L1006" t="str">
            <v>DIE CUT</v>
          </cell>
          <cell r="M1006">
            <v>1</v>
          </cell>
        </row>
        <row r="1007">
          <cell r="A1007" t="str">
            <v>F-2026-05-43</v>
          </cell>
          <cell r="B1007" t="str">
            <v>RPRO-260505-0682</v>
          </cell>
          <cell r="C1007"/>
          <cell r="D1007" t="str">
            <v>PVN-003671</v>
          </cell>
          <cell r="E1007" t="str">
            <v>OrthoLite Eco LT-Hybrid SEEDPEARL/12-0703TPX Hybrid Flat Sheet 0.11D 25+/-4 Asker C 1.1M 2M 13mm</v>
          </cell>
          <cell r="F1007">
            <v>340</v>
          </cell>
          <cell r="G1007">
            <v>340</v>
          </cell>
          <cell r="H1007">
            <v>0</v>
          </cell>
          <cell r="I1007">
            <v>340</v>
          </cell>
          <cell r="J1007" t="str">
            <v>NEW BALANCE</v>
          </cell>
          <cell r="K1007" t="str">
            <v>Pr.Sch.R</v>
          </cell>
          <cell r="L1007" t="str">
            <v>MOLDED</v>
          </cell>
          <cell r="M1007">
            <v>1</v>
          </cell>
        </row>
        <row r="1008">
          <cell r="A1008" t="str">
            <v>F-2026-05-44</v>
          </cell>
          <cell r="B1008" t="str">
            <v>RPRO-260505-0683</v>
          </cell>
          <cell r="C1008"/>
          <cell r="D1008" t="str">
            <v>PVN-002473</v>
          </cell>
          <cell r="E1008" t="str">
            <v>OrthoLite Eco LT-Hybrid SEEDPEARL/12-0703TPX Hybrid Flat Sheet 0.11D 25+/-4 Asker C 1.1M 2M 5mm</v>
          </cell>
          <cell r="F1008">
            <v>28</v>
          </cell>
          <cell r="G1008">
            <v>28</v>
          </cell>
          <cell r="H1008">
            <v>0</v>
          </cell>
          <cell r="I1008">
            <v>28</v>
          </cell>
          <cell r="J1008" t="str">
            <v>NEW BALANCE</v>
          </cell>
          <cell r="K1008" t="str">
            <v>Pr.Sch.R</v>
          </cell>
          <cell r="L1008" t="str">
            <v>DIE CUT</v>
          </cell>
          <cell r="M1008">
            <v>1</v>
          </cell>
        </row>
        <row r="1009">
          <cell r="A1009" t="str">
            <v>F-2026-05-45</v>
          </cell>
          <cell r="B1009" t="str">
            <v>RPRO-260505-0684</v>
          </cell>
          <cell r="C1009"/>
          <cell r="D1009" t="str">
            <v>PVN-004092</v>
          </cell>
          <cell r="E1009" t="str">
            <v>OrthoLite Float BLUE ATOLL/16-4535TPX Flat Sheet 0.12D 21+/-4 Asker C 1.1M 2M 14.5mm</v>
          </cell>
          <cell r="F1009">
            <v>27</v>
          </cell>
          <cell r="G1009">
            <v>27</v>
          </cell>
          <cell r="H1009">
            <v>0</v>
          </cell>
          <cell r="I1009">
            <v>27</v>
          </cell>
          <cell r="J1009" t="str">
            <v>LOWA</v>
          </cell>
          <cell r="K1009" t="str">
            <v>Pr.Sch.R</v>
          </cell>
          <cell r="L1009" t="str">
            <v>MOLDED</v>
          </cell>
          <cell r="M1009">
            <v>1</v>
          </cell>
        </row>
        <row r="1010">
          <cell r="A1010" t="str">
            <v>F-2026-05-46</v>
          </cell>
          <cell r="B1010" t="str">
            <v>RPRO-260505-0686</v>
          </cell>
          <cell r="C1010"/>
          <cell r="D1010" t="str">
            <v>PVN-003460</v>
          </cell>
          <cell r="E1010" t="str">
            <v>OrthoLite X-25-Hybrid SEEDPEARL/12-0703TPX Hybrid Flat Sheet 0.12D 20+/-4 Asker C 1.1M 2M 5.5mm</v>
          </cell>
          <cell r="F1010">
            <v>225</v>
          </cell>
          <cell r="G1010">
            <v>225</v>
          </cell>
          <cell r="H1010">
            <v>225</v>
          </cell>
          <cell r="I1010">
            <v>0</v>
          </cell>
          <cell r="J1010" t="str">
            <v>ON RUNNING</v>
          </cell>
          <cell r="K1010" t="str">
            <v>Pr.Sch.R</v>
          </cell>
          <cell r="L1010" t="str">
            <v>MOLDED</v>
          </cell>
          <cell r="M1010">
            <v>1</v>
          </cell>
        </row>
        <row r="1011">
          <cell r="A1011" t="str">
            <v>F-2026-05-47</v>
          </cell>
          <cell r="B1011" t="str">
            <v>RPRO-260505-0687</v>
          </cell>
          <cell r="C1011"/>
          <cell r="D1011" t="str">
            <v>PVN-003872</v>
          </cell>
          <cell r="E1011" t="str">
            <v>OrthoLite Regular SEEDPEARL/12-0703TPX Flat Sheet 0.11D 25+/-4 Asker C 1.1M 2M 7.5mm</v>
          </cell>
          <cell r="F1011">
            <v>36</v>
          </cell>
          <cell r="G1011">
            <v>36</v>
          </cell>
          <cell r="H1011">
            <v>0</v>
          </cell>
          <cell r="I1011">
            <v>36</v>
          </cell>
          <cell r="J1011" t="str">
            <v>VIOLET</v>
          </cell>
          <cell r="K1011" t="str">
            <v>Pr.Sch.R</v>
          </cell>
          <cell r="L1011" t="str">
            <v>MOLDED</v>
          </cell>
          <cell r="M1011">
            <v>1</v>
          </cell>
        </row>
        <row r="1012">
          <cell r="A1012" t="str">
            <v>F-2026-05-48</v>
          </cell>
          <cell r="B1012" t="str">
            <v>RPRO-260505-0688</v>
          </cell>
          <cell r="C1012"/>
          <cell r="D1012" t="str">
            <v>PVN-003842</v>
          </cell>
          <cell r="E1012" t="str">
            <v>OrthoLite Regular GREY/17-1501TPX Flat Sheet 0.11D 25+/-4 Asker C 1.1M 2M 7.5mm</v>
          </cell>
          <cell r="F1012">
            <v>18</v>
          </cell>
          <cell r="G1012">
            <v>18</v>
          </cell>
          <cell r="H1012">
            <v>0</v>
          </cell>
          <cell r="I1012">
            <v>18</v>
          </cell>
          <cell r="J1012" t="str">
            <v>VIOLET</v>
          </cell>
          <cell r="K1012" t="str">
            <v>Pr.Sch.R</v>
          </cell>
          <cell r="L1012" t="str">
            <v>MOLDED</v>
          </cell>
          <cell r="M1012">
            <v>1</v>
          </cell>
        </row>
        <row r="1013">
          <cell r="A1013" t="str">
            <v>F-2026-05-49</v>
          </cell>
          <cell r="B1013" t="str">
            <v>RPRO-260505-0689</v>
          </cell>
          <cell r="C1013"/>
          <cell r="D1013" t="str">
            <v>PVN-003575</v>
          </cell>
          <cell r="E1013" t="str">
            <v>OrthoLite X-30-Hybrid BROWN SUGAR/17-1134TPX Hybrid Flat Sheet 0.13D 25+/-4 Asker C 1.1M 2M 10mm</v>
          </cell>
          <cell r="F1013">
            <v>52</v>
          </cell>
          <cell r="G1013">
            <v>52</v>
          </cell>
          <cell r="H1013">
            <v>0</v>
          </cell>
          <cell r="I1013">
            <v>52</v>
          </cell>
          <cell r="J1013" t="str">
            <v>ASICS</v>
          </cell>
          <cell r="K1013" t="str">
            <v>Pr.Sch.R</v>
          </cell>
          <cell r="L1013" t="str">
            <v>MOLDED</v>
          </cell>
          <cell r="M1013">
            <v>1</v>
          </cell>
        </row>
        <row r="1014">
          <cell r="A1014" t="str">
            <v>F-2026-05-50</v>
          </cell>
          <cell r="B1014" t="str">
            <v>FPRO-260504-0001</v>
          </cell>
          <cell r="C1014"/>
          <cell r="D1014" t="str">
            <v>PVN-002699</v>
          </cell>
          <cell r="E1014" t="str">
            <v>OrthoLite Regular-Hybrid SEEDPEARL/12-0703TPX Hybrid Flat Sheet 0.11D 25+/-4 Asker C 1.1M 2M 4.5mm</v>
          </cell>
          <cell r="F1014">
            <v>21</v>
          </cell>
          <cell r="G1014">
            <v>21</v>
          </cell>
          <cell r="H1014">
            <v>21</v>
          </cell>
          <cell r="I1014">
            <v>0</v>
          </cell>
          <cell r="J1014" t="str">
            <v>ASICS</v>
          </cell>
          <cell r="K1014" t="str">
            <v>Forecast</v>
          </cell>
          <cell r="L1014" t="str">
            <v>DIE CUT</v>
          </cell>
          <cell r="M1014" t="str">
            <v>1-SLT</v>
          </cell>
        </row>
        <row r="1015">
          <cell r="A1015" t="str">
            <v>F-2026-05-51</v>
          </cell>
          <cell r="B1015" t="str">
            <v>FPRO-260504-0002</v>
          </cell>
          <cell r="C1015"/>
          <cell r="D1015" t="str">
            <v>PVN-003601</v>
          </cell>
          <cell r="E1015" t="str">
            <v>OrthoLite Regular-Hybrid SEEDPEARL/12-0703TPX Hybrid Flat Sheet 0.11D 25+/-4 Asker C 1.1M 2M 20mm</v>
          </cell>
          <cell r="F1015">
            <v>16</v>
          </cell>
          <cell r="G1015">
            <v>16</v>
          </cell>
          <cell r="H1015">
            <v>0</v>
          </cell>
          <cell r="I1015">
            <v>16</v>
          </cell>
          <cell r="J1015" t="str">
            <v>ASICS</v>
          </cell>
          <cell r="K1015" t="str">
            <v>Forecast</v>
          </cell>
          <cell r="L1015" t="str">
            <v>MOLDED</v>
          </cell>
          <cell r="M1015" t="str">
            <v>1-SLT</v>
          </cell>
        </row>
        <row r="1016">
          <cell r="A1016" t="str">
            <v>F-2026-05-52</v>
          </cell>
          <cell r="B1016" t="str">
            <v>FPRO-260504-0003</v>
          </cell>
          <cell r="C1016"/>
          <cell r="D1016" t="str">
            <v>PVN-002515</v>
          </cell>
          <cell r="E1016" t="str">
            <v>OrthoLite Regular-Hybrid SEEDPEARL/12-0703TPX Hybrid Flat Sheet 0.11D 25+/-4 Asker C 1.1M 2M 11mm</v>
          </cell>
          <cell r="F1016">
            <v>98</v>
          </cell>
          <cell r="G1016">
            <v>98</v>
          </cell>
          <cell r="H1016">
            <v>0</v>
          </cell>
          <cell r="I1016">
            <v>98</v>
          </cell>
          <cell r="J1016" t="str">
            <v>ASICS</v>
          </cell>
          <cell r="K1016" t="str">
            <v>Forecast</v>
          </cell>
          <cell r="L1016" t="str">
            <v>MOLDED</v>
          </cell>
          <cell r="M1016" t="str">
            <v>1-SLT</v>
          </cell>
        </row>
        <row r="1017">
          <cell r="A1017" t="str">
            <v>F-2026-05-53</v>
          </cell>
          <cell r="B1017" t="str">
            <v>FPRO-260504-0004</v>
          </cell>
          <cell r="C1017"/>
          <cell r="D1017" t="str">
            <v>PVN-004076</v>
          </cell>
          <cell r="E1017" t="str">
            <v>OrthoLite Regular NEUTRAL GRAY/17-4402TPX Flat Sheet 0.13D 15+/-4 Asker C 1.1M 2M 24mm</v>
          </cell>
          <cell r="F1017">
            <v>68</v>
          </cell>
          <cell r="G1017">
            <v>68</v>
          </cell>
          <cell r="H1017">
            <v>0</v>
          </cell>
          <cell r="I1017">
            <v>68</v>
          </cell>
          <cell r="J1017" t="str">
            <v>ASICS</v>
          </cell>
          <cell r="K1017" t="str">
            <v>Forecast</v>
          </cell>
          <cell r="L1017" t="str">
            <v>MOLDED</v>
          </cell>
          <cell r="M1017" t="str">
            <v>1-SLT</v>
          </cell>
        </row>
        <row r="1018">
          <cell r="A1018" t="str">
            <v>F-2026-05-54</v>
          </cell>
          <cell r="B1018" t="str">
            <v>FPRO-260504-0005</v>
          </cell>
          <cell r="C1018"/>
          <cell r="D1018" t="str">
            <v>PVN-004115</v>
          </cell>
          <cell r="E1018" t="str">
            <v>OrthoLite X-40 TRUE BLUE/19-4057TPX Flat Sheet 0.16D 35+/-4 Asker C 1.1M 2M 4mm</v>
          </cell>
          <cell r="F1018">
            <v>133</v>
          </cell>
          <cell r="G1018">
            <v>133</v>
          </cell>
          <cell r="H1018">
            <v>0</v>
          </cell>
          <cell r="I1018">
            <v>133</v>
          </cell>
          <cell r="J1018" t="str">
            <v>ASICS</v>
          </cell>
          <cell r="K1018" t="str">
            <v>Forecast</v>
          </cell>
          <cell r="L1018" t="str">
            <v>DIE CUT</v>
          </cell>
          <cell r="M1018" t="str">
            <v>1-SLT</v>
          </cell>
        </row>
        <row r="1019">
          <cell r="A1019" t="str">
            <v>F-2026-05-55</v>
          </cell>
          <cell r="B1019" t="str">
            <v>FPRO-260504-0006</v>
          </cell>
          <cell r="C1019"/>
          <cell r="D1019" t="str">
            <v>PVN-002503</v>
          </cell>
          <cell r="E1019" t="str">
            <v>OrthoLite Regular-Hybrid SEEDPEARL/12-0703TPX Hybrid Flat Sheet 0.11D 25+/-4 Asker C 1.1M 2M 4mm</v>
          </cell>
          <cell r="F1019">
            <v>34</v>
          </cell>
          <cell r="G1019">
            <v>34</v>
          </cell>
          <cell r="H1019">
            <v>0</v>
          </cell>
          <cell r="I1019">
            <v>34</v>
          </cell>
          <cell r="J1019" t="str">
            <v>ASICS</v>
          </cell>
          <cell r="K1019" t="str">
            <v>Forecast</v>
          </cell>
          <cell r="L1019" t="str">
            <v>DIE CUT</v>
          </cell>
          <cell r="M1019" t="str">
            <v>1-SLT</v>
          </cell>
        </row>
        <row r="1020">
          <cell r="A1020" t="str">
            <v>F-2026-05-56</v>
          </cell>
          <cell r="B1020" t="str">
            <v>FPRO-260504-0007</v>
          </cell>
          <cell r="C1020"/>
          <cell r="D1020" t="str">
            <v>PVN-000925</v>
          </cell>
          <cell r="E1020" t="str">
            <v>OrthoLite Ultra YELLOW/13-0858TPX Flat Sheet 0.085D 25+/-4 Asker C 1.1M 2M 5mm</v>
          </cell>
          <cell r="F1020">
            <v>935</v>
          </cell>
          <cell r="G1020">
            <v>935</v>
          </cell>
          <cell r="H1020">
            <v>0</v>
          </cell>
          <cell r="I1020">
            <v>935</v>
          </cell>
          <cell r="J1020" t="str">
            <v>ASICS</v>
          </cell>
          <cell r="K1020" t="str">
            <v>Forecast</v>
          </cell>
          <cell r="L1020" t="str">
            <v>LAMINATING</v>
          </cell>
          <cell r="M1020" t="str">
            <v>1-SLT</v>
          </cell>
        </row>
        <row r="1021">
          <cell r="A1021" t="str">
            <v>F-2026-05-57</v>
          </cell>
          <cell r="B1021" t="str">
            <v>FPRO-260504-0008</v>
          </cell>
          <cell r="C1021"/>
          <cell r="D1021" t="str">
            <v>PVN-003161</v>
          </cell>
          <cell r="E1021" t="str">
            <v>OrthoLite Regular-Hybrid SEEDPEARL/12-0703TPX Hybrid Flat Sheet 0.11D 25+/-4 Asker C 1.1M 2M 2.5mm</v>
          </cell>
          <cell r="F1021">
            <v>9</v>
          </cell>
          <cell r="G1021">
            <v>9</v>
          </cell>
          <cell r="H1021">
            <v>0</v>
          </cell>
          <cell r="I1021">
            <v>9</v>
          </cell>
          <cell r="J1021" t="str">
            <v>ASICS</v>
          </cell>
          <cell r="K1021" t="str">
            <v>Forecast</v>
          </cell>
          <cell r="L1021" t="str">
            <v>SPLITTING</v>
          </cell>
          <cell r="M1021" t="str">
            <v>1-SLT</v>
          </cell>
        </row>
        <row r="1022">
          <cell r="A1022" t="str">
            <v>F-2026-05-58</v>
          </cell>
          <cell r="B1022" t="str">
            <v>FPRO-260504-0009</v>
          </cell>
          <cell r="C1022"/>
          <cell r="D1022" t="str">
            <v>PVN-000121</v>
          </cell>
          <cell r="E1022" t="str">
            <v>OrthoLite Regular AIR BLUE/16-4134TPX Flat Sheet 0.13D 35+/-4 Asker C 1.1M 2M 12mm</v>
          </cell>
          <cell r="F1022">
            <v>73</v>
          </cell>
          <cell r="G1022">
            <v>73</v>
          </cell>
          <cell r="H1022">
            <v>0</v>
          </cell>
          <cell r="I1022">
            <v>73</v>
          </cell>
          <cell r="J1022" t="str">
            <v>ASICS</v>
          </cell>
          <cell r="K1022" t="str">
            <v>Forecast</v>
          </cell>
          <cell r="L1022" t="str">
            <v>MOLDED</v>
          </cell>
          <cell r="M1022" t="str">
            <v>1-SLT-WIP</v>
          </cell>
        </row>
        <row r="1023">
          <cell r="A1023" t="str">
            <v>F-2026-05-59</v>
          </cell>
          <cell r="B1023" t="str">
            <v>FPRO-260504-0010</v>
          </cell>
          <cell r="C1023"/>
          <cell r="D1023" t="str">
            <v>PVN-000126</v>
          </cell>
          <cell r="E1023" t="str">
            <v>OrthoLite Regular AIR BLUE/16-4134TPX Flat Sheet 0.13D 35+/-4 Asker C 1.1M 2M 4mm</v>
          </cell>
          <cell r="F1023">
            <v>167</v>
          </cell>
          <cell r="G1023">
            <v>167</v>
          </cell>
          <cell r="H1023">
            <v>0</v>
          </cell>
          <cell r="I1023">
            <v>167</v>
          </cell>
          <cell r="J1023" t="str">
            <v>ASICS</v>
          </cell>
          <cell r="K1023" t="str">
            <v>Forecast</v>
          </cell>
          <cell r="L1023" t="str">
            <v>SPLITTING</v>
          </cell>
          <cell r="M1023" t="str">
            <v>2-SLT</v>
          </cell>
        </row>
        <row r="1024">
          <cell r="A1024" t="str">
            <v>F-2026-05-60</v>
          </cell>
          <cell r="B1024" t="str">
            <v>FPRO-260504-0011</v>
          </cell>
          <cell r="C1024"/>
          <cell r="D1024" t="str">
            <v>PVN-003603</v>
          </cell>
          <cell r="E1024" t="str">
            <v>OrthoLite X-40 TRUE BLUE/19-4057TPX Flat Sheet 0.16D 25+/-4 Asker C 1.1M 1.47M 12mm</v>
          </cell>
          <cell r="F1024">
            <v>564</v>
          </cell>
          <cell r="G1024">
            <v>564</v>
          </cell>
          <cell r="H1024">
            <v>0</v>
          </cell>
          <cell r="I1024">
            <v>564</v>
          </cell>
          <cell r="J1024" t="str">
            <v>ASICS</v>
          </cell>
          <cell r="K1024" t="str">
            <v>Forecast</v>
          </cell>
          <cell r="L1024" t="str">
            <v>MOLDED</v>
          </cell>
          <cell r="M1024" t="str">
            <v>1-SLT-WIP</v>
          </cell>
        </row>
        <row r="1025">
          <cell r="A1025" t="str">
            <v>F-2026-05-61</v>
          </cell>
          <cell r="B1025" t="str">
            <v>FPRO-260504-0012</v>
          </cell>
          <cell r="C1025"/>
          <cell r="D1025" t="str">
            <v>PVN-003319</v>
          </cell>
          <cell r="E1025" t="str">
            <v>OrthoLite X-40 TRUE BLUE/19-4057TPX Flat Sheet 0.16D 25+/-4 Asker C 1.1M 1.7M 12mm</v>
          </cell>
          <cell r="F1025">
            <v>70</v>
          </cell>
          <cell r="G1025">
            <v>70</v>
          </cell>
          <cell r="H1025">
            <v>0</v>
          </cell>
          <cell r="I1025">
            <v>70</v>
          </cell>
          <cell r="J1025" t="str">
            <v>ASICS</v>
          </cell>
          <cell r="K1025" t="str">
            <v>Forecast</v>
          </cell>
          <cell r="L1025" t="str">
            <v>MOLDED</v>
          </cell>
          <cell r="M1025" t="str">
            <v>1-SLT-WIP</v>
          </cell>
        </row>
        <row r="1026">
          <cell r="A1026" t="str">
            <v>F-2026-05-62</v>
          </cell>
          <cell r="B1026" t="str">
            <v>FPRO-260504-0013</v>
          </cell>
          <cell r="C1026"/>
          <cell r="D1026" t="str">
            <v>PVN-004308</v>
          </cell>
          <cell r="E1026" t="str">
            <v>OrthoLite X-40 TRUE BLUE/19-4057TPX Flat Sheet 0.16D 25+/-4 Asker C 1.1M 1.47M 3mm</v>
          </cell>
          <cell r="F1026">
            <v>54</v>
          </cell>
          <cell r="G1026">
            <v>54</v>
          </cell>
          <cell r="H1026">
            <v>0</v>
          </cell>
          <cell r="I1026">
            <v>54</v>
          </cell>
          <cell r="J1026" t="str">
            <v>ASICS</v>
          </cell>
          <cell r="K1026" t="str">
            <v>Forecast</v>
          </cell>
          <cell r="L1026" t="str">
            <v>DIE CUT</v>
          </cell>
          <cell r="M1026" t="str">
            <v>1-SLT</v>
          </cell>
        </row>
        <row r="1027">
          <cell r="A1027" t="str">
            <v>F-2026-05-63</v>
          </cell>
          <cell r="B1027" t="str">
            <v>FPRO-260504-0014</v>
          </cell>
          <cell r="C1027"/>
          <cell r="D1027" t="str">
            <v>PVN-000127</v>
          </cell>
          <cell r="E1027" t="str">
            <v>OrthoLite Regular AIR BLUE/16-4134TPX Flat Sheet 0.13D 35+/-4 Asker C 1.1M 2M 5mm</v>
          </cell>
          <cell r="F1027">
            <v>355</v>
          </cell>
          <cell r="G1027">
            <v>355</v>
          </cell>
          <cell r="H1027">
            <v>0</v>
          </cell>
          <cell r="I1027">
            <v>355</v>
          </cell>
          <cell r="J1027" t="str">
            <v>ASICS</v>
          </cell>
          <cell r="K1027" t="str">
            <v>Forecast</v>
          </cell>
          <cell r="L1027" t="str">
            <v>LAMINATING</v>
          </cell>
          <cell r="M1027" t="str">
            <v>1-SLT</v>
          </cell>
        </row>
        <row r="1028">
          <cell r="A1028" t="str">
            <v>F-2026-05-64</v>
          </cell>
          <cell r="B1028" t="str">
            <v>FPRO-260504-0015</v>
          </cell>
          <cell r="C1028"/>
          <cell r="D1028" t="str">
            <v>PVN-004146</v>
          </cell>
          <cell r="E1028" t="str">
            <v>OrthoLite X-25 CASTLEROCK/18-0201TPX Flat Sheet 0.12D 20+/-4 Asker C 1.1M 2M 5.5mm</v>
          </cell>
          <cell r="F1028">
            <v>600</v>
          </cell>
          <cell r="G1028">
            <v>600</v>
          </cell>
          <cell r="H1028">
            <v>0</v>
          </cell>
          <cell r="I1028">
            <v>600</v>
          </cell>
          <cell r="J1028" t="str">
            <v>ON RUNNING</v>
          </cell>
          <cell r="K1028" t="str">
            <v>Forecast</v>
          </cell>
          <cell r="L1028" t="str">
            <v>MOLDED</v>
          </cell>
          <cell r="M1028">
            <v>1</v>
          </cell>
        </row>
        <row r="1029">
          <cell r="A1029" t="str">
            <v>F-2026-05-65</v>
          </cell>
          <cell r="B1029" t="str">
            <v>FPRO-260504-0016</v>
          </cell>
          <cell r="C1029"/>
          <cell r="D1029" t="str">
            <v>PVN-004146</v>
          </cell>
          <cell r="E1029" t="str">
            <v>OrthoLite X-25 CASTLEROCK/18-0201TPX Flat Sheet 0.12D 20+/-4 Asker C 1.1M 2M 5.5mm</v>
          </cell>
          <cell r="F1029">
            <v>500</v>
          </cell>
          <cell r="G1029">
            <v>500</v>
          </cell>
          <cell r="H1029">
            <v>0</v>
          </cell>
          <cell r="I1029">
            <v>500</v>
          </cell>
          <cell r="J1029" t="str">
            <v>ON RUNNING</v>
          </cell>
          <cell r="K1029" t="str">
            <v>Forecast</v>
          </cell>
          <cell r="L1029" t="str">
            <v>MOLDED</v>
          </cell>
          <cell r="M1029">
            <v>1</v>
          </cell>
        </row>
        <row r="1030">
          <cell r="A1030" t="str">
            <v>F-2026-05-66</v>
          </cell>
          <cell r="B1030" t="str">
            <v>FPRO-260504-0017</v>
          </cell>
          <cell r="C1030"/>
          <cell r="D1030" t="str">
            <v>PVN-004146</v>
          </cell>
          <cell r="E1030" t="str">
            <v>OrthoLite X-25 CASTLEROCK/18-0201TPX Flat Sheet 0.12D 20+/-4 Asker C 1.1M 2M 5.5mm</v>
          </cell>
          <cell r="F1030">
            <v>500</v>
          </cell>
          <cell r="G1030">
            <v>500</v>
          </cell>
          <cell r="H1030">
            <v>0</v>
          </cell>
          <cell r="I1030">
            <v>500</v>
          </cell>
          <cell r="J1030" t="str">
            <v>ON RUNNING</v>
          </cell>
          <cell r="K1030" t="str">
            <v>Forecast</v>
          </cell>
          <cell r="L1030" t="str">
            <v>MOLDED</v>
          </cell>
          <cell r="M1030">
            <v>1</v>
          </cell>
        </row>
        <row r="1031">
          <cell r="A1031" t="str">
            <v>F-2026-05-67</v>
          </cell>
          <cell r="B1031" t="str">
            <v>FPRO-260504-0018</v>
          </cell>
          <cell r="C1031"/>
          <cell r="D1031" t="str">
            <v>PVN-004147</v>
          </cell>
          <cell r="E1031" t="str">
            <v>OrthoLite X-25 SEEDPEARL/12-0703TPX Flat Sheet 0.12D 20+/-4 Asker C 1.1M 2M 5.5mm</v>
          </cell>
          <cell r="F1031">
            <v>500</v>
          </cell>
          <cell r="G1031">
            <v>500</v>
          </cell>
          <cell r="H1031">
            <v>0</v>
          </cell>
          <cell r="I1031">
            <v>500</v>
          </cell>
          <cell r="J1031" t="str">
            <v>ON RUNNING</v>
          </cell>
          <cell r="K1031" t="str">
            <v>Forecast</v>
          </cell>
          <cell r="L1031" t="str">
            <v>MOLDED</v>
          </cell>
          <cell r="M1031">
            <v>1</v>
          </cell>
        </row>
        <row r="1032">
          <cell r="A1032" t="str">
            <v>F-2026-05-68</v>
          </cell>
          <cell r="B1032" t="str">
            <v>FPRO-260504-0019</v>
          </cell>
          <cell r="C1032"/>
          <cell r="D1032" t="str">
            <v>PVN-004147</v>
          </cell>
          <cell r="E1032" t="str">
            <v>OrthoLite X-25 SEEDPEARL/12-0703TPX Flat Sheet 0.12D 20+/-4 Asker C 1.1M 2M 5.5mm</v>
          </cell>
          <cell r="F1032">
            <v>450</v>
          </cell>
          <cell r="G1032">
            <v>450</v>
          </cell>
          <cell r="H1032">
            <v>0</v>
          </cell>
          <cell r="I1032">
            <v>450</v>
          </cell>
          <cell r="J1032" t="str">
            <v>ON RUNNING</v>
          </cell>
          <cell r="K1032" t="str">
            <v>Forecast</v>
          </cell>
          <cell r="L1032" t="str">
            <v>MOLDED</v>
          </cell>
          <cell r="M1032">
            <v>1</v>
          </cell>
        </row>
        <row r="1033">
          <cell r="A1033" t="str">
            <v>F-2026-05-69</v>
          </cell>
          <cell r="B1033" t="str">
            <v>FPRO-260505-0004</v>
          </cell>
          <cell r="C1033"/>
          <cell r="D1033" t="str">
            <v>PVN-000060</v>
          </cell>
          <cell r="E1033" t="str">
            <v>OrthoLite Regular GREY/17-1501TPX 0.11D 25+/-4 Asker C 1.1M 2M 14mm</v>
          </cell>
          <cell r="F1033">
            <v>18</v>
          </cell>
          <cell r="G1033">
            <v>18</v>
          </cell>
          <cell r="H1033">
            <v>18</v>
          </cell>
          <cell r="I1033">
            <v>0</v>
          </cell>
          <cell r="J1033" t="str">
            <v>DANNER</v>
          </cell>
          <cell r="K1033" t="str">
            <v>Forecast</v>
          </cell>
          <cell r="L1033" t="str">
            <v>MOLDED</v>
          </cell>
          <cell r="M1033">
            <v>1</v>
          </cell>
        </row>
        <row r="1034">
          <cell r="A1034" t="str">
            <v>F-2026-05-70</v>
          </cell>
          <cell r="B1034" t="str">
            <v>RPRO-260506-0351</v>
          </cell>
          <cell r="C1034"/>
          <cell r="D1034" t="str">
            <v>PVN-004195</v>
          </cell>
          <cell r="E1034" t="str">
            <v>OrthoLite IMPERIAL SEEDPEARL/12-0703TPX Flat Sheet 0.22D 25+/-4 Asker C 1.1M 1.47M 4mm</v>
          </cell>
          <cell r="F1034">
            <v>455</v>
          </cell>
          <cell r="G1034">
            <v>455</v>
          </cell>
          <cell r="H1034">
            <v>0</v>
          </cell>
          <cell r="I1034">
            <v>455</v>
          </cell>
          <cell r="J1034"/>
          <cell r="K1034" t="str">
            <v>MPS</v>
          </cell>
          <cell r="L1034" t="str">
            <v>SPLITTING</v>
          </cell>
          <cell r="M1034">
            <v>2</v>
          </cell>
        </row>
        <row r="1035">
          <cell r="A1035" t="str">
            <v>F-2026-05-71</v>
          </cell>
          <cell r="B1035" t="str">
            <v>RPRO-260506-0352</v>
          </cell>
          <cell r="C1035"/>
          <cell r="D1035" t="str">
            <v>PVN-000458</v>
          </cell>
          <cell r="E1035" t="str">
            <v>OrthoLite Regular GREEN/16-5932TPX Flat Sheet 0.13D 35+/-4 Asker C 1.1M 2M 3mm</v>
          </cell>
          <cell r="F1035">
            <v>552</v>
          </cell>
          <cell r="G1035">
            <v>552</v>
          </cell>
          <cell r="H1035">
            <v>0</v>
          </cell>
          <cell r="I1035">
            <v>552</v>
          </cell>
          <cell r="J1035"/>
          <cell r="K1035" t="str">
            <v>MPS</v>
          </cell>
          <cell r="L1035" t="str">
            <v>SPLITTING</v>
          </cell>
          <cell r="M1035">
            <v>2</v>
          </cell>
        </row>
        <row r="1036">
          <cell r="A1036" t="str">
            <v>F-2026-05-72</v>
          </cell>
          <cell r="B1036" t="str">
            <v>RPRO-260506-0353</v>
          </cell>
          <cell r="C1036"/>
          <cell r="D1036" t="str">
            <v>PVN-001415</v>
          </cell>
          <cell r="E1036" t="str">
            <v>OrthoLite Ultra SEEDPEARL/12-0703TPX Flat Sheet 0.085D 25+/-4 Asker C 1.1M 2M 4mm</v>
          </cell>
          <cell r="F1036">
            <v>525</v>
          </cell>
          <cell r="G1036">
            <v>525</v>
          </cell>
          <cell r="H1036">
            <v>525</v>
          </cell>
          <cell r="I1036">
            <v>0</v>
          </cell>
          <cell r="J1036"/>
          <cell r="K1036" t="str">
            <v>MPS</v>
          </cell>
          <cell r="L1036" t="str">
            <v>SPLITTING</v>
          </cell>
          <cell r="M1036">
            <v>2</v>
          </cell>
        </row>
        <row r="1037">
          <cell r="A1037" t="str">
            <v>F-2026-05-73</v>
          </cell>
          <cell r="B1037" t="str">
            <v>RPRO-260506-0354</v>
          </cell>
          <cell r="C1037"/>
          <cell r="D1037" t="str">
            <v>PVN-001814</v>
          </cell>
          <cell r="E1037" t="str">
            <v>OrthoLite Regular GREEN/16-5932TPX Flat Sheet 0.13D 35+/-4 Asker C 1.1M 2M 3.5mm</v>
          </cell>
          <cell r="F1037">
            <v>120</v>
          </cell>
          <cell r="G1037">
            <v>120</v>
          </cell>
          <cell r="H1037">
            <v>0</v>
          </cell>
          <cell r="I1037">
            <v>120</v>
          </cell>
          <cell r="J1037"/>
          <cell r="K1037" t="str">
            <v>MPS</v>
          </cell>
          <cell r="L1037" t="str">
            <v>SPLITTING</v>
          </cell>
          <cell r="M1037">
            <v>2</v>
          </cell>
        </row>
        <row r="1038">
          <cell r="A1038" t="str">
            <v>F-2026-05-74</v>
          </cell>
          <cell r="B1038" t="str">
            <v>RPRO-260506-0355</v>
          </cell>
          <cell r="C1038"/>
          <cell r="D1038" t="str">
            <v>PVN-003300</v>
          </cell>
          <cell r="E1038" t="str">
            <v>OrthoLite Ultra-Hybrid SEEDPEARL/12-0703TPX Hybrid Flat Sheet 0.085D 25+/-4 Asker C 1.1M 2M 2mm</v>
          </cell>
          <cell r="F1038">
            <v>70</v>
          </cell>
          <cell r="G1038">
            <v>70</v>
          </cell>
          <cell r="H1038">
            <v>70</v>
          </cell>
          <cell r="I1038">
            <v>0</v>
          </cell>
          <cell r="J1038"/>
          <cell r="K1038" t="str">
            <v>MPS</v>
          </cell>
          <cell r="L1038" t="str">
            <v>SPLITTING</v>
          </cell>
          <cell r="M1038">
            <v>2</v>
          </cell>
        </row>
        <row r="1039">
          <cell r="A1039" t="str">
            <v>F-2026-05-75</v>
          </cell>
          <cell r="B1039" t="str">
            <v>RPRO-260506-0356</v>
          </cell>
          <cell r="C1039"/>
          <cell r="D1039" t="str">
            <v>PVN-004000</v>
          </cell>
          <cell r="E1039" t="str">
            <v>OrthoLite X-35-Nike YELLOW/13-0858TPX Flat Sheet 0.145D 25+/-4 Asker C 1.1M 2M 5.5mm</v>
          </cell>
          <cell r="F1039">
            <v>25</v>
          </cell>
          <cell r="G1039">
            <v>25</v>
          </cell>
          <cell r="H1039">
            <v>0</v>
          </cell>
          <cell r="I1039">
            <v>25</v>
          </cell>
          <cell r="J1039"/>
          <cell r="K1039" t="str">
            <v>MPS</v>
          </cell>
          <cell r="L1039" t="str">
            <v>SPLITTING</v>
          </cell>
          <cell r="M1039">
            <v>2</v>
          </cell>
        </row>
        <row r="1040">
          <cell r="A1040" t="str">
            <v>F-2026-05-76</v>
          </cell>
          <cell r="B1040" t="str">
            <v>RPRO-260506-0357</v>
          </cell>
          <cell r="C1040"/>
          <cell r="D1040" t="str">
            <v>PVN-003319</v>
          </cell>
          <cell r="E1040" t="str">
            <v>OrthoLite X-40 TRUE BLUE/19-4057TPX Flat Sheet 0.16D 25+/-4 Asker C 1.1M 1.7M 12mm</v>
          </cell>
          <cell r="F1040">
            <v>11</v>
          </cell>
          <cell r="G1040">
            <v>11</v>
          </cell>
          <cell r="H1040">
            <v>0</v>
          </cell>
          <cell r="I1040">
            <v>11</v>
          </cell>
          <cell r="J1040" t="str">
            <v>ASICS</v>
          </cell>
          <cell r="K1040" t="str">
            <v>Pr.Sch.R</v>
          </cell>
          <cell r="L1040" t="str">
            <v>MOLDED</v>
          </cell>
          <cell r="M1040" t="str">
            <v>1-RM-WIP</v>
          </cell>
        </row>
        <row r="1041">
          <cell r="A1041" t="str">
            <v>F-2026-05-77</v>
          </cell>
          <cell r="B1041" t="str">
            <v>RPRO-260506-0358</v>
          </cell>
          <cell r="C1041"/>
          <cell r="D1041" t="str">
            <v>PVN-003603</v>
          </cell>
          <cell r="E1041" t="str">
            <v>OrthoLite X-40 TRUE BLUE/19-4057TPX Flat Sheet 0.16D 25+/-4 Asker C 1.1M 1.47M 12mm</v>
          </cell>
          <cell r="F1041">
            <v>11</v>
          </cell>
          <cell r="G1041">
            <v>11</v>
          </cell>
          <cell r="H1041">
            <v>0</v>
          </cell>
          <cell r="I1041">
            <v>11</v>
          </cell>
          <cell r="J1041" t="str">
            <v>ASICS</v>
          </cell>
          <cell r="K1041" t="str">
            <v>Pr.Sch.R</v>
          </cell>
          <cell r="L1041" t="str">
            <v>MOLDED</v>
          </cell>
          <cell r="M1041" t="str">
            <v>1-RM-WIP</v>
          </cell>
        </row>
        <row r="1042">
          <cell r="A1042" t="str">
            <v>F-2026-05-78</v>
          </cell>
          <cell r="B1042" t="str">
            <v>RPRO-260506-0359</v>
          </cell>
          <cell r="C1042"/>
          <cell r="D1042" t="str">
            <v>PVN-004247</v>
          </cell>
          <cell r="E1042" t="str">
            <v>OrthoLite X-40-Hybrid-Nike SEEDPEARL/12-0703TPX Hybrid Flat Sheet 0.16D 25+/-4 Asker C 1.1M 2M 4.2mm</v>
          </cell>
          <cell r="F1042">
            <v>33</v>
          </cell>
          <cell r="G1042">
            <v>33</v>
          </cell>
          <cell r="H1042">
            <v>0</v>
          </cell>
          <cell r="I1042">
            <v>33</v>
          </cell>
          <cell r="J1042" t="str">
            <v>NIKE</v>
          </cell>
          <cell r="K1042" t="str">
            <v>Pr.Sch.R</v>
          </cell>
          <cell r="L1042" t="str">
            <v>MOLDED</v>
          </cell>
          <cell r="M1042">
            <v>1</v>
          </cell>
        </row>
        <row r="1043">
          <cell r="A1043" t="str">
            <v>F-2026-05-79</v>
          </cell>
          <cell r="B1043" t="str">
            <v>RPRO-260506-0360</v>
          </cell>
          <cell r="C1043"/>
          <cell r="D1043" t="str">
            <v>PVN-003895</v>
          </cell>
          <cell r="E1043" t="str">
            <v>OrthoLite X-40 RED/19-1764TPX Flat Sheet 0.16D 25+/-4 Asker C 1.1M 1.7M 5mm</v>
          </cell>
          <cell r="F1043">
            <v>112</v>
          </cell>
          <cell r="G1043">
            <v>112</v>
          </cell>
          <cell r="H1043">
            <v>0</v>
          </cell>
          <cell r="I1043">
            <v>112</v>
          </cell>
          <cell r="J1043" t="str">
            <v>PAYNTR</v>
          </cell>
          <cell r="K1043" t="str">
            <v>Pr.Sch.R</v>
          </cell>
          <cell r="L1043" t="str">
            <v>MOLDED</v>
          </cell>
          <cell r="M1043">
            <v>1</v>
          </cell>
        </row>
        <row r="1044">
          <cell r="A1044" t="str">
            <v>F-2026-05-80</v>
          </cell>
          <cell r="B1044" t="str">
            <v>RPRO-260506-0361</v>
          </cell>
          <cell r="C1044"/>
          <cell r="D1044" t="str">
            <v>PVN-003642</v>
          </cell>
          <cell r="E1044" t="str">
            <v>OrthoLite X-35-Hybrid-Nike SEEDPEARL/12-0703TPX Hybrid Flat Sheet 0.145D 25+/-4 Asker C 1.1M 2M 6.2mm</v>
          </cell>
          <cell r="F1044">
            <v>22</v>
          </cell>
          <cell r="G1044">
            <v>22</v>
          </cell>
          <cell r="H1044">
            <v>22</v>
          </cell>
          <cell r="I1044">
            <v>0</v>
          </cell>
          <cell r="J1044" t="str">
            <v>NIKE</v>
          </cell>
          <cell r="K1044" t="str">
            <v>Pr.Sch.R</v>
          </cell>
          <cell r="L1044" t="str">
            <v>MOLDED</v>
          </cell>
          <cell r="M1044">
            <v>1</v>
          </cell>
        </row>
        <row r="1045">
          <cell r="A1045" t="str">
            <v>F-2026-05-81</v>
          </cell>
          <cell r="B1045" t="str">
            <v>RPRO-260506-0362</v>
          </cell>
          <cell r="C1045"/>
          <cell r="D1045" t="str">
            <v>PVN-004168</v>
          </cell>
          <cell r="E1045" t="str">
            <v>OrthoLite X-40-Nike SEEDPEARL/12-0703TPX Flat Sheet 0.16D 35+/-4 Asker C 1.1M 2M 4.5mm</v>
          </cell>
          <cell r="F1045">
            <v>155</v>
          </cell>
          <cell r="G1045">
            <v>155</v>
          </cell>
          <cell r="H1045">
            <v>0</v>
          </cell>
          <cell r="I1045">
            <v>155</v>
          </cell>
          <cell r="J1045" t="str">
            <v>NIKE</v>
          </cell>
          <cell r="K1045" t="str">
            <v>Pr.Sch.R</v>
          </cell>
          <cell r="L1045" t="str">
            <v>MOLDED</v>
          </cell>
          <cell r="M1045">
            <v>1</v>
          </cell>
        </row>
        <row r="1046">
          <cell r="A1046" t="str">
            <v>F-2026-05-82</v>
          </cell>
          <cell r="B1046" t="str">
            <v>RPRO-260506-0363</v>
          </cell>
          <cell r="C1046"/>
          <cell r="D1046" t="str">
            <v>PVN-002325</v>
          </cell>
          <cell r="E1046" t="str">
            <v>OrthoLite Regular-Nike RED/19-1764TPX Flat Sheet 0.11D 25+/-4 Asker C 1.1M 2M 5.2mm</v>
          </cell>
          <cell r="F1046">
            <v>26</v>
          </cell>
          <cell r="G1046">
            <v>26</v>
          </cell>
          <cell r="H1046">
            <v>0</v>
          </cell>
          <cell r="I1046">
            <v>26</v>
          </cell>
          <cell r="J1046" t="str">
            <v>NIKE</v>
          </cell>
          <cell r="K1046" t="str">
            <v>Pr.Sch.R</v>
          </cell>
          <cell r="L1046" t="str">
            <v>MOLDED</v>
          </cell>
          <cell r="M1046">
            <v>1</v>
          </cell>
        </row>
        <row r="1047">
          <cell r="A1047" t="str">
            <v>F-2026-05-83</v>
          </cell>
          <cell r="B1047" t="str">
            <v>RPRO-260506-0364</v>
          </cell>
          <cell r="C1047"/>
          <cell r="D1047" t="str">
            <v>PVN-003238</v>
          </cell>
          <cell r="E1047" t="str">
            <v>OrthoLite Eco LT-Hybrid-Converse SEEDPEARL/12-0703TPX Hybrid Flat Sheet 0.11D 25+/-4 Asker C 1.1M 2M 5mm</v>
          </cell>
          <cell r="F1047">
            <v>252</v>
          </cell>
          <cell r="G1047">
            <v>252</v>
          </cell>
          <cell r="H1047">
            <v>0</v>
          </cell>
          <cell r="I1047">
            <v>252</v>
          </cell>
          <cell r="J1047" t="str">
            <v>CONVERSE</v>
          </cell>
          <cell r="K1047" t="str">
            <v>Pr.Sch.R</v>
          </cell>
          <cell r="L1047" t="str">
            <v>DIE CUT</v>
          </cell>
          <cell r="M1047">
            <v>1</v>
          </cell>
        </row>
        <row r="1048">
          <cell r="A1048" t="str">
            <v>F-2026-05-84</v>
          </cell>
          <cell r="B1048" t="str">
            <v>RPRO-260506-0365</v>
          </cell>
          <cell r="C1048"/>
          <cell r="D1048" t="str">
            <v>PVN-003517</v>
          </cell>
          <cell r="E1048" t="str">
            <v>OrthoLite Regular GREY/17-1501TPX Flat Sheet 0.16D 51+/-4 Asker C 1.1M 1.7M 12mm</v>
          </cell>
          <cell r="F1048">
            <v>11</v>
          </cell>
          <cell r="G1048">
            <v>11</v>
          </cell>
          <cell r="H1048">
            <v>0</v>
          </cell>
          <cell r="I1048">
            <v>11</v>
          </cell>
          <cell r="J1048" t="str">
            <v>CONVERSE</v>
          </cell>
          <cell r="K1048" t="str">
            <v>Pr.Sch.R</v>
          </cell>
          <cell r="L1048" t="str">
            <v>DIE CUT</v>
          </cell>
          <cell r="M1048">
            <v>1</v>
          </cell>
        </row>
        <row r="1049">
          <cell r="A1049" t="str">
            <v>F-2026-05-85</v>
          </cell>
          <cell r="B1049" t="str">
            <v>RPRO-260506-0366</v>
          </cell>
          <cell r="C1049"/>
          <cell r="D1049" t="str">
            <v>PVN-001553</v>
          </cell>
          <cell r="E1049" t="str">
            <v>OrthoLite Ultra-Nike YELLOW/13-0858TPX Flat Sheet 0.085D 15+/-4 Asker C 1.1M 2M 2mm</v>
          </cell>
          <cell r="F1049">
            <v>210</v>
          </cell>
          <cell r="G1049">
            <v>210</v>
          </cell>
          <cell r="H1049">
            <v>0</v>
          </cell>
          <cell r="I1049">
            <v>210</v>
          </cell>
          <cell r="J1049" t="str">
            <v>NIKE</v>
          </cell>
          <cell r="K1049" t="str">
            <v>Pr.Sch.R</v>
          </cell>
          <cell r="L1049" t="str">
            <v>DIE CUT</v>
          </cell>
          <cell r="M1049">
            <v>1</v>
          </cell>
        </row>
        <row r="1050">
          <cell r="A1050" t="str">
            <v>OIN-2026.05.05-01</v>
          </cell>
          <cell r="B1050" t="str">
            <v>RPRO-260507-0011</v>
          </cell>
          <cell r="C1050"/>
          <cell r="D1050" t="str">
            <v>PVN-003935</v>
          </cell>
          <cell r="E1050" t="str">
            <v>[116-205] Regular 15+/-4 Asker C 0.11D Burnt Sienna 17-1544 Tpx 1.10M X 2.00M 47mm</v>
          </cell>
          <cell r="F1050">
            <v>10</v>
          </cell>
          <cell r="G1050">
            <v>10</v>
          </cell>
          <cell r="H1050">
            <v>0</v>
          </cell>
          <cell r="I1050">
            <v>10</v>
          </cell>
          <cell r="J1050" t="str">
            <v>Clarks</v>
          </cell>
          <cell r="K1050" t="str">
            <v>PO-7239-SO-260506-0016</v>
          </cell>
          <cell r="L1050" t="str">
            <v>FLAT SHEET</v>
          </cell>
          <cell r="M1050">
            <v>2</v>
          </cell>
        </row>
        <row r="1051">
          <cell r="A1051" t="str">
            <v>OIN-2026.05.05-02</v>
          </cell>
          <cell r="B1051" t="str">
            <v>RPRO-260507-0014</v>
          </cell>
          <cell r="C1051"/>
          <cell r="D1051" t="str">
            <v>PVN-004318</v>
          </cell>
          <cell r="E1051" t="str">
            <v>[116-15588] Regular 45+/-4 Asker C 0.15D Fossil 17-0909 Tpx 1.10M X 2.00M 47mm</v>
          </cell>
          <cell r="F1051">
            <v>13</v>
          </cell>
          <cell r="G1051">
            <v>13</v>
          </cell>
          <cell r="H1051">
            <v>0</v>
          </cell>
          <cell r="I1051">
            <v>13</v>
          </cell>
          <cell r="J1051" t="str">
            <v>Clarks</v>
          </cell>
          <cell r="K1051" t="str">
            <v>PO-7239-SO-260506-0017</v>
          </cell>
          <cell r="L1051" t="str">
            <v>FLAT SHEET</v>
          </cell>
          <cell r="M1051">
            <v>2</v>
          </cell>
        </row>
        <row r="1052">
          <cell r="A1052" t="str">
            <v>F-2026-05-86</v>
          </cell>
          <cell r="B1052" t="str">
            <v>RPRO-260507-0662</v>
          </cell>
          <cell r="C1052"/>
          <cell r="D1052" t="str">
            <v>PVN-001662</v>
          </cell>
          <cell r="E1052" t="str">
            <v>OrthoLite Regular-Nike AIR BLUE/16-4134TPX Flat Sheet 0.11D 25+/-4 Asker C 1.1M 2M 4.5mm</v>
          </cell>
          <cell r="F1052">
            <v>217</v>
          </cell>
          <cell r="G1052">
            <v>217</v>
          </cell>
          <cell r="H1052">
            <v>0</v>
          </cell>
          <cell r="I1052">
            <v>217</v>
          </cell>
          <cell r="J1052"/>
          <cell r="K1052" t="str">
            <v>MPS</v>
          </cell>
          <cell r="L1052" t="str">
            <v>SPLITTING</v>
          </cell>
          <cell r="M1052">
            <v>2</v>
          </cell>
        </row>
        <row r="1053">
          <cell r="A1053" t="str">
            <v>F-2026-05-87</v>
          </cell>
          <cell r="B1053" t="str">
            <v>RPRO-260507-0663</v>
          </cell>
          <cell r="C1053"/>
          <cell r="D1053" t="str">
            <v>PVN-001550</v>
          </cell>
          <cell r="E1053" t="str">
            <v>OrthoLite Regular-Nike AIR BLUE/16-4134TPX Flat Sheet 0.11D 25+/-4 Asker C 1.1M 1.7M 2mm</v>
          </cell>
          <cell r="F1053">
            <v>70</v>
          </cell>
          <cell r="G1053">
            <v>70</v>
          </cell>
          <cell r="H1053">
            <v>0</v>
          </cell>
          <cell r="I1053">
            <v>70</v>
          </cell>
          <cell r="J1053" t="str">
            <v>NIKE</v>
          </cell>
          <cell r="K1053" t="str">
            <v>Pr.Sch.R</v>
          </cell>
          <cell r="L1053" t="str">
            <v>LAMINATING</v>
          </cell>
          <cell r="M1053">
            <v>1</v>
          </cell>
        </row>
        <row r="1054">
          <cell r="A1054" t="str">
            <v>F-2026-05-88</v>
          </cell>
          <cell r="B1054" t="str">
            <v>RPRO-260507-0664</v>
          </cell>
          <cell r="C1054"/>
          <cell r="D1054" t="str">
            <v>PVN-000121</v>
          </cell>
          <cell r="E1054" t="str">
            <v>OrthoLite Regular AIR BLUE/16-4134TPX Flat Sheet 0.13D 35+/-4 Asker C 1.1M 2M 12mm</v>
          </cell>
          <cell r="F1054">
            <v>11</v>
          </cell>
          <cell r="G1054">
            <v>11</v>
          </cell>
          <cell r="H1054">
            <v>0</v>
          </cell>
          <cell r="I1054">
            <v>11</v>
          </cell>
          <cell r="J1054" t="str">
            <v>ASICS</v>
          </cell>
          <cell r="K1054" t="str">
            <v>Pr.Sch.R</v>
          </cell>
          <cell r="L1054" t="str">
            <v>MOLDED</v>
          </cell>
          <cell r="M1054" t="str">
            <v>1-RM-WIP</v>
          </cell>
        </row>
        <row r="1055">
          <cell r="A1055" t="str">
            <v>F-2026-05-89</v>
          </cell>
          <cell r="B1055" t="str">
            <v>RPRO-260507-0665</v>
          </cell>
          <cell r="C1055"/>
          <cell r="D1055" t="str">
            <v>PVN-000505</v>
          </cell>
          <cell r="E1055" t="str">
            <v>OrthoLite Regular LIME GREEN/14-0452TPX Flat Sheet 0.11D 25+/-4 Asker C 1.1M 2M 12mm</v>
          </cell>
          <cell r="F1055">
            <v>132</v>
          </cell>
          <cell r="G1055">
            <v>132</v>
          </cell>
          <cell r="H1055">
            <v>0</v>
          </cell>
          <cell r="I1055">
            <v>132</v>
          </cell>
          <cell r="J1055" t="str">
            <v>ASICS</v>
          </cell>
          <cell r="K1055" t="str">
            <v>Pr.Sch.R</v>
          </cell>
          <cell r="L1055" t="str">
            <v>MOLDED</v>
          </cell>
          <cell r="M1055" t="str">
            <v>1-RM-WIP</v>
          </cell>
        </row>
        <row r="1056">
          <cell r="A1056" t="str">
            <v>F-2026-05-90</v>
          </cell>
          <cell r="B1056" t="str">
            <v>RPRO-260507-0666</v>
          </cell>
          <cell r="C1056"/>
          <cell r="D1056" t="str">
            <v>PVN-003692</v>
          </cell>
          <cell r="E1056" t="str">
            <v>OrthoLite Ultra-Hybrid SEEDPEARL/12-0703TPX Hybrid Flat Sheet 0.095D 33+/-4 Asker C 1.1M 2M 15.5mm</v>
          </cell>
          <cell r="F1056">
            <v>112</v>
          </cell>
          <cell r="G1056">
            <v>112</v>
          </cell>
          <cell r="H1056">
            <v>0</v>
          </cell>
          <cell r="I1056">
            <v>112</v>
          </cell>
          <cell r="J1056" t="str">
            <v>GARMONT</v>
          </cell>
          <cell r="K1056" t="str">
            <v>Pr.Sch.R</v>
          </cell>
          <cell r="L1056" t="str">
            <v>MOLDED</v>
          </cell>
          <cell r="M1056">
            <v>1</v>
          </cell>
        </row>
        <row r="1057">
          <cell r="A1057" t="str">
            <v>F-2026-05-91</v>
          </cell>
          <cell r="B1057" t="str">
            <v>RPRO-260507-0667</v>
          </cell>
          <cell r="C1057"/>
          <cell r="D1057" t="str">
            <v>PVN-002699</v>
          </cell>
          <cell r="E1057" t="str">
            <v>OrthoLite Regular-Hybrid SEEDPEARL/12-0703TPX Hybrid Flat Sheet 0.11D 25+/-4 Asker C 1.1M 2M 4.5mm</v>
          </cell>
          <cell r="F1057">
            <v>31</v>
          </cell>
          <cell r="G1057">
            <v>31</v>
          </cell>
          <cell r="H1057">
            <v>31</v>
          </cell>
          <cell r="I1057">
            <v>0</v>
          </cell>
          <cell r="J1057" t="str">
            <v>ASICS</v>
          </cell>
          <cell r="K1057" t="str">
            <v>Pr.Sch.R</v>
          </cell>
          <cell r="L1057" t="str">
            <v>DIE CUT</v>
          </cell>
          <cell r="M1057">
            <v>1</v>
          </cell>
        </row>
        <row r="1058">
          <cell r="A1058" t="str">
            <v>F-2026-05-92</v>
          </cell>
          <cell r="B1058" t="str">
            <v>RPRO-260507-0668</v>
          </cell>
          <cell r="C1058"/>
          <cell r="D1058" t="str">
            <v>PVN-002973</v>
          </cell>
          <cell r="E1058" t="str">
            <v>OrthoLite Ultra-Hybrid SEEDPEARL/12-0703TPX Hybrid Flat Sheet 0.085D 25+/-4 Asker C 1.1M 2M 4.5mm</v>
          </cell>
          <cell r="F1058">
            <v>1364</v>
          </cell>
          <cell r="G1058">
            <v>1364</v>
          </cell>
          <cell r="H1058">
            <v>0</v>
          </cell>
          <cell r="I1058">
            <v>1364</v>
          </cell>
          <cell r="J1058" t="str">
            <v>SALOMON</v>
          </cell>
          <cell r="K1058" t="str">
            <v>Pr.Sch.R</v>
          </cell>
          <cell r="L1058" t="str">
            <v>MOLDED</v>
          </cell>
          <cell r="M1058">
            <v>1</v>
          </cell>
        </row>
        <row r="1059">
          <cell r="A1059" t="str">
            <v>F-2026-05-93</v>
          </cell>
          <cell r="B1059" t="str">
            <v>RPRO-260507-0669</v>
          </cell>
          <cell r="C1059"/>
          <cell r="D1059" t="str">
            <v>PVN-004293</v>
          </cell>
          <cell r="E1059" t="str">
            <v>OrthoLite Regular NEUTRAL GRAY/17-4402TPX Flat Sheet 0.13D 15+/-4 Asker C 1.1M 2M 22mm</v>
          </cell>
          <cell r="F1059">
            <v>6</v>
          </cell>
          <cell r="G1059">
            <v>6</v>
          </cell>
          <cell r="H1059">
            <v>0</v>
          </cell>
          <cell r="I1059">
            <v>6</v>
          </cell>
          <cell r="J1059" t="str">
            <v>TRAVIS MATHEW</v>
          </cell>
          <cell r="K1059" t="str">
            <v>Pr.Sch.R</v>
          </cell>
          <cell r="L1059" t="str">
            <v>MOLDED</v>
          </cell>
          <cell r="M1059">
            <v>1</v>
          </cell>
        </row>
        <row r="1060">
          <cell r="A1060" t="str">
            <v>F-2026-05-94</v>
          </cell>
          <cell r="B1060" t="str">
            <v>RPRO-260507-0670</v>
          </cell>
          <cell r="C1060"/>
          <cell r="D1060" t="str">
            <v>PVN-004177</v>
          </cell>
          <cell r="E1060" t="str">
            <v>OrthoLite Float SEEDPEARL/12-0703TPX Flat Sheet 0.12D 21+/-4 Asker C 1.1M 2M 5.5mm</v>
          </cell>
          <cell r="F1060">
            <v>25</v>
          </cell>
          <cell r="G1060">
            <v>25</v>
          </cell>
          <cell r="H1060">
            <v>0</v>
          </cell>
          <cell r="I1060">
            <v>25</v>
          </cell>
          <cell r="J1060" t="str">
            <v>ON RUNNING</v>
          </cell>
          <cell r="K1060" t="str">
            <v>Pr.Sch.R</v>
          </cell>
          <cell r="L1060" t="str">
            <v>MOLDED</v>
          </cell>
          <cell r="M1060">
            <v>1</v>
          </cell>
        </row>
        <row r="1061">
          <cell r="A1061" t="str">
            <v>F-2026-05-95</v>
          </cell>
          <cell r="B1061" t="str">
            <v>RPRO-260507-0671</v>
          </cell>
          <cell r="C1061"/>
          <cell r="D1061" t="str">
            <v>PVN-003752</v>
          </cell>
          <cell r="E1061" t="str">
            <v>OrthoLite X-25-Hybrid SEEDPEARL/12-0703TPX Hybrid Flat Sheet 0.12D 20+/-4 Asker C 1.1M 1.47M 4.5mm</v>
          </cell>
          <cell r="F1061">
            <v>434</v>
          </cell>
          <cell r="G1061">
            <v>434</v>
          </cell>
          <cell r="H1061">
            <v>0</v>
          </cell>
          <cell r="I1061">
            <v>434</v>
          </cell>
          <cell r="J1061" t="str">
            <v>ON RUNNING</v>
          </cell>
          <cell r="K1061" t="str">
            <v>Pr.Sch.R</v>
          </cell>
          <cell r="L1061" t="str">
            <v>MOLDED</v>
          </cell>
          <cell r="M1061">
            <v>1</v>
          </cell>
        </row>
        <row r="1062">
          <cell r="A1062" t="str">
            <v>F-2026-05-96</v>
          </cell>
          <cell r="B1062" t="str">
            <v>RPRO-260507-0672</v>
          </cell>
          <cell r="C1062"/>
          <cell r="D1062" t="str">
            <v>PVN-003458</v>
          </cell>
          <cell r="E1062" t="str">
            <v>OrthoLite X-25-Hybrid SEEDPEARL/12-0703TPX Hybrid Flat Sheet 0.12D 20+/-4 Asker C 1.1M 2M 4mm</v>
          </cell>
          <cell r="F1062">
            <v>70</v>
          </cell>
          <cell r="G1062">
            <v>70</v>
          </cell>
          <cell r="H1062">
            <v>0</v>
          </cell>
          <cell r="I1062">
            <v>70</v>
          </cell>
          <cell r="J1062" t="str">
            <v>ON RUNNING</v>
          </cell>
          <cell r="K1062" t="str">
            <v>Pr.Sch.R</v>
          </cell>
          <cell r="L1062" t="str">
            <v>DIE CUT</v>
          </cell>
          <cell r="M1062">
            <v>1</v>
          </cell>
        </row>
        <row r="1063">
          <cell r="A1063" t="str">
            <v>F-2026-05-97</v>
          </cell>
          <cell r="B1063" t="str">
            <v>RPRO-260507-0673</v>
          </cell>
          <cell r="C1063"/>
          <cell r="D1063" t="str">
            <v>PVN-004070</v>
          </cell>
          <cell r="E1063" t="str">
            <v>OrthoLite Regular-Nike AIR BLUE/16-4134TPX Flat Sheet 0.11D 25+/-4 Asker C 1.1M 1.47M 4.2mm</v>
          </cell>
          <cell r="F1063">
            <v>1023</v>
          </cell>
          <cell r="G1063">
            <v>1023</v>
          </cell>
          <cell r="H1063">
            <v>0</v>
          </cell>
          <cell r="I1063">
            <v>1023</v>
          </cell>
          <cell r="J1063" t="str">
            <v>NIKE</v>
          </cell>
          <cell r="K1063" t="str">
            <v>Pr.Sch.R</v>
          </cell>
          <cell r="L1063" t="str">
            <v>MOLDED</v>
          </cell>
          <cell r="M1063">
            <v>1</v>
          </cell>
        </row>
        <row r="1064">
          <cell r="A1064" t="str">
            <v>F-2026-05-98</v>
          </cell>
          <cell r="B1064" t="str">
            <v>RPRO-260507-0674</v>
          </cell>
          <cell r="C1064"/>
          <cell r="D1064" t="str">
            <v>PVN-004409</v>
          </cell>
          <cell r="E1064" t="str">
            <v>OrthoLite Ultra LIME GREEN/14-0452TPX Flat Sheet 0.095D 33+/-4 Asker C 1.1M 2M 6mm</v>
          </cell>
          <cell r="F1064">
            <v>69</v>
          </cell>
          <cell r="G1064">
            <v>69</v>
          </cell>
          <cell r="H1064">
            <v>0</v>
          </cell>
          <cell r="I1064">
            <v>69</v>
          </cell>
          <cell r="J1064" t="str">
            <v>PATRICK</v>
          </cell>
          <cell r="K1064" t="str">
            <v>Pr.Sch.R</v>
          </cell>
          <cell r="L1064" t="str">
            <v>MOLDED</v>
          </cell>
          <cell r="M1064">
            <v>1</v>
          </cell>
        </row>
        <row r="1065">
          <cell r="A1065" t="str">
            <v>F-2026-05-99</v>
          </cell>
          <cell r="B1065" t="str">
            <v>RPRO-260508-0410</v>
          </cell>
          <cell r="C1065"/>
          <cell r="D1065" t="str">
            <v>PVN-000102</v>
          </cell>
          <cell r="E1065" t="str">
            <v>OrthoLite Regular AIR BLUE/16-4134TPX Flat Sheet 0.11D 25+/-4 Asker C 1.1M 2M 4mm</v>
          </cell>
          <cell r="F1065">
            <v>35</v>
          </cell>
          <cell r="G1065">
            <v>35</v>
          </cell>
          <cell r="H1065">
            <v>0</v>
          </cell>
          <cell r="I1065">
            <v>35</v>
          </cell>
          <cell r="J1065"/>
          <cell r="K1065" t="str">
            <v>MPS</v>
          </cell>
          <cell r="L1065" t="str">
            <v>SPLITTING</v>
          </cell>
          <cell r="M1065">
            <v>2</v>
          </cell>
        </row>
        <row r="1066">
          <cell r="A1066" t="str">
            <v>F-2026-05-100</v>
          </cell>
          <cell r="B1066" t="str">
            <v>RPRO-260508-0411</v>
          </cell>
          <cell r="C1066"/>
          <cell r="D1066" t="str">
            <v>PVN-003300</v>
          </cell>
          <cell r="E1066" t="str">
            <v>OrthoLite Ultra-Hybrid SEEDPEARL/12-0703TPX Hybrid Flat Sheet 0.085D 25+/-4 Asker C 1.1M 2M 2mm</v>
          </cell>
          <cell r="F1066">
            <v>70</v>
          </cell>
          <cell r="G1066">
            <v>70</v>
          </cell>
          <cell r="H1066">
            <v>70</v>
          </cell>
          <cell r="I1066">
            <v>0</v>
          </cell>
          <cell r="J1066"/>
          <cell r="K1066" t="str">
            <v>MPS</v>
          </cell>
          <cell r="L1066" t="str">
            <v>SPLITTING</v>
          </cell>
          <cell r="M1066">
            <v>2</v>
          </cell>
        </row>
        <row r="1067">
          <cell r="A1067" t="str">
            <v>F-2026-05-101</v>
          </cell>
          <cell r="B1067" t="str">
            <v>RPRO-260508-0412</v>
          </cell>
          <cell r="C1067"/>
          <cell r="D1067" t="str">
            <v>PVN-003425</v>
          </cell>
          <cell r="E1067" t="str">
            <v>OrthoLite Ultra SEEDPEARL/12-0703TPX Flat Sheet 0.085D 78-90 Asker F 1.1M 2M 4mm</v>
          </cell>
          <cell r="F1067">
            <v>35</v>
          </cell>
          <cell r="G1067">
            <v>35</v>
          </cell>
          <cell r="H1067">
            <v>0</v>
          </cell>
          <cell r="I1067">
            <v>35</v>
          </cell>
          <cell r="J1067"/>
          <cell r="K1067" t="str">
            <v>MPS</v>
          </cell>
          <cell r="L1067" t="str">
            <v>SPLITTING</v>
          </cell>
          <cell r="M1067">
            <v>2</v>
          </cell>
        </row>
        <row r="1068">
          <cell r="A1068" t="str">
            <v>F-2026-05-102</v>
          </cell>
          <cell r="B1068" t="str">
            <v>RPRO-260508-0413</v>
          </cell>
          <cell r="C1068"/>
          <cell r="D1068" t="str">
            <v>PVN-001550</v>
          </cell>
          <cell r="E1068" t="str">
            <v>OrthoLite Regular-Nike AIR BLUE/16-4134TPX Flat Sheet 0.11D 25+/-4 Asker C 1.1M 1.7M 2mm</v>
          </cell>
          <cell r="F1068">
            <v>140</v>
          </cell>
          <cell r="G1068">
            <v>140</v>
          </cell>
          <cell r="H1068">
            <v>0</v>
          </cell>
          <cell r="I1068">
            <v>140</v>
          </cell>
          <cell r="J1068" t="str">
            <v>NIKE</v>
          </cell>
          <cell r="K1068" t="str">
            <v>Pr.Sch.R</v>
          </cell>
          <cell r="L1068" t="str">
            <v>LAMINATING</v>
          </cell>
          <cell r="M1068">
            <v>1</v>
          </cell>
        </row>
        <row r="1069">
          <cell r="A1069" t="str">
            <v>F-2026-05-103</v>
          </cell>
          <cell r="B1069" t="str">
            <v>RPRO-260508-0414</v>
          </cell>
          <cell r="C1069"/>
          <cell r="D1069" t="str">
            <v>PVN-003234</v>
          </cell>
          <cell r="E1069" t="str">
            <v>OrthoLite X-35-Hybrid SEEDPEARL/12-0703TPX Hybrid Flat Sheet 0.145D 25+/-4 Asker C 1.1M 2M 5.5mm</v>
          </cell>
          <cell r="F1069">
            <v>250</v>
          </cell>
          <cell r="G1069">
            <v>250</v>
          </cell>
          <cell r="H1069">
            <v>0</v>
          </cell>
          <cell r="I1069">
            <v>250</v>
          </cell>
          <cell r="J1069" t="str">
            <v>PUMA</v>
          </cell>
          <cell r="K1069" t="str">
            <v>Pr.Sch.R</v>
          </cell>
          <cell r="L1069" t="str">
            <v>MOLDED</v>
          </cell>
          <cell r="M1069">
            <v>1</v>
          </cell>
        </row>
        <row r="1070">
          <cell r="A1070" t="str">
            <v>F-2026-05-104</v>
          </cell>
          <cell r="B1070" t="str">
            <v>RPRO-260508-0415</v>
          </cell>
          <cell r="C1070"/>
          <cell r="D1070" t="str">
            <v>PVN-004247</v>
          </cell>
          <cell r="E1070" t="str">
            <v>OrthoLite X-40-Hybrid-Nike SEEDPEARL/12-0703TPX Hybrid Flat Sheet 0.16D 25+/-4 Asker C 1.1M 2M 4.2mm</v>
          </cell>
          <cell r="F1070">
            <v>297</v>
          </cell>
          <cell r="G1070">
            <v>297</v>
          </cell>
          <cell r="H1070">
            <v>0</v>
          </cell>
          <cell r="I1070">
            <v>297</v>
          </cell>
          <cell r="J1070" t="str">
            <v>NIKE</v>
          </cell>
          <cell r="K1070" t="str">
            <v>Pr.Sch.R</v>
          </cell>
          <cell r="L1070" t="str">
            <v>MOLDED</v>
          </cell>
          <cell r="M1070">
            <v>1</v>
          </cell>
        </row>
        <row r="1071">
          <cell r="A1071" t="str">
            <v>F-2026-05-105</v>
          </cell>
          <cell r="B1071" t="str">
            <v>RPRO-260508-0416</v>
          </cell>
          <cell r="C1071"/>
          <cell r="D1071" t="str">
            <v>PVN-003642</v>
          </cell>
          <cell r="E1071" t="str">
            <v>OrthoLite X-35-Hybrid-Nike SEEDPEARL/12-0703TPX Hybrid Flat Sheet 0.145D 25+/-4 Asker C 1.1M 2M 6.2mm</v>
          </cell>
          <cell r="F1071">
            <v>418</v>
          </cell>
          <cell r="G1071">
            <v>418</v>
          </cell>
          <cell r="H1071">
            <v>0</v>
          </cell>
          <cell r="I1071">
            <v>418</v>
          </cell>
          <cell r="J1071" t="str">
            <v>NIKE</v>
          </cell>
          <cell r="K1071" t="str">
            <v>Pr.Sch.R</v>
          </cell>
          <cell r="L1071" t="str">
            <v>MOLDED</v>
          </cell>
          <cell r="M1071">
            <v>1</v>
          </cell>
        </row>
        <row r="1072">
          <cell r="A1072" t="str">
            <v>F-2026-05-106</v>
          </cell>
          <cell r="B1072" t="str">
            <v>RPRO-260508-0417</v>
          </cell>
          <cell r="C1072"/>
          <cell r="D1072" t="str">
            <v>PVN-004061</v>
          </cell>
          <cell r="E1072" t="str">
            <v>OrthoLite X-55 RED/19-1764TPX Flat Sheet 0.16D 25+/-4 Asker C 1.1M 1.47M 18mm</v>
          </cell>
          <cell r="F1072">
            <v>7</v>
          </cell>
          <cell r="G1072">
            <v>7</v>
          </cell>
          <cell r="H1072">
            <v>0</v>
          </cell>
          <cell r="I1072">
            <v>7</v>
          </cell>
          <cell r="J1072" t="str">
            <v>WILSON</v>
          </cell>
          <cell r="K1072" t="str">
            <v>Pr.Sch.R</v>
          </cell>
          <cell r="L1072" t="str">
            <v>MOLDED</v>
          </cell>
          <cell r="M1072">
            <v>1</v>
          </cell>
        </row>
        <row r="1073">
          <cell r="A1073" t="str">
            <v>F-2026-05-107</v>
          </cell>
          <cell r="B1073" t="str">
            <v>RPRO-260508-0418</v>
          </cell>
          <cell r="C1073"/>
          <cell r="D1073" t="str">
            <v>PVN-002325</v>
          </cell>
          <cell r="E1073" t="str">
            <v>OrthoLite Regular-Nike RED/19-1764TPX Flat Sheet 0.11D 25+/-4 Asker C 1.1M 2M 5.2mm</v>
          </cell>
          <cell r="F1073">
            <v>390</v>
          </cell>
          <cell r="G1073">
            <v>390</v>
          </cell>
          <cell r="H1073">
            <v>0</v>
          </cell>
          <cell r="I1073">
            <v>390</v>
          </cell>
          <cell r="J1073" t="str">
            <v>NIKE</v>
          </cell>
          <cell r="K1073" t="str">
            <v>Pr.Sch.R</v>
          </cell>
          <cell r="L1073" t="str">
            <v>MOLDED</v>
          </cell>
          <cell r="M1073">
            <v>1</v>
          </cell>
        </row>
        <row r="1074">
          <cell r="A1074" t="str">
            <v>F-2026-05-108</v>
          </cell>
          <cell r="B1074" t="str">
            <v>RPRO-260508-0419</v>
          </cell>
          <cell r="C1074"/>
          <cell r="D1074" t="str">
            <v>PVN-003462</v>
          </cell>
          <cell r="E1074" t="str">
            <v>OrthoLite HybridPlus-Recycled MINT GREEN/11-4805TPX Hybrid Flat Sheet 0.12D 25+/-4 Asker C 1.1M 2M 12mm</v>
          </cell>
          <cell r="F1074">
            <v>1672</v>
          </cell>
          <cell r="G1074">
            <v>1672</v>
          </cell>
          <cell r="H1074">
            <v>0</v>
          </cell>
          <cell r="I1074">
            <v>1672</v>
          </cell>
          <cell r="J1074" t="str">
            <v>BROOKS</v>
          </cell>
          <cell r="K1074" t="str">
            <v>Pr.Sch.R</v>
          </cell>
          <cell r="L1074" t="str">
            <v>MOLDED</v>
          </cell>
          <cell r="M1074">
            <v>1</v>
          </cell>
        </row>
        <row r="1075">
          <cell r="A1075" t="str">
            <v>F-2026-05-109</v>
          </cell>
          <cell r="B1075" t="str">
            <v>FPRO-260507-0008</v>
          </cell>
          <cell r="C1075"/>
          <cell r="D1075" t="str">
            <v>PVN-002478</v>
          </cell>
          <cell r="E1075" t="str">
            <v>OrthoLite Eco LT-Hybrid SEEDPEARL/12-0703TPX Hybrid 0.11D 25+/-4 Asker C 1.1M 2M 4mm</v>
          </cell>
          <cell r="F1075">
            <v>1800</v>
          </cell>
          <cell r="G1075">
            <v>1800</v>
          </cell>
          <cell r="H1075">
            <v>0</v>
          </cell>
          <cell r="I1075">
            <v>1800</v>
          </cell>
          <cell r="J1075" t="str">
            <v>NEW BALANCE</v>
          </cell>
          <cell r="K1075" t="str">
            <v>Forecast</v>
          </cell>
          <cell r="L1075" t="str">
            <v>DIE CUT</v>
          </cell>
          <cell r="M1075">
            <v>1</v>
          </cell>
        </row>
        <row r="1076">
          <cell r="A1076" t="str">
            <v>F-2026-05-110</v>
          </cell>
          <cell r="B1076" t="str">
            <v>FPRO-260506-0014</v>
          </cell>
          <cell r="C1076"/>
          <cell r="D1076" t="str">
            <v>PVN-003745</v>
          </cell>
          <cell r="E1076" t="str">
            <v>OrthoLite X-25 BILLIARD/16-5427TPX Flat Sheet 0.12D 20+/-4 Asker C 1.1M 2M 16mm</v>
          </cell>
          <cell r="F1076">
            <v>250</v>
          </cell>
          <cell r="G1076">
            <v>250</v>
          </cell>
          <cell r="H1076">
            <v>0</v>
          </cell>
          <cell r="I1076">
            <v>250</v>
          </cell>
          <cell r="J1076" t="str">
            <v>FOOTJOY</v>
          </cell>
          <cell r="K1076" t="str">
            <v>Forecast</v>
          </cell>
          <cell r="L1076" t="str">
            <v>MOLDED</v>
          </cell>
          <cell r="M1076">
            <v>1</v>
          </cell>
        </row>
        <row r="1077">
          <cell r="A1077" t="str">
            <v>F-2026-05-111</v>
          </cell>
          <cell r="B1077" t="str">
            <v>FPRO-260506-0015</v>
          </cell>
          <cell r="C1077"/>
          <cell r="D1077" t="str">
            <v>PVN-003745</v>
          </cell>
          <cell r="E1077" t="str">
            <v>OrthoLite X-25 BILLIARD/16-5427TPX Flat Sheet 0.12D 20+/-4 Asker C 1.1M 2M 16mm</v>
          </cell>
          <cell r="F1077">
            <v>250</v>
          </cell>
          <cell r="G1077">
            <v>250</v>
          </cell>
          <cell r="H1077">
            <v>0</v>
          </cell>
          <cell r="I1077">
            <v>250</v>
          </cell>
          <cell r="J1077" t="str">
            <v>FOOTJOY</v>
          </cell>
          <cell r="K1077" t="str">
            <v>Forecast</v>
          </cell>
          <cell r="L1077" t="str">
            <v>MOLDED</v>
          </cell>
          <cell r="M1077">
            <v>1</v>
          </cell>
        </row>
        <row r="1078">
          <cell r="A1078" t="str">
            <v>F-2026-05-112</v>
          </cell>
          <cell r="B1078" t="str">
            <v>FPRO-260506-0016</v>
          </cell>
          <cell r="C1078"/>
          <cell r="D1078" t="str">
            <v>PVN-003745</v>
          </cell>
          <cell r="E1078" t="str">
            <v>OrthoLite X-25 BILLIARD/16-5427TPX Flat Sheet 0.12D 20+/-4 Asker C 1.1M 2M 16mm</v>
          </cell>
          <cell r="F1078">
            <v>250</v>
          </cell>
          <cell r="G1078">
            <v>250</v>
          </cell>
          <cell r="H1078">
            <v>0</v>
          </cell>
          <cell r="I1078">
            <v>250</v>
          </cell>
          <cell r="J1078" t="str">
            <v>FOOTJOY</v>
          </cell>
          <cell r="K1078" t="str">
            <v>Forecast</v>
          </cell>
          <cell r="L1078" t="str">
            <v>MOLDED</v>
          </cell>
          <cell r="M1078">
            <v>1</v>
          </cell>
        </row>
        <row r="1079">
          <cell r="A1079" t="str">
            <v>F-2026-05-113</v>
          </cell>
          <cell r="B1079" t="str">
            <v>FPRO-260506-0017</v>
          </cell>
          <cell r="C1079"/>
          <cell r="D1079" t="str">
            <v>PVN-003745</v>
          </cell>
          <cell r="E1079" t="str">
            <v>OrthoLite X-25 BILLIARD/16-5427TPX Flat Sheet 0.12D 20+/-4 Asker C 1.1M 2M 16mm</v>
          </cell>
          <cell r="F1079">
            <v>236</v>
          </cell>
          <cell r="G1079">
            <v>236</v>
          </cell>
          <cell r="H1079">
            <v>0</v>
          </cell>
          <cell r="I1079">
            <v>236</v>
          </cell>
          <cell r="J1079" t="str">
            <v>FOOTJOY</v>
          </cell>
          <cell r="K1079" t="str">
            <v>Forecast</v>
          </cell>
          <cell r="L1079" t="str">
            <v>MOLDED</v>
          </cell>
          <cell r="M1079">
            <v>1</v>
          </cell>
        </row>
        <row r="1080">
          <cell r="A1080" t="str">
            <v>OIN-2026.05.08-01</v>
          </cell>
          <cell r="B1080" t="str">
            <v>RPRO-260511-0353</v>
          </cell>
          <cell r="C1080"/>
          <cell r="D1080" t="str">
            <v>PVN-004411</v>
          </cell>
          <cell r="E1080" t="str">
            <v>[116-18285] Float 21+/-4 Asker C 0.12D Neutral Grey 17-4402 TPX 1.10M X 2.00M 47mm</v>
          </cell>
          <cell r="F1080">
            <v>10</v>
          </cell>
          <cell r="G1080">
            <v>10</v>
          </cell>
          <cell r="H1080">
            <v>0</v>
          </cell>
          <cell r="I1080">
            <v>10</v>
          </cell>
          <cell r="J1080" t="str">
            <v>Puma</v>
          </cell>
          <cell r="K1080" t="str">
            <v>PO-7260-SO-260508-0172</v>
          </cell>
          <cell r="L1080" t="str">
            <v>FLAT SHEET</v>
          </cell>
          <cell r="M1080">
            <v>2</v>
          </cell>
        </row>
        <row r="1081">
          <cell r="A1081" t="str">
            <v>OIN-2026.05.08-02</v>
          </cell>
          <cell r="B1081" t="str">
            <v>RPRO-260511-0354</v>
          </cell>
          <cell r="C1081"/>
          <cell r="D1081" t="str">
            <v>PVN-004178</v>
          </cell>
          <cell r="E1081" t="str">
            <v>[116-18286] Float 21+/-4 Asker C 0.12D Neutral Grey 17-4402 TPX 1.10M X 2.00M 5.5mm</v>
          </cell>
          <cell r="F1081">
            <v>10</v>
          </cell>
          <cell r="G1081">
            <v>10</v>
          </cell>
          <cell r="H1081">
            <v>0</v>
          </cell>
          <cell r="I1081">
            <v>10</v>
          </cell>
          <cell r="J1081" t="str">
            <v>Puma</v>
          </cell>
          <cell r="K1081" t="str">
            <v>PO-7260-SO-260508-0173</v>
          </cell>
          <cell r="L1081" t="str">
            <v>FLAT SHEET</v>
          </cell>
          <cell r="M1081">
            <v>2</v>
          </cell>
        </row>
        <row r="1082">
          <cell r="A1082" t="str">
            <v>OIN-2026.05.08-03</v>
          </cell>
          <cell r="B1082" t="str">
            <v>RPRO-260511-0355</v>
          </cell>
          <cell r="C1082"/>
          <cell r="D1082" t="str">
            <v>PVN-004412</v>
          </cell>
          <cell r="E1082" t="str">
            <v xml:space="preserve">[116-18348] Float 21+/-4 Asker C 0.12D Blue Atoll 16-4535 Tpx 1.10M X 2.00M 47mm </v>
          </cell>
          <cell r="F1082">
            <v>10</v>
          </cell>
          <cell r="G1082">
            <v>10</v>
          </cell>
          <cell r="H1082">
            <v>0</v>
          </cell>
          <cell r="I1082">
            <v>10</v>
          </cell>
          <cell r="J1082" t="str">
            <v>OIN Marketing</v>
          </cell>
          <cell r="K1082" t="str">
            <v>PO-7260-SO-260508-0174</v>
          </cell>
          <cell r="L1082" t="str">
            <v>FLAT SHEET</v>
          </cell>
          <cell r="M1082">
            <v>2</v>
          </cell>
        </row>
        <row r="1083">
          <cell r="A1083" t="str">
            <v>F-2026-05-114</v>
          </cell>
          <cell r="B1083" t="str">
            <v>RPRO-260511-0334</v>
          </cell>
          <cell r="C1083"/>
          <cell r="D1083" t="str">
            <v>PVN-000840</v>
          </cell>
          <cell r="E1083" t="str">
            <v>OrthoLite Regular SEEDPEARL/12-0703TPX 0.11D 25+/-4 Asker C 1.1M 2M 5mm</v>
          </cell>
          <cell r="F1083">
            <v>140</v>
          </cell>
          <cell r="G1083">
            <v>140</v>
          </cell>
          <cell r="H1083">
            <v>0</v>
          </cell>
          <cell r="I1083">
            <v>140</v>
          </cell>
          <cell r="J1083"/>
          <cell r="K1083" t="str">
            <v>MPS</v>
          </cell>
          <cell r="L1083" t="str">
            <v>SPLITTING</v>
          </cell>
          <cell r="M1083">
            <v>2</v>
          </cell>
        </row>
        <row r="1084">
          <cell r="A1084" t="str">
            <v>F-2026-05-115</v>
          </cell>
          <cell r="B1084" t="str">
            <v>RPRO-260511-0335</v>
          </cell>
          <cell r="C1084"/>
          <cell r="D1084" t="str">
            <v>PVN-001277</v>
          </cell>
          <cell r="E1084" t="str">
            <v>OrthoLite Ultra GREEN/16-5932TPX Flat Sheet 0.085D 25+/-4 Asker C 1.1M 2M 4mm</v>
          </cell>
          <cell r="F1084">
            <v>70</v>
          </cell>
          <cell r="G1084">
            <v>70</v>
          </cell>
          <cell r="H1084">
            <v>0</v>
          </cell>
          <cell r="I1084">
            <v>70</v>
          </cell>
          <cell r="J1084"/>
          <cell r="K1084" t="str">
            <v>MPS</v>
          </cell>
          <cell r="L1084" t="str">
            <v>SPLITTING</v>
          </cell>
          <cell r="M1084">
            <v>2</v>
          </cell>
        </row>
        <row r="1085">
          <cell r="A1085" t="str">
            <v>F-2026-05-116</v>
          </cell>
          <cell r="B1085" t="str">
            <v>RPRO-260511-0336</v>
          </cell>
          <cell r="C1085"/>
          <cell r="D1085" t="str">
            <v>PVN-003418</v>
          </cell>
          <cell r="E1085" t="str">
            <v>OrthoLite Ultra SEEDPEARL/12-0703TPX Flat Sheet 0.085D 78-90 Asker F 1.1M 2M 5mm</v>
          </cell>
          <cell r="F1085">
            <v>112</v>
          </cell>
          <cell r="G1085">
            <v>112</v>
          </cell>
          <cell r="H1085">
            <v>0</v>
          </cell>
          <cell r="I1085">
            <v>112</v>
          </cell>
          <cell r="J1085"/>
          <cell r="K1085" t="str">
            <v>MPS</v>
          </cell>
          <cell r="L1085" t="str">
            <v>SPLITTING</v>
          </cell>
          <cell r="M1085">
            <v>2</v>
          </cell>
        </row>
        <row r="1086">
          <cell r="A1086" t="str">
            <v>F-2026-05-117</v>
          </cell>
          <cell r="B1086" t="str">
            <v>RPRO-260511-0337</v>
          </cell>
          <cell r="C1086"/>
          <cell r="D1086" t="str">
            <v>PVN-004219</v>
          </cell>
          <cell r="E1086" t="str">
            <v>OrthoLite Regular SEEDPEARL/12-0703TPX Flat Sheet 0.13D 35+/-4 Asker C 1.1M 1.47M 4mm</v>
          </cell>
          <cell r="F1086">
            <v>105</v>
          </cell>
          <cell r="G1086">
            <v>105</v>
          </cell>
          <cell r="H1086">
            <v>0</v>
          </cell>
          <cell r="I1086">
            <v>105</v>
          </cell>
          <cell r="J1086"/>
          <cell r="K1086" t="str">
            <v>MPS</v>
          </cell>
          <cell r="L1086" t="str">
            <v>SPLITTING</v>
          </cell>
          <cell r="M1086">
            <v>2</v>
          </cell>
        </row>
        <row r="1087">
          <cell r="A1087" t="str">
            <v>F-2026-05-118</v>
          </cell>
          <cell r="B1087" t="str">
            <v>RPRO-260511-0338</v>
          </cell>
          <cell r="C1087"/>
          <cell r="D1087" t="str">
            <v>PVN-004350</v>
          </cell>
          <cell r="E1087" t="str">
            <v>OrthoLite Regular SEEDPEARL/12-0703TPX Flat Sheet 0.13D 35+/-4 Asker C 1.1M 1.47M 13mm</v>
          </cell>
          <cell r="F1087">
            <v>10</v>
          </cell>
          <cell r="G1087">
            <v>10</v>
          </cell>
          <cell r="H1087">
            <v>0</v>
          </cell>
          <cell r="I1087">
            <v>10</v>
          </cell>
          <cell r="J1087"/>
          <cell r="K1087" t="str">
            <v>MPS</v>
          </cell>
          <cell r="L1087" t="str">
            <v>SPLITTING</v>
          </cell>
          <cell r="M1087">
            <v>2</v>
          </cell>
        </row>
        <row r="1088">
          <cell r="A1088" t="str">
            <v>F-2026-05-119</v>
          </cell>
          <cell r="B1088" t="str">
            <v>RPRO-260511-0339</v>
          </cell>
          <cell r="C1088"/>
          <cell r="D1088" t="str">
            <v>PVN-001550</v>
          </cell>
          <cell r="E1088" t="str">
            <v>OrthoLite Regular-Nike AIR BLUE/16-4134TPX Flat Sheet 0.11D 25+/-4 Asker C 1.1M 1.7M 2mm</v>
          </cell>
          <cell r="F1088">
            <v>490</v>
          </cell>
          <cell r="G1088">
            <v>490</v>
          </cell>
          <cell r="H1088">
            <v>0</v>
          </cell>
          <cell r="I1088">
            <v>490</v>
          </cell>
          <cell r="J1088" t="str">
            <v>NIKE</v>
          </cell>
          <cell r="K1088" t="str">
            <v>Pr.Sch.R</v>
          </cell>
          <cell r="L1088" t="str">
            <v>LAMINATING</v>
          </cell>
          <cell r="M1088">
            <v>1</v>
          </cell>
        </row>
        <row r="1089">
          <cell r="A1089" t="str">
            <v>F-2026-05-120</v>
          </cell>
          <cell r="B1089" t="str">
            <v>RPRO-260511-0340</v>
          </cell>
          <cell r="C1089"/>
          <cell r="D1089" t="str">
            <v>PVN-000121</v>
          </cell>
          <cell r="E1089" t="str">
            <v>OrthoLite Regular AIR BLUE/16-4134TPX Flat Sheet 0.13D 35+/-4 Asker C 1.1M 2M 12mm</v>
          </cell>
          <cell r="F1089">
            <v>121</v>
          </cell>
          <cell r="G1089">
            <v>121</v>
          </cell>
          <cell r="H1089">
            <v>0</v>
          </cell>
          <cell r="I1089">
            <v>121</v>
          </cell>
          <cell r="J1089" t="str">
            <v>ASICS</v>
          </cell>
          <cell r="K1089" t="str">
            <v>Pr.Sch.R</v>
          </cell>
          <cell r="L1089" t="str">
            <v>MOLDED</v>
          </cell>
          <cell r="M1089" t="str">
            <v>1-RM-WIP</v>
          </cell>
        </row>
        <row r="1090">
          <cell r="A1090" t="str">
            <v>F-2026-05-121</v>
          </cell>
          <cell r="B1090" t="str">
            <v>RPRO-260511-0341</v>
          </cell>
          <cell r="C1090"/>
          <cell r="D1090" t="str">
            <v>PVN-004081</v>
          </cell>
          <cell r="E1090" t="str">
            <v>OrthoLite X-40-Hybrid-Nike SEEDPEARL/12-0703TPX Hybrid Flat Sheet 0.16D 25+/-4 Asker C 1.1M 2M 6mm</v>
          </cell>
          <cell r="F1090">
            <v>23</v>
          </cell>
          <cell r="G1090">
            <v>23</v>
          </cell>
          <cell r="H1090">
            <v>0</v>
          </cell>
          <cell r="I1090">
            <v>23</v>
          </cell>
          <cell r="J1090" t="str">
            <v>NIKE</v>
          </cell>
          <cell r="K1090" t="str">
            <v>Pr.Sch.R</v>
          </cell>
          <cell r="L1090" t="str">
            <v>MOLDED</v>
          </cell>
          <cell r="M1090">
            <v>1</v>
          </cell>
        </row>
        <row r="1091">
          <cell r="A1091" t="str">
            <v>F-2026-05-122</v>
          </cell>
          <cell r="B1091" t="str">
            <v>RPRO-260511-0342</v>
          </cell>
          <cell r="C1091"/>
          <cell r="D1091" t="str">
            <v>PVN-004178</v>
          </cell>
          <cell r="E1091" t="str">
            <v>OrthoLite Float NEUTRAL GRAY/17-4402TPX Flat Sheet 0.12D 21+/-4 Asker C 1.1M 2M 5.5mm</v>
          </cell>
          <cell r="F1091">
            <v>25</v>
          </cell>
          <cell r="G1091">
            <v>25</v>
          </cell>
          <cell r="H1091">
            <v>0</v>
          </cell>
          <cell r="I1091">
            <v>25</v>
          </cell>
          <cell r="J1091" t="str">
            <v>PUMA</v>
          </cell>
          <cell r="K1091" t="str">
            <v>Pr.Sch.R</v>
          </cell>
          <cell r="L1091" t="str">
            <v>MOLDED</v>
          </cell>
          <cell r="M1091">
            <v>1</v>
          </cell>
        </row>
        <row r="1092">
          <cell r="A1092" t="str">
            <v>F-2026-05-123</v>
          </cell>
          <cell r="B1092" t="str">
            <v>RPRO-260511-0343</v>
          </cell>
          <cell r="C1092"/>
          <cell r="D1092" t="str">
            <v>PVN-004091</v>
          </cell>
          <cell r="E1092" t="str">
            <v>OrthoLite X-25 BILLIARD/16-5427TPX Flat Sheet 0.12D 20+/-4 Asker C 1.1M 2M 3.5mm</v>
          </cell>
          <cell r="F1092">
            <v>40</v>
          </cell>
          <cell r="G1092">
            <v>40</v>
          </cell>
          <cell r="H1092">
            <v>0</v>
          </cell>
          <cell r="I1092">
            <v>40</v>
          </cell>
          <cell r="J1092" t="str">
            <v>BROOKS</v>
          </cell>
          <cell r="K1092" t="str">
            <v>Pr.Sch.R</v>
          </cell>
          <cell r="L1092" t="str">
            <v>MOLDED</v>
          </cell>
          <cell r="M1092">
            <v>1</v>
          </cell>
        </row>
        <row r="1093">
          <cell r="A1093" t="str">
            <v>F-2026-05-124</v>
          </cell>
          <cell r="B1093" t="str">
            <v>RPRO-260511-0344</v>
          </cell>
          <cell r="C1093"/>
          <cell r="D1093" t="str">
            <v>PVN-004002</v>
          </cell>
          <cell r="E1093" t="str">
            <v>OrthoLite X-25-Hybrid SEEDPEARL/12-0703TPX Hybrid Flat Sheet 0.12D 20+/-4 Asker C 1.1M 2M 14mm</v>
          </cell>
          <cell r="F1093">
            <v>9</v>
          </cell>
          <cell r="G1093">
            <v>9</v>
          </cell>
          <cell r="H1093">
            <v>0</v>
          </cell>
          <cell r="I1093">
            <v>9</v>
          </cell>
          <cell r="J1093" t="str">
            <v>FOOTJOY</v>
          </cell>
          <cell r="K1093" t="str">
            <v>Pr.Sch.R</v>
          </cell>
          <cell r="L1093" t="str">
            <v>MOLDED</v>
          </cell>
          <cell r="M1093">
            <v>1</v>
          </cell>
        </row>
        <row r="1094">
          <cell r="A1094" t="str">
            <v>F-2026-05-125</v>
          </cell>
          <cell r="B1094" t="str">
            <v>RPRO-260511-0345</v>
          </cell>
          <cell r="C1094"/>
          <cell r="D1094" t="str">
            <v>PVN-003733</v>
          </cell>
          <cell r="E1094" t="str">
            <v>OrthoLite X-40-Hybrid SEEDPEARL/12-0703TPX Hybrid Flat Sheet 0.16D 35+/-4 Asker C 1.1M 1.7M 12.5mm</v>
          </cell>
          <cell r="F1094">
            <v>10</v>
          </cell>
          <cell r="G1094">
            <v>10</v>
          </cell>
          <cell r="H1094">
            <v>0</v>
          </cell>
          <cell r="I1094">
            <v>10</v>
          </cell>
          <cell r="J1094" t="str">
            <v>OBOZ</v>
          </cell>
          <cell r="K1094" t="str">
            <v>Pr.Sch.R</v>
          </cell>
          <cell r="L1094" t="str">
            <v>MOLDED</v>
          </cell>
          <cell r="M1094">
            <v>1</v>
          </cell>
        </row>
        <row r="1095">
          <cell r="A1095" t="str">
            <v>F-2026-05-126-1</v>
          </cell>
          <cell r="B1095" t="str">
            <v>RPRO-260511-0346</v>
          </cell>
          <cell r="C1095"/>
          <cell r="D1095" t="str">
            <v>PVN-003550</v>
          </cell>
          <cell r="E1095" t="str">
            <v>OrthoLite HybridPlus-Recycled MINT GREEN/11-4805TPX Hybrid Flat Sheet 0.12D 25+/-4 Asker C 1.1M 2M 6mm</v>
          </cell>
          <cell r="F1095">
            <v>1000</v>
          </cell>
          <cell r="G1095">
            <v>1000</v>
          </cell>
          <cell r="H1095">
            <v>0</v>
          </cell>
          <cell r="I1095">
            <v>1000</v>
          </cell>
          <cell r="J1095" t="str">
            <v>ON RUNNING</v>
          </cell>
          <cell r="K1095" t="str">
            <v>Pr.Sch.R</v>
          </cell>
          <cell r="L1095" t="str">
            <v>MOLDED</v>
          </cell>
          <cell r="M1095">
            <v>1</v>
          </cell>
        </row>
        <row r="1096">
          <cell r="A1096" t="str">
            <v>F-2026-05-126-2</v>
          </cell>
          <cell r="B1096" t="str">
            <v>RPRO-260513-0952</v>
          </cell>
          <cell r="C1096"/>
          <cell r="D1096" t="str">
            <v>PVN-003550</v>
          </cell>
          <cell r="E1096" t="str">
            <v>OrthoLite HybridPlus-Recycled MINT GREEN/11-4805TPX Hybrid Flat Sheet 0.12D 25+/-4 Asker C 1.1M 2M 6mm</v>
          </cell>
          <cell r="F1096">
            <v>1000</v>
          </cell>
          <cell r="G1096">
            <v>1000</v>
          </cell>
          <cell r="H1096">
            <v>0</v>
          </cell>
          <cell r="I1096">
            <v>1000</v>
          </cell>
          <cell r="J1096" t="str">
            <v>ON RUNNING</v>
          </cell>
          <cell r="K1096" t="str">
            <v>Pr.Sch.R</v>
          </cell>
          <cell r="L1096" t="str">
            <v>MOLDED</v>
          </cell>
          <cell r="M1096">
            <v>1</v>
          </cell>
        </row>
        <row r="1097">
          <cell r="A1097" t="str">
            <v>F-2026-05-126-3</v>
          </cell>
          <cell r="B1097" t="str">
            <v>RPRO-260513-0953</v>
          </cell>
          <cell r="C1097"/>
          <cell r="D1097" t="str">
            <v>PVN-003550</v>
          </cell>
          <cell r="E1097" t="str">
            <v>OrthoLite HybridPlus-Recycled MINT GREEN/11-4805TPX Hybrid Flat Sheet 0.12D 25+/-4 Asker C 1.1M 2M 6mm</v>
          </cell>
          <cell r="F1097">
            <v>369</v>
          </cell>
          <cell r="G1097">
            <v>369</v>
          </cell>
          <cell r="H1097">
            <v>0</v>
          </cell>
          <cell r="I1097">
            <v>369</v>
          </cell>
          <cell r="J1097" t="str">
            <v>ON RUNNING</v>
          </cell>
          <cell r="K1097" t="str">
            <v>Pr.Sch.R</v>
          </cell>
          <cell r="L1097" t="str">
            <v>MOLDED</v>
          </cell>
          <cell r="M1097">
            <v>1</v>
          </cell>
        </row>
        <row r="1098">
          <cell r="A1098" t="str">
            <v>F-2026-05-127</v>
          </cell>
          <cell r="B1098" t="str">
            <v>RPRO-260511-0347</v>
          </cell>
          <cell r="C1098"/>
          <cell r="D1098" t="str">
            <v>PVN-003462</v>
          </cell>
          <cell r="E1098" t="str">
            <v>OrthoLite HybridPlus-Recycled MINT GREEN/11-4805TPX Hybrid Flat Sheet 0.12D 25+/-4 Asker C 1.1M 2M 12mm</v>
          </cell>
          <cell r="F1098">
            <v>231</v>
          </cell>
          <cell r="G1098">
            <v>231</v>
          </cell>
          <cell r="H1098">
            <v>0</v>
          </cell>
          <cell r="I1098">
            <v>231</v>
          </cell>
          <cell r="J1098" t="str">
            <v>BROOKS</v>
          </cell>
          <cell r="K1098" t="str">
            <v>Pr.Sch.R</v>
          </cell>
          <cell r="L1098" t="str">
            <v>MOLDED</v>
          </cell>
          <cell r="M1098">
            <v>1</v>
          </cell>
        </row>
        <row r="1099">
          <cell r="A1099" t="str">
            <v>F-2026-05-128</v>
          </cell>
          <cell r="B1099" t="str">
            <v>RPRO-260511-0348</v>
          </cell>
          <cell r="C1099"/>
          <cell r="D1099" t="str">
            <v>PVN-004092</v>
          </cell>
          <cell r="E1099" t="str">
            <v>OrthoLite Float BLUE ATOLL/16-4535TPX Flat Sheet 0.12D 21+/-4 Asker C 1.1M 2M 14.5mm</v>
          </cell>
          <cell r="F1099">
            <v>45</v>
          </cell>
          <cell r="G1099">
            <v>45</v>
          </cell>
          <cell r="H1099">
            <v>0</v>
          </cell>
          <cell r="I1099">
            <v>45</v>
          </cell>
          <cell r="J1099" t="str">
            <v>LOWA</v>
          </cell>
          <cell r="K1099" t="str">
            <v>Pr.Sch.R</v>
          </cell>
          <cell r="L1099" t="str">
            <v>MOLDED</v>
          </cell>
          <cell r="M1099">
            <v>1</v>
          </cell>
        </row>
        <row r="1100">
          <cell r="A1100" t="str">
            <v>F-2026-05-129</v>
          </cell>
          <cell r="B1100" t="str">
            <v>RPRO-260511-0349</v>
          </cell>
          <cell r="C1100"/>
          <cell r="D1100" t="str">
            <v>PVN-003238</v>
          </cell>
          <cell r="E1100" t="str">
            <v>OrthoLite Eco LT-Hybrid-Converse SEEDPEARL/12-0703TPX Hybrid Flat Sheet 0.11D 25+/-4 Asker C 1.1M 2M 5mm</v>
          </cell>
          <cell r="F1100">
            <v>112</v>
          </cell>
          <cell r="G1100">
            <v>112</v>
          </cell>
          <cell r="H1100">
            <v>0</v>
          </cell>
          <cell r="I1100">
            <v>112</v>
          </cell>
          <cell r="J1100" t="str">
            <v>CONVERSE</v>
          </cell>
          <cell r="K1100" t="str">
            <v>Pr.Sch.R</v>
          </cell>
          <cell r="L1100" t="str">
            <v>DIE CUT</v>
          </cell>
          <cell r="M1100">
            <v>1</v>
          </cell>
        </row>
        <row r="1101">
          <cell r="A1101" t="str">
            <v>F-2026-05-130</v>
          </cell>
          <cell r="B1101" t="str">
            <v>RPRO-260511-0350</v>
          </cell>
          <cell r="C1101"/>
          <cell r="D1101" t="str">
            <v>PVN-003503</v>
          </cell>
          <cell r="E1101" t="str">
            <v>OrthoLite Ultra-Hybrid-Nike SEEDPEARL/12-0703TPX Hybrid Flat Sheet 0.085D 15+/-4 Asker C 1.1M 2M 3mm</v>
          </cell>
          <cell r="F1101">
            <v>46</v>
          </cell>
          <cell r="G1101">
            <v>46</v>
          </cell>
          <cell r="H1101">
            <v>0</v>
          </cell>
          <cell r="I1101">
            <v>46</v>
          </cell>
          <cell r="J1101" t="str">
            <v>NIKE</v>
          </cell>
          <cell r="K1101" t="str">
            <v>Pr.Sch.R</v>
          </cell>
          <cell r="L1101" t="str">
            <v>DIE CUT</v>
          </cell>
          <cell r="M1101">
            <v>1</v>
          </cell>
        </row>
        <row r="1102">
          <cell r="A1102" t="str">
            <v>F-2026-05-131</v>
          </cell>
          <cell r="B1102" t="str">
            <v>RPRO-260511-0351</v>
          </cell>
          <cell r="C1102"/>
          <cell r="D1102" t="str">
            <v>PVN-003502</v>
          </cell>
          <cell r="E1102" t="str">
            <v>OrthoLite Ultra-Hybrid-Nike SEEDPEARL/12-0703TPX Hybrid Flat Sheet 0.085D 15+/-4 Asker C 1.1M 2M 2mm</v>
          </cell>
          <cell r="F1102">
            <v>70</v>
          </cell>
          <cell r="G1102">
            <v>70</v>
          </cell>
          <cell r="H1102">
            <v>0</v>
          </cell>
          <cell r="I1102">
            <v>70</v>
          </cell>
          <cell r="J1102" t="str">
            <v>NIKE</v>
          </cell>
          <cell r="K1102" t="str">
            <v>Pr.Sch.R</v>
          </cell>
          <cell r="L1102" t="str">
            <v>DIE CUT</v>
          </cell>
          <cell r="M1102">
            <v>1</v>
          </cell>
        </row>
        <row r="1103">
          <cell r="A1103" t="str">
            <v>F-2026-05-132</v>
          </cell>
          <cell r="B1103" t="str">
            <v>RPRO-260511-0352</v>
          </cell>
          <cell r="C1103"/>
          <cell r="D1103" t="str">
            <v>PVN-004110</v>
          </cell>
          <cell r="E1103" t="str">
            <v>OrthoLite X-40 TRUE BLUE/19-4057TPX Flat Sheet 0.16D 25+/-4 Asker C 1.1M 2M 14.5mm</v>
          </cell>
          <cell r="F1103">
            <v>72</v>
          </cell>
          <cell r="G1103">
            <v>72</v>
          </cell>
          <cell r="H1103">
            <v>0</v>
          </cell>
          <cell r="I1103">
            <v>72</v>
          </cell>
          <cell r="J1103" t="str">
            <v>LOWA</v>
          </cell>
          <cell r="K1103" t="str">
            <v>Pr.Sch.R</v>
          </cell>
          <cell r="L1103" t="str">
            <v>MOLDED</v>
          </cell>
          <cell r="M1103">
            <v>1</v>
          </cell>
        </row>
        <row r="1104">
          <cell r="A1104" t="str">
            <v>F-2026-05-133</v>
          </cell>
          <cell r="B1104" t="str">
            <v>RPRO-260512-0085</v>
          </cell>
          <cell r="C1104"/>
          <cell r="D1104" t="str">
            <v>PVN-000101</v>
          </cell>
          <cell r="E1104" t="str">
            <v>OrthoLite Regular AIR BLUE/16-4134TPX Flat Sheet 0.11D 25+/-4 Asker C 1.1M 2M 3mm</v>
          </cell>
          <cell r="F1104">
            <v>46</v>
          </cell>
          <cell r="G1104">
            <v>46</v>
          </cell>
          <cell r="H1104">
            <v>0</v>
          </cell>
          <cell r="I1104">
            <v>46</v>
          </cell>
          <cell r="J1104"/>
          <cell r="K1104" t="str">
            <v>MPS</v>
          </cell>
          <cell r="L1104" t="str">
            <v>SPLITTING</v>
          </cell>
          <cell r="M1104">
            <v>2</v>
          </cell>
        </row>
        <row r="1105">
          <cell r="A1105" t="str">
            <v>F-2026-05-134</v>
          </cell>
          <cell r="B1105" t="str">
            <v>RPRO-260512-0086</v>
          </cell>
          <cell r="C1105"/>
          <cell r="D1105" t="str">
            <v>PVN-000126</v>
          </cell>
          <cell r="E1105" t="str">
            <v>OrthoLite Regular AIR BLUE/16-4134TPX Flat Sheet 0.13D 35+/-4 Asker C 1.1M 2M 4mm</v>
          </cell>
          <cell r="F1105">
            <v>35</v>
          </cell>
          <cell r="G1105">
            <v>35</v>
          </cell>
          <cell r="H1105">
            <v>0</v>
          </cell>
          <cell r="I1105">
            <v>35</v>
          </cell>
          <cell r="J1105"/>
          <cell r="K1105" t="str">
            <v>MPS</v>
          </cell>
          <cell r="L1105" t="str">
            <v>SPLITTING</v>
          </cell>
          <cell r="M1105" t="str">
            <v>2-SLT</v>
          </cell>
        </row>
        <row r="1106">
          <cell r="A1106" t="str">
            <v>F-2026-05-135-1</v>
          </cell>
          <cell r="B1106" t="str">
            <v>RPRO-260512-0087</v>
          </cell>
          <cell r="C1106"/>
          <cell r="D1106" t="str">
            <v>PVN-000127</v>
          </cell>
          <cell r="E1106" t="str">
            <v>OrthoLite Regular AIR BLUE/16-4134TPX Flat Sheet 0.13D 35+/-4 Asker C 1.1M 2M 5mm</v>
          </cell>
          <cell r="F1106">
            <v>17</v>
          </cell>
          <cell r="G1106">
            <v>17</v>
          </cell>
          <cell r="H1106">
            <v>0</v>
          </cell>
          <cell r="I1106">
            <v>17</v>
          </cell>
          <cell r="J1106"/>
          <cell r="K1106" t="str">
            <v>MPS</v>
          </cell>
          <cell r="L1106" t="str">
            <v>SPLITTING</v>
          </cell>
          <cell r="M1106" t="str">
            <v>2-SLT</v>
          </cell>
        </row>
        <row r="1107">
          <cell r="A1107" t="str">
            <v>F-2026-05-135-2</v>
          </cell>
          <cell r="B1107" t="str">
            <v>RPRO-260512-0584</v>
          </cell>
          <cell r="C1107"/>
          <cell r="D1107" t="str">
            <v>PVN-000127</v>
          </cell>
          <cell r="E1107" t="str">
            <v>OrthoLite Regular AIR BLUE/16-4134TPX Flat Sheet 0.13D 35+/-4 Asker C 1.1M 2M 5mm</v>
          </cell>
          <cell r="F1107">
            <v>39</v>
          </cell>
          <cell r="G1107">
            <v>39</v>
          </cell>
          <cell r="H1107">
            <v>0</v>
          </cell>
          <cell r="I1107">
            <v>39</v>
          </cell>
          <cell r="J1107"/>
          <cell r="K1107" t="str">
            <v>MPS</v>
          </cell>
          <cell r="L1107" t="str">
            <v>SPLITTING</v>
          </cell>
          <cell r="M1107">
            <v>2</v>
          </cell>
        </row>
        <row r="1108">
          <cell r="A1108" t="str">
            <v>F-2026-05-136-1</v>
          </cell>
          <cell r="B1108" t="str">
            <v>RPRO-260512-0088</v>
          </cell>
          <cell r="C1108"/>
          <cell r="D1108" t="str">
            <v>PVN-000925</v>
          </cell>
          <cell r="E1108" t="str">
            <v>OrthoLite Ultra YELLOW/13-0858TPX Flat Sheet 0.085D 25+/-4 Asker C 1.1M 2M 5mm</v>
          </cell>
          <cell r="F1108">
            <v>24</v>
          </cell>
          <cell r="G1108">
            <v>24</v>
          </cell>
          <cell r="H1108">
            <v>0</v>
          </cell>
          <cell r="I1108">
            <v>24</v>
          </cell>
          <cell r="J1108"/>
          <cell r="K1108" t="str">
            <v>MPS</v>
          </cell>
          <cell r="L1108" t="str">
            <v>SPLITTING</v>
          </cell>
          <cell r="M1108" t="str">
            <v>2-SLT</v>
          </cell>
        </row>
        <row r="1109">
          <cell r="A1109" t="str">
            <v>F-2026-05-136-2</v>
          </cell>
          <cell r="B1109" t="str">
            <v>RPRO-260513-0784</v>
          </cell>
          <cell r="C1109"/>
          <cell r="D1109" t="str">
            <v>PVN-000925</v>
          </cell>
          <cell r="E1109" t="str">
            <v>OrthoLite Ultra YELLOW/13-0858TPX Flat Sheet 0.085D 25+/-4 Asker C 1.1M 2M 5mm</v>
          </cell>
          <cell r="F1109">
            <v>284</v>
          </cell>
          <cell r="G1109">
            <v>284</v>
          </cell>
          <cell r="H1109">
            <v>0</v>
          </cell>
          <cell r="I1109">
            <v>284</v>
          </cell>
          <cell r="J1109"/>
          <cell r="K1109" t="str">
            <v>MPS</v>
          </cell>
          <cell r="L1109" t="str">
            <v>SPLITTING</v>
          </cell>
          <cell r="M1109">
            <v>2</v>
          </cell>
        </row>
        <row r="1110">
          <cell r="A1110" t="str">
            <v>F-2026-05-137</v>
          </cell>
          <cell r="B1110" t="str">
            <v>RPRO-260512-0089</v>
          </cell>
          <cell r="C1110"/>
          <cell r="D1110" t="str">
            <v>PVN-001277</v>
          </cell>
          <cell r="E1110" t="str">
            <v>OrthoLite Ultra GREEN/16-5932TPX Flat Sheet 0.085D 25+/-4 Asker C 1.1M 2M 4mm</v>
          </cell>
          <cell r="F1110">
            <v>490</v>
          </cell>
          <cell r="G1110">
            <v>490</v>
          </cell>
          <cell r="H1110">
            <v>0</v>
          </cell>
          <cell r="I1110">
            <v>490</v>
          </cell>
          <cell r="J1110"/>
          <cell r="K1110" t="str">
            <v>MPS</v>
          </cell>
          <cell r="L1110" t="str">
            <v>SPLITTING</v>
          </cell>
          <cell r="M1110">
            <v>2</v>
          </cell>
        </row>
        <row r="1111">
          <cell r="A1111" t="str">
            <v>F-2026-05-138</v>
          </cell>
          <cell r="B1111" t="str">
            <v>RPRO-260512-0090</v>
          </cell>
          <cell r="C1111"/>
          <cell r="D1111" t="str">
            <v>PVN-001983</v>
          </cell>
          <cell r="E1111" t="str">
            <v>OrthoLite X-40 SEEDPEARL/12-0703TPX Flat Sheet 0.16D 25+/-4 Asker C 1.1M 1.7M 5mm</v>
          </cell>
          <cell r="F1111">
            <v>28</v>
          </cell>
          <cell r="G1111">
            <v>28</v>
          </cell>
          <cell r="H1111">
            <v>0</v>
          </cell>
          <cell r="I1111">
            <v>28</v>
          </cell>
          <cell r="J1111"/>
          <cell r="K1111" t="str">
            <v>MPS</v>
          </cell>
          <cell r="L1111" t="str">
            <v>SPLITTING</v>
          </cell>
          <cell r="M1111">
            <v>2</v>
          </cell>
        </row>
        <row r="1112">
          <cell r="A1112" t="str">
            <v>F-2026-05-139</v>
          </cell>
          <cell r="B1112" t="str">
            <v>RPRO-260512-0091</v>
          </cell>
          <cell r="C1112"/>
          <cell r="D1112" t="str">
            <v>PVN-003300</v>
          </cell>
          <cell r="E1112" t="str">
            <v>OrthoLite Ultra-Hybrid SEEDPEARL/12-0703TPX Hybrid Flat Sheet 0.085D 25+/-4 Asker C 1.1M 2M 2mm</v>
          </cell>
          <cell r="F1112">
            <v>490</v>
          </cell>
          <cell r="G1112">
            <v>490</v>
          </cell>
          <cell r="H1112">
            <v>0</v>
          </cell>
          <cell r="I1112">
            <v>490</v>
          </cell>
          <cell r="J1112"/>
          <cell r="K1112" t="str">
            <v>MPS</v>
          </cell>
          <cell r="L1112" t="str">
            <v>SPLITTING</v>
          </cell>
          <cell r="M1112">
            <v>2</v>
          </cell>
        </row>
        <row r="1113">
          <cell r="A1113" t="str">
            <v>F-2026-05-140</v>
          </cell>
          <cell r="B1113" t="str">
            <v>RPRO-260512-0092</v>
          </cell>
          <cell r="C1113"/>
          <cell r="D1113" t="str">
            <v>PVN-003425</v>
          </cell>
          <cell r="E1113" t="str">
            <v>OrthoLite Ultra SEEDPEARL/12-0703TPX Flat Sheet 0.085D 78-90 Asker F 1.1M 2M 4mm</v>
          </cell>
          <cell r="F1113">
            <v>35</v>
          </cell>
          <cell r="G1113">
            <v>35</v>
          </cell>
          <cell r="H1113">
            <v>0</v>
          </cell>
          <cell r="I1113">
            <v>35</v>
          </cell>
          <cell r="J1113"/>
          <cell r="K1113" t="str">
            <v>MPS</v>
          </cell>
          <cell r="L1113" t="str">
            <v>SPLITTING</v>
          </cell>
          <cell r="M1113">
            <v>2</v>
          </cell>
        </row>
        <row r="1114">
          <cell r="A1114" t="str">
            <v>F-2026-05-141</v>
          </cell>
          <cell r="B1114" t="str">
            <v>RPRO-260512-0093</v>
          </cell>
          <cell r="C1114"/>
          <cell r="D1114" t="str">
            <v>PVN-003543</v>
          </cell>
          <cell r="E1114" t="str">
            <v>OrthoLite X-40 TRUE BLUE/19-4057TPX Flat Sheet 0.16D 25+/-4 Asker C 1.1M 1.7M 4mm</v>
          </cell>
          <cell r="F1114">
            <v>35</v>
          </cell>
          <cell r="G1114">
            <v>35</v>
          </cell>
          <cell r="H1114">
            <v>0</v>
          </cell>
          <cell r="I1114">
            <v>35</v>
          </cell>
          <cell r="J1114"/>
          <cell r="K1114" t="str">
            <v>MPS</v>
          </cell>
          <cell r="L1114" t="str">
            <v>SPLITTING</v>
          </cell>
          <cell r="M1114">
            <v>2</v>
          </cell>
        </row>
        <row r="1115">
          <cell r="A1115" t="str">
            <v>F-2026-05-142</v>
          </cell>
          <cell r="B1115" t="str">
            <v>RPRO-260512-0094</v>
          </cell>
          <cell r="C1115"/>
          <cell r="D1115" t="str">
            <v>PVN-004249</v>
          </cell>
          <cell r="E1115" t="str">
            <v>OrthoLite Regular SEEDPEARL/12-0703TPX Flat Sheet 0.13D 35+/-4 Asker C 1.1M 1.47M 15mm</v>
          </cell>
          <cell r="F1115">
            <v>8</v>
          </cell>
          <cell r="G1115">
            <v>8</v>
          </cell>
          <cell r="H1115">
            <v>0</v>
          </cell>
          <cell r="I1115">
            <v>8</v>
          </cell>
          <cell r="J1115"/>
          <cell r="K1115" t="str">
            <v>MPS</v>
          </cell>
          <cell r="L1115" t="str">
            <v>SPLITTING</v>
          </cell>
          <cell r="M1115">
            <v>2</v>
          </cell>
        </row>
        <row r="1116">
          <cell r="A1116" t="str">
            <v>F-2026-05-143</v>
          </cell>
          <cell r="B1116" t="str">
            <v>RPRO-260512-0095</v>
          </cell>
          <cell r="C1116"/>
          <cell r="D1116" t="str">
            <v>PVN-001550</v>
          </cell>
          <cell r="E1116" t="str">
            <v>OrthoLite Regular-Nike AIR BLUE/16-4134TPX Flat Sheet 0.11D 25+/-4 Asker C 1.1M 1.7M 2mm</v>
          </cell>
          <cell r="F1116">
            <v>140</v>
          </cell>
          <cell r="G1116">
            <v>140</v>
          </cell>
          <cell r="H1116">
            <v>0</v>
          </cell>
          <cell r="I1116">
            <v>140</v>
          </cell>
          <cell r="J1116" t="str">
            <v>NIKE</v>
          </cell>
          <cell r="K1116" t="str">
            <v>Pr.Sch.R</v>
          </cell>
          <cell r="L1116" t="str">
            <v>LAMINATING</v>
          </cell>
          <cell r="M1116">
            <v>1</v>
          </cell>
        </row>
        <row r="1117">
          <cell r="A1117" t="str">
            <v>F-2026-05-144</v>
          </cell>
          <cell r="B1117" t="str">
            <v>RPRO-260512-0096</v>
          </cell>
          <cell r="C1117"/>
          <cell r="D1117" t="str">
            <v>PVN-000121</v>
          </cell>
          <cell r="E1117" t="str">
            <v>OrthoLite Regular AIR BLUE/16-4134TPX Flat Sheet 0.13D 35+/-4 Asker C 1.1M 2M 12mm (02*SLT)</v>
          </cell>
          <cell r="F1117">
            <v>2</v>
          </cell>
          <cell r="G1117">
            <v>2</v>
          </cell>
          <cell r="H1117">
            <v>0</v>
          </cell>
          <cell r="I1117">
            <v>2</v>
          </cell>
          <cell r="J1117" t="str">
            <v>ASICS</v>
          </cell>
          <cell r="K1117" t="str">
            <v>Pr.Sch.R</v>
          </cell>
          <cell r="L1117" t="str">
            <v>MOLDED</v>
          </cell>
          <cell r="M1117" t="str">
            <v>1-SLT-WIP</v>
          </cell>
        </row>
        <row r="1118">
          <cell r="A1118" t="str">
            <v>F-2026-05-145</v>
          </cell>
          <cell r="B1118" t="str">
            <v>RPRO-260512-0097</v>
          </cell>
          <cell r="C1118"/>
          <cell r="D1118" t="str">
            <v>PVN-000121</v>
          </cell>
          <cell r="E1118" t="str">
            <v>OrthoLite Regular AIR BLUE/16-4134TPX Flat Sheet 0.13D 35+/-4 Asker C 1.1M 2M 12mm</v>
          </cell>
          <cell r="F1118">
            <v>31</v>
          </cell>
          <cell r="G1118">
            <v>31</v>
          </cell>
          <cell r="H1118">
            <v>0</v>
          </cell>
          <cell r="I1118">
            <v>31</v>
          </cell>
          <cell r="J1118" t="str">
            <v>ASICS</v>
          </cell>
          <cell r="K1118" t="str">
            <v>Pr.Sch.R</v>
          </cell>
          <cell r="L1118" t="str">
            <v>MOLDED</v>
          </cell>
          <cell r="M1118" t="str">
            <v>1-RM-WIP</v>
          </cell>
        </row>
        <row r="1119">
          <cell r="A1119" t="str">
            <v>F-2026-05-146</v>
          </cell>
          <cell r="B1119" t="str">
            <v>RPRO-260512-0098</v>
          </cell>
          <cell r="C1119"/>
          <cell r="D1119" t="str">
            <v>PVN-003319</v>
          </cell>
          <cell r="E1119" t="str">
            <v>OrthoLite X-40 TRUE BLUE/19-4057TPX Flat Sheet 0.16D 25+/-4 Asker C 1.1M 1.7M 12mm (82*slt)</v>
          </cell>
          <cell r="F1119">
            <v>82</v>
          </cell>
          <cell r="G1119">
            <v>82</v>
          </cell>
          <cell r="H1119">
            <v>0</v>
          </cell>
          <cell r="I1119">
            <v>82</v>
          </cell>
          <cell r="J1119" t="str">
            <v>ASICS</v>
          </cell>
          <cell r="K1119" t="str">
            <v>Pr.Sch.R</v>
          </cell>
          <cell r="L1119" t="str">
            <v>MOLDED</v>
          </cell>
          <cell r="M1119" t="str">
            <v>1-SLT-WIP</v>
          </cell>
        </row>
        <row r="1120">
          <cell r="A1120" t="str">
            <v>F-2026-05-147</v>
          </cell>
          <cell r="B1120" t="str">
            <v>RPRO-260512-0099</v>
          </cell>
          <cell r="C1120"/>
          <cell r="D1120" t="str">
            <v>PVN-003319</v>
          </cell>
          <cell r="E1120" t="str">
            <v>OrthoLite X-40 TRUE BLUE/19-4057TPX Flat Sheet 0.16D 25+/-4 Asker C 1.1M 1.7M 12mm</v>
          </cell>
          <cell r="F1120">
            <v>270</v>
          </cell>
          <cell r="G1120">
            <v>270</v>
          </cell>
          <cell r="H1120">
            <v>0</v>
          </cell>
          <cell r="I1120">
            <v>270</v>
          </cell>
          <cell r="J1120" t="str">
            <v>ASICS</v>
          </cell>
          <cell r="K1120" t="str">
            <v>Pr.Sch.R</v>
          </cell>
          <cell r="L1120" t="str">
            <v>MOLDED</v>
          </cell>
          <cell r="M1120" t="str">
            <v>1-RM-WIP</v>
          </cell>
        </row>
        <row r="1121">
          <cell r="A1121" t="str">
            <v>F-2026-05-148</v>
          </cell>
          <cell r="B1121" t="str">
            <v>RPRO-260512-0100</v>
          </cell>
          <cell r="C1121"/>
          <cell r="D1121" t="str">
            <v>PVN-003603</v>
          </cell>
          <cell r="E1121" t="str">
            <v>OrthoLite X-40 TRUE BLUE/19-4057TPX Flat Sheet 0.16D 25+/-4 Asker C 1.1M 1.47M 12mm (393*slt)</v>
          </cell>
          <cell r="F1121">
            <v>393</v>
          </cell>
          <cell r="G1121">
            <v>393</v>
          </cell>
          <cell r="H1121">
            <v>0</v>
          </cell>
          <cell r="I1121">
            <v>393</v>
          </cell>
          <cell r="J1121" t="str">
            <v>ASICS</v>
          </cell>
          <cell r="K1121" t="str">
            <v>Pr.Sch.R</v>
          </cell>
          <cell r="L1121" t="str">
            <v>MOLDED</v>
          </cell>
          <cell r="M1121" t="str">
            <v>1-SLT-WIP</v>
          </cell>
        </row>
        <row r="1122">
          <cell r="A1122" t="str">
            <v>F-2026-05-149</v>
          </cell>
          <cell r="B1122" t="str">
            <v>RPRO-260512-0101</v>
          </cell>
          <cell r="C1122"/>
          <cell r="D1122" t="str">
            <v>PVN-003603</v>
          </cell>
          <cell r="E1122" t="str">
            <v>OrthoLite X-40 TRUE BLUE/19-4057TPX Flat Sheet 0.16D 25+/-4 Asker C 1.1M 1.47M 12mm</v>
          </cell>
          <cell r="F1122">
            <v>58</v>
          </cell>
          <cell r="G1122">
            <v>58</v>
          </cell>
          <cell r="H1122">
            <v>0</v>
          </cell>
          <cell r="I1122">
            <v>58</v>
          </cell>
          <cell r="J1122" t="str">
            <v>ASICS</v>
          </cell>
          <cell r="K1122" t="str">
            <v>Pr.Sch.R</v>
          </cell>
          <cell r="L1122" t="str">
            <v>MOLDED</v>
          </cell>
          <cell r="M1122" t="str">
            <v>1-RM-WIP</v>
          </cell>
        </row>
        <row r="1123">
          <cell r="A1123" t="str">
            <v>F-2026-05-150</v>
          </cell>
          <cell r="B1123" t="str">
            <v>RPRO-260512-0102</v>
          </cell>
          <cell r="C1123"/>
          <cell r="D1123" t="str">
            <v>PVN-004018</v>
          </cell>
          <cell r="E1123" t="str">
            <v>OrthoLite X-30 CASTLEROCK/18-0201TPX Flat Sheet 0.13D 25+/-4 Asker C 1.1M 1.47M 12mm</v>
          </cell>
          <cell r="F1123">
            <v>66</v>
          </cell>
          <cell r="G1123">
            <v>66</v>
          </cell>
          <cell r="H1123">
            <v>0</v>
          </cell>
          <cell r="I1123">
            <v>66</v>
          </cell>
          <cell r="J1123" t="str">
            <v>ASICS</v>
          </cell>
          <cell r="K1123" t="str">
            <v>Pr.Sch.R</v>
          </cell>
          <cell r="L1123" t="str">
            <v>MOLDED</v>
          </cell>
          <cell r="M1123" t="str">
            <v>1-RM-WIP</v>
          </cell>
        </row>
        <row r="1124">
          <cell r="A1124" t="str">
            <v>F-2026-05-151</v>
          </cell>
          <cell r="B1124" t="str">
            <v>RPRO-260512-0103</v>
          </cell>
          <cell r="C1124"/>
          <cell r="D1124" t="str">
            <v>PVN-002699</v>
          </cell>
          <cell r="E1124" t="str">
            <v>OrthoLite Regular-Hybrid SEEDPEARL/12-0703TPX Hybrid Flat Sheet 0.11D 25+/-4 Asker C 1.1M 2M 4.5mm</v>
          </cell>
          <cell r="F1124">
            <v>124</v>
          </cell>
          <cell r="G1124">
            <v>124</v>
          </cell>
          <cell r="H1124">
            <v>0</v>
          </cell>
          <cell r="I1124">
            <v>124</v>
          </cell>
          <cell r="J1124" t="str">
            <v>ASICS</v>
          </cell>
          <cell r="K1124" t="str">
            <v>Pr.Sch.R</v>
          </cell>
          <cell r="L1124" t="str">
            <v>DIE CUT</v>
          </cell>
          <cell r="M1124">
            <v>1</v>
          </cell>
        </row>
        <row r="1125">
          <cell r="A1125" t="str">
            <v>F-2026-05-152</v>
          </cell>
          <cell r="B1125" t="str">
            <v>RPRO-260512-0104</v>
          </cell>
          <cell r="C1125"/>
          <cell r="D1125" t="str">
            <v>PVN-002973</v>
          </cell>
          <cell r="E1125" t="str">
            <v>OrthoLite Ultra-Hybrid SEEDPEARL/12-0703TPX Hybrid Flat Sheet 0.085D 25+/-4 Asker C 1.1M 2M 4.5mm</v>
          </cell>
          <cell r="F1125">
            <v>62</v>
          </cell>
          <cell r="G1125">
            <v>62</v>
          </cell>
          <cell r="H1125">
            <v>0</v>
          </cell>
          <cell r="I1125">
            <v>62</v>
          </cell>
          <cell r="J1125" t="str">
            <v>SALOMON</v>
          </cell>
          <cell r="K1125" t="str">
            <v>Pr.Sch.R</v>
          </cell>
          <cell r="L1125" t="str">
            <v>MOLDED</v>
          </cell>
          <cell r="M1125">
            <v>1</v>
          </cell>
        </row>
        <row r="1126">
          <cell r="A1126" t="str">
            <v>F-2026-05-153</v>
          </cell>
          <cell r="B1126" t="str">
            <v>RPRO-260512-0105</v>
          </cell>
          <cell r="C1126"/>
          <cell r="D1126" t="str">
            <v>PVN-004178</v>
          </cell>
          <cell r="E1126" t="str">
            <v>OrthoLite Float NEUTRAL GRAY/17-4402TPX Flat Sheet 0.12D 21+/-4 Asker C 1.1M 2M 5.5mm</v>
          </cell>
          <cell r="F1126">
            <v>250</v>
          </cell>
          <cell r="G1126">
            <v>250</v>
          </cell>
          <cell r="H1126">
            <v>0</v>
          </cell>
          <cell r="I1126">
            <v>250</v>
          </cell>
          <cell r="J1126" t="str">
            <v>PUMA</v>
          </cell>
          <cell r="K1126" t="str">
            <v>Pr.Sch.R</v>
          </cell>
          <cell r="L1126" t="str">
            <v>MOLDED</v>
          </cell>
          <cell r="M1126">
            <v>1</v>
          </cell>
        </row>
        <row r="1127">
          <cell r="A1127" t="str">
            <v>F-2026-05-154</v>
          </cell>
          <cell r="B1127" t="str">
            <v>RPRO-260512-0106</v>
          </cell>
          <cell r="C1127"/>
          <cell r="D1127" t="str">
            <v>PVN-002129</v>
          </cell>
          <cell r="E1127" t="str">
            <v>OrthoLite Ultra SEEDPEARL/12-0703TPX Flat Sheet 0.085D 25+/-4 Asker C 1.1M 2M 6mm</v>
          </cell>
          <cell r="F1127">
            <v>46</v>
          </cell>
          <cell r="G1127">
            <v>46</v>
          </cell>
          <cell r="H1127">
            <v>0</v>
          </cell>
          <cell r="I1127">
            <v>46</v>
          </cell>
          <cell r="J1127" t="str">
            <v>BABOLAT</v>
          </cell>
          <cell r="K1127" t="str">
            <v>Pr.Sch.R</v>
          </cell>
          <cell r="L1127" t="str">
            <v>DIE CUT</v>
          </cell>
          <cell r="M1127">
            <v>1</v>
          </cell>
        </row>
        <row r="1128">
          <cell r="A1128" t="str">
            <v>F-2026-05-155</v>
          </cell>
          <cell r="B1128" t="str">
            <v>RPRO-260512-0107</v>
          </cell>
          <cell r="C1128"/>
          <cell r="D1128" t="str">
            <v>PVN-004327</v>
          </cell>
          <cell r="E1128" t="str">
            <v>OrthoLite X-55-Hybrid FOSSIL/17-0909TPX Hybrid Flat Sheet 0.16D 25+/-4 Asker C 1.1M 2M 6mm</v>
          </cell>
          <cell r="F1128">
            <v>23</v>
          </cell>
          <cell r="G1128">
            <v>23</v>
          </cell>
          <cell r="H1128">
            <v>0</v>
          </cell>
          <cell r="I1128">
            <v>23</v>
          </cell>
          <cell r="J1128" t="str">
            <v>ASICS</v>
          </cell>
          <cell r="K1128" t="str">
            <v>Pr.Sch.R</v>
          </cell>
          <cell r="L1128" t="str">
            <v>MOLDED</v>
          </cell>
          <cell r="M1128">
            <v>1</v>
          </cell>
        </row>
        <row r="1129">
          <cell r="A1129" t="str">
            <v>F-2026-05-156</v>
          </cell>
          <cell r="B1129" t="str">
            <v>RPRO-260512-0108</v>
          </cell>
          <cell r="C1129"/>
          <cell r="D1129" t="str">
            <v>PVN-003895</v>
          </cell>
          <cell r="E1129" t="str">
            <v>OrthoLite X-40 RED/19-1764TPX Flat Sheet 0.16D 25+/-4 Asker C 1.1M 1.7M 5mm</v>
          </cell>
          <cell r="F1129">
            <v>112</v>
          </cell>
          <cell r="G1129">
            <v>112</v>
          </cell>
          <cell r="H1129">
            <v>0</v>
          </cell>
          <cell r="I1129">
            <v>112</v>
          </cell>
          <cell r="J1129" t="str">
            <v>PAYNTR</v>
          </cell>
          <cell r="K1129" t="str">
            <v>Pr.Sch.R</v>
          </cell>
          <cell r="L1129" t="str">
            <v>MOLDED</v>
          </cell>
          <cell r="M1129">
            <v>1</v>
          </cell>
        </row>
        <row r="1130">
          <cell r="A1130" t="str">
            <v>F-2026-05-157</v>
          </cell>
          <cell r="B1130" t="str">
            <v>RPRO-260512-0109</v>
          </cell>
          <cell r="C1130"/>
          <cell r="D1130" t="str">
            <v>PVN-003462</v>
          </cell>
          <cell r="E1130" t="str">
            <v>OrthoLite HybridPlus-Recycled MINT GREEN/11-4805TPX Hybrid Flat Sheet 0.12D 25+/-4 Asker C 1.1M 2M 12mm</v>
          </cell>
          <cell r="F1130">
            <v>165</v>
          </cell>
          <cell r="G1130">
            <v>165</v>
          </cell>
          <cell r="H1130">
            <v>0</v>
          </cell>
          <cell r="I1130">
            <v>165</v>
          </cell>
          <cell r="J1130" t="str">
            <v>BROOKS</v>
          </cell>
          <cell r="K1130" t="str">
            <v>Pr.Sch.R</v>
          </cell>
          <cell r="L1130" t="str">
            <v>MOLDED</v>
          </cell>
          <cell r="M1130">
            <v>1</v>
          </cell>
        </row>
        <row r="1131">
          <cell r="A1131" t="str">
            <v>F-2026-05-158</v>
          </cell>
          <cell r="B1131" t="str">
            <v>RPRO-260512-0110</v>
          </cell>
          <cell r="C1131"/>
          <cell r="D1131" t="str">
            <v>PVN-003458</v>
          </cell>
          <cell r="E1131" t="str">
            <v>OrthoLite X-25-Hybrid SEEDPEARL/12-0703TPX Hybrid Flat Sheet 0.12D 20+/-4 Asker C 1.1M 2M 4mm</v>
          </cell>
          <cell r="F1131">
            <v>35</v>
          </cell>
          <cell r="G1131">
            <v>35</v>
          </cell>
          <cell r="H1131">
            <v>0</v>
          </cell>
          <cell r="I1131">
            <v>35</v>
          </cell>
          <cell r="J1131" t="str">
            <v>ON RUNNING</v>
          </cell>
          <cell r="K1131" t="str">
            <v>Pr.Sch.R</v>
          </cell>
          <cell r="L1131" t="str">
            <v>DIE CUT</v>
          </cell>
          <cell r="M1131">
            <v>1</v>
          </cell>
        </row>
        <row r="1132">
          <cell r="A1132" t="str">
            <v>F-2026-05-159</v>
          </cell>
          <cell r="B1132" t="str">
            <v>RPRO-260512-0111</v>
          </cell>
          <cell r="C1132"/>
          <cell r="D1132" t="str">
            <v>PVN-003671</v>
          </cell>
          <cell r="E1132" t="str">
            <v>OrthoLite Eco LT-Hybrid SEEDPEARL/12-0703TPX Hybrid Flat Sheet 0.11D 25+/-4 Asker C 1.1M 2M 13mm</v>
          </cell>
          <cell r="F1132">
            <v>10</v>
          </cell>
          <cell r="G1132">
            <v>10</v>
          </cell>
          <cell r="H1132">
            <v>0</v>
          </cell>
          <cell r="I1132">
            <v>10</v>
          </cell>
          <cell r="J1132" t="str">
            <v>NEW BALANCE</v>
          </cell>
          <cell r="K1132" t="str">
            <v>Pr.Sch.R</v>
          </cell>
          <cell r="L1132" t="str">
            <v>MOLDED</v>
          </cell>
          <cell r="M1132">
            <v>1</v>
          </cell>
        </row>
        <row r="1133">
          <cell r="A1133" t="str">
            <v>F-2026-05-160</v>
          </cell>
          <cell r="B1133" t="str">
            <v>RPRO-260512-0112</v>
          </cell>
          <cell r="C1133"/>
          <cell r="D1133" t="str">
            <v>PVN-002827</v>
          </cell>
          <cell r="E1133" t="str">
            <v>OrthoLite Regular-Hybrid-Nike SEEDPEARL/12-0703TPX Hybrid Flat Sheet 0.11D 25+/-4 Asker C 1.1M 2M 5mm</v>
          </cell>
          <cell r="F1133">
            <v>56</v>
          </cell>
          <cell r="G1133">
            <v>56</v>
          </cell>
          <cell r="H1133">
            <v>0</v>
          </cell>
          <cell r="I1133">
            <v>56</v>
          </cell>
          <cell r="J1133" t="str">
            <v>NIKE</v>
          </cell>
          <cell r="K1133" t="str">
            <v>Pr.Sch.R</v>
          </cell>
          <cell r="L1133" t="str">
            <v>MOLDED</v>
          </cell>
          <cell r="M1133">
            <v>1</v>
          </cell>
        </row>
        <row r="1134">
          <cell r="A1134" t="str">
            <v>F-2026-05-161</v>
          </cell>
          <cell r="B1134" t="str">
            <v>RPRO-260512-0113</v>
          </cell>
          <cell r="C1134"/>
          <cell r="D1134" t="str">
            <v>PVN-003011</v>
          </cell>
          <cell r="E1134" t="str">
            <v>OrthoLite Ultra-Hybrid SEEDPEARL/12-0703TPX Hybrid Flat Sheet 0.085D 25+/-4 Asker C 1.1M 2M 16mm</v>
          </cell>
          <cell r="F1134">
            <v>16</v>
          </cell>
          <cell r="G1134">
            <v>16</v>
          </cell>
          <cell r="H1134">
            <v>0</v>
          </cell>
          <cell r="I1134">
            <v>16</v>
          </cell>
          <cell r="J1134" t="str">
            <v>CLARKS</v>
          </cell>
          <cell r="K1134" t="str">
            <v>Pr.Sch.R</v>
          </cell>
          <cell r="L1134" t="str">
            <v>MOLDED</v>
          </cell>
          <cell r="M1134">
            <v>1</v>
          </cell>
        </row>
        <row r="1135">
          <cell r="A1135" t="str">
            <v>F-2026-05-162</v>
          </cell>
          <cell r="B1135" t="str">
            <v>RPRO-260512-0114</v>
          </cell>
          <cell r="C1135"/>
          <cell r="D1135" t="str">
            <v>PVN-004215</v>
          </cell>
          <cell r="E1135" t="str">
            <v>OrthoLite Float-Hybrid SEEDPEARL/12-0703TPX Hybrid Flat Sheet 0.12D 21+/-4 Asker C 1.1M 2M 7.5mm</v>
          </cell>
          <cell r="F1135">
            <v>72</v>
          </cell>
          <cell r="G1135">
            <v>72</v>
          </cell>
          <cell r="H1135">
            <v>0</v>
          </cell>
          <cell r="I1135">
            <v>72</v>
          </cell>
          <cell r="J1135" t="str">
            <v>VIOLET</v>
          </cell>
          <cell r="K1135" t="str">
            <v>Pr.Sch.R</v>
          </cell>
          <cell r="L1135" t="str">
            <v>MOLDED</v>
          </cell>
          <cell r="M1135">
            <v>1</v>
          </cell>
        </row>
        <row r="1136">
          <cell r="A1136" t="str">
            <v>F-2026-05-163</v>
          </cell>
          <cell r="B1136" t="str">
            <v>RPRO-260513-0794</v>
          </cell>
          <cell r="C1136"/>
          <cell r="D1136" t="str">
            <v>PVN-003629</v>
          </cell>
          <cell r="E1136" t="str">
            <v>OrthoLite Eco LT-Hybrid LIME GREEN/14-0452TPX Hybrid 0.13D 35+/-4 Asker C 1.1M 2M 2.5mm</v>
          </cell>
          <cell r="F1136">
            <v>112</v>
          </cell>
          <cell r="G1136">
            <v>112</v>
          </cell>
          <cell r="H1136">
            <v>0</v>
          </cell>
          <cell r="I1136">
            <v>112</v>
          </cell>
          <cell r="J1136"/>
          <cell r="K1136" t="str">
            <v>MPS</v>
          </cell>
          <cell r="L1136" t="str">
            <v>SPLITTING</v>
          </cell>
          <cell r="M1136">
            <v>2</v>
          </cell>
        </row>
        <row r="1137">
          <cell r="A1137" t="str">
            <v>F-2026-05-164</v>
          </cell>
          <cell r="B1137" t="str">
            <v>RPRO-260513-0795</v>
          </cell>
          <cell r="C1137"/>
          <cell r="D1137" t="str">
            <v>PVN-004258</v>
          </cell>
          <cell r="E1137" t="str">
            <v>OrthoLite R&amp;R CASTLEROCK/18-0201TPX Flat Sheet 0.16D 15+/-4 Asker C 1.1M 1.7M 3mm</v>
          </cell>
          <cell r="F1137">
            <v>92</v>
          </cell>
          <cell r="G1137">
            <v>92</v>
          </cell>
          <cell r="H1137">
            <v>0</v>
          </cell>
          <cell r="I1137">
            <v>92</v>
          </cell>
          <cell r="J1137"/>
          <cell r="K1137" t="str">
            <v>MPS</v>
          </cell>
          <cell r="L1137" t="str">
            <v>SPLITTING</v>
          </cell>
          <cell r="M1137">
            <v>2</v>
          </cell>
        </row>
        <row r="1138">
          <cell r="A1138" t="str">
            <v>F-2026-05-165</v>
          </cell>
          <cell r="B1138" t="str">
            <v>RPRO-260513-0796</v>
          </cell>
          <cell r="C1138"/>
          <cell r="D1138" t="str">
            <v>PVN-001415</v>
          </cell>
          <cell r="E1138" t="str">
            <v>OrthoLite Ultra SEEDPEARL/12-0703TPX Flat Sheet 0.085D 25+/-4 Asker C 1.1M 2M 4mm</v>
          </cell>
          <cell r="F1138">
            <v>490</v>
          </cell>
          <cell r="G1138">
            <v>490</v>
          </cell>
          <cell r="H1138">
            <v>0</v>
          </cell>
          <cell r="I1138">
            <v>490</v>
          </cell>
          <cell r="J1138"/>
          <cell r="K1138" t="str">
            <v>MPS</v>
          </cell>
          <cell r="L1138" t="str">
            <v>SPLITTING</v>
          </cell>
          <cell r="M1138">
            <v>2</v>
          </cell>
        </row>
        <row r="1139">
          <cell r="A1139" t="str">
            <v>F-2026-05-166</v>
          </cell>
          <cell r="B1139" t="str">
            <v>RPRO-260513-0797</v>
          </cell>
          <cell r="C1139"/>
          <cell r="D1139" t="str">
            <v>PVN-003236</v>
          </cell>
          <cell r="E1139" t="str">
            <v>OrthoLite Eco LT-Hybrid-Converse SEEDPEARL/12-0703TPX Hybrid 0.13D 25+/-4 Asker C 1.1M 2M 5mm</v>
          </cell>
          <cell r="F1139">
            <v>635</v>
          </cell>
          <cell r="G1139">
            <v>635</v>
          </cell>
          <cell r="H1139">
            <v>0</v>
          </cell>
          <cell r="I1139">
            <v>635</v>
          </cell>
          <cell r="J1139"/>
          <cell r="K1139" t="str">
            <v>MPS</v>
          </cell>
          <cell r="L1139" t="str">
            <v>SPLITTING</v>
          </cell>
          <cell r="M1139">
            <v>2</v>
          </cell>
        </row>
        <row r="1140">
          <cell r="A1140" t="str">
            <v>F-2026-05-167</v>
          </cell>
          <cell r="B1140" t="str">
            <v>RPRO-260513-0798</v>
          </cell>
          <cell r="C1140"/>
          <cell r="D1140" t="str">
            <v>PVN-003347</v>
          </cell>
          <cell r="E1140" t="str">
            <v>OrthoLite X-40-Nike TRUE BLUE/19-4057TPX Flat Sheet 0.16D 35+/-4 Asker C 1.1M 1.7M 4mm</v>
          </cell>
          <cell r="F1140">
            <v>245</v>
          </cell>
          <cell r="G1140">
            <v>245</v>
          </cell>
          <cell r="H1140">
            <v>0</v>
          </cell>
          <cell r="I1140">
            <v>245</v>
          </cell>
          <cell r="J1140"/>
          <cell r="K1140" t="str">
            <v>MPS</v>
          </cell>
          <cell r="L1140" t="str">
            <v>SPLITTING</v>
          </cell>
          <cell r="M1140">
            <v>2</v>
          </cell>
        </row>
        <row r="1141">
          <cell r="A1141" t="str">
            <v>F-2026-05-168</v>
          </cell>
          <cell r="B1141" t="str">
            <v>RPRO-260513-0799</v>
          </cell>
          <cell r="C1141"/>
          <cell r="D1141" t="str">
            <v>PVN-003479</v>
          </cell>
          <cell r="E1141" t="str">
            <v>OrthoLite Ultra-Hybrid SEEDPEARL/12-0703TPX Hybrid Flat Sheet 0.085D 25+/-4 Asker C 1.1M 1.47M 4mm</v>
          </cell>
          <cell r="F1141">
            <v>35</v>
          </cell>
          <cell r="G1141">
            <v>35</v>
          </cell>
          <cell r="H1141">
            <v>0</v>
          </cell>
          <cell r="I1141">
            <v>35</v>
          </cell>
          <cell r="J1141"/>
          <cell r="K1141" t="str">
            <v>MPS</v>
          </cell>
          <cell r="L1141" t="str">
            <v>SPLITTING</v>
          </cell>
          <cell r="M1141">
            <v>2</v>
          </cell>
        </row>
        <row r="1142">
          <cell r="A1142" t="str">
            <v>F-2026-05-169</v>
          </cell>
          <cell r="B1142" t="str">
            <v>RPRO-260513-0800</v>
          </cell>
          <cell r="C1142"/>
          <cell r="D1142" t="str">
            <v>PVN-001550</v>
          </cell>
          <cell r="E1142" t="str">
            <v>OrthoLite Regular-Nike AIR BLUE/16-4134TPX Flat Sheet 0.11D 25+/-4 Asker C 1.1M 1.7M 2mm</v>
          </cell>
          <cell r="F1142">
            <v>3850</v>
          </cell>
          <cell r="G1142">
            <v>3850</v>
          </cell>
          <cell r="H1142">
            <v>0</v>
          </cell>
          <cell r="I1142">
            <v>3850</v>
          </cell>
          <cell r="J1142" t="str">
            <v>NIKE</v>
          </cell>
          <cell r="K1142" t="str">
            <v>Pr.Sch.R</v>
          </cell>
          <cell r="L1142" t="str">
            <v>LAMINATING</v>
          </cell>
          <cell r="M1142">
            <v>1</v>
          </cell>
        </row>
        <row r="1143">
          <cell r="A1143" t="str">
            <v>F-2026-05-170</v>
          </cell>
          <cell r="B1143" t="str">
            <v>RPRO-260513-0801</v>
          </cell>
          <cell r="C1143"/>
          <cell r="D1143" t="str">
            <v>PVN-004081</v>
          </cell>
          <cell r="E1143" t="str">
            <v>OrthoLite X-40-Hybrid-Nike SEEDPEARL/12-0703TPX Hybrid Flat Sheet 0.16D 25+/-4 Asker C 1.1M 2M 6mm</v>
          </cell>
          <cell r="F1143">
            <v>138</v>
          </cell>
          <cell r="G1143">
            <v>138</v>
          </cell>
          <cell r="H1143">
            <v>0</v>
          </cell>
          <cell r="I1143">
            <v>138</v>
          </cell>
          <cell r="J1143" t="str">
            <v>NIKE</v>
          </cell>
          <cell r="K1143" t="str">
            <v>Pr.Sch.R</v>
          </cell>
          <cell r="L1143" t="str">
            <v>MOLDED</v>
          </cell>
          <cell r="M1143">
            <v>1</v>
          </cell>
        </row>
        <row r="1144">
          <cell r="A1144" t="str">
            <v>F-2026-05-171</v>
          </cell>
          <cell r="B1144" t="str">
            <v>RPRO-260513-0802</v>
          </cell>
          <cell r="C1144"/>
          <cell r="D1144" t="str">
            <v>PVN-004315</v>
          </cell>
          <cell r="E1144" t="str">
            <v>OrthoLite X-25-Nike BILLIARD/16-5427TPX Flat Sheet 0.12D 20+/-4 Asker C 1.1M 2M 5mm</v>
          </cell>
          <cell r="F1144">
            <v>364</v>
          </cell>
          <cell r="G1144">
            <v>364</v>
          </cell>
          <cell r="H1144">
            <v>0</v>
          </cell>
          <cell r="I1144">
            <v>364</v>
          </cell>
          <cell r="J1144" t="str">
            <v>NIKE</v>
          </cell>
          <cell r="K1144" t="str">
            <v>Pr.Sch.R</v>
          </cell>
          <cell r="L1144" t="str">
            <v>DIE CUT</v>
          </cell>
          <cell r="M1144">
            <v>1</v>
          </cell>
        </row>
        <row r="1145">
          <cell r="A1145" t="str">
            <v>F-2026-05-172</v>
          </cell>
          <cell r="B1145" t="str">
            <v>RPRO-260513-0803</v>
          </cell>
          <cell r="C1145"/>
          <cell r="D1145" t="str">
            <v>PVN-003530</v>
          </cell>
          <cell r="E1145" t="str">
            <v>OrthoLite X-25-Hybrid SEEDPEARL/12-0703TPX Hybrid Flat Sheet 0.12D 20+/-4 Asker C 1.1M 2M 8.2mm</v>
          </cell>
          <cell r="F1145">
            <v>969</v>
          </cell>
          <cell r="G1145">
            <v>969</v>
          </cell>
          <cell r="H1145">
            <v>0</v>
          </cell>
          <cell r="I1145">
            <v>969</v>
          </cell>
          <cell r="J1145" t="str">
            <v>BABOLAT</v>
          </cell>
          <cell r="K1145" t="str">
            <v>Pr.Sch.R</v>
          </cell>
          <cell r="L1145" t="str">
            <v>MOLDED</v>
          </cell>
          <cell r="M1145">
            <v>1</v>
          </cell>
        </row>
        <row r="1146">
          <cell r="A1146" t="str">
            <v>F-2026-05-173</v>
          </cell>
          <cell r="B1146" t="str">
            <v>RPRO-260513-0804</v>
          </cell>
          <cell r="C1146"/>
          <cell r="D1146" t="str">
            <v>PVN-002129</v>
          </cell>
          <cell r="E1146" t="str">
            <v>OrthoLite Ultra SEEDPEARL/12-0703TPX Flat Sheet 0.085D 25+/-4 Asker C 1.1M 2M 6mm</v>
          </cell>
          <cell r="F1146">
            <v>460</v>
          </cell>
          <cell r="G1146">
            <v>460</v>
          </cell>
          <cell r="H1146">
            <v>0</v>
          </cell>
          <cell r="I1146">
            <v>460</v>
          </cell>
          <cell r="J1146" t="str">
            <v>BABOLAT</v>
          </cell>
          <cell r="K1146" t="str">
            <v>Pr.Sch.R</v>
          </cell>
          <cell r="L1146" t="str">
            <v>DIE CUT</v>
          </cell>
          <cell r="M1146">
            <v>1</v>
          </cell>
        </row>
        <row r="1147">
          <cell r="A1147" t="str">
            <v>F-2026-05-174</v>
          </cell>
          <cell r="B1147" t="str">
            <v>RPRO-260513-0805</v>
          </cell>
          <cell r="C1147"/>
          <cell r="D1147" t="str">
            <v>PVN-003319</v>
          </cell>
          <cell r="E1147" t="str">
            <v>OrthoLite X-40 TRUE BLUE/19-4057TPX Flat Sheet 0.16D 25+/-4 Asker C 1.1M 1.7M 12mm</v>
          </cell>
          <cell r="F1147">
            <v>77</v>
          </cell>
          <cell r="G1147">
            <v>77</v>
          </cell>
          <cell r="H1147">
            <v>0</v>
          </cell>
          <cell r="I1147">
            <v>77</v>
          </cell>
          <cell r="J1147" t="str">
            <v>ASICS</v>
          </cell>
          <cell r="K1147" t="str">
            <v>Pr.Sch.R</v>
          </cell>
          <cell r="L1147" t="str">
            <v>MOLDED</v>
          </cell>
          <cell r="M1147" t="str">
            <v>1-RM-WIP</v>
          </cell>
        </row>
        <row r="1148">
          <cell r="A1148" t="str">
            <v>F-2026-05-175</v>
          </cell>
          <cell r="B1148" t="str">
            <v>RPRO-260513-0806</v>
          </cell>
          <cell r="C1148"/>
          <cell r="D1148" t="str">
            <v>PVN-000445</v>
          </cell>
          <cell r="E1148" t="str">
            <v>OrthoLite Regular GREY/17-1501TPX Flat Sheet 0.11D 25+/-4 Asker C 1.1M 2M 13mm</v>
          </cell>
          <cell r="F1148">
            <v>50</v>
          </cell>
          <cell r="G1148">
            <v>50</v>
          </cell>
          <cell r="H1148">
            <v>0</v>
          </cell>
          <cell r="I1148">
            <v>50</v>
          </cell>
          <cell r="J1148" t="str">
            <v>DANNER</v>
          </cell>
          <cell r="K1148" t="str">
            <v>Pr.Sch.R</v>
          </cell>
          <cell r="L1148" t="str">
            <v>MOLDED</v>
          </cell>
          <cell r="M1148">
            <v>1</v>
          </cell>
        </row>
        <row r="1149">
          <cell r="A1149" t="str">
            <v>F-2026-05-176</v>
          </cell>
          <cell r="B1149" t="str">
            <v>RPRO-260513-0807</v>
          </cell>
          <cell r="C1149"/>
          <cell r="D1149" t="str">
            <v>PVN-003603</v>
          </cell>
          <cell r="E1149" t="str">
            <v>OrthoLite X-40 TRUE BLUE/19-4057TPX Flat Sheet 0.16D 25+/-4 Asker C 1.1M 1.47M 12mm</v>
          </cell>
          <cell r="F1149">
            <v>396</v>
          </cell>
          <cell r="G1149">
            <v>396</v>
          </cell>
          <cell r="H1149">
            <v>0</v>
          </cell>
          <cell r="I1149">
            <v>396</v>
          </cell>
          <cell r="J1149" t="str">
            <v>ASICS</v>
          </cell>
          <cell r="K1149" t="str">
            <v>Pr.Sch.R</v>
          </cell>
          <cell r="L1149" t="str">
            <v>MOLDED</v>
          </cell>
          <cell r="M1149" t="str">
            <v>1-RM-WIP</v>
          </cell>
        </row>
        <row r="1150">
          <cell r="A1150" t="str">
            <v>F-2026-05-177</v>
          </cell>
          <cell r="B1150" t="str">
            <v>RPRO-260513-0808</v>
          </cell>
          <cell r="C1150"/>
          <cell r="D1150" t="str">
            <v>PVN-003244</v>
          </cell>
          <cell r="E1150" t="str">
            <v>OrthoLite X-35-Hybrid-Nike SEEDPEARL/12-0703TPX Hybrid Flat Sheet 0.145D 25+/-4 Asker C 1.1M 2M 5.2mm</v>
          </cell>
          <cell r="F1150">
            <v>78</v>
          </cell>
          <cell r="G1150">
            <v>78</v>
          </cell>
          <cell r="H1150">
            <v>0</v>
          </cell>
          <cell r="I1150">
            <v>78</v>
          </cell>
          <cell r="J1150" t="str">
            <v>NIKE</v>
          </cell>
          <cell r="K1150" t="str">
            <v>Pr.Sch.R</v>
          </cell>
          <cell r="L1150" t="str">
            <v>MOLDED</v>
          </cell>
          <cell r="M1150">
            <v>1</v>
          </cell>
        </row>
        <row r="1151">
          <cell r="A1151" t="str">
            <v>F-2026-05-178</v>
          </cell>
          <cell r="B1151" t="str">
            <v>RPRO-260513-0809</v>
          </cell>
          <cell r="C1151"/>
          <cell r="D1151" t="str">
            <v>PVN-003642</v>
          </cell>
          <cell r="E1151" t="str">
            <v>OrthoLite X-35-Hybrid-Nike SEEDPEARL/12-0703TPX Hybrid Flat Sheet 0.145D 25+/-4 Asker C 1.1M 2M 6.2mm</v>
          </cell>
          <cell r="F1151">
            <v>22</v>
          </cell>
          <cell r="G1151">
            <v>22</v>
          </cell>
          <cell r="H1151">
            <v>0</v>
          </cell>
          <cell r="I1151">
            <v>22</v>
          </cell>
          <cell r="J1151" t="str">
            <v>NIKE</v>
          </cell>
          <cell r="K1151" t="str">
            <v>Pr.Sch.R</v>
          </cell>
          <cell r="L1151" t="str">
            <v>MOLDED</v>
          </cell>
          <cell r="M1151">
            <v>1</v>
          </cell>
        </row>
        <row r="1152">
          <cell r="A1152" t="str">
            <v>F-2026-05-179</v>
          </cell>
          <cell r="B1152" t="str">
            <v>RPRO-260513-0810</v>
          </cell>
          <cell r="C1152"/>
          <cell r="D1152" t="str">
            <v>PVN-003462</v>
          </cell>
          <cell r="E1152" t="str">
            <v>OrthoLite HybridPlus-Recycled MINT GREEN/11-4805TPX Hybrid Flat Sheet 0.12D 25+/-4 Asker C 1.1M 2M 12mm</v>
          </cell>
          <cell r="F1152">
            <v>154</v>
          </cell>
          <cell r="G1152">
            <v>154</v>
          </cell>
          <cell r="H1152">
            <v>0</v>
          </cell>
          <cell r="I1152">
            <v>154</v>
          </cell>
          <cell r="J1152" t="str">
            <v>BROOKS</v>
          </cell>
          <cell r="K1152" t="str">
            <v>Pr.Sch.R</v>
          </cell>
          <cell r="L1152" t="str">
            <v>MOLDED</v>
          </cell>
          <cell r="M1152">
            <v>1</v>
          </cell>
        </row>
        <row r="1153">
          <cell r="A1153" t="str">
            <v>F-2026-05-180</v>
          </cell>
          <cell r="B1153" t="str">
            <v>RPRO-260513-0811</v>
          </cell>
          <cell r="C1153"/>
          <cell r="D1153" t="str">
            <v>PVN-000060</v>
          </cell>
          <cell r="E1153" t="str">
            <v>OrthoLite Regular GREY/17-1501TPX Flat Sheet 0.11D 25+/-4 Asker C 1.1M 2M 14mm</v>
          </cell>
          <cell r="F1153">
            <v>621</v>
          </cell>
          <cell r="G1153">
            <v>621</v>
          </cell>
          <cell r="H1153">
            <v>0</v>
          </cell>
          <cell r="I1153">
            <v>621</v>
          </cell>
          <cell r="J1153" t="str">
            <v>DANNER</v>
          </cell>
          <cell r="K1153" t="str">
            <v>Pr.Sch.R</v>
          </cell>
          <cell r="L1153" t="str">
            <v>MOLDED</v>
          </cell>
          <cell r="M1153">
            <v>1</v>
          </cell>
        </row>
        <row r="1154">
          <cell r="A1154" t="str">
            <v>F-2026-05-181</v>
          </cell>
          <cell r="B1154" t="str">
            <v>RPRO-260513-0812</v>
          </cell>
          <cell r="C1154"/>
          <cell r="D1154" t="str">
            <v>PVN-002773</v>
          </cell>
          <cell r="E1154" t="str">
            <v>OrthoLite Regular-Hybrid-Nike SEEDPEARL/12-0703TPX Hybrid Flat Sheet 0.11D 25+/-4 Asker C 1.1M 2M 4mm</v>
          </cell>
          <cell r="F1154">
            <v>280</v>
          </cell>
          <cell r="G1154">
            <v>280</v>
          </cell>
          <cell r="H1154">
            <v>0</v>
          </cell>
          <cell r="I1154">
            <v>280</v>
          </cell>
          <cell r="J1154" t="str">
            <v>NIKE</v>
          </cell>
          <cell r="K1154" t="str">
            <v>Pr.Sch.R</v>
          </cell>
          <cell r="L1154" t="str">
            <v>DIE CUT</v>
          </cell>
          <cell r="M1154">
            <v>1</v>
          </cell>
        </row>
        <row r="1155">
          <cell r="A1155" t="str">
            <v>F-2026-05-182</v>
          </cell>
          <cell r="B1155" t="str">
            <v>RPRO-260513-0813</v>
          </cell>
          <cell r="C1155"/>
          <cell r="D1155" t="str">
            <v>PVN-003238</v>
          </cell>
          <cell r="E1155" t="str">
            <v>OrthoLite Eco LT-Hybrid-Converse SEEDPEARL/12-0703TPX Hybrid Flat Sheet 0.11D 25+/-4 Asker C 1.1M 2M 5mm</v>
          </cell>
          <cell r="F1155">
            <v>476</v>
          </cell>
          <cell r="G1155">
            <v>476</v>
          </cell>
          <cell r="H1155">
            <v>0</v>
          </cell>
          <cell r="I1155">
            <v>476</v>
          </cell>
          <cell r="J1155" t="str">
            <v>CONVERSE</v>
          </cell>
          <cell r="K1155" t="str">
            <v>Pr.Sch.R</v>
          </cell>
          <cell r="L1155" t="str">
            <v>DIE CUT</v>
          </cell>
          <cell r="M1155">
            <v>1</v>
          </cell>
        </row>
        <row r="1156">
          <cell r="A1156" t="str">
            <v>F-2026-05-183</v>
          </cell>
          <cell r="B1156" t="str">
            <v>RPRO-260513-0814</v>
          </cell>
          <cell r="C1156"/>
          <cell r="D1156" t="str">
            <v>PVN-004077</v>
          </cell>
          <cell r="E1156" t="str">
            <v>OrthoLite X-55 RED/19-1764TPX Flat Sheet 0.16D 25+/-4 Asker C 1.1M 2M 5.2mm</v>
          </cell>
          <cell r="F1156">
            <v>26</v>
          </cell>
          <cell r="G1156">
            <v>26</v>
          </cell>
          <cell r="H1156">
            <v>0</v>
          </cell>
          <cell r="I1156">
            <v>26</v>
          </cell>
          <cell r="J1156" t="str">
            <v>NEW BALANCE</v>
          </cell>
          <cell r="K1156" t="str">
            <v>Pr.Sch.R</v>
          </cell>
          <cell r="L1156" t="str">
            <v>MOLDED</v>
          </cell>
          <cell r="M1156">
            <v>1</v>
          </cell>
        </row>
        <row r="1020997">
          <cell r="A1020997"/>
          <cell r="B1020997"/>
          <cell r="C1020997"/>
          <cell r="D1020997"/>
          <cell r="E1020997"/>
          <cell r="F1020997"/>
          <cell r="G1020997"/>
          <cell r="H1020997"/>
          <cell r="I1020997"/>
          <cell r="J1020997"/>
          <cell r="K1020997"/>
          <cell r="L1020997"/>
          <cell r="M1020997"/>
        </row>
        <row r="1021639">
          <cell r="B1021639"/>
        </row>
      </sheetData>
      <sheetData sheetId="2">
        <row r="1">
          <cell r="A1" t="str">
            <v>No.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T32xcIBkkSLf0V-umwJhvTkGeHPRM5PsDAChLm4duQOnTehZnO0TrviTf2nYWJT" itemId="01VNHEGAVYOFR6RQOG5VBYW42X3WM2NXV5">
      <xxl21:absoluteUrl r:id="rId2"/>
      <xxl21:relativeUrl r:id="rId3"/>
    </xxl21:alternateUrls>
    <sheetNames>
      <sheetName val="capacity"/>
      <sheetName val="master plan "/>
      <sheetName val="Sap may theo lieu"/>
      <sheetName val="cancel"/>
      <sheetName val="update ETD"/>
      <sheetName val="file up BOM tam 28.11"/>
      <sheetName val="W52-2025"/>
      <sheetName val="W1-2026 (53-2025)"/>
      <sheetName val="W2-2026"/>
      <sheetName val="W3-2026"/>
      <sheetName val="W4-2026"/>
      <sheetName val="W5-2026"/>
      <sheetName val="W6-2026"/>
      <sheetName val="W6-2025"/>
      <sheetName val="W7-2026"/>
      <sheetName val="W9-2026"/>
      <sheetName val="W10-2026"/>
      <sheetName val="W11-2026"/>
      <sheetName val="W12-2026"/>
      <sheetName val="W13-2026"/>
      <sheetName val="Asic_12mm"/>
      <sheetName val="W14-2026"/>
      <sheetName val="W15-2026"/>
      <sheetName val="BOM 28.02.26"/>
      <sheetName val="W16-2026"/>
      <sheetName val="W17-2026"/>
      <sheetName val="W18-2026"/>
      <sheetName val="W19-2026"/>
      <sheetName val="W20-2026"/>
      <sheetName val="W21-2026"/>
      <sheetName val="W22-2026"/>
      <sheetName val="W23-2026"/>
      <sheetName val="W24-2026"/>
      <sheetName val="nhap"/>
      <sheetName val="BUN 4.5.23"/>
      <sheetName val="FLAT SHEET 4.5.23"/>
      <sheetName val="OID"/>
      <sheetName val="Production Bom line (bun-PU)"/>
      <sheetName val="1. shipping details-OID 2022"/>
      <sheetName val="2. Shipping OIN 2022"/>
      <sheetName val="Sheet2"/>
      <sheetName val="BÙ HÀNG"/>
      <sheetName val="Routing Line _BUN"/>
      <sheetName val="Routing Line-PU"/>
      <sheetName val="Form bu Bun"/>
      <sheetName val="Bun supplement"/>
      <sheetName val="Bun destiny"/>
      <sheetName val="Data 15.9"/>
      <sheetName val="W51-2024"/>
      <sheetName val="W52-2024"/>
      <sheetName val="W1-2025"/>
      <sheetName val="W2-2025"/>
      <sheetName val="W3-2025"/>
      <sheetName val="W4-2025"/>
      <sheetName val="W7-2025"/>
      <sheetName val="W8-2025"/>
      <sheetName val="W9-2025"/>
      <sheetName val="W10-2025"/>
      <sheetName val="W11-2025"/>
      <sheetName val="W12-2025"/>
      <sheetName val="W13-2025"/>
      <sheetName val="W14-2025"/>
      <sheetName val="W15-2025"/>
      <sheetName val="W16-2025"/>
      <sheetName val="W17-2025"/>
      <sheetName val="W18-2025"/>
      <sheetName val="W19-2025"/>
      <sheetName val="W20-2025"/>
      <sheetName val="W21-2025"/>
      <sheetName val="W22-2025"/>
      <sheetName val="W23-2025"/>
      <sheetName val="W24-2025"/>
      <sheetName val="W25-2025"/>
      <sheetName val="W26-2025"/>
      <sheetName val="W27-2025"/>
      <sheetName val="W28-2025"/>
      <sheetName val="W29-2025"/>
      <sheetName val="W30-2025"/>
      <sheetName val="W31-2025"/>
      <sheetName val="W32-2025"/>
      <sheetName val="W33-2025"/>
      <sheetName val="W34-2025"/>
      <sheetName val="W35-2025"/>
      <sheetName val="W36-2025"/>
      <sheetName val="W37-2025"/>
      <sheetName val="W38-2025"/>
      <sheetName val="W39-2025"/>
      <sheetName val="W40-2025"/>
      <sheetName val="W41-2025"/>
      <sheetName val="xxxx"/>
      <sheetName val="W42-2025"/>
      <sheetName val="W43-2025"/>
      <sheetName val="W44-2025"/>
      <sheetName val="W45-2025"/>
      <sheetName val="W46-2025"/>
      <sheetName val="W47-2025"/>
      <sheetName val="W48-2025"/>
      <sheetName val="W49-2025"/>
      <sheetName val="W50-2025"/>
      <sheetName val="W51-2025"/>
      <sheetName val="Sheet1"/>
      <sheetName val="In đơn"/>
      <sheetName val="check PU -send QC"/>
      <sheetName val="tuyen_slt location"/>
      <sheetName val="oin giam don"/>
      <sheetName val="cf etd lazy 2.12"/>
      <sheetName val="W45-2025 (2)"/>
      <sheetName val="so"/>
      <sheetName val="0.085+0.11"/>
      <sheetName val="W44-2025 (2)"/>
      <sheetName val="W43-2025 (2)"/>
      <sheetName val="MOve etd"/>
      <sheetName val="Bun supplement_AD"/>
      <sheetName val="W53-2025"/>
    </sheetNames>
    <sheetDataSet>
      <sheetData sheetId="0"/>
      <sheetData sheetId="1">
        <row r="1">
          <cell r="A1"/>
          <cell r="B1"/>
          <cell r="C1"/>
          <cell r="D1" t="str">
            <v>Color</v>
          </cell>
          <cell r="E1"/>
          <cell r="F1"/>
          <cell r="G1" t="str">
            <v>Material name
mint greent của brand on running, note cho bên đổ đổ 25 độ (a dũng dặn);
hàng Asics 12mm Thăng Hoa: kho RMW location: nhớ note giống như SLT location;
OrthoLite X-35-Hybrid (ONLY 20% Recycled PU Powder) GLACIER GRAY/14-4102TPX Hybrid Flat Sheet 0.145D 25+/-4 Asker C 1.1M 2M 4.2mm
(nói ngoài sản xuất chạy cao su đen hybrid nha)</v>
          </cell>
          <cell r="H1"/>
          <cell r="I1"/>
          <cell r="J1"/>
          <cell r="K1"/>
          <cell r="L1" t="str">
            <v>F-2026-05-136</v>
          </cell>
          <cell r="M1"/>
          <cell r="N1" t="str">
            <v>2-SLT</v>
          </cell>
          <cell r="O1" t="str">
            <v>1-SLT</v>
          </cell>
          <cell r="P1"/>
          <cell r="Q1"/>
          <cell r="R1"/>
          <cell r="S1" t="str">
            <v>OIN</v>
          </cell>
          <cell r="T1"/>
          <cell r="U1"/>
          <cell r="V1" t="str">
            <v>Float BLUE ATOLL</v>
          </cell>
          <cell r="W1">
            <v>358.12154696132598</v>
          </cell>
          <cell r="X1">
            <v>358.12154696132598</v>
          </cell>
          <cell r="Y1">
            <v>11785.454545454546</v>
          </cell>
          <cell r="Z1" t="str">
            <v>F-2025-12-78</v>
          </cell>
          <cell r="AA1" t="str">
            <v>RPRO-251110-0459</v>
          </cell>
          <cell r="AB1"/>
        </row>
        <row r="2">
          <cell r="A2" t="str">
            <v>NINE IRON</v>
          </cell>
          <cell r="B2"/>
          <cell r="C2"/>
          <cell r="D2"/>
          <cell r="E2">
            <v>5</v>
          </cell>
          <cell r="F2" t="str">
            <v>Airblue</v>
          </cell>
          <cell r="G2"/>
          <cell r="H2" t="str">
            <v>rockport</v>
          </cell>
          <cell r="I2" t="str">
            <v>burnt sienna</v>
          </cell>
          <cell r="J2" t="str">
            <v>BROWN SUGAR/</v>
          </cell>
          <cell r="K2">
            <v>11</v>
          </cell>
          <cell r="L2">
            <v>12</v>
          </cell>
          <cell r="M2"/>
          <cell r="N2">
            <v>14</v>
          </cell>
          <cell r="O2">
            <v>15</v>
          </cell>
          <cell r="P2">
            <v>16</v>
          </cell>
          <cell r="Q2"/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 t="str">
            <v>CASTLEROCK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</row>
        <row r="3">
          <cell r="A3" t="str">
            <v>Grey</v>
          </cell>
          <cell r="B3"/>
          <cell r="C3"/>
          <cell r="D3"/>
          <cell r="E3"/>
          <cell r="F3" t="str">
            <v>300c</v>
          </cell>
          <cell r="G3" t="str">
            <v>-PVN-003012 = PVN-003415 = PVN-003011 (3 loại PU này cùng dùng chung cho 1 đơn hàng chị note lại dùm e khi cmf ETD giao cùng 1 ngày nha c)
-PVN-003437 = PVN-003438 = ETD;
PVN-003914=PVN-000761=ETD
PVN-001814 + PVN-000338 = leadtime 15 days (mail cTu 26.9.23)
OrthoLite Regular GREEN/16-5932TPX 0.13D 35+/-4 Asker C 1.1M 2M (adidas)</v>
          </cell>
          <cell r="H3">
            <v>1806084</v>
          </cell>
          <cell r="I3">
            <v>1738700</v>
          </cell>
          <cell r="J3">
            <v>657803</v>
          </cell>
          <cell r="K3">
            <v>1080897</v>
          </cell>
          <cell r="L3" t="str">
            <v>SPLITTING</v>
          </cell>
          <cell r="M3">
            <v>2</v>
          </cell>
          <cell r="N3" t="str">
            <v>FLAT SHEET</v>
          </cell>
          <cell r="O3">
            <v>2</v>
          </cell>
          <cell r="P3"/>
          <cell r="Q3">
            <v>46161</v>
          </cell>
          <cell r="R3"/>
          <cell r="S3" t="str">
            <v>PVN-004232</v>
          </cell>
          <cell r="T3">
            <v>358.12154696132598</v>
          </cell>
          <cell r="U3"/>
          <cell r="V3">
            <v>64820</v>
          </cell>
          <cell r="W3" t="e">
            <v>#N/A</v>
          </cell>
          <cell r="X3" t="e">
            <v>#REF!</v>
          </cell>
          <cell r="Y3" t="e">
            <v>#REF!</v>
          </cell>
          <cell r="Z3"/>
          <cell r="AA3" t="str">
            <v>CHECK_MY 14.7</v>
          </cell>
          <cell r="AB3">
            <v>45744</v>
          </cell>
        </row>
        <row r="4">
          <cell r="A4" t="str">
            <v>NO.Order</v>
          </cell>
          <cell r="B4" t="str">
            <v>Firm plan
(BUN)</v>
          </cell>
          <cell r="C4" t="str">
            <v>Firm plan
(PU PVN)</v>
          </cell>
          <cell r="D4" t="str">
            <v>PUR</v>
          </cell>
          <cell r="E4" t="str">
            <v>Bun Code</v>
          </cell>
          <cell r="F4" t="str">
            <v>PU code</v>
          </cell>
          <cell r="G4" t="str">
            <v>Material name: X40 + x-55 HÀNG 2M CHỈ TÍNH LẤY ĐƯỢC 136 MM
hàng Asics 12mm Thăng Hoa: kho RMW location: nhớ note giống như SLT location;
từ w36, hàng 12mm Asic lấy 138 mm, hàng giao 12mm, vẫn lấy 132 bình thường;
giao kkhasc khổ 1m7 bù cho 2m = giao 20% đơn</v>
          </cell>
          <cell r="H4" t="str">
            <v>QTY of Order
(Sheet)</v>
          </cell>
          <cell r="I4" t="str">
            <v>QTY 
 Delivery Plan</v>
          </cell>
          <cell r="J4" t="str">
            <v>QTY
Actual Delivered
(Sheet)</v>
          </cell>
          <cell r="K4" t="str">
            <v>QTY 
not yet 
delivery
(Sheet)</v>
          </cell>
          <cell r="L4" t="str">
            <v>BRAND</v>
          </cell>
          <cell r="M4" t="str">
            <v>POV/SO</v>
          </cell>
          <cell r="N4" t="str">
            <v>Type</v>
          </cell>
          <cell r="O4" t="str">
            <v>W/H
KHO</v>
          </cell>
          <cell r="P4" t="str">
            <v>Received</v>
          </cell>
          <cell r="Q4" t="str">
            <v>ETD
hệ thống</v>
          </cell>
          <cell r="R4" t="str">
            <v>Ngày Sản xuất hoàn thành</v>
          </cell>
          <cell r="S4" t="str">
            <v>Lead time</v>
          </cell>
          <cell r="T4" t="str">
            <v>Thickness
(mm)</v>
          </cell>
          <cell r="U4" t="str">
            <v>BOM
(144mm-&gt;140mm từ tuần 18)</v>
          </cell>
          <cell r="V4" t="str">
            <v>Total
 Buns
need to pour
(TACH)</v>
          </cell>
          <cell r="W4" t="str">
            <v>Không bù loss
(0.085+0.11)</v>
          </cell>
          <cell r="X4" t="str">
            <v>ETD's by Month</v>
          </cell>
          <cell r="Y4" t="str">
            <v>Production Planing
(weekly)</v>
          </cell>
          <cell r="Z4" t="str">
            <v>Ngày đầu tuần đổ</v>
          </cell>
          <cell r="AA4" t="str">
            <v>History</v>
          </cell>
          <cell r="AB4" t="str">
            <v>Date of QC check</v>
          </cell>
        </row>
        <row r="5">
          <cell r="A5" t="str">
            <v>F-2025-10-228</v>
          </cell>
          <cell r="B5"/>
          <cell r="C5" t="str">
            <v>FPRO-251020-0007</v>
          </cell>
          <cell r="D5" t="str">
            <v>Firm plan 21.10</v>
          </cell>
          <cell r="E5" t="str">
            <v>BDB-000160</v>
          </cell>
          <cell r="F5" t="str">
            <v>PVN-001562</v>
          </cell>
          <cell r="G5" t="str">
            <v>OrthoLite Ultra-Nike LIME GREEN/14-0452TPX 0.085D 25+/-4 Asker C 1.1M 2M 4mm</v>
          </cell>
          <cell r="H5">
            <v>2500</v>
          </cell>
          <cell r="I5">
            <v>2500</v>
          </cell>
          <cell r="J5">
            <v>2500</v>
          </cell>
          <cell r="K5">
            <v>0</v>
          </cell>
          <cell r="L5" t="str">
            <v>NIKE</v>
          </cell>
          <cell r="M5" t="str">
            <v>Forecast</v>
          </cell>
          <cell r="N5" t="str">
            <v>DIE CUT</v>
          </cell>
          <cell r="O5" t="str">
            <v>1</v>
          </cell>
          <cell r="P5">
            <v>45951</v>
          </cell>
          <cell r="Q5">
            <v>46093</v>
          </cell>
          <cell r="R5">
            <v>46090</v>
          </cell>
          <cell r="S5">
            <v>142</v>
          </cell>
          <cell r="T5">
            <v>4</v>
          </cell>
          <cell r="U5">
            <v>35</v>
          </cell>
          <cell r="V5">
            <v>72</v>
          </cell>
          <cell r="W5" t="str">
            <v>0.085D</v>
          </cell>
          <cell r="X5" t="str">
            <v>3-2026</v>
          </cell>
          <cell r="Y5" t="str">
            <v>Week 10</v>
          </cell>
          <cell r="Z5">
            <v>46083</v>
          </cell>
          <cell r="AA5">
            <v>0</v>
          </cell>
          <cell r="AB5">
            <v>2.8570000000000002E-2</v>
          </cell>
        </row>
        <row r="6">
          <cell r="A6" t="str">
            <v>F-2025-10-233</v>
          </cell>
          <cell r="B6"/>
          <cell r="C6" t="str">
            <v>FPRO-251020-0012</v>
          </cell>
          <cell r="D6" t="str">
            <v>Firm plan 21.10</v>
          </cell>
          <cell r="E6" t="str">
            <v>BDB-000160</v>
          </cell>
          <cell r="F6" t="str">
            <v>PVN-001562</v>
          </cell>
          <cell r="G6" t="str">
            <v>OrthoLite Ultra-Nike LIME GREEN/14-0452TPX 0.085D 25+/-4 Asker C 1.1M 2M 4mm</v>
          </cell>
          <cell r="H6">
            <v>2500</v>
          </cell>
          <cell r="I6">
            <v>2500</v>
          </cell>
          <cell r="J6">
            <v>2500</v>
          </cell>
          <cell r="K6">
            <v>0</v>
          </cell>
          <cell r="L6" t="str">
            <v>NIKE</v>
          </cell>
          <cell r="M6" t="str">
            <v>Forecast</v>
          </cell>
          <cell r="N6" t="str">
            <v>DIE CUT</v>
          </cell>
          <cell r="O6" t="str">
            <v>1</v>
          </cell>
          <cell r="P6">
            <v>45951</v>
          </cell>
          <cell r="Q6">
            <v>46083</v>
          </cell>
          <cell r="R6">
            <v>46080</v>
          </cell>
          <cell r="S6">
            <v>132</v>
          </cell>
          <cell r="T6">
            <v>4</v>
          </cell>
          <cell r="U6">
            <v>35</v>
          </cell>
          <cell r="V6">
            <v>72</v>
          </cell>
          <cell r="W6" t="str">
            <v>0.085D</v>
          </cell>
          <cell r="X6" t="str">
            <v>3-2026</v>
          </cell>
          <cell r="Y6" t="str">
            <v>Week 9</v>
          </cell>
          <cell r="Z6">
            <v>46076</v>
          </cell>
          <cell r="AA6">
            <v>0</v>
          </cell>
          <cell r="AB6">
            <v>2.8570000000000002E-2</v>
          </cell>
        </row>
        <row r="7">
          <cell r="A7" t="str">
            <v>F-2025-10-246</v>
          </cell>
          <cell r="B7"/>
          <cell r="C7" t="str">
            <v>FPRO-251020-0027 900PCS+ FPRO-260228-0001 200PCS</v>
          </cell>
          <cell r="D7" t="str">
            <v>Firm plan 21.10</v>
          </cell>
          <cell r="E7" t="str">
            <v>BDB-000161</v>
          </cell>
          <cell r="F7" t="str">
            <v>PVN-001560</v>
          </cell>
          <cell r="G7" t="str">
            <v>OrthoLite Ultra-Nike FOSSIL/17-0909TPX 0.085D 25+/-4 Asker C 1.1M 2M 4mm</v>
          </cell>
          <cell r="H7">
            <v>1100</v>
          </cell>
          <cell r="I7">
            <v>1100</v>
          </cell>
          <cell r="J7">
            <v>1100</v>
          </cell>
          <cell r="K7">
            <v>0</v>
          </cell>
          <cell r="L7" t="str">
            <v>NIKE</v>
          </cell>
          <cell r="M7" t="str">
            <v>Forecast</v>
          </cell>
          <cell r="N7" t="str">
            <v>DIE CUT</v>
          </cell>
          <cell r="O7" t="str">
            <v>1</v>
          </cell>
          <cell r="P7">
            <v>45951</v>
          </cell>
          <cell r="Q7">
            <v>46084</v>
          </cell>
          <cell r="R7">
            <v>46081</v>
          </cell>
          <cell r="S7">
            <v>133</v>
          </cell>
          <cell r="T7">
            <v>4</v>
          </cell>
          <cell r="U7">
            <v>35</v>
          </cell>
          <cell r="V7">
            <v>32</v>
          </cell>
          <cell r="W7" t="str">
            <v>0.085D</v>
          </cell>
          <cell r="X7" t="str">
            <v>3-2026</v>
          </cell>
          <cell r="Y7" t="str">
            <v>Week 9</v>
          </cell>
          <cell r="Z7">
            <v>46076</v>
          </cell>
          <cell r="AA7">
            <v>0</v>
          </cell>
          <cell r="AB7">
            <v>2.8570000000000002E-2</v>
          </cell>
        </row>
        <row r="8">
          <cell r="A8" t="str">
            <v>F-2025-10-254</v>
          </cell>
          <cell r="B8"/>
          <cell r="C8" t="str">
            <v>FPRO-251021-0006</v>
          </cell>
          <cell r="D8" t="str">
            <v>Firm plan 21.10</v>
          </cell>
          <cell r="E8" t="str">
            <v>BDB-000161</v>
          </cell>
          <cell r="F8" t="str">
            <v>PVN-001560</v>
          </cell>
          <cell r="G8" t="str">
            <v>OrthoLite Ultra-Nike FOSSIL/17-0909TPX 0.085D 25+/-4 Asker C 1.1M 2M 4mm</v>
          </cell>
          <cell r="H8">
            <v>1000</v>
          </cell>
          <cell r="I8">
            <v>1000</v>
          </cell>
          <cell r="J8">
            <v>0</v>
          </cell>
          <cell r="K8">
            <v>1000</v>
          </cell>
          <cell r="L8" t="str">
            <v>NIKE</v>
          </cell>
          <cell r="M8" t="str">
            <v>Forecast</v>
          </cell>
          <cell r="N8" t="str">
            <v>DIE CUT</v>
          </cell>
          <cell r="O8" t="str">
            <v>1</v>
          </cell>
          <cell r="P8">
            <v>45951</v>
          </cell>
          <cell r="Q8">
            <v>46116</v>
          </cell>
          <cell r="R8">
            <v>46113</v>
          </cell>
          <cell r="S8">
            <v>165</v>
          </cell>
          <cell r="T8">
            <v>4</v>
          </cell>
          <cell r="U8">
            <v>35</v>
          </cell>
          <cell r="V8">
            <v>29</v>
          </cell>
          <cell r="W8" t="str">
            <v>0.085D</v>
          </cell>
          <cell r="X8" t="str">
            <v>4-2026</v>
          </cell>
          <cell r="Y8" t="str">
            <v>Week 14</v>
          </cell>
          <cell r="Z8">
            <v>46111</v>
          </cell>
          <cell r="AA8">
            <v>0</v>
          </cell>
          <cell r="AB8">
            <v>2.8570000000000002E-2</v>
          </cell>
        </row>
        <row r="9">
          <cell r="A9" t="str">
            <v>F-2025-09-377</v>
          </cell>
          <cell r="B9"/>
          <cell r="C9" t="str">
            <v xml:space="preserve">RPRO-250926-0767-đã xóa firm plan </v>
          </cell>
          <cell r="D9" t="str">
            <v>MPS 26.9</v>
          </cell>
          <cell r="E9" t="str">
            <v>BDB-000067</v>
          </cell>
          <cell r="F9" t="str">
            <v>PVN-001415</v>
          </cell>
          <cell r="G9" t="str">
            <v>OrthoLite Ultra SEEDPEARL/12-0703TPX Flat Sheet 0.085D 25+/-4 Asker C 1.1M 2M 4mm (CHỜ DEMAND ĐỂ TRỪ ĐƠN, sample lấy xài 80 tấm, 26/12 updat lại còn 200 tấm)</v>
          </cell>
          <cell r="H9">
            <v>315</v>
          </cell>
          <cell r="I9">
            <v>315</v>
          </cell>
          <cell r="J9">
            <v>315</v>
          </cell>
          <cell r="K9">
            <v>0</v>
          </cell>
          <cell r="L9"/>
          <cell r="M9" t="str">
            <v>MPS</v>
          </cell>
          <cell r="N9" t="str">
            <v>SPLITTING</v>
          </cell>
          <cell r="O9">
            <v>2</v>
          </cell>
          <cell r="P9">
            <v>45926</v>
          </cell>
          <cell r="Q9">
            <v>46021</v>
          </cell>
          <cell r="R9">
            <v>46018</v>
          </cell>
          <cell r="S9">
            <v>95</v>
          </cell>
          <cell r="T9">
            <v>4</v>
          </cell>
          <cell r="U9">
            <v>35</v>
          </cell>
          <cell r="V9">
            <v>9</v>
          </cell>
          <cell r="W9" t="str">
            <v>0.085D</v>
          </cell>
          <cell r="X9" t="str">
            <v>12-2025</v>
          </cell>
          <cell r="Y9" t="str">
            <v>Week 40</v>
          </cell>
          <cell r="Z9">
            <v>45929</v>
          </cell>
          <cell r="AA9">
            <v>0</v>
          </cell>
          <cell r="AB9">
            <v>2.8570000000000002E-2</v>
          </cell>
        </row>
        <row r="10">
          <cell r="A10" t="str">
            <v>F-2025-12-25</v>
          </cell>
          <cell r="B10"/>
          <cell r="C10" t="str">
            <v>FPRO-251201-0003-diem delete firm plan 04.03</v>
          </cell>
          <cell r="D10" t="str">
            <v>Firm plan 1.12</v>
          </cell>
          <cell r="E10" t="str">
            <v>BDB-000165</v>
          </cell>
          <cell r="F10" t="str">
            <v>PVN-002053</v>
          </cell>
          <cell r="G10" t="str">
            <v>OrthoLite Ultra-Nike LIME GREEN/14-0452TPX Flat Sheet 0.085D 15+/-4 Asker C 1.1M 2M 5mm</v>
          </cell>
          <cell r="H10">
            <v>1000</v>
          </cell>
          <cell r="I10">
            <v>1000</v>
          </cell>
          <cell r="J10">
            <v>0</v>
          </cell>
          <cell r="K10">
            <v>1000</v>
          </cell>
          <cell r="L10" t="str">
            <v>NIKE</v>
          </cell>
          <cell r="M10" t="str">
            <v>Forecast</v>
          </cell>
          <cell r="N10" t="str">
            <v>DIE CUT</v>
          </cell>
          <cell r="O10">
            <v>1</v>
          </cell>
          <cell r="P10">
            <v>45992</v>
          </cell>
          <cell r="Q10" t="str">
            <v>Cancel by diem 04.03</v>
          </cell>
          <cell r="R10" t="e">
            <v>#VALUE!</v>
          </cell>
          <cell r="S10" t="e">
            <v>#VALUE!</v>
          </cell>
          <cell r="T10">
            <v>5</v>
          </cell>
          <cell r="U10">
            <v>28</v>
          </cell>
          <cell r="V10">
            <v>36</v>
          </cell>
          <cell r="W10" t="str">
            <v>0.085D</v>
          </cell>
          <cell r="X10" t="e">
            <v>#VALUE!</v>
          </cell>
          <cell r="Y10" t="str">
            <v>Week 11</v>
          </cell>
          <cell r="Z10">
            <v>46090</v>
          </cell>
          <cell r="AA10">
            <v>0</v>
          </cell>
          <cell r="AB10">
            <v>3.5709999999999999E-2</v>
          </cell>
        </row>
        <row r="11">
          <cell r="A11" t="str">
            <v>F-2025-12-26</v>
          </cell>
          <cell r="B11"/>
          <cell r="C11" t="str">
            <v>FPRO-251201-0004</v>
          </cell>
          <cell r="D11" t="str">
            <v>Firm plan 1.12</v>
          </cell>
          <cell r="E11" t="str">
            <v>BDB-000165</v>
          </cell>
          <cell r="F11" t="str">
            <v>PVN-002053</v>
          </cell>
          <cell r="G11" t="str">
            <v>OrthoLite Ultra-Nike LIME GREEN/14-0452TPX Flat Sheet 0.085D 15+/-4 Asker C 1.1M 2M 5mm</v>
          </cell>
          <cell r="H11">
            <v>700</v>
          </cell>
          <cell r="I11">
            <v>700</v>
          </cell>
          <cell r="J11">
            <v>700</v>
          </cell>
          <cell r="K11">
            <v>0</v>
          </cell>
          <cell r="L11" t="str">
            <v>NIKE</v>
          </cell>
          <cell r="M11" t="str">
            <v>Forecast</v>
          </cell>
          <cell r="N11" t="str">
            <v>DIE CUT</v>
          </cell>
          <cell r="O11">
            <v>1</v>
          </cell>
          <cell r="P11">
            <v>45992</v>
          </cell>
          <cell r="Q11">
            <v>46088</v>
          </cell>
          <cell r="R11">
            <v>46085</v>
          </cell>
          <cell r="S11">
            <v>96</v>
          </cell>
          <cell r="T11">
            <v>5</v>
          </cell>
          <cell r="U11">
            <v>28</v>
          </cell>
          <cell r="V11">
            <v>25</v>
          </cell>
          <cell r="W11" t="str">
            <v>0.085D</v>
          </cell>
          <cell r="X11" t="str">
            <v>3-2026</v>
          </cell>
          <cell r="Y11" t="str">
            <v>Week 9</v>
          </cell>
          <cell r="Z11">
            <v>46076</v>
          </cell>
          <cell r="AA11">
            <v>0</v>
          </cell>
          <cell r="AB11">
            <v>3.5709999999999999E-2</v>
          </cell>
        </row>
        <row r="12">
          <cell r="A12" t="str">
            <v>F-2025-12-405</v>
          </cell>
          <cell r="B12"/>
          <cell r="C12" t="str">
            <v>FPRO-251220-0006</v>
          </cell>
          <cell r="D12" t="str">
            <v>Firm plan 20.12</v>
          </cell>
          <cell r="E12" t="str">
            <v>BDB-000175</v>
          </cell>
          <cell r="F12" t="str">
            <v>PVN-002966</v>
          </cell>
          <cell r="G12" t="str">
            <v>OrthoLite Ultra-Hybrid-Nike SEEDPEARL/12-0703TPX Hybrid 0.085D 25+/-4 Asker C 1.1M 2M 4mm</v>
          </cell>
          <cell r="H12">
            <v>3500</v>
          </cell>
          <cell r="I12">
            <v>3500</v>
          </cell>
          <cell r="J12">
            <v>3500</v>
          </cell>
          <cell r="K12">
            <v>0</v>
          </cell>
          <cell r="L12" t="str">
            <v>NIKE</v>
          </cell>
          <cell r="M12" t="str">
            <v>Forecast</v>
          </cell>
          <cell r="N12" t="str">
            <v>DIE CUT</v>
          </cell>
          <cell r="O12">
            <v>1</v>
          </cell>
          <cell r="P12">
            <v>46011</v>
          </cell>
          <cell r="Q12">
            <v>46085</v>
          </cell>
          <cell r="R12">
            <v>46082</v>
          </cell>
          <cell r="S12">
            <v>74</v>
          </cell>
          <cell r="T12">
            <v>4</v>
          </cell>
          <cell r="U12">
            <v>35</v>
          </cell>
          <cell r="V12">
            <v>100</v>
          </cell>
          <cell r="W12" t="str">
            <v>0.085D</v>
          </cell>
          <cell r="X12" t="str">
            <v>3-2026</v>
          </cell>
          <cell r="Y12" t="str">
            <v>Week 9</v>
          </cell>
          <cell r="Z12">
            <v>46076</v>
          </cell>
          <cell r="AA12">
            <v>0</v>
          </cell>
          <cell r="AB12">
            <v>2.8570000000000002E-2</v>
          </cell>
        </row>
        <row r="13">
          <cell r="A13" t="str">
            <v>F-2025-12-406</v>
          </cell>
          <cell r="B13"/>
          <cell r="C13" t="str">
            <v>FPRO-251220-0007</v>
          </cell>
          <cell r="D13" t="str">
            <v>Firm plan 20.12</v>
          </cell>
          <cell r="E13" t="str">
            <v>BDB-000175</v>
          </cell>
          <cell r="F13" t="str">
            <v>PVN-002966</v>
          </cell>
          <cell r="G13" t="str">
            <v>OrthoLite Ultra-Hybrid-Nike SEEDPEARL/12-0703TPX Hybrid 0.085D 25+/-4 Asker C 1.1M 2M 4mm</v>
          </cell>
          <cell r="H13">
            <v>2900</v>
          </cell>
          <cell r="I13">
            <v>2900</v>
          </cell>
          <cell r="J13">
            <v>2900</v>
          </cell>
          <cell r="K13">
            <v>0</v>
          </cell>
          <cell r="L13" t="str">
            <v>NIKE</v>
          </cell>
          <cell r="M13" t="str">
            <v>Forecast</v>
          </cell>
          <cell r="N13" t="str">
            <v>DIE CUT</v>
          </cell>
          <cell r="O13">
            <v>1</v>
          </cell>
          <cell r="P13">
            <v>46011</v>
          </cell>
          <cell r="Q13">
            <v>46111</v>
          </cell>
          <cell r="R13">
            <v>46108</v>
          </cell>
          <cell r="S13">
            <v>100</v>
          </cell>
          <cell r="T13">
            <v>4</v>
          </cell>
          <cell r="U13">
            <v>35</v>
          </cell>
          <cell r="V13">
            <v>83</v>
          </cell>
          <cell r="W13" t="str">
            <v>0.085D</v>
          </cell>
          <cell r="X13" t="str">
            <v>3-2026</v>
          </cell>
          <cell r="Y13" t="str">
            <v>Week 13</v>
          </cell>
          <cell r="Z13">
            <v>46104</v>
          </cell>
          <cell r="AA13">
            <v>0</v>
          </cell>
          <cell r="AB13">
            <v>2.8570000000000002E-2</v>
          </cell>
        </row>
        <row r="14">
          <cell r="A14" t="str">
            <v>F-2025-12-408</v>
          </cell>
          <cell r="B14"/>
          <cell r="C14" t="str">
            <v>FPRO-251220-0009</v>
          </cell>
          <cell r="D14" t="str">
            <v>Firm plan 20.12</v>
          </cell>
          <cell r="E14" t="str">
            <v>BDB-000163</v>
          </cell>
          <cell r="F14" t="str">
            <v>PVN-001556</v>
          </cell>
          <cell r="G14" t="str">
            <v>OrthoLite Ultra-Nike YELLOW/13-0858TPX 0.085D 25+/-4 Asker C 1.1M 2M 4mm</v>
          </cell>
          <cell r="H14">
            <v>1500</v>
          </cell>
          <cell r="I14">
            <v>1500</v>
          </cell>
          <cell r="J14">
            <v>1500</v>
          </cell>
          <cell r="K14">
            <v>0</v>
          </cell>
          <cell r="L14" t="str">
            <v>NIKE</v>
          </cell>
          <cell r="M14" t="str">
            <v>Forecast</v>
          </cell>
          <cell r="N14" t="str">
            <v>DIE CUT</v>
          </cell>
          <cell r="O14">
            <v>1</v>
          </cell>
          <cell r="P14">
            <v>46011</v>
          </cell>
          <cell r="Q14">
            <v>46099</v>
          </cell>
          <cell r="R14">
            <v>46096</v>
          </cell>
          <cell r="S14">
            <v>88</v>
          </cell>
          <cell r="T14">
            <v>4</v>
          </cell>
          <cell r="U14">
            <v>35</v>
          </cell>
          <cell r="V14">
            <v>43</v>
          </cell>
          <cell r="W14" t="str">
            <v>0.085D</v>
          </cell>
          <cell r="X14" t="str">
            <v>3-2026</v>
          </cell>
          <cell r="Y14" t="str">
            <v>Week 11</v>
          </cell>
          <cell r="Z14">
            <v>46090</v>
          </cell>
          <cell r="AA14">
            <v>0</v>
          </cell>
          <cell r="AB14">
            <v>2.8570000000000002E-2</v>
          </cell>
        </row>
        <row r="15">
          <cell r="A15" t="str">
            <v>F-2025-12-413</v>
          </cell>
          <cell r="B15"/>
          <cell r="C15" t="str">
            <v>FPRO-251220-0014</v>
          </cell>
          <cell r="D15" t="str">
            <v>Firm plan 20.12</v>
          </cell>
          <cell r="E15" t="str">
            <v>BDB-000131</v>
          </cell>
          <cell r="F15" t="str">
            <v>PVN-001565</v>
          </cell>
          <cell r="G15" t="str">
            <v>OrthoLite Regular-Nike AIR BLUE/16-4134TPX 0.11D 15+/-4 Asker C 1.1M 2M 4mm</v>
          </cell>
          <cell r="H15">
            <v>1000</v>
          </cell>
          <cell r="I15">
            <v>1000</v>
          </cell>
          <cell r="J15">
            <v>1000</v>
          </cell>
          <cell r="K15">
            <v>0</v>
          </cell>
          <cell r="L15" t="str">
            <v>NIKE</v>
          </cell>
          <cell r="M15" t="str">
            <v>Forecast</v>
          </cell>
          <cell r="N15" t="str">
            <v>DIE CUT</v>
          </cell>
          <cell r="O15">
            <v>1</v>
          </cell>
          <cell r="P15">
            <v>46011</v>
          </cell>
          <cell r="Q15">
            <v>46097</v>
          </cell>
          <cell r="R15">
            <v>46094</v>
          </cell>
          <cell r="S15">
            <v>86</v>
          </cell>
          <cell r="T15">
            <v>4</v>
          </cell>
          <cell r="U15">
            <v>35</v>
          </cell>
          <cell r="V15">
            <v>29</v>
          </cell>
          <cell r="W15" t="str">
            <v>0.11D</v>
          </cell>
          <cell r="X15" t="str">
            <v>3-2026</v>
          </cell>
          <cell r="Y15" t="str">
            <v>Week 11</v>
          </cell>
          <cell r="Z15">
            <v>46090</v>
          </cell>
          <cell r="AA15">
            <v>0</v>
          </cell>
          <cell r="AB15">
            <v>2.8570000000000002E-2</v>
          </cell>
        </row>
        <row r="16">
          <cell r="A16" t="str">
            <v>F-2025-12-524</v>
          </cell>
          <cell r="B16"/>
          <cell r="C16" t="str">
            <v>FPRO-251225-0023</v>
          </cell>
          <cell r="D16" t="str">
            <v>Firm plan 25.12</v>
          </cell>
          <cell r="E16" t="str">
            <v>BDB-000123</v>
          </cell>
          <cell r="F16" t="str">
            <v>PVN-003299</v>
          </cell>
          <cell r="G16" t="str">
            <v>OrthoLite Ultra-Hybrid SEEDPEARL/12-0703TPX Hybrid 0.085D 25+/-4 Asker C 1.1M 2M 3mm</v>
          </cell>
          <cell r="H16">
            <v>7000</v>
          </cell>
          <cell r="I16">
            <v>7000</v>
          </cell>
          <cell r="J16">
            <v>7000</v>
          </cell>
          <cell r="K16">
            <v>0</v>
          </cell>
          <cell r="L16" t="str">
            <v>ADIDAS</v>
          </cell>
          <cell r="M16" t="str">
            <v>Forecast</v>
          </cell>
          <cell r="N16" t="str">
            <v>SPLITTING</v>
          </cell>
          <cell r="O16">
            <v>2</v>
          </cell>
          <cell r="P16">
            <v>46016</v>
          </cell>
          <cell r="Q16">
            <v>46092</v>
          </cell>
          <cell r="R16">
            <v>46089</v>
          </cell>
          <cell r="S16">
            <v>76</v>
          </cell>
          <cell r="T16">
            <v>3</v>
          </cell>
          <cell r="U16">
            <v>46</v>
          </cell>
          <cell r="V16">
            <v>153</v>
          </cell>
          <cell r="W16" t="str">
            <v>0.085D</v>
          </cell>
          <cell r="X16" t="str">
            <v>3-2026</v>
          </cell>
          <cell r="Y16" t="str">
            <v>Week 10</v>
          </cell>
          <cell r="Z16">
            <v>46083</v>
          </cell>
          <cell r="AA16">
            <v>0</v>
          </cell>
          <cell r="AB16">
            <v>2.1739999999999999E-2</v>
          </cell>
        </row>
        <row r="17">
          <cell r="A17" t="str">
            <v>F-2025-12-526</v>
          </cell>
          <cell r="B17"/>
          <cell r="C17" t="str">
            <v>FPRO-251225-0025</v>
          </cell>
          <cell r="D17" t="str">
            <v>Firm plan 25.12</v>
          </cell>
          <cell r="E17" t="str">
            <v>BDB-000123</v>
          </cell>
          <cell r="F17" t="str">
            <v>PVN-003299</v>
          </cell>
          <cell r="G17" t="str">
            <v>OrthoLite Ultra-Hybrid SEEDPEARL/12-0703TPX Hybrid 0.085D 25+/-4 Asker C 1.1M 2M 3mm</v>
          </cell>
          <cell r="H17">
            <v>7000</v>
          </cell>
          <cell r="I17">
            <v>7000</v>
          </cell>
          <cell r="J17">
            <v>7000</v>
          </cell>
          <cell r="K17">
            <v>0</v>
          </cell>
          <cell r="L17" t="str">
            <v>ADIDAS</v>
          </cell>
          <cell r="M17" t="str">
            <v>Forecast</v>
          </cell>
          <cell r="N17" t="str">
            <v>SPLITTING</v>
          </cell>
          <cell r="O17">
            <v>2</v>
          </cell>
          <cell r="P17">
            <v>46016</v>
          </cell>
          <cell r="Q17">
            <v>46093</v>
          </cell>
          <cell r="R17">
            <v>46090</v>
          </cell>
          <cell r="S17">
            <v>77</v>
          </cell>
          <cell r="T17">
            <v>3</v>
          </cell>
          <cell r="U17">
            <v>46</v>
          </cell>
          <cell r="V17">
            <v>153</v>
          </cell>
          <cell r="W17" t="str">
            <v>0.085D</v>
          </cell>
          <cell r="X17" t="str">
            <v>3-2026</v>
          </cell>
          <cell r="Y17" t="str">
            <v>Week 10</v>
          </cell>
          <cell r="Z17">
            <v>46083</v>
          </cell>
          <cell r="AA17">
            <v>0</v>
          </cell>
          <cell r="AB17">
            <v>2.1739999999999999E-2</v>
          </cell>
        </row>
        <row r="18">
          <cell r="A18" t="str">
            <v>F-2025-12-527</v>
          </cell>
          <cell r="B18"/>
          <cell r="C18" t="str">
            <v>FPRO-251225-0026 2000pcs ETD 2/3 và FPRO-260227-0003 5000pcs ETD 3/3</v>
          </cell>
          <cell r="D18" t="str">
            <v>Firm plan 25.12</v>
          </cell>
          <cell r="E18" t="str">
            <v>BDB-000123</v>
          </cell>
          <cell r="F18" t="str">
            <v>PVN-003299</v>
          </cell>
          <cell r="G18" t="str">
            <v>OrthoLite Ultra-Hybrid SEEDPEARL/12-0703TPX Hybrid 0.085D 25+/-4 Asker C 1.1M 2M 3mm</v>
          </cell>
          <cell r="H18">
            <v>7000</v>
          </cell>
          <cell r="I18">
            <v>7000</v>
          </cell>
          <cell r="J18">
            <v>7000</v>
          </cell>
          <cell r="K18">
            <v>0</v>
          </cell>
          <cell r="L18" t="str">
            <v>ADIDAS</v>
          </cell>
          <cell r="M18" t="str">
            <v>Forecast</v>
          </cell>
          <cell r="N18" t="str">
            <v>SPLITTING</v>
          </cell>
          <cell r="O18">
            <v>2</v>
          </cell>
          <cell r="P18">
            <v>46016</v>
          </cell>
          <cell r="Q18">
            <v>46084</v>
          </cell>
          <cell r="R18">
            <v>46081</v>
          </cell>
          <cell r="S18">
            <v>68</v>
          </cell>
          <cell r="T18">
            <v>3</v>
          </cell>
          <cell r="U18">
            <v>46</v>
          </cell>
          <cell r="V18">
            <v>153</v>
          </cell>
          <cell r="W18" t="str">
            <v>0.085D</v>
          </cell>
          <cell r="X18" t="str">
            <v>3-2026</v>
          </cell>
          <cell r="Y18" t="str">
            <v>Week 9</v>
          </cell>
          <cell r="Z18">
            <v>46076</v>
          </cell>
          <cell r="AA18">
            <v>0</v>
          </cell>
          <cell r="AB18">
            <v>2.1739999999999999E-2</v>
          </cell>
        </row>
        <row r="19">
          <cell r="A19" t="str">
            <v>F-2025-12-528</v>
          </cell>
          <cell r="B19"/>
          <cell r="C19" t="str">
            <v>FPRO-251225-0027</v>
          </cell>
          <cell r="D19" t="str">
            <v>Firm plan 25.12</v>
          </cell>
          <cell r="E19" t="str">
            <v>BDB-000123</v>
          </cell>
          <cell r="F19" t="str">
            <v>PVN-003299</v>
          </cell>
          <cell r="G19" t="str">
            <v>OrthoLite Ultra-Hybrid SEEDPEARL/12-0703TPX Hybrid 0.085D 25+/-4 Asker C 1.1M 2M 3mm</v>
          </cell>
          <cell r="H19">
            <v>7000</v>
          </cell>
          <cell r="I19">
            <v>7000</v>
          </cell>
          <cell r="J19">
            <v>7000</v>
          </cell>
          <cell r="K19">
            <v>0</v>
          </cell>
          <cell r="L19" t="str">
            <v>ADIDAS</v>
          </cell>
          <cell r="M19" t="str">
            <v>Forecast</v>
          </cell>
          <cell r="N19" t="str">
            <v>SPLITTING</v>
          </cell>
          <cell r="O19">
            <v>2</v>
          </cell>
          <cell r="P19">
            <v>46016</v>
          </cell>
          <cell r="Q19">
            <v>46080</v>
          </cell>
          <cell r="R19">
            <v>46077</v>
          </cell>
          <cell r="S19">
            <v>64</v>
          </cell>
          <cell r="T19">
            <v>3</v>
          </cell>
          <cell r="U19">
            <v>46</v>
          </cell>
          <cell r="V19">
            <v>153</v>
          </cell>
          <cell r="W19" t="str">
            <v>0.085D</v>
          </cell>
          <cell r="X19" t="str">
            <v>2-2026</v>
          </cell>
          <cell r="Y19" t="str">
            <v>Week 7</v>
          </cell>
          <cell r="Z19">
            <v>46062</v>
          </cell>
          <cell r="AA19">
            <v>0</v>
          </cell>
          <cell r="AB19">
            <v>2.1739999999999999E-2</v>
          </cell>
        </row>
        <row r="20">
          <cell r="A20" t="str">
            <v>F-2025-12-529</v>
          </cell>
          <cell r="B20"/>
          <cell r="C20" t="str">
            <v>FPRO-251225-0028</v>
          </cell>
          <cell r="D20" t="str">
            <v>Firm plan 25.12</v>
          </cell>
          <cell r="E20" t="str">
            <v>BDB-000123</v>
          </cell>
          <cell r="F20" t="str">
            <v>PVN-003299</v>
          </cell>
          <cell r="G20" t="str">
            <v>OrthoLite Ultra-Hybrid SEEDPEARL/12-0703TPX Hybrid 0.085D 25+/-4 Asker C 1.1M 2M 3mm</v>
          </cell>
          <cell r="H20">
            <v>7000</v>
          </cell>
          <cell r="I20">
            <v>7000</v>
          </cell>
          <cell r="J20">
            <v>7000</v>
          </cell>
          <cell r="K20">
            <v>0</v>
          </cell>
          <cell r="L20" t="str">
            <v>ADIDAS</v>
          </cell>
          <cell r="M20" t="str">
            <v>Forecast</v>
          </cell>
          <cell r="N20" t="str">
            <v>SPLITTING</v>
          </cell>
          <cell r="O20">
            <v>2</v>
          </cell>
          <cell r="P20">
            <v>46016</v>
          </cell>
          <cell r="Q20">
            <v>46086</v>
          </cell>
          <cell r="R20">
            <v>46083</v>
          </cell>
          <cell r="S20">
            <v>70</v>
          </cell>
          <cell r="T20">
            <v>3</v>
          </cell>
          <cell r="U20">
            <v>46</v>
          </cell>
          <cell r="V20">
            <v>153</v>
          </cell>
          <cell r="W20" t="str">
            <v>0.085D</v>
          </cell>
          <cell r="X20" t="str">
            <v>3-2026</v>
          </cell>
          <cell r="Y20" t="str">
            <v>Week 9</v>
          </cell>
          <cell r="Z20">
            <v>46076</v>
          </cell>
          <cell r="AA20">
            <v>0</v>
          </cell>
          <cell r="AB20">
            <v>2.1739999999999999E-2</v>
          </cell>
        </row>
        <row r="21">
          <cell r="A21" t="str">
            <v>F-2025-12-536</v>
          </cell>
          <cell r="B21"/>
          <cell r="C21" t="str">
            <v>FPRO-251225-0035</v>
          </cell>
          <cell r="D21" t="str">
            <v>Firm plan 25.12</v>
          </cell>
          <cell r="E21" t="str">
            <v>BDB-000076</v>
          </cell>
          <cell r="F21" t="str">
            <v>PVN-003448</v>
          </cell>
          <cell r="G21" t="str">
            <v>OrthoLite X-25 BILLIARD/16-5427TPX 0.12D 20+/-4 Asker C 1.1M 2M 6.2mm</v>
          </cell>
          <cell r="H21">
            <v>500</v>
          </cell>
          <cell r="I21">
            <v>500</v>
          </cell>
          <cell r="J21">
            <v>500</v>
          </cell>
          <cell r="K21">
            <v>0</v>
          </cell>
          <cell r="L21" t="str">
            <v>ADIDAS</v>
          </cell>
          <cell r="M21" t="str">
            <v>Forecast</v>
          </cell>
          <cell r="N21" t="str">
            <v>MOLDED</v>
          </cell>
          <cell r="O21">
            <v>1</v>
          </cell>
          <cell r="P21">
            <v>46016</v>
          </cell>
          <cell r="Q21">
            <v>46081</v>
          </cell>
          <cell r="R21">
            <v>46078</v>
          </cell>
          <cell r="S21">
            <v>65</v>
          </cell>
          <cell r="T21">
            <v>6.2</v>
          </cell>
          <cell r="U21">
            <v>22</v>
          </cell>
          <cell r="V21">
            <v>23</v>
          </cell>
          <cell r="W21" t="str">
            <v>0.12D</v>
          </cell>
          <cell r="X21" t="str">
            <v>2-2026</v>
          </cell>
          <cell r="Y21" t="str">
            <v>Week 9</v>
          </cell>
          <cell r="Z21">
            <v>46076</v>
          </cell>
          <cell r="AA21">
            <v>0</v>
          </cell>
          <cell r="AB21">
            <v>4.5449999999999997E-2</v>
          </cell>
        </row>
        <row r="22">
          <cell r="A22" t="str">
            <v>F-2025-12-537</v>
          </cell>
          <cell r="B22"/>
          <cell r="C22" t="str">
            <v>FPRO-251225-0036</v>
          </cell>
          <cell r="D22" t="str">
            <v>Firm plan 25.12</v>
          </cell>
          <cell r="E22" t="str">
            <v>BDB-000076</v>
          </cell>
          <cell r="F22" t="str">
            <v>PVN-003448</v>
          </cell>
          <cell r="G22" t="str">
            <v>OrthoLite X-25 BILLIARD/16-5427TPX 0.12D 20+/-4 Asker C 1.1M 2M 6.2mm</v>
          </cell>
          <cell r="H22">
            <v>500</v>
          </cell>
          <cell r="I22">
            <v>500</v>
          </cell>
          <cell r="J22">
            <v>500</v>
          </cell>
          <cell r="K22">
            <v>0</v>
          </cell>
          <cell r="L22" t="str">
            <v>ADIDAS</v>
          </cell>
          <cell r="M22" t="str">
            <v>Forecast</v>
          </cell>
          <cell r="N22" t="str">
            <v>MOLDED</v>
          </cell>
          <cell r="O22">
            <v>1</v>
          </cell>
          <cell r="P22">
            <v>46016</v>
          </cell>
          <cell r="Q22">
            <v>46079</v>
          </cell>
          <cell r="R22">
            <v>46076</v>
          </cell>
          <cell r="S22">
            <v>63</v>
          </cell>
          <cell r="T22">
            <v>6.2</v>
          </cell>
          <cell r="U22">
            <v>22</v>
          </cell>
          <cell r="V22">
            <v>23</v>
          </cell>
          <cell r="W22" t="str">
            <v>0.12D</v>
          </cell>
          <cell r="X22" t="str">
            <v>2-2026</v>
          </cell>
          <cell r="Y22" t="str">
            <v>Week 7</v>
          </cell>
          <cell r="Z22">
            <v>46062</v>
          </cell>
          <cell r="AA22">
            <v>0</v>
          </cell>
          <cell r="AB22">
            <v>4.5449999999999997E-2</v>
          </cell>
        </row>
        <row r="23">
          <cell r="A23" t="str">
            <v>F-2026-01-10</v>
          </cell>
          <cell r="B23"/>
          <cell r="C23" t="str">
            <v>RPRO-260105-0632</v>
          </cell>
          <cell r="D23" t="str">
            <v>MPS 31.12+2.1+3.1+4.1</v>
          </cell>
          <cell r="E23" t="str">
            <v>BDB-000123</v>
          </cell>
          <cell r="F23" t="str">
            <v>PVN-002539</v>
          </cell>
          <cell r="G23" t="str">
            <v>OrthoLite Ultra-Hybrid SEEDPEARL/12-0703TPX Hybrid Flat Sheet 0.085D 25+/-4 Asker C 1.1M 2M 5mm</v>
          </cell>
          <cell r="H23">
            <v>36</v>
          </cell>
          <cell r="I23">
            <v>36</v>
          </cell>
          <cell r="J23">
            <v>36</v>
          </cell>
          <cell r="K23">
            <v>0</v>
          </cell>
          <cell r="L23"/>
          <cell r="M23" t="str">
            <v>MPS</v>
          </cell>
          <cell r="N23" t="str">
            <v>SPLITTING</v>
          </cell>
          <cell r="O23">
            <v>2</v>
          </cell>
          <cell r="P23">
            <v>46027</v>
          </cell>
          <cell r="Q23">
            <v>46080</v>
          </cell>
          <cell r="R23">
            <v>46077</v>
          </cell>
          <cell r="S23">
            <v>53</v>
          </cell>
          <cell r="T23">
            <v>5</v>
          </cell>
          <cell r="U23">
            <v>28</v>
          </cell>
          <cell r="V23">
            <v>2</v>
          </cell>
          <cell r="W23" t="str">
            <v>0.085D</v>
          </cell>
          <cell r="X23" t="str">
            <v>2-2026</v>
          </cell>
          <cell r="Y23" t="str">
            <v>Week 7</v>
          </cell>
          <cell r="Z23">
            <v>46062</v>
          </cell>
          <cell r="AA23">
            <v>0</v>
          </cell>
          <cell r="AB23">
            <v>3.5709999999999999E-2</v>
          </cell>
        </row>
        <row r="24">
          <cell r="A24" t="str">
            <v>F-2026-01-81</v>
          </cell>
          <cell r="B24"/>
          <cell r="C24" t="str">
            <v>FPRO-260109-0001 1650PCS+ FPRO-260228-0007 2350PCS</v>
          </cell>
          <cell r="D24" t="str">
            <v>Firm plan 9.1</v>
          </cell>
          <cell r="E24" t="str">
            <v>BDB-000113</v>
          </cell>
          <cell r="F24" t="str">
            <v>PVN-003414</v>
          </cell>
          <cell r="G24" t="str">
            <v>OrthoLite Regular-Hybrid SEEDPEARL/12-0703TPX Hybrid Flat Sheet 0.11D 25+/-4 Asker C 1.1M 2M 12mm</v>
          </cell>
          <cell r="H24">
            <v>4000</v>
          </cell>
          <cell r="I24">
            <v>4000</v>
          </cell>
          <cell r="J24">
            <v>4000</v>
          </cell>
          <cell r="K24">
            <v>0</v>
          </cell>
          <cell r="L24" t="str">
            <v>ASICS</v>
          </cell>
          <cell r="M24" t="str">
            <v>Forecast</v>
          </cell>
          <cell r="N24" t="str">
            <v>MOLDED</v>
          </cell>
          <cell r="O24">
            <v>1</v>
          </cell>
          <cell r="P24">
            <v>46031</v>
          </cell>
          <cell r="Q24">
            <v>46084</v>
          </cell>
          <cell r="R24">
            <v>46081</v>
          </cell>
          <cell r="S24">
            <v>53</v>
          </cell>
          <cell r="T24">
            <v>12</v>
          </cell>
          <cell r="U24">
            <v>11.5</v>
          </cell>
          <cell r="V24">
            <v>348</v>
          </cell>
          <cell r="W24" t="str">
            <v>0.11D</v>
          </cell>
          <cell r="X24" t="str">
            <v>3-2026</v>
          </cell>
          <cell r="Y24" t="str">
            <v>Week 9</v>
          </cell>
          <cell r="Z24">
            <v>46076</v>
          </cell>
          <cell r="AA24">
            <v>0</v>
          </cell>
          <cell r="AB24">
            <v>8.6959999999999996E-2</v>
          </cell>
        </row>
        <row r="25">
          <cell r="A25" t="str">
            <v>F-2026-01-82</v>
          </cell>
          <cell r="B25"/>
          <cell r="C25" t="str">
            <v>FPRO-260109-0002</v>
          </cell>
          <cell r="D25" t="str">
            <v>Firm plan 9.1</v>
          </cell>
          <cell r="E25" t="str">
            <v>BDB-000113</v>
          </cell>
          <cell r="F25" t="str">
            <v>PVN-003414</v>
          </cell>
          <cell r="G25" t="str">
            <v>OrthoLite Regular-Hybrid SEEDPEARL/12-0703TPX Hybrid Flat Sheet 0.11D 25+/-4 Asker C 1.1M 2M 12mm</v>
          </cell>
          <cell r="H25">
            <v>700</v>
          </cell>
          <cell r="I25">
            <v>700</v>
          </cell>
          <cell r="J25">
            <v>700</v>
          </cell>
          <cell r="K25">
            <v>0</v>
          </cell>
          <cell r="L25" t="str">
            <v>ASICS</v>
          </cell>
          <cell r="M25" t="str">
            <v>Forecast</v>
          </cell>
          <cell r="N25" t="str">
            <v>MOLDED</v>
          </cell>
          <cell r="O25">
            <v>1</v>
          </cell>
          <cell r="P25">
            <v>46031</v>
          </cell>
          <cell r="Q25">
            <v>46085</v>
          </cell>
          <cell r="R25">
            <v>46082</v>
          </cell>
          <cell r="S25">
            <v>54</v>
          </cell>
          <cell r="T25">
            <v>12</v>
          </cell>
          <cell r="U25">
            <v>11.5</v>
          </cell>
          <cell r="V25">
            <v>61</v>
          </cell>
          <cell r="W25" t="str">
            <v>0.11D</v>
          </cell>
          <cell r="X25" t="str">
            <v>3-2026</v>
          </cell>
          <cell r="Y25" t="str">
            <v>Week 9</v>
          </cell>
          <cell r="Z25">
            <v>46076</v>
          </cell>
          <cell r="AA25">
            <v>0</v>
          </cell>
          <cell r="AB25">
            <v>8.6959999999999996E-2</v>
          </cell>
        </row>
        <row r="26">
          <cell r="A26" t="str">
            <v>F-2026-01-85</v>
          </cell>
          <cell r="B26"/>
          <cell r="C26" t="str">
            <v>FPRO-260109-0005</v>
          </cell>
          <cell r="D26" t="str">
            <v>Firm plan 9.1</v>
          </cell>
          <cell r="E26" t="str">
            <v>BDB-000113</v>
          </cell>
          <cell r="F26" t="str">
            <v>PVN-003414</v>
          </cell>
          <cell r="G26" t="str">
            <v>OrthoLite Regular-Hybrid SEEDPEARL/12-0703TPX Hybrid Flat Sheet 0.11D 25+/-4 Asker C 1.1M 2M 12mm</v>
          </cell>
          <cell r="H26">
            <v>1900</v>
          </cell>
          <cell r="I26">
            <v>1900</v>
          </cell>
          <cell r="J26">
            <v>1900</v>
          </cell>
          <cell r="K26">
            <v>0</v>
          </cell>
          <cell r="L26" t="str">
            <v>ASICS</v>
          </cell>
          <cell r="M26" t="str">
            <v>Forecast</v>
          </cell>
          <cell r="N26" t="str">
            <v>MOLDED</v>
          </cell>
          <cell r="O26">
            <v>1</v>
          </cell>
          <cell r="P26">
            <v>46031</v>
          </cell>
          <cell r="Q26">
            <v>46087</v>
          </cell>
          <cell r="R26">
            <v>46084</v>
          </cell>
          <cell r="S26">
            <v>56</v>
          </cell>
          <cell r="T26">
            <v>12</v>
          </cell>
          <cell r="U26">
            <v>11.5</v>
          </cell>
          <cell r="V26">
            <v>166</v>
          </cell>
          <cell r="W26" t="str">
            <v>0.11D</v>
          </cell>
          <cell r="X26" t="str">
            <v>3-2026</v>
          </cell>
          <cell r="Y26" t="str">
            <v>Week 9</v>
          </cell>
          <cell r="Z26">
            <v>46076</v>
          </cell>
          <cell r="AA26">
            <v>140</v>
          </cell>
          <cell r="AB26">
            <v>8.6959999999999996E-2</v>
          </cell>
        </row>
        <row r="27">
          <cell r="A27" t="str">
            <v>F-2026-01-89</v>
          </cell>
          <cell r="B27"/>
          <cell r="C27" t="str">
            <v>RPRO-260112-0332</v>
          </cell>
          <cell r="D27" t="str">
            <v>MPS 09.1+10.1</v>
          </cell>
          <cell r="E27" t="str">
            <v>BDB-000123</v>
          </cell>
          <cell r="F27" t="str">
            <v>PVN-002539</v>
          </cell>
          <cell r="G27" t="str">
            <v>OrthoLite Ultra-Hybrid SEEDPEARL/12-0703TPX Hybrid Flat Sheet 0.085D 25+/-4 Asker C 1.1M 2M 5mm</v>
          </cell>
          <cell r="H27">
            <v>504</v>
          </cell>
          <cell r="I27">
            <v>504</v>
          </cell>
          <cell r="J27">
            <v>504</v>
          </cell>
          <cell r="K27">
            <v>0</v>
          </cell>
          <cell r="L27"/>
          <cell r="M27" t="str">
            <v>MPS</v>
          </cell>
          <cell r="N27" t="str">
            <v>SPLITTING</v>
          </cell>
          <cell r="O27">
            <v>2</v>
          </cell>
          <cell r="P27">
            <v>46034</v>
          </cell>
          <cell r="Q27">
            <v>46083</v>
          </cell>
          <cell r="R27">
            <v>46080</v>
          </cell>
          <cell r="S27">
            <v>49</v>
          </cell>
          <cell r="T27">
            <v>5</v>
          </cell>
          <cell r="U27">
            <v>28</v>
          </cell>
          <cell r="V27">
            <v>18</v>
          </cell>
          <cell r="W27" t="str">
            <v>0.085D</v>
          </cell>
          <cell r="X27" t="str">
            <v>3-2026</v>
          </cell>
          <cell r="Y27" t="str">
            <v>Week 9</v>
          </cell>
          <cell r="Z27">
            <v>46076</v>
          </cell>
          <cell r="AA27">
            <v>0</v>
          </cell>
          <cell r="AB27">
            <v>3.5709999999999999E-2</v>
          </cell>
        </row>
        <row r="28">
          <cell r="A28" t="str">
            <v>F-2026-01-229</v>
          </cell>
          <cell r="B28"/>
          <cell r="C28" t="str">
            <v>FPRO-260120-0004</v>
          </cell>
          <cell r="D28" t="str">
            <v>Firm plan 20.01</v>
          </cell>
          <cell r="E28" t="str">
            <v>BDB-000347</v>
          </cell>
          <cell r="F28" t="str">
            <v>PVN-004192</v>
          </cell>
          <cell r="G28" t="str">
            <v>OrthoLite X-55-Hybrid SEEDPEARL/12-0703TPX Hybrid 0.16D 25+/-4 Asker C 1.1M 2M 12mm</v>
          </cell>
          <cell r="H28">
            <v>1000</v>
          </cell>
          <cell r="I28">
            <v>1000</v>
          </cell>
          <cell r="J28">
            <v>1000</v>
          </cell>
          <cell r="K28">
            <v>0</v>
          </cell>
          <cell r="L28" t="str">
            <v>BROOKS</v>
          </cell>
          <cell r="M28" t="str">
            <v>Forecast</v>
          </cell>
          <cell r="N28" t="str">
            <v>MOLDED</v>
          </cell>
          <cell r="O28">
            <v>1</v>
          </cell>
          <cell r="P28">
            <v>46042</v>
          </cell>
          <cell r="Q28">
            <v>46083</v>
          </cell>
          <cell r="R28">
            <v>46080</v>
          </cell>
          <cell r="S28">
            <v>41</v>
          </cell>
          <cell r="T28">
            <v>12</v>
          </cell>
          <cell r="U28">
            <v>11</v>
          </cell>
          <cell r="V28">
            <v>91</v>
          </cell>
          <cell r="W28" t="e">
            <v>#N/A</v>
          </cell>
          <cell r="X28" t="str">
            <v>3-2026</v>
          </cell>
          <cell r="Y28" t="str">
            <v>Week 9</v>
          </cell>
          <cell r="Z28">
            <v>46076</v>
          </cell>
          <cell r="AA28">
            <v>0</v>
          </cell>
          <cell r="AB28">
            <v>9.0910000000000005E-2</v>
          </cell>
        </row>
        <row r="29">
          <cell r="A29" t="str">
            <v>F-2026-01-232</v>
          </cell>
          <cell r="B29"/>
          <cell r="C29" t="str">
            <v>FPRO-260121-0002</v>
          </cell>
          <cell r="D29" t="str">
            <v>Firm plan 21.01</v>
          </cell>
          <cell r="E29" t="str">
            <v>BDB-000217</v>
          </cell>
          <cell r="F29" t="str">
            <v>PVN-003539</v>
          </cell>
          <cell r="G29" t="str">
            <v>OrthoLite X-40-Hybrid SEEDPEARL/12-0703TPX Hybrid Flat Sheet 0.16D 35+/-4 Asker C 1.1M 1.7M 6.2mm</v>
          </cell>
          <cell r="H29">
            <v>1000</v>
          </cell>
          <cell r="I29">
            <v>1000</v>
          </cell>
          <cell r="J29">
            <v>1000</v>
          </cell>
          <cell r="K29">
            <v>0</v>
          </cell>
          <cell r="L29" t="str">
            <v>BROOKS</v>
          </cell>
          <cell r="M29" t="str">
            <v>Forecast</v>
          </cell>
          <cell r="N29" t="str">
            <v>MOLDED</v>
          </cell>
          <cell r="O29">
            <v>1</v>
          </cell>
          <cell r="P29">
            <v>46043</v>
          </cell>
          <cell r="Q29">
            <v>46083</v>
          </cell>
          <cell r="R29">
            <v>46080</v>
          </cell>
          <cell r="S29">
            <v>40</v>
          </cell>
          <cell r="T29">
            <v>6.2</v>
          </cell>
          <cell r="U29">
            <v>22</v>
          </cell>
          <cell r="V29">
            <v>46</v>
          </cell>
          <cell r="W29" t="str">
            <v>0.16D</v>
          </cell>
          <cell r="X29" t="str">
            <v>3-2026</v>
          </cell>
          <cell r="Y29" t="str">
            <v>Week 9</v>
          </cell>
          <cell r="Z29">
            <v>46076</v>
          </cell>
          <cell r="AA29">
            <v>23</v>
          </cell>
          <cell r="AB29">
            <v>4.5449999999999997E-2</v>
          </cell>
        </row>
        <row r="30">
          <cell r="A30" t="str">
            <v>F-2026-01-233</v>
          </cell>
          <cell r="B30"/>
          <cell r="C30" t="str">
            <v>FPRO-260121-0003</v>
          </cell>
          <cell r="D30" t="str">
            <v>Firm plan 21.01</v>
          </cell>
          <cell r="E30" t="str">
            <v>BDB-000217</v>
          </cell>
          <cell r="F30" t="str">
            <v>PVN-003539</v>
          </cell>
          <cell r="G30" t="str">
            <v>OrthoLite X-40-Hybrid SEEDPEARL/12-0703TPX Hybrid Flat Sheet 0.16D 35+/-4 Asker C 1.1M 1.7M 6.2mm</v>
          </cell>
          <cell r="H30">
            <v>1000</v>
          </cell>
          <cell r="I30">
            <v>1000</v>
          </cell>
          <cell r="J30">
            <v>1000</v>
          </cell>
          <cell r="K30">
            <v>0</v>
          </cell>
          <cell r="L30" t="str">
            <v>BROOKS</v>
          </cell>
          <cell r="M30" t="str">
            <v>Forecast</v>
          </cell>
          <cell r="N30" t="str">
            <v>MOLDED</v>
          </cell>
          <cell r="O30">
            <v>1</v>
          </cell>
          <cell r="P30">
            <v>46043</v>
          </cell>
          <cell r="Q30">
            <v>46087</v>
          </cell>
          <cell r="R30">
            <v>46084</v>
          </cell>
          <cell r="S30">
            <v>44</v>
          </cell>
          <cell r="T30">
            <v>6.2</v>
          </cell>
          <cell r="U30">
            <v>22</v>
          </cell>
          <cell r="V30">
            <v>46</v>
          </cell>
          <cell r="W30" t="str">
            <v>0.16D</v>
          </cell>
          <cell r="X30" t="str">
            <v>3-2026</v>
          </cell>
          <cell r="Y30" t="str">
            <v>Week 9</v>
          </cell>
          <cell r="Z30">
            <v>46076</v>
          </cell>
          <cell r="AA30">
            <v>0</v>
          </cell>
          <cell r="AB30">
            <v>4.5449999999999997E-2</v>
          </cell>
        </row>
        <row r="31">
          <cell r="A31" t="str">
            <v>F-2026-01-234</v>
          </cell>
          <cell r="B31"/>
          <cell r="C31" t="str">
            <v>FPRO-260121-0004</v>
          </cell>
          <cell r="D31" t="str">
            <v>Firm plan 21.01</v>
          </cell>
          <cell r="E31" t="str">
            <v>BDB-000217</v>
          </cell>
          <cell r="F31" t="str">
            <v>PVN-003539</v>
          </cell>
          <cell r="G31" t="str">
            <v>OrthoLite X-40-Hybrid SEEDPEARL/12-0703TPX Hybrid Flat Sheet 0.16D 35+/-4 Asker C 1.1M 1.7M 6.2mm</v>
          </cell>
          <cell r="H31">
            <v>1000</v>
          </cell>
          <cell r="I31">
            <v>1000</v>
          </cell>
          <cell r="J31">
            <v>1000</v>
          </cell>
          <cell r="K31">
            <v>0</v>
          </cell>
          <cell r="L31" t="str">
            <v>BROOKS</v>
          </cell>
          <cell r="M31" t="str">
            <v>Forecast</v>
          </cell>
          <cell r="N31" t="str">
            <v>MOLDED</v>
          </cell>
          <cell r="O31">
            <v>1</v>
          </cell>
          <cell r="P31">
            <v>46043</v>
          </cell>
          <cell r="Q31">
            <v>46094</v>
          </cell>
          <cell r="R31">
            <v>46091</v>
          </cell>
          <cell r="S31">
            <v>51</v>
          </cell>
          <cell r="T31">
            <v>6.2</v>
          </cell>
          <cell r="U31">
            <v>22</v>
          </cell>
          <cell r="V31">
            <v>46</v>
          </cell>
          <cell r="W31" t="str">
            <v>0.16D</v>
          </cell>
          <cell r="X31" t="str">
            <v>3-2026</v>
          </cell>
          <cell r="Y31" t="str">
            <v>Week 10</v>
          </cell>
          <cell r="Z31">
            <v>46083</v>
          </cell>
          <cell r="AA31">
            <v>0</v>
          </cell>
          <cell r="AB31">
            <v>4.5449999999999997E-2</v>
          </cell>
        </row>
        <row r="32">
          <cell r="A32" t="str">
            <v>F-2026-01-235</v>
          </cell>
          <cell r="B32"/>
          <cell r="C32" t="str">
            <v>FPRO-260121-0005</v>
          </cell>
          <cell r="D32" t="str">
            <v>Firm plan 21.01</v>
          </cell>
          <cell r="E32" t="str">
            <v>BDB-000217</v>
          </cell>
          <cell r="F32" t="str">
            <v>PVN-003539</v>
          </cell>
          <cell r="G32" t="str">
            <v>OrthoLite X-40-Hybrid SEEDPEARL/12-0703TPX Hybrid Flat Sheet 0.16D 35+/-4 Asker C 1.1M 1.7M 6.2mm</v>
          </cell>
          <cell r="H32">
            <v>1000</v>
          </cell>
          <cell r="I32">
            <v>1000</v>
          </cell>
          <cell r="J32">
            <v>1000</v>
          </cell>
          <cell r="K32">
            <v>0</v>
          </cell>
          <cell r="L32" t="str">
            <v>BROOKS</v>
          </cell>
          <cell r="M32" t="str">
            <v>Forecast</v>
          </cell>
          <cell r="N32" t="str">
            <v>MOLDED</v>
          </cell>
          <cell r="O32">
            <v>1</v>
          </cell>
          <cell r="P32">
            <v>46043</v>
          </cell>
          <cell r="Q32">
            <v>46098</v>
          </cell>
          <cell r="R32">
            <v>46095</v>
          </cell>
          <cell r="S32">
            <v>55</v>
          </cell>
          <cell r="T32">
            <v>6.2</v>
          </cell>
          <cell r="U32">
            <v>22</v>
          </cell>
          <cell r="V32">
            <v>46</v>
          </cell>
          <cell r="W32" t="str">
            <v>0.16D</v>
          </cell>
          <cell r="X32" t="str">
            <v>3-2026</v>
          </cell>
          <cell r="Y32" t="str">
            <v>Week 11</v>
          </cell>
          <cell r="Z32">
            <v>46090</v>
          </cell>
          <cell r="AA32">
            <v>102</v>
          </cell>
          <cell r="AB32">
            <v>4.5449999999999997E-2</v>
          </cell>
        </row>
        <row r="33">
          <cell r="A33" t="str">
            <v>F-2026-01-236</v>
          </cell>
          <cell r="B33" t="str">
            <v>co hang sơm</v>
          </cell>
          <cell r="C33" t="str">
            <v>FPRO-260121-0006</v>
          </cell>
          <cell r="D33" t="str">
            <v>Firm plan 21.01</v>
          </cell>
          <cell r="E33" t="str">
            <v>BDB-000217</v>
          </cell>
          <cell r="F33" t="str">
            <v>PVN-003539</v>
          </cell>
          <cell r="G33" t="str">
            <v>OrthoLite X-40-Hybrid SEEDPEARL/12-0703TPX Hybrid Flat Sheet 0.16D 35+/-4 Asker C 1.1M 1.7M 6.2mm</v>
          </cell>
          <cell r="H33">
            <v>1000</v>
          </cell>
          <cell r="I33">
            <v>1000</v>
          </cell>
          <cell r="J33">
            <v>1000</v>
          </cell>
          <cell r="K33">
            <v>0</v>
          </cell>
          <cell r="L33" t="str">
            <v>BROOKS</v>
          </cell>
          <cell r="M33" t="str">
            <v>Forecast</v>
          </cell>
          <cell r="N33" t="str">
            <v>MOLDED</v>
          </cell>
          <cell r="O33">
            <v>1</v>
          </cell>
          <cell r="P33">
            <v>46043</v>
          </cell>
          <cell r="Q33">
            <v>46104</v>
          </cell>
          <cell r="R33">
            <v>46101</v>
          </cell>
          <cell r="S33">
            <v>61</v>
          </cell>
          <cell r="T33">
            <v>6.2</v>
          </cell>
          <cell r="U33">
            <v>22</v>
          </cell>
          <cell r="V33">
            <v>46</v>
          </cell>
          <cell r="W33" t="str">
            <v>0.16D</v>
          </cell>
          <cell r="X33" t="str">
            <v>3-2026</v>
          </cell>
          <cell r="Y33" t="str">
            <v>Week 12</v>
          </cell>
          <cell r="Z33">
            <v>46097</v>
          </cell>
          <cell r="AA33">
            <v>102</v>
          </cell>
          <cell r="AB33">
            <v>4.5449999999999997E-2</v>
          </cell>
        </row>
        <row r="34">
          <cell r="A34" t="str">
            <v>F-2026-01-237</v>
          </cell>
          <cell r="B34"/>
          <cell r="C34" t="str">
            <v>FPRO-260121-0007</v>
          </cell>
          <cell r="D34" t="str">
            <v>Firm plan 21.01</v>
          </cell>
          <cell r="E34" t="str">
            <v>BDB-000217</v>
          </cell>
          <cell r="F34" t="str">
            <v>PVN-003539</v>
          </cell>
          <cell r="G34" t="str">
            <v>OrthoLite X-40-Hybrid SEEDPEARL/12-0703TPX Hybrid Flat Sheet 0.16D 35+/-4 Asker C 1.1M 1.7M 6.2mm</v>
          </cell>
          <cell r="H34">
            <v>1000</v>
          </cell>
          <cell r="I34">
            <v>1000</v>
          </cell>
          <cell r="J34">
            <v>1000</v>
          </cell>
          <cell r="K34">
            <v>0</v>
          </cell>
          <cell r="L34" t="str">
            <v>BROOKS</v>
          </cell>
          <cell r="M34" t="str">
            <v>Forecast</v>
          </cell>
          <cell r="N34" t="str">
            <v>MOLDED</v>
          </cell>
          <cell r="O34">
            <v>1</v>
          </cell>
          <cell r="P34">
            <v>46043</v>
          </cell>
          <cell r="Q34">
            <v>46108</v>
          </cell>
          <cell r="R34">
            <v>46105</v>
          </cell>
          <cell r="S34">
            <v>65</v>
          </cell>
          <cell r="T34">
            <v>6.2</v>
          </cell>
          <cell r="U34">
            <v>22</v>
          </cell>
          <cell r="V34">
            <v>46</v>
          </cell>
          <cell r="W34" t="str">
            <v>0.16D</v>
          </cell>
          <cell r="X34" t="str">
            <v>3-2026</v>
          </cell>
          <cell r="Y34" t="str">
            <v>Week 12</v>
          </cell>
          <cell r="Z34">
            <v>46097</v>
          </cell>
          <cell r="AA34">
            <v>102</v>
          </cell>
          <cell r="AB34">
            <v>4.5449999999999997E-2</v>
          </cell>
        </row>
        <row r="35">
          <cell r="A35" t="str">
            <v>F-2026-01-238</v>
          </cell>
          <cell r="B35"/>
          <cell r="C35" t="str">
            <v>FPRO-260121-0008</v>
          </cell>
          <cell r="D35" t="str">
            <v>Firm plan 21.01</v>
          </cell>
          <cell r="E35" t="str">
            <v>BDB-000217</v>
          </cell>
          <cell r="F35" t="str">
            <v>PVN-003539</v>
          </cell>
          <cell r="G35" t="str">
            <v>OrthoLite X-40-Hybrid SEEDPEARL/12-0703TPX Hybrid Flat Sheet 0.16D 35+/-4 Asker C 1.1M 1.7M 6.2mm</v>
          </cell>
          <cell r="H35">
            <v>1000</v>
          </cell>
          <cell r="I35">
            <v>1000</v>
          </cell>
          <cell r="J35">
            <v>1000</v>
          </cell>
          <cell r="K35">
            <v>0</v>
          </cell>
          <cell r="L35" t="str">
            <v>BROOKS</v>
          </cell>
          <cell r="M35" t="str">
            <v>Forecast</v>
          </cell>
          <cell r="N35" t="str">
            <v>MOLDED</v>
          </cell>
          <cell r="O35">
            <v>1</v>
          </cell>
          <cell r="P35">
            <v>46043</v>
          </cell>
          <cell r="Q35">
            <v>46108</v>
          </cell>
          <cell r="R35">
            <v>46105</v>
          </cell>
          <cell r="S35">
            <v>65</v>
          </cell>
          <cell r="T35">
            <v>6.2</v>
          </cell>
          <cell r="U35">
            <v>22</v>
          </cell>
          <cell r="V35">
            <v>46</v>
          </cell>
          <cell r="W35" t="str">
            <v>0.16D</v>
          </cell>
          <cell r="X35" t="str">
            <v>3-2026</v>
          </cell>
          <cell r="Y35" t="str">
            <v>Week 13</v>
          </cell>
          <cell r="Z35">
            <v>46104</v>
          </cell>
          <cell r="AA35">
            <v>102</v>
          </cell>
          <cell r="AB35">
            <v>4.5449999999999997E-2</v>
          </cell>
        </row>
        <row r="36">
          <cell r="A36" t="str">
            <v>F-2026-01-239-1</v>
          </cell>
          <cell r="B36" t="str">
            <v>color</v>
          </cell>
          <cell r="C36" t="str">
            <v>FPRO-260121-0009</v>
          </cell>
          <cell r="D36" t="str">
            <v>Firm plan 21.01</v>
          </cell>
          <cell r="E36" t="str">
            <v>BDB-000217</v>
          </cell>
          <cell r="F36" t="str">
            <v>PVN-003539</v>
          </cell>
          <cell r="G36" t="str">
            <v>OrthoLite X-40-Hybrid SEEDPEARL/12-0703TPX Hybrid Flat Sheet 0.16D 35+/-4 Asker C 1.1M 1.7M 6.2mm</v>
          </cell>
          <cell r="H36">
            <v>1000</v>
          </cell>
          <cell r="I36">
            <v>882</v>
          </cell>
          <cell r="J36">
            <v>882</v>
          </cell>
          <cell r="K36">
            <v>0</v>
          </cell>
          <cell r="L36" t="str">
            <v>BROOKS</v>
          </cell>
          <cell r="M36" t="str">
            <v>Forecast</v>
          </cell>
          <cell r="N36" t="str">
            <v>MOLDED</v>
          </cell>
          <cell r="O36">
            <v>1</v>
          </cell>
          <cell r="P36">
            <v>46043</v>
          </cell>
          <cell r="Q36">
            <v>46111</v>
          </cell>
          <cell r="R36">
            <v>46108</v>
          </cell>
          <cell r="S36">
            <v>68</v>
          </cell>
          <cell r="T36">
            <v>6.2</v>
          </cell>
          <cell r="U36">
            <v>22</v>
          </cell>
          <cell r="V36">
            <v>41</v>
          </cell>
          <cell r="W36" t="str">
            <v>0.16D</v>
          </cell>
          <cell r="X36" t="str">
            <v>3-2026</v>
          </cell>
          <cell r="Y36" t="str">
            <v>Week 13</v>
          </cell>
          <cell r="Z36">
            <v>46104</v>
          </cell>
          <cell r="AA36">
            <v>102</v>
          </cell>
          <cell r="AB36">
            <v>4.5449999999999997E-2</v>
          </cell>
        </row>
        <row r="37">
          <cell r="A37" t="str">
            <v>F-2026-01-239-2</v>
          </cell>
          <cell r="B37" t="str">
            <v>color</v>
          </cell>
          <cell r="C37" t="str">
            <v>FPRO-260121-0009</v>
          </cell>
          <cell r="D37" t="str">
            <v>Firm plan 21.01</v>
          </cell>
          <cell r="E37" t="str">
            <v>BDB-000217</v>
          </cell>
          <cell r="F37" t="str">
            <v>PVN-003539</v>
          </cell>
          <cell r="G37" t="str">
            <v>OrthoLite X-40-Hybrid SEEDPEARL/12-0703TPX Hybrid Flat Sheet 0.16D 35+/-4 Asker C 1.1M 1.7M 6.2mm</v>
          </cell>
          <cell r="H37">
            <v>1000</v>
          </cell>
          <cell r="I37">
            <v>118</v>
          </cell>
          <cell r="J37">
            <v>118</v>
          </cell>
          <cell r="K37">
            <v>0</v>
          </cell>
          <cell r="L37" t="str">
            <v>BROOKS</v>
          </cell>
          <cell r="M37" t="str">
            <v>Forecast</v>
          </cell>
          <cell r="N37" t="str">
            <v>MOLDED</v>
          </cell>
          <cell r="O37">
            <v>1</v>
          </cell>
          <cell r="P37">
            <v>46043</v>
          </cell>
          <cell r="Q37">
            <v>46111</v>
          </cell>
          <cell r="R37">
            <v>46108</v>
          </cell>
          <cell r="S37">
            <v>68</v>
          </cell>
          <cell r="T37">
            <v>6.2</v>
          </cell>
          <cell r="U37">
            <v>22</v>
          </cell>
          <cell r="V37">
            <v>6</v>
          </cell>
          <cell r="W37" t="str">
            <v>0.16D</v>
          </cell>
          <cell r="X37" t="str">
            <v>3-2026</v>
          </cell>
          <cell r="Y37" t="str">
            <v>Week 13</v>
          </cell>
          <cell r="Z37">
            <v>46104</v>
          </cell>
          <cell r="AA37">
            <v>102</v>
          </cell>
          <cell r="AB37">
            <v>4.5449999999999997E-2</v>
          </cell>
        </row>
        <row r="38">
          <cell r="A38" t="str">
            <v>F-2026-01-240</v>
          </cell>
          <cell r="B38"/>
          <cell r="C38" t="str">
            <v>FPRO-260121-0010</v>
          </cell>
          <cell r="D38" t="str">
            <v>Firm plan 21.01</v>
          </cell>
          <cell r="E38" t="str">
            <v>BDB-000217</v>
          </cell>
          <cell r="F38" t="str">
            <v>PVN-003539</v>
          </cell>
          <cell r="G38" t="str">
            <v>OrthoLite X-40-Hybrid SEEDPEARL/12-0703TPX Hybrid Flat Sheet 0.16D 35+/-4 Asker C 1.1M 1.7M 6.2mm</v>
          </cell>
          <cell r="H38">
            <v>1000</v>
          </cell>
          <cell r="I38">
            <v>1000</v>
          </cell>
          <cell r="J38">
            <v>0</v>
          </cell>
          <cell r="K38">
            <v>1000</v>
          </cell>
          <cell r="L38" t="str">
            <v>BROOKS</v>
          </cell>
          <cell r="M38" t="str">
            <v>Forecast</v>
          </cell>
          <cell r="N38" t="str">
            <v>MOLDED</v>
          </cell>
          <cell r="O38">
            <v>1</v>
          </cell>
          <cell r="P38">
            <v>46043</v>
          </cell>
          <cell r="Q38">
            <v>46216</v>
          </cell>
          <cell r="R38">
            <v>46213</v>
          </cell>
          <cell r="S38">
            <v>173</v>
          </cell>
          <cell r="T38">
            <v>6.2</v>
          </cell>
          <cell r="U38">
            <v>22</v>
          </cell>
          <cell r="V38">
            <v>46</v>
          </cell>
          <cell r="W38" t="str">
            <v>0.16D</v>
          </cell>
          <cell r="X38" t="str">
            <v>7-2026</v>
          </cell>
          <cell r="Y38" t="str">
            <v>Week 24</v>
          </cell>
          <cell r="Z38">
            <v>46181</v>
          </cell>
          <cell r="AA38">
            <v>102</v>
          </cell>
          <cell r="AB38">
            <v>4.5449999999999997E-2</v>
          </cell>
        </row>
        <row r="39">
          <cell r="A39" t="str">
            <v>F-2026-01-241</v>
          </cell>
          <cell r="B39"/>
          <cell r="C39" t="str">
            <v>FPRO-260121-0011</v>
          </cell>
          <cell r="D39" t="str">
            <v>Firm plan 21.01</v>
          </cell>
          <cell r="E39" t="str">
            <v>BDB-000123</v>
          </cell>
          <cell r="F39" t="str">
            <v>PVN-002539</v>
          </cell>
          <cell r="G39" t="str">
            <v>OrthoLite Ultra-Hybrid SEEDPEARL/12-0703TPX Hybrid Flat Sheet 0.085D 25+/-4 Asker C 1.1M 2M 5mm</v>
          </cell>
          <cell r="H39">
            <v>600</v>
          </cell>
          <cell r="I39">
            <v>600</v>
          </cell>
          <cell r="J39">
            <v>600</v>
          </cell>
          <cell r="K39">
            <v>0</v>
          </cell>
          <cell r="L39" t="str">
            <v>BROOKS</v>
          </cell>
          <cell r="M39" t="str">
            <v>Forecast</v>
          </cell>
          <cell r="N39" t="str">
            <v>DIE CUT</v>
          </cell>
          <cell r="O39">
            <v>1</v>
          </cell>
          <cell r="P39">
            <v>46043</v>
          </cell>
          <cell r="Q39">
            <v>46093</v>
          </cell>
          <cell r="R39">
            <v>46090</v>
          </cell>
          <cell r="S39">
            <v>50</v>
          </cell>
          <cell r="T39">
            <v>5</v>
          </cell>
          <cell r="U39">
            <v>28</v>
          </cell>
          <cell r="V39">
            <v>22</v>
          </cell>
          <cell r="W39" t="str">
            <v>0.085D</v>
          </cell>
          <cell r="X39" t="str">
            <v>3-2026</v>
          </cell>
          <cell r="Y39" t="str">
            <v>Week 10</v>
          </cell>
          <cell r="Z39">
            <v>46083</v>
          </cell>
          <cell r="AA39">
            <v>102</v>
          </cell>
          <cell r="AB39">
            <v>3.5709999999999999E-2</v>
          </cell>
        </row>
        <row r="40">
          <cell r="A40" t="str">
            <v>F-2026-01-243-1</v>
          </cell>
          <cell r="B40" t="str">
            <v>color</v>
          </cell>
          <cell r="C40" t="str">
            <v>FPRO-260121-0013</v>
          </cell>
          <cell r="D40" t="str">
            <v>Firm plan 21.01</v>
          </cell>
          <cell r="E40" t="str">
            <v>BDB-000362</v>
          </cell>
          <cell r="F40" t="str">
            <v>PVN-004259</v>
          </cell>
          <cell r="G40" t="str">
            <v>OrthoLite X-60-Hybrid SEEDPEARL/12-0703TPX Hybrid Flat Sheet 0.19D 28+/-4 Asker C 1.1M 1.7M 12mm</v>
          </cell>
          <cell r="H40">
            <v>1000</v>
          </cell>
          <cell r="I40">
            <v>880</v>
          </cell>
          <cell r="J40">
            <v>880</v>
          </cell>
          <cell r="K40">
            <v>0</v>
          </cell>
          <cell r="L40" t="str">
            <v>BROOKS</v>
          </cell>
          <cell r="M40" t="str">
            <v>Forecast</v>
          </cell>
          <cell r="N40" t="str">
            <v>MOLDED</v>
          </cell>
          <cell r="O40">
            <v>1</v>
          </cell>
          <cell r="P40">
            <v>46043</v>
          </cell>
          <cell r="Q40">
            <v>46087</v>
          </cell>
          <cell r="R40">
            <v>46084</v>
          </cell>
          <cell r="S40">
            <v>44</v>
          </cell>
          <cell r="T40">
            <v>12</v>
          </cell>
          <cell r="U40">
            <v>11</v>
          </cell>
          <cell r="V40">
            <v>81</v>
          </cell>
          <cell r="W40" t="e">
            <v>#N/A</v>
          </cell>
          <cell r="X40" t="str">
            <v>3-2026</v>
          </cell>
          <cell r="Y40" t="str">
            <v>Week 9</v>
          </cell>
          <cell r="Z40">
            <v>46076</v>
          </cell>
          <cell r="AA40">
            <v>102</v>
          </cell>
          <cell r="AB40">
            <v>9.0910000000000005E-2</v>
          </cell>
        </row>
        <row r="41">
          <cell r="A41" t="str">
            <v>F-2026-01-243-2</v>
          </cell>
          <cell r="B41" t="str">
            <v>color</v>
          </cell>
          <cell r="C41" t="str">
            <v>FPRO-260121-0013</v>
          </cell>
          <cell r="D41" t="str">
            <v>Firm plan 21.01</v>
          </cell>
          <cell r="E41" t="str">
            <v>BDB-000362</v>
          </cell>
          <cell r="F41" t="str">
            <v>PVN-004259</v>
          </cell>
          <cell r="G41" t="str">
            <v>OrthoLite X-60-Hybrid SEEDPEARL/12-0703TPX Hybrid Flat Sheet 0.19D 28+/-4 Asker C 1.1M 1.7M 12mm</v>
          </cell>
          <cell r="H41">
            <v>1000</v>
          </cell>
          <cell r="I41">
            <v>120</v>
          </cell>
          <cell r="J41">
            <v>120</v>
          </cell>
          <cell r="K41">
            <v>0</v>
          </cell>
          <cell r="L41" t="str">
            <v>BROOKS</v>
          </cell>
          <cell r="M41" t="str">
            <v>Forecast</v>
          </cell>
          <cell r="N41" t="str">
            <v>MOLDED</v>
          </cell>
          <cell r="O41">
            <v>1</v>
          </cell>
          <cell r="P41">
            <v>46043</v>
          </cell>
          <cell r="Q41">
            <v>46087</v>
          </cell>
          <cell r="R41">
            <v>46084</v>
          </cell>
          <cell r="S41">
            <v>44</v>
          </cell>
          <cell r="T41">
            <v>12</v>
          </cell>
          <cell r="U41">
            <v>11</v>
          </cell>
          <cell r="V41">
            <v>11</v>
          </cell>
          <cell r="W41" t="e">
            <v>#N/A</v>
          </cell>
          <cell r="X41" t="str">
            <v>3-2026</v>
          </cell>
          <cell r="Y41" t="str">
            <v>Week 9</v>
          </cell>
          <cell r="Z41">
            <v>46076</v>
          </cell>
          <cell r="AA41">
            <v>141</v>
          </cell>
          <cell r="AB41">
            <v>9.0910000000000005E-2</v>
          </cell>
        </row>
        <row r="42">
          <cell r="A42" t="str">
            <v>F-2026-01-244</v>
          </cell>
          <cell r="B42"/>
          <cell r="C42" t="str">
            <v>FPRO-260121-0014</v>
          </cell>
          <cell r="D42" t="str">
            <v>Firm plan 21.01</v>
          </cell>
          <cell r="E42" t="str">
            <v>BDB-000362</v>
          </cell>
          <cell r="F42" t="str">
            <v>PVN-004259</v>
          </cell>
          <cell r="G42" t="str">
            <v>OrthoLite X-60-Hybrid SEEDPEARL/12-0703TPX Hybrid Flat Sheet 0.19D 28+/-4 Asker C 1.1M 1.7M 12mm</v>
          </cell>
          <cell r="H42">
            <v>700</v>
          </cell>
          <cell r="I42">
            <v>700</v>
          </cell>
          <cell r="J42">
            <v>700</v>
          </cell>
          <cell r="K42">
            <v>0</v>
          </cell>
          <cell r="L42" t="str">
            <v>BROOKS</v>
          </cell>
          <cell r="M42" t="str">
            <v>Forecast</v>
          </cell>
          <cell r="N42" t="str">
            <v>MOLDED</v>
          </cell>
          <cell r="O42">
            <v>1</v>
          </cell>
          <cell r="P42">
            <v>46043</v>
          </cell>
          <cell r="Q42">
            <v>46097</v>
          </cell>
          <cell r="R42">
            <v>46094</v>
          </cell>
          <cell r="S42">
            <v>54</v>
          </cell>
          <cell r="T42">
            <v>12</v>
          </cell>
          <cell r="U42">
            <v>11</v>
          </cell>
          <cell r="V42">
            <v>64</v>
          </cell>
          <cell r="W42" t="e">
            <v>#N/A</v>
          </cell>
          <cell r="X42" t="str">
            <v>3-2026</v>
          </cell>
          <cell r="Y42" t="str">
            <v>Week 11</v>
          </cell>
          <cell r="Z42">
            <v>46090</v>
          </cell>
          <cell r="AA42">
            <v>141</v>
          </cell>
          <cell r="AB42">
            <v>9.0910000000000005E-2</v>
          </cell>
        </row>
        <row r="43">
          <cell r="A43" t="str">
            <v>F-2026-01-246</v>
          </cell>
          <cell r="B43"/>
          <cell r="C43" t="str">
            <v>FPRO-260122-0002 2700PCS+FPRO-260228-0006 800PCS</v>
          </cell>
          <cell r="D43" t="str">
            <v>Firm plan 22.01</v>
          </cell>
          <cell r="E43" t="str">
            <v>BDB-000097</v>
          </cell>
          <cell r="F43" t="str">
            <v>PVN-002478</v>
          </cell>
          <cell r="G43" t="str">
            <v>OrthoLite Eco LT-Hybrid SEEDPEARL/12-0703TPX Hybrid 0.11D 25+/-4 Asker C 1.1M 2M 4mm</v>
          </cell>
          <cell r="H43">
            <v>3500</v>
          </cell>
          <cell r="I43">
            <v>3500</v>
          </cell>
          <cell r="J43">
            <v>3500</v>
          </cell>
          <cell r="K43">
            <v>0</v>
          </cell>
          <cell r="L43" t="str">
            <v>NEW BALANCE</v>
          </cell>
          <cell r="M43" t="str">
            <v>Forecast</v>
          </cell>
          <cell r="N43" t="str">
            <v>DIE CUT</v>
          </cell>
          <cell r="O43">
            <v>1</v>
          </cell>
          <cell r="P43">
            <v>46044</v>
          </cell>
          <cell r="Q43">
            <v>46084</v>
          </cell>
          <cell r="R43">
            <v>46081</v>
          </cell>
          <cell r="S43">
            <v>40</v>
          </cell>
          <cell r="T43">
            <v>4</v>
          </cell>
          <cell r="U43">
            <v>35</v>
          </cell>
          <cell r="V43">
            <v>100</v>
          </cell>
          <cell r="W43" t="str">
            <v>0.11D</v>
          </cell>
          <cell r="X43" t="str">
            <v>3-2026</v>
          </cell>
          <cell r="Y43" t="str">
            <v>Week 9</v>
          </cell>
          <cell r="Z43">
            <v>46076</v>
          </cell>
          <cell r="AA43">
            <v>15</v>
          </cell>
          <cell r="AB43">
            <v>2.8570000000000002E-2</v>
          </cell>
        </row>
        <row r="44">
          <cell r="A44" t="str">
            <v>F-2026-01-247-1</v>
          </cell>
          <cell r="B44"/>
          <cell r="C44" t="str">
            <v>FPRO-260122-0006</v>
          </cell>
          <cell r="D44" t="str">
            <v>Firm plan 22.01</v>
          </cell>
          <cell r="E44" t="str">
            <v>BDB-000097</v>
          </cell>
          <cell r="F44" t="str">
            <v>PVN-002478</v>
          </cell>
          <cell r="G44" t="str">
            <v>OrthoLite Eco LT-Hybrid SEEDPEARL/12-0703TPX Hybrid 0.11D 25+/-4 Asker C 1.1M 2M 4mm</v>
          </cell>
          <cell r="H44">
            <v>3500</v>
          </cell>
          <cell r="I44">
            <v>3150</v>
          </cell>
          <cell r="J44">
            <v>3150</v>
          </cell>
          <cell r="K44">
            <v>0</v>
          </cell>
          <cell r="L44" t="str">
            <v>NEW BALANCE</v>
          </cell>
          <cell r="M44" t="str">
            <v>Forecast</v>
          </cell>
          <cell r="N44" t="str">
            <v>DIE CUT</v>
          </cell>
          <cell r="O44">
            <v>1</v>
          </cell>
          <cell r="P44">
            <v>46044</v>
          </cell>
          <cell r="Q44">
            <v>46105</v>
          </cell>
          <cell r="R44">
            <v>46102</v>
          </cell>
          <cell r="S44">
            <v>61</v>
          </cell>
          <cell r="T44">
            <v>4</v>
          </cell>
          <cell r="U44">
            <v>35</v>
          </cell>
          <cell r="V44">
            <v>90</v>
          </cell>
          <cell r="W44" t="str">
            <v>0.11D</v>
          </cell>
          <cell r="X44" t="str">
            <v>3-2026</v>
          </cell>
          <cell r="Y44" t="str">
            <v>Week 12</v>
          </cell>
          <cell r="Z44">
            <v>46097</v>
          </cell>
          <cell r="AA44">
            <v>15</v>
          </cell>
          <cell r="AB44">
            <v>2.8570000000000002E-2</v>
          </cell>
        </row>
        <row r="45">
          <cell r="A45" t="str">
            <v>F-2026-01-247-2</v>
          </cell>
          <cell r="B45"/>
          <cell r="C45" t="str">
            <v>FPRO-260122-0006</v>
          </cell>
          <cell r="D45" t="str">
            <v>Firm plan 22.01</v>
          </cell>
          <cell r="E45" t="str">
            <v>BDB-000097</v>
          </cell>
          <cell r="F45" t="str">
            <v>PVN-002478</v>
          </cell>
          <cell r="G45" t="str">
            <v>OrthoLite Eco LT-Hybrid SEEDPEARL/12-0703TPX Hybrid 0.11D 25+/-4 Asker C 1.1M 2M 4mm</v>
          </cell>
          <cell r="H45">
            <v>3500</v>
          </cell>
          <cell r="I45">
            <v>350</v>
          </cell>
          <cell r="J45">
            <v>350</v>
          </cell>
          <cell r="K45">
            <v>0</v>
          </cell>
          <cell r="L45" t="str">
            <v>NEW BALANCE</v>
          </cell>
          <cell r="M45" t="str">
            <v>Forecast</v>
          </cell>
          <cell r="N45" t="str">
            <v>DIE CUT</v>
          </cell>
          <cell r="O45">
            <v>1</v>
          </cell>
          <cell r="P45">
            <v>46044</v>
          </cell>
          <cell r="Q45">
            <v>46105</v>
          </cell>
          <cell r="R45">
            <v>46102</v>
          </cell>
          <cell r="S45">
            <v>61</v>
          </cell>
          <cell r="T45">
            <v>4</v>
          </cell>
          <cell r="U45">
            <v>35</v>
          </cell>
          <cell r="V45">
            <v>10</v>
          </cell>
          <cell r="W45" t="str">
            <v>0.11D</v>
          </cell>
          <cell r="X45" t="str">
            <v>3-2026</v>
          </cell>
          <cell r="Y45" t="str">
            <v>Week 12</v>
          </cell>
          <cell r="Z45">
            <v>46097</v>
          </cell>
          <cell r="AA45">
            <v>151</v>
          </cell>
          <cell r="AB45">
            <v>2.8570000000000002E-2</v>
          </cell>
        </row>
        <row r="46">
          <cell r="A46" t="str">
            <v>F-2026-01-248</v>
          </cell>
          <cell r="B46"/>
          <cell r="C46" t="str">
            <v>FPRO-260122-0007</v>
          </cell>
          <cell r="D46" t="str">
            <v>Firm plan 22.01</v>
          </cell>
          <cell r="E46" t="str">
            <v>BDB-000097</v>
          </cell>
          <cell r="F46" t="str">
            <v>PVN-002478</v>
          </cell>
          <cell r="G46" t="str">
            <v>OrthoLite Eco LT-Hybrid SEEDPEARL/12-0703TPX Hybrid 0.11D 25+/-4 Asker C 1.1M 2M 4mm</v>
          </cell>
          <cell r="H46">
            <v>3500</v>
          </cell>
          <cell r="I46">
            <v>3500</v>
          </cell>
          <cell r="J46">
            <v>3500</v>
          </cell>
          <cell r="K46">
            <v>0</v>
          </cell>
          <cell r="L46" t="str">
            <v>NEW BALANCE</v>
          </cell>
          <cell r="M46" t="str">
            <v>Forecast</v>
          </cell>
          <cell r="N46" t="str">
            <v>DIE CUT</v>
          </cell>
          <cell r="O46">
            <v>1</v>
          </cell>
          <cell r="P46">
            <v>46044</v>
          </cell>
          <cell r="Q46">
            <v>46098</v>
          </cell>
          <cell r="R46">
            <v>46095</v>
          </cell>
          <cell r="S46">
            <v>54</v>
          </cell>
          <cell r="T46">
            <v>4</v>
          </cell>
          <cell r="U46">
            <v>35</v>
          </cell>
          <cell r="V46">
            <v>100</v>
          </cell>
          <cell r="W46" t="str">
            <v>0.11D</v>
          </cell>
          <cell r="X46" t="str">
            <v>3-2026</v>
          </cell>
          <cell r="Y46" t="str">
            <v>Week 11</v>
          </cell>
          <cell r="Z46">
            <v>46090</v>
          </cell>
          <cell r="AA46">
            <v>0</v>
          </cell>
          <cell r="AB46">
            <v>2.8570000000000002E-2</v>
          </cell>
        </row>
        <row r="47">
          <cell r="A47" t="str">
            <v>F-2026-01-249</v>
          </cell>
          <cell r="B47"/>
          <cell r="C47" t="str">
            <v>FPRO-260122-0008</v>
          </cell>
          <cell r="D47" t="str">
            <v>Firm plan 22.01</v>
          </cell>
          <cell r="E47" t="str">
            <v>BDB-000097</v>
          </cell>
          <cell r="F47" t="str">
            <v>PVN-002478</v>
          </cell>
          <cell r="G47" t="str">
            <v>OrthoLite Eco LT-Hybrid SEEDPEARL/12-0703TPX Hybrid 0.11D 25+/-4 Asker C 1.1M 2M 4mm</v>
          </cell>
          <cell r="H47">
            <v>1000</v>
          </cell>
          <cell r="I47">
            <v>1000</v>
          </cell>
          <cell r="J47">
            <v>1000</v>
          </cell>
          <cell r="K47">
            <v>0</v>
          </cell>
          <cell r="L47" t="str">
            <v>NEW BALANCE</v>
          </cell>
          <cell r="M47" t="str">
            <v>Forecast</v>
          </cell>
          <cell r="N47" t="str">
            <v>DIE CUT</v>
          </cell>
          <cell r="O47">
            <v>1</v>
          </cell>
          <cell r="P47">
            <v>46044</v>
          </cell>
          <cell r="Q47">
            <v>46102</v>
          </cell>
          <cell r="R47">
            <v>46099</v>
          </cell>
          <cell r="S47">
            <v>58</v>
          </cell>
          <cell r="T47">
            <v>4</v>
          </cell>
          <cell r="U47">
            <v>35</v>
          </cell>
          <cell r="V47">
            <v>29</v>
          </cell>
          <cell r="W47" t="str">
            <v>0.11D</v>
          </cell>
          <cell r="X47" t="str">
            <v>3-2026</v>
          </cell>
          <cell r="Y47" t="str">
            <v>Week 12</v>
          </cell>
          <cell r="Z47">
            <v>46097</v>
          </cell>
          <cell r="AA47">
            <v>151</v>
          </cell>
          <cell r="AB47">
            <v>2.8570000000000002E-2</v>
          </cell>
        </row>
        <row r="48">
          <cell r="A48" t="str">
            <v>F-2026-01-262</v>
          </cell>
          <cell r="B48"/>
          <cell r="C48" t="str">
            <v>RPRO-260126-0479</v>
          </cell>
          <cell r="D48" t="str">
            <v>MPS (23.01+24.01+25.01)</v>
          </cell>
          <cell r="E48" t="str">
            <v>BDB-000123</v>
          </cell>
          <cell r="F48" t="str">
            <v>PVN-002539</v>
          </cell>
          <cell r="G48" t="str">
            <v>OrthoLite Ultra-Hybrid SEEDPEARL/12-0703TPX Hybrid Flat Sheet 0.085D 25+/-4 Asker C 1.1M 2M 5mm</v>
          </cell>
          <cell r="H48">
            <v>84</v>
          </cell>
          <cell r="I48">
            <v>84</v>
          </cell>
          <cell r="J48">
            <v>84</v>
          </cell>
          <cell r="K48">
            <v>0</v>
          </cell>
          <cell r="L48"/>
          <cell r="M48" t="str">
            <v>MPS</v>
          </cell>
          <cell r="N48" t="str">
            <v>SPLITTING</v>
          </cell>
          <cell r="O48">
            <v>2</v>
          </cell>
          <cell r="P48">
            <v>46048</v>
          </cell>
          <cell r="Q48">
            <v>46083</v>
          </cell>
          <cell r="R48">
            <v>46080</v>
          </cell>
          <cell r="S48">
            <v>35</v>
          </cell>
          <cell r="T48">
            <v>5</v>
          </cell>
          <cell r="U48">
            <v>28</v>
          </cell>
          <cell r="V48">
            <v>3</v>
          </cell>
          <cell r="W48" t="str">
            <v>0.085D</v>
          </cell>
          <cell r="X48" t="str">
            <v>3-2026</v>
          </cell>
          <cell r="Y48" t="str">
            <v>Week 9</v>
          </cell>
          <cell r="Z48">
            <v>46076</v>
          </cell>
          <cell r="AA48">
            <v>0</v>
          </cell>
          <cell r="AB48">
            <v>3.5709999999999999E-2</v>
          </cell>
        </row>
        <row r="49">
          <cell r="A49" t="str">
            <v>F-2026-01-292</v>
          </cell>
          <cell r="B49"/>
          <cell r="C49" t="str">
            <v>RPRO-260127-0950</v>
          </cell>
          <cell r="D49" t="str">
            <v>MPS 26.01</v>
          </cell>
          <cell r="E49" t="str">
            <v>BDB-000348</v>
          </cell>
          <cell r="F49" t="str">
            <v>PVN-004195</v>
          </cell>
          <cell r="G49" t="str">
            <v>OrthoLite IMPERIAL SEEDPEARL/12-0703TPX Flat Sheet 0.22D 25+/-4 Asker C 1.1M 1.47M 4mm</v>
          </cell>
          <cell r="H49">
            <v>1400</v>
          </cell>
          <cell r="I49">
            <v>1400</v>
          </cell>
          <cell r="J49">
            <v>1400</v>
          </cell>
          <cell r="K49">
            <v>0</v>
          </cell>
          <cell r="L49"/>
          <cell r="M49" t="str">
            <v>MPS</v>
          </cell>
          <cell r="N49" t="str">
            <v>SPLITTING</v>
          </cell>
          <cell r="O49">
            <v>2</v>
          </cell>
          <cell r="P49">
            <v>46049</v>
          </cell>
          <cell r="Q49">
            <v>46079</v>
          </cell>
          <cell r="R49">
            <v>46076</v>
          </cell>
          <cell r="S49">
            <v>30</v>
          </cell>
          <cell r="T49">
            <v>4</v>
          </cell>
          <cell r="U49">
            <v>35</v>
          </cell>
          <cell r="V49">
            <v>40</v>
          </cell>
          <cell r="W49" t="e">
            <v>#N/A</v>
          </cell>
          <cell r="X49" t="str">
            <v>2-2026</v>
          </cell>
          <cell r="Y49" t="str">
            <v>Week 7</v>
          </cell>
          <cell r="Z49">
            <v>46062</v>
          </cell>
          <cell r="AA49">
            <v>0</v>
          </cell>
          <cell r="AB49">
            <v>2.8570000000000002E-2</v>
          </cell>
        </row>
        <row r="50">
          <cell r="A50" t="str">
            <v>F-2026-01-305</v>
          </cell>
          <cell r="B50"/>
          <cell r="C50" t="str">
            <v>RPRO-260127-0963</v>
          </cell>
          <cell r="D50" t="str">
            <v>Pro.sche.report 26.01</v>
          </cell>
          <cell r="E50" t="str">
            <v>BDB-000125</v>
          </cell>
          <cell r="F50" t="str">
            <v>PVN-001579</v>
          </cell>
          <cell r="G50" t="str">
            <v>OrthoLite Regular-Nike AIR BLUE/16-4134TPX Flat Sheet 0.11D 25+/-4 Asker C 1.1M 2M 4mm</v>
          </cell>
          <cell r="H50">
            <v>630</v>
          </cell>
          <cell r="I50">
            <v>630</v>
          </cell>
          <cell r="J50">
            <v>630</v>
          </cell>
          <cell r="K50">
            <v>0</v>
          </cell>
          <cell r="L50" t="str">
            <v>NIKE</v>
          </cell>
          <cell r="M50" t="str">
            <v>Pr.Sch.R</v>
          </cell>
          <cell r="N50" t="str">
            <v>LAMINATING</v>
          </cell>
          <cell r="O50">
            <v>1</v>
          </cell>
          <cell r="P50">
            <v>46049</v>
          </cell>
          <cell r="Q50">
            <v>46080</v>
          </cell>
          <cell r="R50">
            <v>46077</v>
          </cell>
          <cell r="S50">
            <v>31</v>
          </cell>
          <cell r="T50">
            <v>4</v>
          </cell>
          <cell r="U50">
            <v>35</v>
          </cell>
          <cell r="V50">
            <v>18</v>
          </cell>
          <cell r="W50" t="str">
            <v>0.11D</v>
          </cell>
          <cell r="X50" t="str">
            <v>2-2026</v>
          </cell>
          <cell r="Y50" t="str">
            <v>Week 7</v>
          </cell>
          <cell r="Z50">
            <v>46062</v>
          </cell>
          <cell r="AA50">
            <v>0</v>
          </cell>
          <cell r="AB50">
            <v>2.8570000000000002E-2</v>
          </cell>
        </row>
        <row r="51">
          <cell r="A51" t="str">
            <v>F-2026-01-311</v>
          </cell>
          <cell r="B51"/>
          <cell r="C51" t="str">
            <v>RPRO-260127-0969</v>
          </cell>
          <cell r="D51" t="str">
            <v>Pro.sche.report 26.01</v>
          </cell>
          <cell r="E51" t="str">
            <v>BDB-000055</v>
          </cell>
          <cell r="F51" t="str">
            <v>PVN-003387</v>
          </cell>
          <cell r="G51" t="str">
            <v>OrthoLite X-40 TRUE BLUE/19-4057TPX Flat Sheet 0.16D 35+/-4 Asker C 1.1M 1.7M 13.5mm</v>
          </cell>
          <cell r="H51">
            <v>369</v>
          </cell>
          <cell r="I51">
            <v>369</v>
          </cell>
          <cell r="J51">
            <v>369</v>
          </cell>
          <cell r="K51">
            <v>0</v>
          </cell>
          <cell r="L51" t="str">
            <v>ADIDAS</v>
          </cell>
          <cell r="M51" t="str">
            <v>Pr.Sch.R</v>
          </cell>
          <cell r="N51" t="str">
            <v>MOLDED</v>
          </cell>
          <cell r="O51">
            <v>1</v>
          </cell>
          <cell r="P51">
            <v>46049</v>
          </cell>
          <cell r="Q51">
            <v>46079</v>
          </cell>
          <cell r="R51">
            <v>46076</v>
          </cell>
          <cell r="S51">
            <v>30</v>
          </cell>
          <cell r="T51">
            <v>13.5</v>
          </cell>
          <cell r="U51">
            <v>9</v>
          </cell>
          <cell r="V51">
            <v>41</v>
          </cell>
          <cell r="W51" t="str">
            <v>0.16D</v>
          </cell>
          <cell r="X51" t="str">
            <v>2-2026</v>
          </cell>
          <cell r="Y51" t="str">
            <v>Week 7</v>
          </cell>
          <cell r="Z51">
            <v>46062</v>
          </cell>
          <cell r="AA51">
            <v>0</v>
          </cell>
          <cell r="AB51">
            <v>0.11111</v>
          </cell>
        </row>
        <row r="52">
          <cell r="A52" t="str">
            <v>F-2026-01-312</v>
          </cell>
          <cell r="B52"/>
          <cell r="C52" t="str">
            <v>RPRO-260127-0970</v>
          </cell>
          <cell r="D52" t="str">
            <v>Pro.sche.report 26.01</v>
          </cell>
          <cell r="E52" t="str">
            <v>BDB-000340</v>
          </cell>
          <cell r="F52" t="str">
            <v>PVN-004177</v>
          </cell>
          <cell r="G52" t="str">
            <v>OrthoLite Float SEEDPEARL/12-0703TPX Flat Sheet 0.12D 21+/-4 Asker C 1.1M 2M 5.5mm</v>
          </cell>
          <cell r="H52">
            <v>325</v>
          </cell>
          <cell r="I52">
            <v>325</v>
          </cell>
          <cell r="J52">
            <v>325</v>
          </cell>
          <cell r="K52">
            <v>0</v>
          </cell>
          <cell r="L52" t="str">
            <v>ON RUNNING</v>
          </cell>
          <cell r="M52" t="str">
            <v>Pr.Sch.R</v>
          </cell>
          <cell r="N52" t="str">
            <v>MOLDED</v>
          </cell>
          <cell r="O52">
            <v>1</v>
          </cell>
          <cell r="P52">
            <v>46049</v>
          </cell>
          <cell r="Q52">
            <v>46079</v>
          </cell>
          <cell r="R52">
            <v>46076</v>
          </cell>
          <cell r="S52">
            <v>30</v>
          </cell>
          <cell r="T52">
            <v>5.5</v>
          </cell>
          <cell r="U52">
            <v>25</v>
          </cell>
          <cell r="V52">
            <v>13</v>
          </cell>
          <cell r="W52" t="e">
            <v>#N/A</v>
          </cell>
          <cell r="X52" t="str">
            <v>2-2026</v>
          </cell>
          <cell r="Y52" t="str">
            <v>Week 7</v>
          </cell>
          <cell r="Z52">
            <v>46062</v>
          </cell>
          <cell r="AA52">
            <v>0</v>
          </cell>
          <cell r="AB52">
            <v>0.04</v>
          </cell>
        </row>
        <row r="53">
          <cell r="A53" t="str">
            <v>F-2026-01-321</v>
          </cell>
          <cell r="B53"/>
          <cell r="C53" t="str">
            <v>RPRO-260127-0979</v>
          </cell>
          <cell r="D53" t="str">
            <v>Pro.sche.report 26.01</v>
          </cell>
          <cell r="E53" t="str">
            <v>BDB-000076</v>
          </cell>
          <cell r="F53" t="str">
            <v>PVN-003494</v>
          </cell>
          <cell r="G53" t="str">
            <v>OrthoLite X-25 BILLIARD/16-5427TPX Flat Sheet 0.12D 20+/-4 Asker C 1.1M 2M 5.5mm</v>
          </cell>
          <cell r="H53">
            <v>75</v>
          </cell>
          <cell r="I53">
            <v>75</v>
          </cell>
          <cell r="J53">
            <v>75</v>
          </cell>
          <cell r="K53">
            <v>0</v>
          </cell>
          <cell r="L53" t="str">
            <v>ON RUNNING</v>
          </cell>
          <cell r="M53" t="str">
            <v>Pr.Sch.R</v>
          </cell>
          <cell r="N53" t="str">
            <v>MOLDED</v>
          </cell>
          <cell r="O53">
            <v>1</v>
          </cell>
          <cell r="P53">
            <v>46049</v>
          </cell>
          <cell r="Q53">
            <v>46080</v>
          </cell>
          <cell r="R53">
            <v>46077</v>
          </cell>
          <cell r="S53">
            <v>31</v>
          </cell>
          <cell r="T53">
            <v>5.5</v>
          </cell>
          <cell r="U53">
            <v>25</v>
          </cell>
          <cell r="V53">
            <v>3</v>
          </cell>
          <cell r="W53" t="str">
            <v>0.12D</v>
          </cell>
          <cell r="X53" t="str">
            <v>2-2026</v>
          </cell>
          <cell r="Y53" t="str">
            <v>Week 7</v>
          </cell>
          <cell r="Z53">
            <v>46062</v>
          </cell>
          <cell r="AA53">
            <v>0</v>
          </cell>
          <cell r="AB53">
            <v>0.04</v>
          </cell>
        </row>
        <row r="54">
          <cell r="A54" t="str">
            <v>F-2026-01-322</v>
          </cell>
          <cell r="B54"/>
          <cell r="C54" t="str">
            <v>RPRO-260127-0980</v>
          </cell>
          <cell r="D54" t="str">
            <v>Pro.sche.report 26.01</v>
          </cell>
          <cell r="E54" t="str">
            <v>BDB-000213</v>
          </cell>
          <cell r="F54" t="str">
            <v>PVN-003752</v>
          </cell>
          <cell r="G54" t="str">
            <v>OrthoLite X-25-Hybrid SEEDPEARL/12-0703TPX Hybrid Flat Sheet 0.12D 20+/-4 Asker C 1.1M 1.47M 4.5mm</v>
          </cell>
          <cell r="H54">
            <v>806</v>
          </cell>
          <cell r="I54">
            <v>806</v>
          </cell>
          <cell r="J54">
            <v>806</v>
          </cell>
          <cell r="K54">
            <v>0</v>
          </cell>
          <cell r="L54" t="str">
            <v>ON RUNNING</v>
          </cell>
          <cell r="M54" t="str">
            <v>Pr.Sch.R</v>
          </cell>
          <cell r="N54" t="str">
            <v>MOLDED</v>
          </cell>
          <cell r="O54">
            <v>1</v>
          </cell>
          <cell r="P54">
            <v>46049</v>
          </cell>
          <cell r="Q54">
            <v>46080</v>
          </cell>
          <cell r="R54">
            <v>46077</v>
          </cell>
          <cell r="S54">
            <v>31</v>
          </cell>
          <cell r="T54">
            <v>4.5</v>
          </cell>
          <cell r="U54">
            <v>31</v>
          </cell>
          <cell r="V54">
            <v>27</v>
          </cell>
          <cell r="W54" t="str">
            <v>0.12D</v>
          </cell>
          <cell r="X54" t="str">
            <v>2-2026</v>
          </cell>
          <cell r="Y54" t="str">
            <v>Week 7</v>
          </cell>
          <cell r="Z54">
            <v>46062</v>
          </cell>
          <cell r="AA54">
            <v>0</v>
          </cell>
          <cell r="AB54">
            <v>3.2259999999999997E-2</v>
          </cell>
        </row>
        <row r="55">
          <cell r="A55" t="str">
            <v>F-2026-01-324</v>
          </cell>
          <cell r="B55"/>
          <cell r="C55" t="str">
            <v>RPRO-260127-0982</v>
          </cell>
          <cell r="D55" t="str">
            <v>Pro.sche.report 26.01</v>
          </cell>
          <cell r="E55" t="str">
            <v>BDB-000076</v>
          </cell>
          <cell r="F55" t="str">
            <v>PVN-004091</v>
          </cell>
          <cell r="G55" t="str">
            <v>OrthoLite X-25 BILLIARD/16-5427TPX Flat Sheet 0.12D 20+/-4 Asker C 1.1M 2M 3.5mm</v>
          </cell>
          <cell r="H55">
            <v>440</v>
          </cell>
          <cell r="I55">
            <v>440</v>
          </cell>
          <cell r="J55">
            <v>440</v>
          </cell>
          <cell r="K55">
            <v>0</v>
          </cell>
          <cell r="L55" t="str">
            <v>BROOKS</v>
          </cell>
          <cell r="M55" t="str">
            <v>Pr.Sch.R</v>
          </cell>
          <cell r="N55" t="str">
            <v>MOLDED</v>
          </cell>
          <cell r="O55">
            <v>1</v>
          </cell>
          <cell r="P55">
            <v>46049</v>
          </cell>
          <cell r="Q55">
            <v>46080</v>
          </cell>
          <cell r="R55">
            <v>46077</v>
          </cell>
          <cell r="S55">
            <v>31</v>
          </cell>
          <cell r="T55">
            <v>3.5</v>
          </cell>
          <cell r="U55">
            <v>40</v>
          </cell>
          <cell r="V55">
            <v>11</v>
          </cell>
          <cell r="W55" t="str">
            <v>0.12D</v>
          </cell>
          <cell r="X55" t="str">
            <v>2-2026</v>
          </cell>
          <cell r="Y55" t="str">
            <v>Week 7</v>
          </cell>
          <cell r="Z55">
            <v>46062</v>
          </cell>
          <cell r="AA55">
            <v>50</v>
          </cell>
          <cell r="AB55">
            <v>2.5000000000000001E-2</v>
          </cell>
        </row>
        <row r="56">
          <cell r="A56" t="str">
            <v>F-2026-01-327</v>
          </cell>
          <cell r="B56"/>
          <cell r="C56" t="str">
            <v>FPRO-260126-0003</v>
          </cell>
          <cell r="D56" t="str">
            <v>Firm plan 26.01</v>
          </cell>
          <cell r="E56" t="str">
            <v>BDB-000123</v>
          </cell>
          <cell r="F56" t="str">
            <v>PVN-003298</v>
          </cell>
          <cell r="G56" t="str">
            <v>OrthoLite Ultra-Hybrid SEEDPEARL/12-0703TPX Hybrid 0.085D 25+/-4 Asker C 1.1M 2M 4mm</v>
          </cell>
          <cell r="H56">
            <v>7000</v>
          </cell>
          <cell r="I56">
            <v>7000</v>
          </cell>
          <cell r="J56">
            <v>7000</v>
          </cell>
          <cell r="K56">
            <v>0</v>
          </cell>
          <cell r="L56" t="str">
            <v>ADIDAS</v>
          </cell>
          <cell r="M56" t="str">
            <v>Forecast</v>
          </cell>
          <cell r="N56" t="str">
            <v>SPLITTING</v>
          </cell>
          <cell r="O56">
            <v>2</v>
          </cell>
          <cell r="P56">
            <v>46048</v>
          </cell>
          <cell r="Q56">
            <v>46081</v>
          </cell>
          <cell r="R56">
            <v>46078</v>
          </cell>
          <cell r="S56">
            <v>33</v>
          </cell>
          <cell r="T56">
            <v>4</v>
          </cell>
          <cell r="U56">
            <v>35</v>
          </cell>
          <cell r="V56">
            <v>200</v>
          </cell>
          <cell r="W56" t="str">
            <v>0.085D</v>
          </cell>
          <cell r="X56" t="str">
            <v>2-2026</v>
          </cell>
          <cell r="Y56" t="str">
            <v>Week 9</v>
          </cell>
          <cell r="Z56">
            <v>46076</v>
          </cell>
          <cell r="AA56">
            <v>8</v>
          </cell>
          <cell r="AB56">
            <v>2.8570000000000002E-2</v>
          </cell>
        </row>
        <row r="57">
          <cell r="A57" t="str">
            <v>F-2026-01-328</v>
          </cell>
          <cell r="B57"/>
          <cell r="C57" t="str">
            <v>FPRO-260126-0004</v>
          </cell>
          <cell r="D57" t="str">
            <v>Firm plan 26.01</v>
          </cell>
          <cell r="E57" t="str">
            <v>BDB-000123</v>
          </cell>
          <cell r="F57" t="str">
            <v>PVN-003298</v>
          </cell>
          <cell r="G57" t="str">
            <v>OrthoLite Ultra-Hybrid SEEDPEARL/12-0703TPX Hybrid 0.085D 25+/-4 Asker C 1.1M 2M 4mm</v>
          </cell>
          <cell r="H57">
            <v>7000</v>
          </cell>
          <cell r="I57">
            <v>7000</v>
          </cell>
          <cell r="J57">
            <v>7000</v>
          </cell>
          <cell r="K57">
            <v>0</v>
          </cell>
          <cell r="L57" t="str">
            <v>ADIDAS</v>
          </cell>
          <cell r="M57" t="str">
            <v>Forecast</v>
          </cell>
          <cell r="N57" t="str">
            <v>SPLITTING</v>
          </cell>
          <cell r="O57">
            <v>2</v>
          </cell>
          <cell r="P57">
            <v>46048</v>
          </cell>
          <cell r="Q57">
            <v>46085</v>
          </cell>
          <cell r="R57">
            <v>46082</v>
          </cell>
          <cell r="S57">
            <v>37</v>
          </cell>
          <cell r="T57">
            <v>4</v>
          </cell>
          <cell r="U57">
            <v>35</v>
          </cell>
          <cell r="V57">
            <v>200</v>
          </cell>
          <cell r="W57" t="str">
            <v>0.085D</v>
          </cell>
          <cell r="X57" t="str">
            <v>3-2026</v>
          </cell>
          <cell r="Y57" t="str">
            <v>Week 9</v>
          </cell>
          <cell r="Z57">
            <v>46076</v>
          </cell>
          <cell r="AA57">
            <v>0</v>
          </cell>
          <cell r="AB57">
            <v>2.8570000000000002E-2</v>
          </cell>
        </row>
        <row r="58">
          <cell r="A58" t="str">
            <v>F-2026-01-329</v>
          </cell>
          <cell r="B58"/>
          <cell r="C58" t="str">
            <v>FPRO-260126-0005</v>
          </cell>
          <cell r="D58" t="str">
            <v>Firm plan 26.01</v>
          </cell>
          <cell r="E58" t="str">
            <v>BDB-000123</v>
          </cell>
          <cell r="F58" t="str">
            <v>PVN-003298</v>
          </cell>
          <cell r="G58" t="str">
            <v>OrthoLite Ultra-Hybrid SEEDPEARL/12-0703TPX Hybrid 0.085D 25+/-4 Asker C 1.1M 2M 4mm</v>
          </cell>
          <cell r="H58">
            <v>7000</v>
          </cell>
          <cell r="I58">
            <v>7000</v>
          </cell>
          <cell r="J58">
            <v>7000</v>
          </cell>
          <cell r="K58">
            <v>0</v>
          </cell>
          <cell r="L58" t="str">
            <v>ADIDAS</v>
          </cell>
          <cell r="M58" t="str">
            <v>Forecast</v>
          </cell>
          <cell r="N58" t="str">
            <v>SPLITTING</v>
          </cell>
          <cell r="O58">
            <v>2</v>
          </cell>
          <cell r="P58">
            <v>46048</v>
          </cell>
          <cell r="Q58">
            <v>46087</v>
          </cell>
          <cell r="R58">
            <v>46084</v>
          </cell>
          <cell r="S58">
            <v>39</v>
          </cell>
          <cell r="T58">
            <v>4</v>
          </cell>
          <cell r="U58">
            <v>35</v>
          </cell>
          <cell r="V58">
            <v>200</v>
          </cell>
          <cell r="W58" t="str">
            <v>0.085D</v>
          </cell>
          <cell r="X58" t="str">
            <v>3-2026</v>
          </cell>
          <cell r="Y58" t="str">
            <v>Week 10</v>
          </cell>
          <cell r="Z58">
            <v>46083</v>
          </cell>
          <cell r="AA58">
            <v>0</v>
          </cell>
          <cell r="AB58">
            <v>2.8570000000000002E-2</v>
          </cell>
        </row>
        <row r="59">
          <cell r="A59" t="str">
            <v>F-2026-01-330</v>
          </cell>
          <cell r="B59"/>
          <cell r="C59" t="str">
            <v>FPRO-260126-0006</v>
          </cell>
          <cell r="D59" t="str">
            <v>Firm plan 26.01</v>
          </cell>
          <cell r="E59" t="str">
            <v>BDB-000123</v>
          </cell>
          <cell r="F59" t="str">
            <v>PVN-003298</v>
          </cell>
          <cell r="G59" t="str">
            <v>OrthoLite Ultra-Hybrid SEEDPEARL/12-0703TPX Hybrid 0.085D 25+/-4 Asker C 1.1M 2M 4mm</v>
          </cell>
          <cell r="H59">
            <v>7000</v>
          </cell>
          <cell r="I59">
            <v>7000</v>
          </cell>
          <cell r="J59">
            <v>7000</v>
          </cell>
          <cell r="K59">
            <v>0</v>
          </cell>
          <cell r="L59" t="str">
            <v>ADIDAS</v>
          </cell>
          <cell r="M59" t="str">
            <v>Forecast</v>
          </cell>
          <cell r="N59" t="str">
            <v>SPLITTING</v>
          </cell>
          <cell r="O59">
            <v>2</v>
          </cell>
          <cell r="P59">
            <v>46048</v>
          </cell>
          <cell r="Q59">
            <v>46091</v>
          </cell>
          <cell r="R59">
            <v>46088</v>
          </cell>
          <cell r="S59">
            <v>43</v>
          </cell>
          <cell r="T59">
            <v>4</v>
          </cell>
          <cell r="U59">
            <v>35</v>
          </cell>
          <cell r="V59">
            <v>200</v>
          </cell>
          <cell r="W59" t="str">
            <v>0.085D</v>
          </cell>
          <cell r="X59" t="str">
            <v>3-2026</v>
          </cell>
          <cell r="Y59" t="str">
            <v>Week 10</v>
          </cell>
          <cell r="Z59">
            <v>46083</v>
          </cell>
          <cell r="AA59">
            <v>438</v>
          </cell>
          <cell r="AB59">
            <v>2.8570000000000002E-2</v>
          </cell>
        </row>
        <row r="60">
          <cell r="A60" t="str">
            <v>F-2026-01-331</v>
          </cell>
          <cell r="B60"/>
          <cell r="C60" t="str">
            <v>FPRO-260126-0007</v>
          </cell>
          <cell r="D60" t="str">
            <v>Firm plan 26.01</v>
          </cell>
          <cell r="E60" t="str">
            <v>BDB-000123</v>
          </cell>
          <cell r="F60" t="str">
            <v>PVN-003298</v>
          </cell>
          <cell r="G60" t="str">
            <v>OrthoLite Ultra-Hybrid SEEDPEARL/12-0703TPX Hybrid 0.085D 25+/-4 Asker C 1.1M 2M 4mm</v>
          </cell>
          <cell r="H60">
            <v>7000</v>
          </cell>
          <cell r="I60">
            <v>7000</v>
          </cell>
          <cell r="J60">
            <v>7000</v>
          </cell>
          <cell r="K60">
            <v>0</v>
          </cell>
          <cell r="L60" t="str">
            <v>ADIDAS</v>
          </cell>
          <cell r="M60" t="str">
            <v>Forecast</v>
          </cell>
          <cell r="N60" t="str">
            <v>SPLITTING</v>
          </cell>
          <cell r="O60">
            <v>2</v>
          </cell>
          <cell r="P60">
            <v>46048</v>
          </cell>
          <cell r="Q60">
            <v>46093</v>
          </cell>
          <cell r="R60">
            <v>46090</v>
          </cell>
          <cell r="S60">
            <v>45</v>
          </cell>
          <cell r="T60">
            <v>4</v>
          </cell>
          <cell r="U60">
            <v>35</v>
          </cell>
          <cell r="V60">
            <v>200</v>
          </cell>
          <cell r="W60" t="str">
            <v>0.085D</v>
          </cell>
          <cell r="X60" t="str">
            <v>3-2026</v>
          </cell>
          <cell r="Y60" t="str">
            <v>Week 11</v>
          </cell>
          <cell r="Z60">
            <v>46090</v>
          </cell>
          <cell r="AA60">
            <v>438</v>
          </cell>
          <cell r="AB60">
            <v>2.8570000000000002E-2</v>
          </cell>
        </row>
        <row r="61">
          <cell r="A61" t="str">
            <v>F-2026-01-332</v>
          </cell>
          <cell r="B61"/>
          <cell r="C61" t="str">
            <v>FPRO-260126-0008</v>
          </cell>
          <cell r="D61" t="str">
            <v>Firm plan 26.01</v>
          </cell>
          <cell r="E61" t="str">
            <v>BDB-000123</v>
          </cell>
          <cell r="F61" t="str">
            <v>PVN-003298</v>
          </cell>
          <cell r="G61" t="str">
            <v>OrthoLite Ultra-Hybrid SEEDPEARL/12-0703TPX Hybrid 0.085D 25+/-4 Asker C 1.1M 2M 4mm</v>
          </cell>
          <cell r="H61">
            <v>7000</v>
          </cell>
          <cell r="I61">
            <v>7000</v>
          </cell>
          <cell r="J61">
            <v>7000</v>
          </cell>
          <cell r="K61">
            <v>0</v>
          </cell>
          <cell r="L61" t="str">
            <v>ADIDAS</v>
          </cell>
          <cell r="M61" t="str">
            <v>Forecast</v>
          </cell>
          <cell r="N61" t="str">
            <v>SPLITTING</v>
          </cell>
          <cell r="O61">
            <v>2</v>
          </cell>
          <cell r="P61">
            <v>46048</v>
          </cell>
          <cell r="Q61">
            <v>46097</v>
          </cell>
          <cell r="R61">
            <v>46094</v>
          </cell>
          <cell r="S61">
            <v>49</v>
          </cell>
          <cell r="T61">
            <v>4</v>
          </cell>
          <cell r="U61">
            <v>35</v>
          </cell>
          <cell r="V61">
            <v>200</v>
          </cell>
          <cell r="W61" t="str">
            <v>0.085D</v>
          </cell>
          <cell r="X61" t="str">
            <v>3-2026</v>
          </cell>
          <cell r="Y61" t="str">
            <v>Week 11</v>
          </cell>
          <cell r="Z61">
            <v>46090</v>
          </cell>
          <cell r="AA61">
            <v>438</v>
          </cell>
          <cell r="AB61">
            <v>2.8570000000000002E-2</v>
          </cell>
        </row>
        <row r="62">
          <cell r="A62" t="str">
            <v>F-2026-01-333</v>
          </cell>
          <cell r="B62"/>
          <cell r="C62" t="str">
            <v>FPRO-260126-0009</v>
          </cell>
          <cell r="D62" t="str">
            <v>Firm plan 26.01</v>
          </cell>
          <cell r="E62" t="str">
            <v>BDB-000123</v>
          </cell>
          <cell r="F62" t="str">
            <v>PVN-003298</v>
          </cell>
          <cell r="G62" t="str">
            <v>OrthoLite Ultra-Hybrid SEEDPEARL/12-0703TPX Hybrid 0.085D 25+/-4 Asker C 1.1M 2M 4mm</v>
          </cell>
          <cell r="H62">
            <v>7000</v>
          </cell>
          <cell r="I62">
            <v>7000</v>
          </cell>
          <cell r="J62">
            <v>7000</v>
          </cell>
          <cell r="K62">
            <v>0</v>
          </cell>
          <cell r="L62" t="str">
            <v>ADIDAS</v>
          </cell>
          <cell r="M62" t="str">
            <v>Forecast</v>
          </cell>
          <cell r="N62" t="str">
            <v>SPLITTING</v>
          </cell>
          <cell r="O62">
            <v>2</v>
          </cell>
          <cell r="P62">
            <v>46048</v>
          </cell>
          <cell r="Q62">
            <v>46099</v>
          </cell>
          <cell r="R62">
            <v>46096</v>
          </cell>
          <cell r="S62">
            <v>51</v>
          </cell>
          <cell r="T62">
            <v>4</v>
          </cell>
          <cell r="U62">
            <v>35</v>
          </cell>
          <cell r="V62">
            <v>200</v>
          </cell>
          <cell r="W62" t="str">
            <v>0.085D</v>
          </cell>
          <cell r="X62" t="str">
            <v>3-2026</v>
          </cell>
          <cell r="Y62" t="str">
            <v>Week 11</v>
          </cell>
          <cell r="Z62">
            <v>46090</v>
          </cell>
          <cell r="AA62">
            <v>438</v>
          </cell>
          <cell r="AB62">
            <v>2.8570000000000002E-2</v>
          </cell>
        </row>
        <row r="63">
          <cell r="A63" t="str">
            <v>F-2026-01-334</v>
          </cell>
          <cell r="B63"/>
          <cell r="C63" t="str">
            <v>FPRO-260126-0010</v>
          </cell>
          <cell r="D63" t="str">
            <v>Firm plan 26.01</v>
          </cell>
          <cell r="E63" t="str">
            <v>BDB-000123</v>
          </cell>
          <cell r="F63" t="str">
            <v>PVN-003298</v>
          </cell>
          <cell r="G63" t="str">
            <v>OrthoLite Ultra-Hybrid SEEDPEARL/12-0703TPX Hybrid 0.085D 25+/-4 Asker C 1.1M 2M 4mm</v>
          </cell>
          <cell r="H63">
            <v>2000</v>
          </cell>
          <cell r="I63">
            <v>2000</v>
          </cell>
          <cell r="J63">
            <v>2000</v>
          </cell>
          <cell r="K63">
            <v>0</v>
          </cell>
          <cell r="L63" t="str">
            <v>ADIDAS</v>
          </cell>
          <cell r="M63" t="str">
            <v>Forecast</v>
          </cell>
          <cell r="N63" t="str">
            <v>SPLITTING</v>
          </cell>
          <cell r="O63">
            <v>2</v>
          </cell>
          <cell r="P63">
            <v>46048</v>
          </cell>
          <cell r="Q63">
            <v>46104</v>
          </cell>
          <cell r="R63">
            <v>46101</v>
          </cell>
          <cell r="S63">
            <v>56</v>
          </cell>
          <cell r="T63">
            <v>4</v>
          </cell>
          <cell r="U63">
            <v>35</v>
          </cell>
          <cell r="V63">
            <v>58</v>
          </cell>
          <cell r="W63" t="str">
            <v>0.085D</v>
          </cell>
          <cell r="X63" t="str">
            <v>3-2026</v>
          </cell>
          <cell r="Y63" t="str">
            <v>Week 12</v>
          </cell>
          <cell r="Z63">
            <v>46097</v>
          </cell>
          <cell r="AA63">
            <v>438</v>
          </cell>
          <cell r="AB63">
            <v>2.8570000000000002E-2</v>
          </cell>
        </row>
        <row r="64">
          <cell r="A64" t="str">
            <v>F-2026-01-335</v>
          </cell>
          <cell r="B64"/>
          <cell r="C64" t="str">
            <v>FPRO-260127-0001</v>
          </cell>
          <cell r="D64" t="str">
            <v>Firm plan 27.01</v>
          </cell>
          <cell r="E64" t="str">
            <v>BDB-000123</v>
          </cell>
          <cell r="F64" t="str">
            <v>PVN-002973</v>
          </cell>
          <cell r="G64" t="str">
            <v>OrthoLite Ultra-Hybrid SEEDPEARL/12-0703TPX Hybrid 0.085D 25+/-4 Asker C 1.1M 2M 4.5mm</v>
          </cell>
          <cell r="H64">
            <v>700</v>
          </cell>
          <cell r="I64">
            <v>700</v>
          </cell>
          <cell r="J64">
            <v>700</v>
          </cell>
          <cell r="K64">
            <v>0</v>
          </cell>
          <cell r="L64" t="str">
            <v>SALOMON</v>
          </cell>
          <cell r="M64" t="str">
            <v>Forecast</v>
          </cell>
          <cell r="N64" t="str">
            <v>MOLDED</v>
          </cell>
          <cell r="O64">
            <v>1</v>
          </cell>
          <cell r="P64">
            <v>46049</v>
          </cell>
          <cell r="Q64">
            <v>46083</v>
          </cell>
          <cell r="R64">
            <v>46080</v>
          </cell>
          <cell r="S64">
            <v>34</v>
          </cell>
          <cell r="T64">
            <v>4.5</v>
          </cell>
          <cell r="U64">
            <v>31</v>
          </cell>
          <cell r="V64">
            <v>23</v>
          </cell>
          <cell r="W64" t="str">
            <v>0.085D</v>
          </cell>
          <cell r="X64" t="str">
            <v>3-2026</v>
          </cell>
          <cell r="Y64" t="str">
            <v>Week 9</v>
          </cell>
          <cell r="Z64">
            <v>46076</v>
          </cell>
          <cell r="AA64">
            <v>438</v>
          </cell>
          <cell r="AB64">
            <v>3.2259999999999997E-2</v>
          </cell>
        </row>
        <row r="65">
          <cell r="A65" t="str">
            <v>F-2026-01-336</v>
          </cell>
          <cell r="B65"/>
          <cell r="C65" t="str">
            <v>FPRO-260127-0002</v>
          </cell>
          <cell r="D65" t="str">
            <v>Firm plan 27.01</v>
          </cell>
          <cell r="E65" t="str">
            <v>BDB-000123</v>
          </cell>
          <cell r="F65" t="str">
            <v>PVN-003298</v>
          </cell>
          <cell r="G65" t="str">
            <v>OrthoLite Ultra-Hybrid SEEDPEARL/12-0703TPX Hybrid 0.085D 25+/-4 Asker C 1.1M 2M 4mm</v>
          </cell>
          <cell r="H65">
            <v>7000</v>
          </cell>
          <cell r="I65">
            <v>7000</v>
          </cell>
          <cell r="J65">
            <v>7000</v>
          </cell>
          <cell r="K65">
            <v>0</v>
          </cell>
          <cell r="L65" t="str">
            <v>SALOMON</v>
          </cell>
          <cell r="M65" t="str">
            <v>Forecast</v>
          </cell>
          <cell r="N65" t="str">
            <v>LAMINATING</v>
          </cell>
          <cell r="O65">
            <v>1</v>
          </cell>
          <cell r="P65">
            <v>46049</v>
          </cell>
          <cell r="Q65">
            <v>46102</v>
          </cell>
          <cell r="R65">
            <v>46099</v>
          </cell>
          <cell r="S65">
            <v>53</v>
          </cell>
          <cell r="T65">
            <v>4</v>
          </cell>
          <cell r="U65">
            <v>35</v>
          </cell>
          <cell r="V65">
            <v>200</v>
          </cell>
          <cell r="W65" t="str">
            <v>0.085D</v>
          </cell>
          <cell r="X65" t="str">
            <v>3-2026</v>
          </cell>
          <cell r="Y65" t="str">
            <v>Week 12</v>
          </cell>
          <cell r="Z65">
            <v>46097</v>
          </cell>
          <cell r="AA65">
            <v>438</v>
          </cell>
          <cell r="AB65">
            <v>2.8570000000000002E-2</v>
          </cell>
        </row>
        <row r="66">
          <cell r="A66" t="str">
            <v>F-2026-01-337-1</v>
          </cell>
          <cell r="B66" t="str">
            <v>Color</v>
          </cell>
          <cell r="C66" t="str">
            <v>FPRO-260127-0003</v>
          </cell>
          <cell r="D66" t="str">
            <v>Firm plan 27.01</v>
          </cell>
          <cell r="E66" t="str">
            <v>BDB-000123</v>
          </cell>
          <cell r="F66" t="str">
            <v>PVN-003298</v>
          </cell>
          <cell r="G66" t="str">
            <v>OrthoLite Ultra-Hybrid SEEDPEARL/12-0703TPX Hybrid 0.085D 25+/-4 Asker C 1.1M 2M 4mm</v>
          </cell>
          <cell r="H66">
            <v>7000</v>
          </cell>
          <cell r="I66">
            <v>3888</v>
          </cell>
          <cell r="J66">
            <v>3888</v>
          </cell>
          <cell r="K66">
            <v>0</v>
          </cell>
          <cell r="L66" t="str">
            <v>SALOMON</v>
          </cell>
          <cell r="M66" t="str">
            <v>Forecast</v>
          </cell>
          <cell r="N66" t="str">
            <v>LAMINATING</v>
          </cell>
          <cell r="O66">
            <v>1</v>
          </cell>
          <cell r="P66">
            <v>46049</v>
          </cell>
          <cell r="Q66">
            <v>46105</v>
          </cell>
          <cell r="R66">
            <v>46102</v>
          </cell>
          <cell r="S66">
            <v>56</v>
          </cell>
          <cell r="T66">
            <v>4</v>
          </cell>
          <cell r="U66">
            <v>35</v>
          </cell>
          <cell r="V66">
            <v>112</v>
          </cell>
          <cell r="W66" t="str">
            <v>0.085D</v>
          </cell>
          <cell r="X66" t="str">
            <v>3-2026</v>
          </cell>
          <cell r="Y66" t="str">
            <v>Week 12</v>
          </cell>
          <cell r="Z66">
            <v>46097</v>
          </cell>
          <cell r="AA66">
            <v>438</v>
          </cell>
          <cell r="AB66">
            <v>2.8570000000000002E-2</v>
          </cell>
        </row>
        <row r="67">
          <cell r="A67" t="str">
            <v>F-2026-01-337-2</v>
          </cell>
          <cell r="B67" t="str">
            <v>Color</v>
          </cell>
          <cell r="C67" t="str">
            <v>FPRO-260127-0003</v>
          </cell>
          <cell r="D67" t="str">
            <v>Firm plan 27.01</v>
          </cell>
          <cell r="E67" t="str">
            <v>BDB-000123</v>
          </cell>
          <cell r="F67" t="str">
            <v>PVN-003298</v>
          </cell>
          <cell r="G67" t="str">
            <v>OrthoLite Ultra-Hybrid SEEDPEARL/12-0703TPX Hybrid 0.085D 25+/-4 Asker C 1.1M 2M 4mm</v>
          </cell>
          <cell r="H67">
            <v>7000</v>
          </cell>
          <cell r="I67">
            <v>3112</v>
          </cell>
          <cell r="J67">
            <v>3112</v>
          </cell>
          <cell r="K67">
            <v>0</v>
          </cell>
          <cell r="L67" t="str">
            <v>SALOMON</v>
          </cell>
          <cell r="M67" t="str">
            <v>Forecast</v>
          </cell>
          <cell r="N67" t="str">
            <v>LAMINATING</v>
          </cell>
          <cell r="O67">
            <v>1</v>
          </cell>
          <cell r="P67">
            <v>46049</v>
          </cell>
          <cell r="Q67">
            <v>46105</v>
          </cell>
          <cell r="R67">
            <v>46102</v>
          </cell>
          <cell r="S67">
            <v>56</v>
          </cell>
          <cell r="T67">
            <v>4</v>
          </cell>
          <cell r="U67">
            <v>35</v>
          </cell>
          <cell r="V67">
            <v>89</v>
          </cell>
          <cell r="W67" t="str">
            <v>0.085D</v>
          </cell>
          <cell r="X67" t="str">
            <v>3-2026</v>
          </cell>
          <cell r="Y67" t="str">
            <v>Week 12</v>
          </cell>
          <cell r="Z67">
            <v>46097</v>
          </cell>
          <cell r="AA67">
            <v>149</v>
          </cell>
          <cell r="AB67">
            <v>2.8570000000000002E-2</v>
          </cell>
        </row>
        <row r="68">
          <cell r="A68" t="str">
            <v>F-2026-01-338</v>
          </cell>
          <cell r="B68"/>
          <cell r="C68" t="str">
            <v>FPRO-260127-0004</v>
          </cell>
          <cell r="D68" t="str">
            <v>Firm plan 27.01</v>
          </cell>
          <cell r="E68" t="str">
            <v>BDB-000123</v>
          </cell>
          <cell r="F68" t="str">
            <v>PVN-003298</v>
          </cell>
          <cell r="G68" t="str">
            <v>OrthoLite Ultra-Hybrid SEEDPEARL/12-0703TPX Hybrid 0.085D 25+/-4 Asker C 1.1M 2M 4mm</v>
          </cell>
          <cell r="H68">
            <v>7000</v>
          </cell>
          <cell r="I68">
            <v>7000</v>
          </cell>
          <cell r="J68">
            <v>7000</v>
          </cell>
          <cell r="K68">
            <v>0</v>
          </cell>
          <cell r="L68" t="str">
            <v>SALOMON</v>
          </cell>
          <cell r="M68" t="str">
            <v>Forecast</v>
          </cell>
          <cell r="N68" t="str">
            <v>LAMINATING</v>
          </cell>
          <cell r="O68">
            <v>1</v>
          </cell>
          <cell r="P68">
            <v>46049</v>
          </cell>
          <cell r="Q68">
            <v>46108</v>
          </cell>
          <cell r="R68">
            <v>46105</v>
          </cell>
          <cell r="S68">
            <v>59</v>
          </cell>
          <cell r="T68">
            <v>4</v>
          </cell>
          <cell r="U68">
            <v>35</v>
          </cell>
          <cell r="V68">
            <v>200</v>
          </cell>
          <cell r="W68" t="str">
            <v>0.085D</v>
          </cell>
          <cell r="X68" t="str">
            <v>3-2026</v>
          </cell>
          <cell r="Y68" t="str">
            <v>Week 12</v>
          </cell>
          <cell r="Z68">
            <v>46097</v>
          </cell>
          <cell r="AA68">
            <v>149</v>
          </cell>
          <cell r="AB68">
            <v>2.8570000000000002E-2</v>
          </cell>
        </row>
        <row r="69">
          <cell r="A69" t="str">
            <v>F-2026-01-339</v>
          </cell>
          <cell r="B69"/>
          <cell r="C69" t="str">
            <v>FPRO-260127-0005</v>
          </cell>
          <cell r="D69" t="str">
            <v>Firm plan 27.01</v>
          </cell>
          <cell r="E69" t="str">
            <v>BDB-000123</v>
          </cell>
          <cell r="F69" t="str">
            <v>PVN-003298</v>
          </cell>
          <cell r="G69" t="str">
            <v>OrthoLite Ultra-Hybrid SEEDPEARL/12-0703TPX Hybrid 0.085D 25+/-4 Asker C 1.1M 2M 4mm</v>
          </cell>
          <cell r="H69">
            <v>7000</v>
          </cell>
          <cell r="I69">
            <v>7000</v>
          </cell>
          <cell r="J69">
            <v>7000</v>
          </cell>
          <cell r="K69">
            <v>0</v>
          </cell>
          <cell r="L69" t="str">
            <v>SALOMON</v>
          </cell>
          <cell r="M69" t="str">
            <v>Forecast</v>
          </cell>
          <cell r="N69" t="str">
            <v>LAMINATING</v>
          </cell>
          <cell r="O69">
            <v>1</v>
          </cell>
          <cell r="P69">
            <v>46049</v>
          </cell>
          <cell r="Q69">
            <v>46112</v>
          </cell>
          <cell r="R69">
            <v>46109</v>
          </cell>
          <cell r="S69">
            <v>63</v>
          </cell>
          <cell r="T69">
            <v>4</v>
          </cell>
          <cell r="U69">
            <v>35</v>
          </cell>
          <cell r="V69">
            <v>200</v>
          </cell>
          <cell r="W69" t="str">
            <v>0.085D</v>
          </cell>
          <cell r="X69" t="str">
            <v>3-2026</v>
          </cell>
          <cell r="Y69" t="str">
            <v>Week 13</v>
          </cell>
          <cell r="Z69">
            <v>46104</v>
          </cell>
          <cell r="AA69">
            <v>438</v>
          </cell>
          <cell r="AB69">
            <v>2.8570000000000002E-2</v>
          </cell>
        </row>
        <row r="70">
          <cell r="A70" t="str">
            <v>F-2026-01-340</v>
          </cell>
          <cell r="B70"/>
          <cell r="C70" t="str">
            <v>FPRO-260127-0006</v>
          </cell>
          <cell r="D70" t="str">
            <v>Firm plan 27.01</v>
          </cell>
          <cell r="E70" t="str">
            <v>BDB-000123</v>
          </cell>
          <cell r="F70" t="str">
            <v>PVN-003298</v>
          </cell>
          <cell r="G70" t="str">
            <v>OrthoLite Ultra-Hybrid SEEDPEARL/12-0703TPX Hybrid 0.085D 25+/-4 Asker C 1.1M 2M 4mm</v>
          </cell>
          <cell r="H70">
            <v>2500</v>
          </cell>
          <cell r="I70">
            <v>2500</v>
          </cell>
          <cell r="J70">
            <v>2500</v>
          </cell>
          <cell r="K70">
            <v>0</v>
          </cell>
          <cell r="L70" t="str">
            <v>SALOMON</v>
          </cell>
          <cell r="M70" t="str">
            <v>Forecast</v>
          </cell>
          <cell r="N70" t="str">
            <v>LAMINATING</v>
          </cell>
          <cell r="O70">
            <v>1</v>
          </cell>
          <cell r="P70">
            <v>46049</v>
          </cell>
          <cell r="Q70">
            <v>46111</v>
          </cell>
          <cell r="R70">
            <v>46108</v>
          </cell>
          <cell r="S70">
            <v>62</v>
          </cell>
          <cell r="T70">
            <v>4</v>
          </cell>
          <cell r="U70">
            <v>35</v>
          </cell>
          <cell r="V70">
            <v>72</v>
          </cell>
          <cell r="W70" t="str">
            <v>0.085D</v>
          </cell>
          <cell r="X70" t="str">
            <v>3-2026</v>
          </cell>
          <cell r="Y70" t="str">
            <v>Week 13</v>
          </cell>
          <cell r="Z70">
            <v>46104</v>
          </cell>
          <cell r="AA70">
            <v>438</v>
          </cell>
          <cell r="AB70">
            <v>2.8570000000000002E-2</v>
          </cell>
        </row>
        <row r="71">
          <cell r="A71" t="str">
            <v>F-2026-01-343-1</v>
          </cell>
          <cell r="B71"/>
          <cell r="C71" t="str">
            <v>FPRO-260210-0010</v>
          </cell>
          <cell r="D71" t="str">
            <v>Firm plan 27.01</v>
          </cell>
          <cell r="E71" t="str">
            <v>BDB-000125</v>
          </cell>
          <cell r="F71" t="str">
            <v>PVN-002413</v>
          </cell>
          <cell r="G71" t="str">
            <v>OrthoLite Regular-Nike AIR BLUE/16-4134TPX 0.11D 25+/-4 Asker C 1.1M 2M 4.2mm</v>
          </cell>
          <cell r="H71">
            <v>1000</v>
          </cell>
          <cell r="I71">
            <v>1000</v>
          </cell>
          <cell r="J71">
            <v>1000</v>
          </cell>
          <cell r="K71">
            <v>0</v>
          </cell>
          <cell r="L71" t="str">
            <v>NIKE</v>
          </cell>
          <cell r="M71" t="str">
            <v>Forecast</v>
          </cell>
          <cell r="N71" t="str">
            <v>MOLDED</v>
          </cell>
          <cell r="O71">
            <v>1</v>
          </cell>
          <cell r="P71">
            <v>46049</v>
          </cell>
          <cell r="Q71">
            <v>46080</v>
          </cell>
          <cell r="R71">
            <v>46077</v>
          </cell>
          <cell r="S71">
            <v>31</v>
          </cell>
          <cell r="T71">
            <v>4.2</v>
          </cell>
          <cell r="U71">
            <v>33</v>
          </cell>
          <cell r="V71">
            <v>31</v>
          </cell>
          <cell r="W71" t="str">
            <v>0.11D</v>
          </cell>
          <cell r="X71" t="str">
            <v>2-2026</v>
          </cell>
          <cell r="Y71" t="str">
            <v>Week 7</v>
          </cell>
          <cell r="Z71">
            <v>46062</v>
          </cell>
          <cell r="AA71">
            <v>438</v>
          </cell>
          <cell r="AB71">
            <v>3.0300000000000001E-2</v>
          </cell>
        </row>
        <row r="72">
          <cell r="A72" t="str">
            <v>F-2026-01-343-2</v>
          </cell>
          <cell r="B72"/>
          <cell r="C72" t="str">
            <v>FPRO-260127-0009</v>
          </cell>
          <cell r="D72" t="str">
            <v>Firm plan 27.01</v>
          </cell>
          <cell r="E72" t="str">
            <v>BDB-000125</v>
          </cell>
          <cell r="F72" t="str">
            <v>PVN-002413</v>
          </cell>
          <cell r="G72" t="str">
            <v>OrthoLite Regular-Nike AIR BLUE/16-4134TPX 0.11D 25+/-4 Asker C 1.1M 2M 4.2mm</v>
          </cell>
          <cell r="H72">
            <v>1700</v>
          </cell>
          <cell r="I72">
            <v>1700</v>
          </cell>
          <cell r="J72">
            <v>1700</v>
          </cell>
          <cell r="K72">
            <v>0</v>
          </cell>
          <cell r="L72" t="str">
            <v>NIKE</v>
          </cell>
          <cell r="M72" t="str">
            <v>Forecast</v>
          </cell>
          <cell r="N72" t="str">
            <v>MOLDED</v>
          </cell>
          <cell r="O72">
            <v>1</v>
          </cell>
          <cell r="P72">
            <v>46049</v>
          </cell>
          <cell r="Q72">
            <v>46083</v>
          </cell>
          <cell r="R72">
            <v>46080</v>
          </cell>
          <cell r="S72">
            <v>34</v>
          </cell>
          <cell r="T72">
            <v>4.2</v>
          </cell>
          <cell r="U72">
            <v>33</v>
          </cell>
          <cell r="V72">
            <v>52</v>
          </cell>
          <cell r="W72" t="str">
            <v>0.11D</v>
          </cell>
          <cell r="X72" t="str">
            <v>3-2026</v>
          </cell>
          <cell r="Y72" t="str">
            <v>Week 9</v>
          </cell>
          <cell r="Z72">
            <v>46076</v>
          </cell>
          <cell r="AA72">
            <v>0</v>
          </cell>
          <cell r="AB72">
            <v>3.0300000000000001E-2</v>
          </cell>
        </row>
        <row r="73">
          <cell r="A73" t="str">
            <v>F-2026-01-348</v>
          </cell>
          <cell r="B73"/>
          <cell r="C73" t="str">
            <v>RPRO-260128-1235</v>
          </cell>
          <cell r="D73" t="str">
            <v>MPS 27.01</v>
          </cell>
          <cell r="E73" t="str">
            <v>BDB-000085</v>
          </cell>
          <cell r="F73" t="str">
            <v>PVN-001091</v>
          </cell>
          <cell r="G73" t="str">
            <v>OrthoLite Eco LT GREY/17-1501TPX Flat Sheet 0.11D 25+/-4 Asker C 1.1M 2M 4mm</v>
          </cell>
          <cell r="H73">
            <v>104</v>
          </cell>
          <cell r="I73">
            <v>104</v>
          </cell>
          <cell r="J73">
            <v>104</v>
          </cell>
          <cell r="K73">
            <v>0</v>
          </cell>
          <cell r="L73"/>
          <cell r="M73" t="str">
            <v>MPS</v>
          </cell>
          <cell r="N73" t="str">
            <v>SPLITTING</v>
          </cell>
          <cell r="O73">
            <v>2</v>
          </cell>
          <cell r="P73">
            <v>46050</v>
          </cell>
          <cell r="Q73">
            <v>46079</v>
          </cell>
          <cell r="R73">
            <v>46076</v>
          </cell>
          <cell r="S73">
            <v>29</v>
          </cell>
          <cell r="T73">
            <v>4</v>
          </cell>
          <cell r="U73">
            <v>35</v>
          </cell>
          <cell r="V73">
            <v>3</v>
          </cell>
          <cell r="W73" t="str">
            <v>0.11D</v>
          </cell>
          <cell r="X73" t="str">
            <v>2-2026</v>
          </cell>
          <cell r="Y73" t="str">
            <v>Week 7</v>
          </cell>
          <cell r="Z73">
            <v>46062</v>
          </cell>
          <cell r="AA73">
            <v>0</v>
          </cell>
          <cell r="AB73">
            <v>2.8570000000000002E-2</v>
          </cell>
        </row>
        <row r="74">
          <cell r="A74" t="str">
            <v>F-2026-01-352</v>
          </cell>
          <cell r="B74"/>
          <cell r="C74" t="str">
            <v>RPRO-260128-1239</v>
          </cell>
          <cell r="D74" t="str">
            <v>MPS 27.01</v>
          </cell>
          <cell r="E74" t="str">
            <v>BDB-000123</v>
          </cell>
          <cell r="F74" t="str">
            <v>PVN-002539</v>
          </cell>
          <cell r="G74" t="str">
            <v>OrthoLite Ultra-Hybrid SEEDPEARL/12-0703TPX Hybrid Flat Sheet 0.085D 25+/-4 Asker C 1.1M 2M 5mm</v>
          </cell>
          <cell r="H74">
            <v>336</v>
          </cell>
          <cell r="I74">
            <v>336</v>
          </cell>
          <cell r="J74">
            <v>336</v>
          </cell>
          <cell r="K74">
            <v>0</v>
          </cell>
          <cell r="L74"/>
          <cell r="M74" t="str">
            <v>MPS</v>
          </cell>
          <cell r="N74" t="str">
            <v>SPLITTING</v>
          </cell>
          <cell r="O74">
            <v>2</v>
          </cell>
          <cell r="P74">
            <v>46050</v>
          </cell>
          <cell r="Q74">
            <v>46083</v>
          </cell>
          <cell r="R74">
            <v>46080</v>
          </cell>
          <cell r="S74">
            <v>33</v>
          </cell>
          <cell r="T74">
            <v>5</v>
          </cell>
          <cell r="U74">
            <v>28</v>
          </cell>
          <cell r="V74">
            <v>12</v>
          </cell>
          <cell r="W74" t="str">
            <v>0.085D</v>
          </cell>
          <cell r="X74" t="str">
            <v>3-2026</v>
          </cell>
          <cell r="Y74" t="str">
            <v>Week 9</v>
          </cell>
          <cell r="Z74">
            <v>46076</v>
          </cell>
          <cell r="AA74">
            <v>0</v>
          </cell>
          <cell r="AB74">
            <v>3.5709999999999999E-2</v>
          </cell>
        </row>
        <row r="75">
          <cell r="A75" t="str">
            <v>F-2026-01-357</v>
          </cell>
          <cell r="B75"/>
          <cell r="C75" t="str">
            <v>RPRO-260128-1244</v>
          </cell>
          <cell r="D75" t="str">
            <v>MPS 27.01</v>
          </cell>
          <cell r="E75" t="str">
            <v>BDB-000077</v>
          </cell>
          <cell r="F75" t="str">
            <v>PVN-003478</v>
          </cell>
          <cell r="G75" t="str">
            <v>Ortholite X-25 SEEDPEARL/12-0703TPX Flat Sheet 0.12D 20+/-4 Asker C 1.1M 2M 4mm</v>
          </cell>
          <cell r="H75">
            <v>128</v>
          </cell>
          <cell r="I75">
            <v>128</v>
          </cell>
          <cell r="J75">
            <v>128</v>
          </cell>
          <cell r="K75">
            <v>0</v>
          </cell>
          <cell r="L75"/>
          <cell r="M75" t="str">
            <v>MPS</v>
          </cell>
          <cell r="N75" t="str">
            <v>SPLITTING</v>
          </cell>
          <cell r="O75">
            <v>2</v>
          </cell>
          <cell r="P75">
            <v>46050</v>
          </cell>
          <cell r="Q75">
            <v>46079</v>
          </cell>
          <cell r="R75">
            <v>46076</v>
          </cell>
          <cell r="S75">
            <v>29</v>
          </cell>
          <cell r="T75">
            <v>4</v>
          </cell>
          <cell r="U75">
            <v>35</v>
          </cell>
          <cell r="V75">
            <v>4</v>
          </cell>
          <cell r="W75" t="str">
            <v>0.12D</v>
          </cell>
          <cell r="X75" t="str">
            <v>2-2026</v>
          </cell>
          <cell r="Y75" t="str">
            <v>Week 7</v>
          </cell>
          <cell r="Z75">
            <v>46062</v>
          </cell>
          <cell r="AA75">
            <v>0</v>
          </cell>
          <cell r="AB75">
            <v>2.8570000000000002E-2</v>
          </cell>
        </row>
        <row r="76">
          <cell r="A76" t="str">
            <v>F-2026-01-358</v>
          </cell>
          <cell r="B76"/>
          <cell r="C76" t="str">
            <v>RPRO-260128-1245</v>
          </cell>
          <cell r="D76" t="str">
            <v>MPS 27.01</v>
          </cell>
          <cell r="E76" t="str">
            <v>BDB-000077</v>
          </cell>
          <cell r="F76" t="str">
            <v>PVN-003513</v>
          </cell>
          <cell r="G76" t="str">
            <v>OrthoLite X-25 SEEDPEARL/12-0703TPX Flat Sheet 0.12D 20+/-4 Asker C 1.1M 2M 2mm</v>
          </cell>
          <cell r="H76">
            <v>70</v>
          </cell>
          <cell r="I76">
            <v>70</v>
          </cell>
          <cell r="J76">
            <v>70</v>
          </cell>
          <cell r="K76">
            <v>0</v>
          </cell>
          <cell r="L76"/>
          <cell r="M76" t="str">
            <v>MPS</v>
          </cell>
          <cell r="N76" t="str">
            <v>SPLITTING</v>
          </cell>
          <cell r="O76">
            <v>2</v>
          </cell>
          <cell r="P76">
            <v>46050</v>
          </cell>
          <cell r="Q76">
            <v>46079</v>
          </cell>
          <cell r="R76">
            <v>46076</v>
          </cell>
          <cell r="S76">
            <v>29</v>
          </cell>
          <cell r="T76">
            <v>2</v>
          </cell>
          <cell r="U76">
            <v>70</v>
          </cell>
          <cell r="V76">
            <v>2</v>
          </cell>
          <cell r="W76" t="str">
            <v>0.12D</v>
          </cell>
          <cell r="X76" t="str">
            <v>2-2026</v>
          </cell>
          <cell r="Y76" t="str">
            <v>Week 7</v>
          </cell>
          <cell r="Z76">
            <v>46062</v>
          </cell>
          <cell r="AA76">
            <v>0</v>
          </cell>
          <cell r="AB76">
            <v>1.4290000000000001E-2</v>
          </cell>
        </row>
        <row r="77">
          <cell r="A77" t="str">
            <v>F-2026-01-359</v>
          </cell>
          <cell r="B77"/>
          <cell r="C77" t="str">
            <v>RPRO-260128-1246</v>
          </cell>
          <cell r="D77" t="str">
            <v>MPS 27.01</v>
          </cell>
          <cell r="E77" t="str">
            <v>BDB-000348</v>
          </cell>
          <cell r="F77" t="str">
            <v>PVN-004210</v>
          </cell>
          <cell r="G77" t="str">
            <v>OrthoLite IMPERIAL SEEDPEARL/12-0703TPX Flat Sheet 0.22D 25+/-4 Asker C 1.1M 1.47M 5mm</v>
          </cell>
          <cell r="H77">
            <v>728</v>
          </cell>
          <cell r="I77">
            <v>728</v>
          </cell>
          <cell r="J77">
            <v>728</v>
          </cell>
          <cell r="K77">
            <v>0</v>
          </cell>
          <cell r="L77"/>
          <cell r="M77" t="str">
            <v>MPS</v>
          </cell>
          <cell r="N77" t="str">
            <v>SPLITTING</v>
          </cell>
          <cell r="O77">
            <v>2</v>
          </cell>
          <cell r="P77">
            <v>46050</v>
          </cell>
          <cell r="Q77">
            <v>46079</v>
          </cell>
          <cell r="R77">
            <v>46076</v>
          </cell>
          <cell r="S77">
            <v>29</v>
          </cell>
          <cell r="T77">
            <v>5</v>
          </cell>
          <cell r="U77">
            <v>28</v>
          </cell>
          <cell r="V77">
            <v>26</v>
          </cell>
          <cell r="W77" t="e">
            <v>#N/A</v>
          </cell>
          <cell r="X77" t="str">
            <v>2-2026</v>
          </cell>
          <cell r="Y77" t="str">
            <v>Week 7</v>
          </cell>
          <cell r="Z77">
            <v>46062</v>
          </cell>
          <cell r="AA77">
            <v>0</v>
          </cell>
          <cell r="AB77">
            <v>3.5709999999999999E-2</v>
          </cell>
        </row>
        <row r="78">
          <cell r="A78" t="str">
            <v>F-2026-01-362</v>
          </cell>
          <cell r="B78"/>
          <cell r="C78" t="str">
            <v>RPRO-260128-1249</v>
          </cell>
          <cell r="D78" t="str">
            <v>Pro.sche.report 27.01</v>
          </cell>
          <cell r="E78" t="str">
            <v>BDB-000197</v>
          </cell>
          <cell r="F78" t="str">
            <v>PVN-003406</v>
          </cell>
          <cell r="G78" t="str">
            <v>OrthoLite Ultra-Hybrid SEEDPEARL/12-0703TPX Hybrid Flat Sheet 0.085D 5-10 Asker C 1.1M 2M 2mm</v>
          </cell>
          <cell r="H78">
            <v>140</v>
          </cell>
          <cell r="I78">
            <v>140</v>
          </cell>
          <cell r="J78">
            <v>140</v>
          </cell>
          <cell r="K78">
            <v>0</v>
          </cell>
          <cell r="L78" t="str">
            <v>ADIDAS</v>
          </cell>
          <cell r="M78" t="str">
            <v>Pr.Sch.R</v>
          </cell>
          <cell r="N78" t="str">
            <v>DIE CUT</v>
          </cell>
          <cell r="O78">
            <v>1</v>
          </cell>
          <cell r="P78">
            <v>46050</v>
          </cell>
          <cell r="Q78">
            <v>46081</v>
          </cell>
          <cell r="R78">
            <v>46078</v>
          </cell>
          <cell r="S78">
            <v>31</v>
          </cell>
          <cell r="T78">
            <v>2</v>
          </cell>
          <cell r="U78">
            <v>70</v>
          </cell>
          <cell r="V78">
            <v>3</v>
          </cell>
          <cell r="W78" t="str">
            <v>0.085D</v>
          </cell>
          <cell r="X78" t="str">
            <v>2-2026</v>
          </cell>
          <cell r="Y78" t="str">
            <v>Week 7</v>
          </cell>
          <cell r="Z78">
            <v>46062</v>
          </cell>
          <cell r="AA78">
            <v>34</v>
          </cell>
          <cell r="AB78">
            <v>1.4290000000000001E-2</v>
          </cell>
        </row>
        <row r="79">
          <cell r="A79" t="str">
            <v>F-2026-01-364</v>
          </cell>
          <cell r="B79"/>
          <cell r="C79" t="str">
            <v>RPRO-260128-1251 (313) và RPRO-260227-0681 (112)</v>
          </cell>
          <cell r="D79" t="str">
            <v>Pro.sche.report 27.01</v>
          </cell>
          <cell r="E79" t="str">
            <v>BDB-000346</v>
          </cell>
          <cell r="F79" t="str">
            <v>PVN-004188</v>
          </cell>
          <cell r="G79" t="str">
            <v>OrthoLite Float NEUTRAL GRAY/17-4402TPX Flat Sheet 0.12D 21+/-4 Asker C 1.1M 1.47M 5.5mm</v>
          </cell>
          <cell r="H79">
            <v>425</v>
          </cell>
          <cell r="I79">
            <v>425</v>
          </cell>
          <cell r="J79">
            <v>425</v>
          </cell>
          <cell r="K79">
            <v>0</v>
          </cell>
          <cell r="L79" t="str">
            <v>PUMA</v>
          </cell>
          <cell r="M79" t="str">
            <v>Pr.Sch.R</v>
          </cell>
          <cell r="N79" t="str">
            <v>MOLDED</v>
          </cell>
          <cell r="O79">
            <v>1</v>
          </cell>
          <cell r="P79">
            <v>46050</v>
          </cell>
          <cell r="Q79">
            <v>46081</v>
          </cell>
          <cell r="R79">
            <v>46078</v>
          </cell>
          <cell r="S79">
            <v>31</v>
          </cell>
          <cell r="T79">
            <v>5.5</v>
          </cell>
          <cell r="U79">
            <v>25</v>
          </cell>
          <cell r="V79">
            <v>17</v>
          </cell>
          <cell r="W79" t="e">
            <v>#N/A</v>
          </cell>
          <cell r="X79" t="str">
            <v>2-2026</v>
          </cell>
          <cell r="Y79" t="str">
            <v>Week 7</v>
          </cell>
          <cell r="Z79">
            <v>46062</v>
          </cell>
          <cell r="AA79">
            <v>0</v>
          </cell>
          <cell r="AB79">
            <v>0.04</v>
          </cell>
        </row>
        <row r="80">
          <cell r="A80" t="str">
            <v>F-2026-01-366</v>
          </cell>
          <cell r="B80"/>
          <cell r="C80" t="str">
            <v>RPRO-260128-1253</v>
          </cell>
          <cell r="D80" t="str">
            <v>Pro.sche.report 27.01</v>
          </cell>
          <cell r="E80" t="str">
            <v>BDB-000234</v>
          </cell>
          <cell r="F80" t="str">
            <v>PVN-003581</v>
          </cell>
          <cell r="G80" t="str">
            <v>OrthoLite X-30-Hybrid BROWN SUGAR/17-1134TPX Hybrid Flat Sheet 0.13D 25+/-4 Asker C 1.1M 2M 12mm</v>
          </cell>
          <cell r="H80">
            <v>946</v>
          </cell>
          <cell r="I80">
            <v>946</v>
          </cell>
          <cell r="J80">
            <v>946</v>
          </cell>
          <cell r="K80">
            <v>0</v>
          </cell>
          <cell r="L80" t="str">
            <v>ASICS</v>
          </cell>
          <cell r="M80" t="str">
            <v>Pr.Sch.R</v>
          </cell>
          <cell r="N80" t="str">
            <v>MOLDED</v>
          </cell>
          <cell r="O80">
            <v>1</v>
          </cell>
          <cell r="P80">
            <v>46050</v>
          </cell>
          <cell r="Q80">
            <v>46080</v>
          </cell>
          <cell r="R80">
            <v>46077</v>
          </cell>
          <cell r="S80">
            <v>30</v>
          </cell>
          <cell r="T80">
            <v>12</v>
          </cell>
          <cell r="U80">
            <v>11.5</v>
          </cell>
          <cell r="V80">
            <v>83</v>
          </cell>
          <cell r="W80" t="str">
            <v>0.13D</v>
          </cell>
          <cell r="X80" t="str">
            <v>2-2026</v>
          </cell>
          <cell r="Y80" t="str">
            <v>Week 7</v>
          </cell>
          <cell r="Z80">
            <v>46062</v>
          </cell>
          <cell r="AA80">
            <v>0</v>
          </cell>
          <cell r="AB80">
            <v>8.6959999999999996E-2</v>
          </cell>
        </row>
        <row r="81">
          <cell r="A81" t="str">
            <v>F-2026-01-372</v>
          </cell>
          <cell r="B81"/>
          <cell r="C81" t="str">
            <v>RPRO-260128-1259</v>
          </cell>
          <cell r="D81" t="str">
            <v>Pro.sche.report 27.01</v>
          </cell>
          <cell r="E81" t="str">
            <v>BDB-000235</v>
          </cell>
          <cell r="F81" t="str">
            <v>PVN-003576</v>
          </cell>
          <cell r="G81" t="str">
            <v>OrthoLite X-55-Hybrid FOSSIL/17-0909TPX Hybrid Flat Sheet 0.16D 25+/-4 Asker C 1.1M 1.7M 12mm</v>
          </cell>
          <cell r="H81">
            <v>528</v>
          </cell>
          <cell r="I81">
            <v>528</v>
          </cell>
          <cell r="J81">
            <v>528</v>
          </cell>
          <cell r="K81">
            <v>0</v>
          </cell>
          <cell r="L81" t="str">
            <v>ASICS</v>
          </cell>
          <cell r="M81" t="str">
            <v>Pr.Sch.R</v>
          </cell>
          <cell r="N81" t="str">
            <v>MOLDED</v>
          </cell>
          <cell r="O81">
            <v>1</v>
          </cell>
          <cell r="P81">
            <v>46050</v>
          </cell>
          <cell r="Q81">
            <v>46080</v>
          </cell>
          <cell r="R81">
            <v>46077</v>
          </cell>
          <cell r="S81">
            <v>30</v>
          </cell>
          <cell r="T81">
            <v>12</v>
          </cell>
          <cell r="U81">
            <v>11.5</v>
          </cell>
          <cell r="V81">
            <v>46</v>
          </cell>
          <cell r="W81" t="str">
            <v>0.16D</v>
          </cell>
          <cell r="X81" t="str">
            <v>2-2026</v>
          </cell>
          <cell r="Y81" t="str">
            <v>Week 7</v>
          </cell>
          <cell r="Z81">
            <v>46062</v>
          </cell>
          <cell r="AA81">
            <v>0</v>
          </cell>
          <cell r="AB81">
            <v>8.6959999999999996E-2</v>
          </cell>
        </row>
        <row r="82">
          <cell r="A82" t="str">
            <v>F-2026-01-373</v>
          </cell>
          <cell r="B82"/>
          <cell r="C82" t="str">
            <v>RPRO-260128-1260 (150) RPRO-260226-0411 (213)</v>
          </cell>
          <cell r="D82" t="str">
            <v>Pro.sche.report 27.01</v>
          </cell>
          <cell r="E82" t="str">
            <v>BDB-000011</v>
          </cell>
          <cell r="F82" t="str">
            <v>PVN-000121</v>
          </cell>
          <cell r="G82" t="str">
            <v>OrthoLite Regular AIR BLUE/16-4134TPX Flat Sheet 0.13D 35+/-4 Asker C 1.1M 2M 12mm</v>
          </cell>
          <cell r="H82">
            <v>363</v>
          </cell>
          <cell r="I82">
            <v>363</v>
          </cell>
          <cell r="J82">
            <v>363</v>
          </cell>
          <cell r="K82">
            <v>0</v>
          </cell>
          <cell r="L82" t="str">
            <v>ASICS</v>
          </cell>
          <cell r="M82" t="str">
            <v>Pr.Sch.R</v>
          </cell>
          <cell r="N82" t="str">
            <v>MOLDED</v>
          </cell>
          <cell r="O82">
            <v>1</v>
          </cell>
          <cell r="P82">
            <v>46050</v>
          </cell>
          <cell r="Q82">
            <v>46080</v>
          </cell>
          <cell r="R82">
            <v>46077</v>
          </cell>
          <cell r="S82">
            <v>30</v>
          </cell>
          <cell r="T82">
            <v>12</v>
          </cell>
          <cell r="U82">
            <v>11.5</v>
          </cell>
          <cell r="V82">
            <v>32</v>
          </cell>
          <cell r="W82" t="str">
            <v>0.13D</v>
          </cell>
          <cell r="X82" t="str">
            <v>2-2026</v>
          </cell>
          <cell r="Y82" t="str">
            <v>Week 7</v>
          </cell>
          <cell r="Z82">
            <v>46062</v>
          </cell>
          <cell r="AA82">
            <v>0</v>
          </cell>
          <cell r="AB82">
            <v>8.6959999999999996E-2</v>
          </cell>
        </row>
        <row r="83">
          <cell r="A83" t="str">
            <v>F-2026-01-374</v>
          </cell>
          <cell r="B83"/>
          <cell r="C83" t="str">
            <v>RPRO-260128-1261</v>
          </cell>
          <cell r="D83" t="str">
            <v>Pro.sche.report 27.01</v>
          </cell>
          <cell r="E83" t="str">
            <v>BDB-000213</v>
          </cell>
          <cell r="F83" t="str">
            <v>PVN-003752</v>
          </cell>
          <cell r="G83" t="str">
            <v>OrthoLite X-25-Hybrid SEEDPEARL/12-0703TPX Hybrid Flat Sheet 0.12D 20+/-4 Asker C 1.1M 1.47M 4.5mm</v>
          </cell>
          <cell r="H83">
            <v>403</v>
          </cell>
          <cell r="I83">
            <v>403</v>
          </cell>
          <cell r="J83">
            <v>403</v>
          </cell>
          <cell r="K83">
            <v>0</v>
          </cell>
          <cell r="L83" t="str">
            <v>ON RUNNING</v>
          </cell>
          <cell r="M83" t="str">
            <v>Pr.Sch.R</v>
          </cell>
          <cell r="N83" t="str">
            <v>MOLDED</v>
          </cell>
          <cell r="O83">
            <v>1</v>
          </cell>
          <cell r="P83">
            <v>46050</v>
          </cell>
          <cell r="Q83">
            <v>46081</v>
          </cell>
          <cell r="R83">
            <v>46078</v>
          </cell>
          <cell r="S83">
            <v>31</v>
          </cell>
          <cell r="T83">
            <v>4.5</v>
          </cell>
          <cell r="U83">
            <v>31</v>
          </cell>
          <cell r="V83">
            <v>14</v>
          </cell>
          <cell r="W83" t="str">
            <v>0.12D</v>
          </cell>
          <cell r="X83" t="str">
            <v>2-2026</v>
          </cell>
          <cell r="Y83" t="str">
            <v>Week 7</v>
          </cell>
          <cell r="Z83">
            <v>46062</v>
          </cell>
          <cell r="AA83">
            <v>0</v>
          </cell>
          <cell r="AB83">
            <v>3.2259999999999997E-2</v>
          </cell>
        </row>
        <row r="84">
          <cell r="A84" t="str">
            <v>F-2026-01-375</v>
          </cell>
          <cell r="B84"/>
          <cell r="C84" t="str">
            <v>RPRO-260128-1262</v>
          </cell>
          <cell r="D84" t="str">
            <v>Pro.sche.report 27.01</v>
          </cell>
          <cell r="E84" t="str">
            <v>BDB-000234</v>
          </cell>
          <cell r="F84" t="str">
            <v>PVN-003575</v>
          </cell>
          <cell r="G84" t="str">
            <v>OrthoLite X-30-Hybrid BROWN SUGAR/17-1134TPX Hybrid Flat Sheet 0.13D 25+/-4 Asker C 1.1M 2M 10mm</v>
          </cell>
          <cell r="H84">
            <v>78</v>
          </cell>
          <cell r="I84">
            <v>78</v>
          </cell>
          <cell r="J84">
            <v>78</v>
          </cell>
          <cell r="K84">
            <v>0</v>
          </cell>
          <cell r="L84" t="str">
            <v>ASICS</v>
          </cell>
          <cell r="M84" t="str">
            <v>Pr.Sch.R</v>
          </cell>
          <cell r="N84" t="str">
            <v>MOLDED</v>
          </cell>
          <cell r="O84">
            <v>1</v>
          </cell>
          <cell r="P84">
            <v>46050</v>
          </cell>
          <cell r="Q84">
            <v>46081</v>
          </cell>
          <cell r="R84">
            <v>46078</v>
          </cell>
          <cell r="S84">
            <v>31</v>
          </cell>
          <cell r="T84">
            <v>10</v>
          </cell>
          <cell r="U84">
            <v>13</v>
          </cell>
          <cell r="V84">
            <v>6</v>
          </cell>
          <cell r="W84" t="str">
            <v>0.13D</v>
          </cell>
          <cell r="X84" t="str">
            <v>2-2026</v>
          </cell>
          <cell r="Y84" t="str">
            <v>Week 7</v>
          </cell>
          <cell r="Z84">
            <v>46062</v>
          </cell>
          <cell r="AA84">
            <v>139</v>
          </cell>
          <cell r="AB84">
            <v>7.6920000000000002E-2</v>
          </cell>
        </row>
        <row r="85">
          <cell r="A85" t="str">
            <v>F-2026-01-376</v>
          </cell>
          <cell r="B85"/>
          <cell r="C85" t="str">
            <v>RPRO-260128-1263</v>
          </cell>
          <cell r="D85" t="str">
            <v>Pro.sche.report 27.01</v>
          </cell>
          <cell r="E85" t="str">
            <v>BDB-000094</v>
          </cell>
          <cell r="F85" t="str">
            <v>PVN-004255</v>
          </cell>
          <cell r="G85" t="str">
            <v>OrthoLite Eco LT 300C(ADIDAS BLUEBIRD) Flat Sheet 0.11D 25+/-4 Asker C 1.1M 1.47M 12mm</v>
          </cell>
          <cell r="H85">
            <v>143</v>
          </cell>
          <cell r="I85">
            <v>143</v>
          </cell>
          <cell r="J85">
            <v>143</v>
          </cell>
          <cell r="K85">
            <v>0</v>
          </cell>
          <cell r="L85" t="str">
            <v>ADIDAS</v>
          </cell>
          <cell r="M85" t="str">
            <v>Pr.Sch.R</v>
          </cell>
          <cell r="N85" t="str">
            <v>MOLDED</v>
          </cell>
          <cell r="O85">
            <v>1</v>
          </cell>
          <cell r="P85">
            <v>46050</v>
          </cell>
          <cell r="Q85">
            <v>46081</v>
          </cell>
          <cell r="R85">
            <v>46078</v>
          </cell>
          <cell r="S85">
            <v>31</v>
          </cell>
          <cell r="T85">
            <v>12</v>
          </cell>
          <cell r="U85">
            <v>11</v>
          </cell>
          <cell r="V85">
            <v>14</v>
          </cell>
          <cell r="W85" t="str">
            <v>0.11D</v>
          </cell>
          <cell r="X85" t="str">
            <v>2-2026</v>
          </cell>
          <cell r="Y85" t="str">
            <v>Week 7</v>
          </cell>
          <cell r="Z85">
            <v>46062</v>
          </cell>
          <cell r="AA85">
            <v>108</v>
          </cell>
          <cell r="AB85">
            <v>9.0910000000000005E-2</v>
          </cell>
        </row>
        <row r="86">
          <cell r="A86" t="str">
            <v>F-2026-01-378</v>
          </cell>
          <cell r="B86"/>
          <cell r="C86" t="str">
            <v>RPRO-260128-1265</v>
          </cell>
          <cell r="D86" t="str">
            <v>Pro.sche.report 27.01</v>
          </cell>
          <cell r="E86" t="str">
            <v>BDB-000217</v>
          </cell>
          <cell r="F86" t="str">
            <v>PVN-003733</v>
          </cell>
          <cell r="G86" t="str">
            <v>OrthoLite X-40-Hybrid SEEDPEARL/12-0703TPX Hybrid Flat Sheet 0.16D 35+/-4 Asker C 1.1M 1.7M 12.5mm</v>
          </cell>
          <cell r="H86">
            <v>20</v>
          </cell>
          <cell r="I86">
            <v>20</v>
          </cell>
          <cell r="J86">
            <v>20</v>
          </cell>
          <cell r="K86">
            <v>0</v>
          </cell>
          <cell r="L86" t="str">
            <v>OBOZ</v>
          </cell>
          <cell r="M86" t="str">
            <v>Pr.Sch.R</v>
          </cell>
          <cell r="N86" t="str">
            <v>MOLDED</v>
          </cell>
          <cell r="O86">
            <v>1</v>
          </cell>
          <cell r="P86">
            <v>46050</v>
          </cell>
          <cell r="Q86">
            <v>46081</v>
          </cell>
          <cell r="R86">
            <v>46078</v>
          </cell>
          <cell r="S86">
            <v>31</v>
          </cell>
          <cell r="T86">
            <v>12.5</v>
          </cell>
          <cell r="U86">
            <v>10</v>
          </cell>
          <cell r="V86">
            <v>2</v>
          </cell>
          <cell r="W86" t="str">
            <v>0.16D</v>
          </cell>
          <cell r="X86" t="str">
            <v>2-2026</v>
          </cell>
          <cell r="Y86" t="str">
            <v>Week 7</v>
          </cell>
          <cell r="Z86">
            <v>46062</v>
          </cell>
          <cell r="AA86">
            <v>22</v>
          </cell>
          <cell r="AB86">
            <v>0.1</v>
          </cell>
        </row>
        <row r="87">
          <cell r="A87" t="str">
            <v>F-2026-01-381</v>
          </cell>
          <cell r="B87"/>
          <cell r="C87" t="str">
            <v>FPRO-260127-0010 800PCS+FPRO-260228-0002 2400PCS+ FPRO-260228-0008 300PCS</v>
          </cell>
          <cell r="D87" t="str">
            <v>Firm plan 28.01</v>
          </cell>
          <cell r="E87" t="str">
            <v>BDB-000129</v>
          </cell>
          <cell r="F87" t="str">
            <v>PVN-001550</v>
          </cell>
          <cell r="G87" t="str">
            <v>OrthoLite Regular-Nike AIR BLUE/16-4134TPX 0.11D 25+/-4 Asker C 1.1M 1.7M 2mm</v>
          </cell>
          <cell r="H87">
            <v>3500</v>
          </cell>
          <cell r="I87">
            <v>3500</v>
          </cell>
          <cell r="J87">
            <v>3500</v>
          </cell>
          <cell r="K87">
            <v>0</v>
          </cell>
          <cell r="L87" t="str">
            <v>NIKE</v>
          </cell>
          <cell r="M87" t="str">
            <v>Forecast</v>
          </cell>
          <cell r="N87" t="str">
            <v>DIE CUT</v>
          </cell>
          <cell r="O87">
            <v>1</v>
          </cell>
          <cell r="P87">
            <v>46050</v>
          </cell>
          <cell r="Q87">
            <v>46083</v>
          </cell>
          <cell r="R87">
            <v>46080</v>
          </cell>
          <cell r="S87">
            <v>33</v>
          </cell>
          <cell r="T87">
            <v>2</v>
          </cell>
          <cell r="U87">
            <v>70</v>
          </cell>
          <cell r="V87">
            <v>51</v>
          </cell>
          <cell r="W87" t="str">
            <v>0.11D</v>
          </cell>
          <cell r="X87" t="str">
            <v>3-2026</v>
          </cell>
          <cell r="Y87" t="str">
            <v>Week 9</v>
          </cell>
          <cell r="Z87">
            <v>46076</v>
          </cell>
          <cell r="AA87">
            <v>58</v>
          </cell>
          <cell r="AB87">
            <v>1.4290000000000001E-2</v>
          </cell>
        </row>
        <row r="88">
          <cell r="A88" t="str">
            <v>F-2026-01-382</v>
          </cell>
          <cell r="B88"/>
          <cell r="C88" t="str">
            <v>FPRO-260127-0011</v>
          </cell>
          <cell r="D88" t="str">
            <v>Firm plan 28.01</v>
          </cell>
          <cell r="E88" t="str">
            <v>BDB-000129</v>
          </cell>
          <cell r="F88" t="str">
            <v>PVN-001550</v>
          </cell>
          <cell r="G88" t="str">
            <v>OrthoLite Regular-Nike AIR BLUE/16-4134TPX 0.11D 25+/-4 Asker C 1.1M 1.7M 2mm</v>
          </cell>
          <cell r="H88">
            <v>3500</v>
          </cell>
          <cell r="I88">
            <v>3500</v>
          </cell>
          <cell r="J88">
            <v>3500</v>
          </cell>
          <cell r="K88">
            <v>0</v>
          </cell>
          <cell r="L88" t="str">
            <v>NIKE</v>
          </cell>
          <cell r="M88" t="str">
            <v>Forecast</v>
          </cell>
          <cell r="N88" t="str">
            <v>DIE CUT</v>
          </cell>
          <cell r="O88">
            <v>1</v>
          </cell>
          <cell r="P88">
            <v>46050</v>
          </cell>
          <cell r="Q88">
            <v>46086</v>
          </cell>
          <cell r="R88">
            <v>46083</v>
          </cell>
          <cell r="S88">
            <v>36</v>
          </cell>
          <cell r="T88">
            <v>2</v>
          </cell>
          <cell r="U88">
            <v>70</v>
          </cell>
          <cell r="V88">
            <v>51</v>
          </cell>
          <cell r="W88" t="str">
            <v>0.11D</v>
          </cell>
          <cell r="X88" t="str">
            <v>3-2026</v>
          </cell>
          <cell r="Y88" t="str">
            <v>Week 9</v>
          </cell>
          <cell r="Z88">
            <v>46076</v>
          </cell>
          <cell r="AA88">
            <v>0</v>
          </cell>
          <cell r="AB88">
            <v>1.4290000000000001E-2</v>
          </cell>
        </row>
        <row r="89">
          <cell r="A89" t="str">
            <v>F-2026-01-383</v>
          </cell>
          <cell r="B89"/>
          <cell r="C89" t="str">
            <v>FPRO-260127-0012</v>
          </cell>
          <cell r="D89" t="str">
            <v>Firm plan 28.01</v>
          </cell>
          <cell r="E89" t="str">
            <v>BDB-000129</v>
          </cell>
          <cell r="F89" t="str">
            <v>PVN-001550</v>
          </cell>
          <cell r="G89" t="str">
            <v>OrthoLite Regular-Nike AIR BLUE/16-4134TPX 0.11D 25+/-4 Asker C 1.1M 1.7M 2mm</v>
          </cell>
          <cell r="H89">
            <v>3500</v>
          </cell>
          <cell r="I89">
            <v>3500</v>
          </cell>
          <cell r="J89">
            <v>3500</v>
          </cell>
          <cell r="K89">
            <v>0</v>
          </cell>
          <cell r="L89" t="str">
            <v>NIKE</v>
          </cell>
          <cell r="M89" t="str">
            <v>Forecast</v>
          </cell>
          <cell r="N89" t="str">
            <v>DIE CUT</v>
          </cell>
          <cell r="O89">
            <v>1</v>
          </cell>
          <cell r="P89">
            <v>46050</v>
          </cell>
          <cell r="Q89">
            <v>46093</v>
          </cell>
          <cell r="R89">
            <v>46090</v>
          </cell>
          <cell r="S89">
            <v>43</v>
          </cell>
          <cell r="T89">
            <v>2</v>
          </cell>
          <cell r="U89">
            <v>70</v>
          </cell>
          <cell r="V89">
            <v>51</v>
          </cell>
          <cell r="W89" t="str">
            <v>0.11D</v>
          </cell>
          <cell r="X89" t="str">
            <v>3-2026</v>
          </cell>
          <cell r="Y89" t="str">
            <v>Week 10</v>
          </cell>
          <cell r="Z89">
            <v>46083</v>
          </cell>
          <cell r="AA89">
            <v>0</v>
          </cell>
          <cell r="AB89">
            <v>1.4290000000000001E-2</v>
          </cell>
        </row>
        <row r="90">
          <cell r="A90" t="str">
            <v>F-2026-01-384</v>
          </cell>
          <cell r="B90"/>
          <cell r="C90" t="str">
            <v>FPRO-260127-0013</v>
          </cell>
          <cell r="D90" t="str">
            <v>Firm plan 28.01</v>
          </cell>
          <cell r="E90" t="str">
            <v>BDB-000129</v>
          </cell>
          <cell r="F90" t="str">
            <v>PVN-001550</v>
          </cell>
          <cell r="G90" t="str">
            <v>OrthoLite Regular-Nike AIR BLUE/16-4134TPX 0.11D 25+/-4 Asker C 1.1M 1.7M 2mm</v>
          </cell>
          <cell r="H90">
            <v>3500</v>
          </cell>
          <cell r="I90">
            <v>3500</v>
          </cell>
          <cell r="J90">
            <v>3500</v>
          </cell>
          <cell r="K90">
            <v>0</v>
          </cell>
          <cell r="L90" t="str">
            <v>NIKE</v>
          </cell>
          <cell r="M90" t="str">
            <v>Forecast</v>
          </cell>
          <cell r="N90" t="str">
            <v>DIE CUT</v>
          </cell>
          <cell r="O90">
            <v>1</v>
          </cell>
          <cell r="P90">
            <v>46050</v>
          </cell>
          <cell r="Q90">
            <v>46098</v>
          </cell>
          <cell r="R90">
            <v>46095</v>
          </cell>
          <cell r="S90">
            <v>48</v>
          </cell>
          <cell r="T90">
            <v>2</v>
          </cell>
          <cell r="U90">
            <v>70</v>
          </cell>
          <cell r="V90">
            <v>51</v>
          </cell>
          <cell r="W90" t="str">
            <v>0.11D</v>
          </cell>
          <cell r="X90" t="str">
            <v>3-2026</v>
          </cell>
          <cell r="Y90" t="str">
            <v>Week 11</v>
          </cell>
          <cell r="Z90">
            <v>46090</v>
          </cell>
          <cell r="AA90">
            <v>339</v>
          </cell>
          <cell r="AB90">
            <v>1.4290000000000001E-2</v>
          </cell>
        </row>
        <row r="91">
          <cell r="A91" t="str">
            <v>F-2026-01-385</v>
          </cell>
          <cell r="B91"/>
          <cell r="C91" t="str">
            <v>FPRO-260127-0014</v>
          </cell>
          <cell r="D91" t="str">
            <v>Firm plan 28.01</v>
          </cell>
          <cell r="E91" t="str">
            <v>BDB-000129</v>
          </cell>
          <cell r="F91" t="str">
            <v>PVN-001550</v>
          </cell>
          <cell r="G91" t="str">
            <v>OrthoLite Regular-Nike AIR BLUE/16-4134TPX 0.11D 25+/-4 Asker C 1.1M 1.7M 2mm</v>
          </cell>
          <cell r="H91">
            <v>2000</v>
          </cell>
          <cell r="I91">
            <v>2000</v>
          </cell>
          <cell r="J91">
            <v>2000</v>
          </cell>
          <cell r="K91">
            <v>0</v>
          </cell>
          <cell r="L91" t="str">
            <v>NIKE</v>
          </cell>
          <cell r="M91" t="str">
            <v>Forecast</v>
          </cell>
          <cell r="N91" t="str">
            <v>DIE CUT</v>
          </cell>
          <cell r="O91">
            <v>1</v>
          </cell>
          <cell r="P91">
            <v>46050</v>
          </cell>
          <cell r="Q91">
            <v>46102</v>
          </cell>
          <cell r="R91">
            <v>46099</v>
          </cell>
          <cell r="S91">
            <v>52</v>
          </cell>
          <cell r="T91">
            <v>2</v>
          </cell>
          <cell r="U91">
            <v>70</v>
          </cell>
          <cell r="V91">
            <v>29</v>
          </cell>
          <cell r="W91" t="str">
            <v>0.11D</v>
          </cell>
          <cell r="X91" t="str">
            <v>3-2026</v>
          </cell>
          <cell r="Y91" t="str">
            <v>Week 11</v>
          </cell>
          <cell r="Z91">
            <v>46090</v>
          </cell>
          <cell r="AA91">
            <v>339</v>
          </cell>
          <cell r="AB91">
            <v>1.4290000000000001E-2</v>
          </cell>
        </row>
        <row r="92">
          <cell r="A92" t="str">
            <v>F-2026-01-386</v>
          </cell>
          <cell r="B92"/>
          <cell r="C92" t="str">
            <v>FPRO-260127-0015</v>
          </cell>
          <cell r="D92" t="str">
            <v>Firm plan 28.01</v>
          </cell>
          <cell r="E92" t="str">
            <v>BDB-000163</v>
          </cell>
          <cell r="F92" t="str">
            <v>PVN-001556</v>
          </cell>
          <cell r="G92" t="str">
            <v>OrthoLite Ultra-Nike YELLOW/13-0858TPX 0.085D 25+/-4 Asker C 1.1M 2M 4mm</v>
          </cell>
          <cell r="H92">
            <v>1500</v>
          </cell>
          <cell r="I92">
            <v>1500</v>
          </cell>
          <cell r="J92">
            <v>1500</v>
          </cell>
          <cell r="K92">
            <v>0</v>
          </cell>
          <cell r="L92" t="str">
            <v>NIKE</v>
          </cell>
          <cell r="M92" t="str">
            <v>Forecast</v>
          </cell>
          <cell r="N92" t="str">
            <v>DIE CUT</v>
          </cell>
          <cell r="O92">
            <v>1</v>
          </cell>
          <cell r="P92">
            <v>46050</v>
          </cell>
          <cell r="Q92">
            <v>46090</v>
          </cell>
          <cell r="R92">
            <v>46087</v>
          </cell>
          <cell r="S92">
            <v>40</v>
          </cell>
          <cell r="T92">
            <v>4</v>
          </cell>
          <cell r="U92">
            <v>35</v>
          </cell>
          <cell r="V92">
            <v>43</v>
          </cell>
          <cell r="W92" t="str">
            <v>0.085D</v>
          </cell>
          <cell r="X92" t="str">
            <v>3-2026</v>
          </cell>
          <cell r="Y92" t="str">
            <v>Week 10</v>
          </cell>
          <cell r="Z92">
            <v>46083</v>
          </cell>
          <cell r="AA92">
            <v>339</v>
          </cell>
          <cell r="AB92">
            <v>2.8570000000000002E-2</v>
          </cell>
        </row>
        <row r="93">
          <cell r="A93" t="str">
            <v>F-2026-01-387-1</v>
          </cell>
          <cell r="B93" t="str">
            <v>Color</v>
          </cell>
          <cell r="C93" t="str">
            <v>FPRO-260127-0016</v>
          </cell>
          <cell r="D93" t="str">
            <v>Firm plan 28.01</v>
          </cell>
          <cell r="E93" t="str">
            <v>BDB-000161</v>
          </cell>
          <cell r="F93" t="str">
            <v>PVN-001560</v>
          </cell>
          <cell r="G93" t="str">
            <v>OrthoLite Ultra-Nike FOSSIL/17-0909TPX 0.085D 25+/-4 Asker C 1.1M 2M 4mm</v>
          </cell>
          <cell r="H93">
            <v>1100</v>
          </cell>
          <cell r="I93">
            <v>975</v>
          </cell>
          <cell r="J93">
            <v>975</v>
          </cell>
          <cell r="K93">
            <v>0</v>
          </cell>
          <cell r="L93" t="str">
            <v>NIKE</v>
          </cell>
          <cell r="M93" t="str">
            <v>Forecast</v>
          </cell>
          <cell r="N93" t="str">
            <v>DIE CUT</v>
          </cell>
          <cell r="O93">
            <v>1</v>
          </cell>
          <cell r="P93">
            <v>46050</v>
          </cell>
          <cell r="Q93">
            <v>46098</v>
          </cell>
          <cell r="R93">
            <v>46095</v>
          </cell>
          <cell r="S93">
            <v>48</v>
          </cell>
          <cell r="T93">
            <v>4</v>
          </cell>
          <cell r="U93">
            <v>35</v>
          </cell>
          <cell r="V93">
            <v>28</v>
          </cell>
          <cell r="W93" t="str">
            <v>0.085D</v>
          </cell>
          <cell r="X93" t="str">
            <v>3-2026</v>
          </cell>
          <cell r="Y93" t="str">
            <v>Week 11</v>
          </cell>
          <cell r="Z93">
            <v>46090</v>
          </cell>
          <cell r="AA93">
            <v>339</v>
          </cell>
          <cell r="AB93">
            <v>2.8570000000000002E-2</v>
          </cell>
        </row>
        <row r="94">
          <cell r="A94" t="str">
            <v>F-2026-01-387-2</v>
          </cell>
          <cell r="B94" t="str">
            <v>Color</v>
          </cell>
          <cell r="C94" t="str">
            <v>FPRO-260127-0016</v>
          </cell>
          <cell r="D94" t="str">
            <v>Firm plan 28.01</v>
          </cell>
          <cell r="E94" t="str">
            <v>BDB-000161</v>
          </cell>
          <cell r="F94" t="str">
            <v>PVN-001560</v>
          </cell>
          <cell r="G94" t="str">
            <v>OrthoLite Ultra-Nike FOSSIL/17-0909TPX 0.085D 25+/-4 Asker C 1.1M 2M 4mm</v>
          </cell>
          <cell r="H94">
            <v>1100</v>
          </cell>
          <cell r="I94">
            <v>125</v>
          </cell>
          <cell r="J94">
            <v>125</v>
          </cell>
          <cell r="K94">
            <v>0</v>
          </cell>
          <cell r="L94" t="str">
            <v>NIKE</v>
          </cell>
          <cell r="M94" t="str">
            <v>Forecast</v>
          </cell>
          <cell r="N94" t="str">
            <v>DIE CUT</v>
          </cell>
          <cell r="O94">
            <v>1</v>
          </cell>
          <cell r="P94">
            <v>46050</v>
          </cell>
          <cell r="Q94">
            <v>46098</v>
          </cell>
          <cell r="R94">
            <v>46095</v>
          </cell>
          <cell r="S94">
            <v>48</v>
          </cell>
          <cell r="T94">
            <v>4</v>
          </cell>
          <cell r="U94">
            <v>35</v>
          </cell>
          <cell r="V94">
            <v>4</v>
          </cell>
          <cell r="W94" t="str">
            <v>0.085D</v>
          </cell>
          <cell r="X94" t="str">
            <v>3-2026</v>
          </cell>
          <cell r="Y94" t="str">
            <v>Week 11</v>
          </cell>
          <cell r="Z94">
            <v>46090</v>
          </cell>
          <cell r="AA94">
            <v>339</v>
          </cell>
          <cell r="AB94">
            <v>2.8570000000000002E-2</v>
          </cell>
        </row>
        <row r="95">
          <cell r="A95" t="str">
            <v>F-2026-01-388</v>
          </cell>
          <cell r="B95"/>
          <cell r="C95" t="str">
            <v>FPRO-260127-0017</v>
          </cell>
          <cell r="D95" t="str">
            <v>Firm plan 28.01</v>
          </cell>
          <cell r="E95" t="str">
            <v>BDB-000161</v>
          </cell>
          <cell r="F95" t="str">
            <v>PVN-001560</v>
          </cell>
          <cell r="G95" t="str">
            <v>OrthoLite Ultra-Nike FOSSIL/17-0909TPX 0.085D 25+/-4 Asker C 1.1M 2M 4mm</v>
          </cell>
          <cell r="H95">
            <v>1000</v>
          </cell>
          <cell r="I95">
            <v>1000</v>
          </cell>
          <cell r="J95">
            <v>1000</v>
          </cell>
          <cell r="K95">
            <v>0</v>
          </cell>
          <cell r="L95" t="str">
            <v>NIKE</v>
          </cell>
          <cell r="M95" t="str">
            <v>Forecast</v>
          </cell>
          <cell r="N95" t="str">
            <v>DIE CUT</v>
          </cell>
          <cell r="O95">
            <v>1</v>
          </cell>
          <cell r="P95">
            <v>46050</v>
          </cell>
          <cell r="Q95">
            <v>46102</v>
          </cell>
          <cell r="R95">
            <v>46099</v>
          </cell>
          <cell r="S95">
            <v>52</v>
          </cell>
          <cell r="T95">
            <v>4</v>
          </cell>
          <cell r="U95">
            <v>35</v>
          </cell>
          <cell r="V95">
            <v>29</v>
          </cell>
          <cell r="W95" t="str">
            <v>0.085D</v>
          </cell>
          <cell r="X95" t="str">
            <v>3-2026</v>
          </cell>
          <cell r="Y95" t="str">
            <v>Week 12</v>
          </cell>
          <cell r="Z95">
            <v>46097</v>
          </cell>
          <cell r="AA95">
            <v>339</v>
          </cell>
          <cell r="AB95">
            <v>2.8570000000000002E-2</v>
          </cell>
        </row>
        <row r="96">
          <cell r="A96" t="str">
            <v>F-2026-01-389</v>
          </cell>
          <cell r="B96"/>
          <cell r="C96" t="str">
            <v>FPRO-260127-0018</v>
          </cell>
          <cell r="D96" t="str">
            <v>Firm plan 28.01</v>
          </cell>
          <cell r="E96" t="str">
            <v>BDB-000161</v>
          </cell>
          <cell r="F96" t="str">
            <v>PVN-001560</v>
          </cell>
          <cell r="G96" t="str">
            <v>OrthoLite Ultra-Nike FOSSIL/17-0909TPX 0.085D 25+/-4 Asker C 1.1M 2M 4mm</v>
          </cell>
          <cell r="H96">
            <v>1000</v>
          </cell>
          <cell r="I96">
            <v>1000</v>
          </cell>
          <cell r="J96">
            <v>1000</v>
          </cell>
          <cell r="K96">
            <v>0</v>
          </cell>
          <cell r="L96" t="str">
            <v>NIKE</v>
          </cell>
          <cell r="M96" t="str">
            <v>Forecast</v>
          </cell>
          <cell r="N96" t="str">
            <v>DIE CUT</v>
          </cell>
          <cell r="O96">
            <v>1</v>
          </cell>
          <cell r="P96">
            <v>46050</v>
          </cell>
          <cell r="Q96">
            <v>46108</v>
          </cell>
          <cell r="R96">
            <v>46105</v>
          </cell>
          <cell r="S96">
            <v>58</v>
          </cell>
          <cell r="T96">
            <v>4</v>
          </cell>
          <cell r="U96">
            <v>35</v>
          </cell>
          <cell r="V96">
            <v>29</v>
          </cell>
          <cell r="W96" t="str">
            <v>0.085D</v>
          </cell>
          <cell r="X96" t="str">
            <v>3-2026</v>
          </cell>
          <cell r="Y96" t="str">
            <v>Week 12</v>
          </cell>
          <cell r="Z96">
            <v>46097</v>
          </cell>
          <cell r="AA96">
            <v>383</v>
          </cell>
          <cell r="AB96">
            <v>2.8570000000000002E-2</v>
          </cell>
        </row>
        <row r="97">
          <cell r="A97" t="str">
            <v>F-2026-01-390</v>
          </cell>
          <cell r="B97"/>
          <cell r="C97" t="str">
            <v>FPRO-260127-0019 919PCS+FPRO-260330-0025 81PCS</v>
          </cell>
          <cell r="D97" t="str">
            <v>Firm plan 28.01</v>
          </cell>
          <cell r="E97" t="str">
            <v>BDB-000161</v>
          </cell>
          <cell r="F97" t="str">
            <v>PVN-001560</v>
          </cell>
          <cell r="G97" t="str">
            <v>OrthoLite Ultra-Nike FOSSIL/17-0909TPX 0.085D 25+/-4 Asker C 1.1M 2M 4mm</v>
          </cell>
          <cell r="H97">
            <v>1000</v>
          </cell>
          <cell r="I97">
            <v>1000</v>
          </cell>
          <cell r="J97">
            <v>1000</v>
          </cell>
          <cell r="K97">
            <v>0</v>
          </cell>
          <cell r="L97" t="str">
            <v>NIKE</v>
          </cell>
          <cell r="M97" t="str">
            <v>Forecast</v>
          </cell>
          <cell r="N97" t="str">
            <v>DIE CUT</v>
          </cell>
          <cell r="O97">
            <v>1</v>
          </cell>
          <cell r="P97">
            <v>46050</v>
          </cell>
          <cell r="Q97">
            <v>46113</v>
          </cell>
          <cell r="R97">
            <v>46110</v>
          </cell>
          <cell r="S97">
            <v>63</v>
          </cell>
          <cell r="T97">
            <v>4</v>
          </cell>
          <cell r="U97">
            <v>35</v>
          </cell>
          <cell r="V97">
            <v>29</v>
          </cell>
          <cell r="W97" t="str">
            <v>0.085D</v>
          </cell>
          <cell r="X97" t="str">
            <v>4-2026</v>
          </cell>
          <cell r="Y97" t="str">
            <v>Week 13</v>
          </cell>
          <cell r="Z97">
            <v>46104</v>
          </cell>
          <cell r="AA97">
            <v>292</v>
          </cell>
          <cell r="AB97">
            <v>2.8570000000000002E-2</v>
          </cell>
        </row>
        <row r="98">
          <cell r="A98" t="str">
            <v>F-2026-01-391</v>
          </cell>
          <cell r="B98"/>
          <cell r="C98" t="str">
            <v>FPRO-260127-0020</v>
          </cell>
          <cell r="D98" t="str">
            <v>Firm plan 28.01</v>
          </cell>
          <cell r="E98" t="str">
            <v>BDB-000161</v>
          </cell>
          <cell r="F98" t="str">
            <v>PVN-001560</v>
          </cell>
          <cell r="G98" t="str">
            <v>OrthoLite Ultra-Nike FOSSIL/17-0909TPX 0.085D 25+/-4 Asker C 1.1M 2M 4mm</v>
          </cell>
          <cell r="H98">
            <v>1000</v>
          </cell>
          <cell r="I98">
            <v>1000</v>
          </cell>
          <cell r="J98">
            <v>0</v>
          </cell>
          <cell r="K98">
            <v>1000</v>
          </cell>
          <cell r="L98" t="str">
            <v>NIKE</v>
          </cell>
          <cell r="M98" t="str">
            <v>Forecast</v>
          </cell>
          <cell r="N98" t="str">
            <v>DIE CUT</v>
          </cell>
          <cell r="O98">
            <v>1</v>
          </cell>
          <cell r="P98">
            <v>46050</v>
          </cell>
          <cell r="Q98">
            <v>46115</v>
          </cell>
          <cell r="R98">
            <v>46112</v>
          </cell>
          <cell r="S98">
            <v>65</v>
          </cell>
          <cell r="T98">
            <v>4</v>
          </cell>
          <cell r="U98">
            <v>35</v>
          </cell>
          <cell r="V98">
            <v>29</v>
          </cell>
          <cell r="W98" t="str">
            <v>0.085D</v>
          </cell>
          <cell r="X98" t="str">
            <v>4-2026</v>
          </cell>
          <cell r="Y98" t="str">
            <v>Week 14</v>
          </cell>
          <cell r="Z98">
            <v>46111</v>
          </cell>
          <cell r="AA98">
            <v>292</v>
          </cell>
          <cell r="AB98">
            <v>2.8570000000000002E-2</v>
          </cell>
        </row>
        <row r="99">
          <cell r="A99" t="str">
            <v>F-2026-01-392</v>
          </cell>
          <cell r="B99"/>
          <cell r="C99" t="str">
            <v>FPRO-260127-0021</v>
          </cell>
          <cell r="D99" t="str">
            <v>Firm plan 28.01</v>
          </cell>
          <cell r="E99" t="str">
            <v>BDB-000160</v>
          </cell>
          <cell r="F99" t="str">
            <v>PVN-001562</v>
          </cell>
          <cell r="G99" t="str">
            <v>OrthoLite Ultra-Nike LIME GREEN/14-0452TPX 0.085D 25+/-4 Asker C 1.1M 2M 4mm</v>
          </cell>
          <cell r="H99">
            <v>2700</v>
          </cell>
          <cell r="I99">
            <v>2700</v>
          </cell>
          <cell r="J99">
            <v>2700</v>
          </cell>
          <cell r="K99">
            <v>0</v>
          </cell>
          <cell r="L99" t="str">
            <v>NIKE</v>
          </cell>
          <cell r="M99" t="str">
            <v>Forecast</v>
          </cell>
          <cell r="N99" t="str">
            <v>DIE CUT</v>
          </cell>
          <cell r="O99">
            <v>1</v>
          </cell>
          <cell r="P99">
            <v>46050</v>
          </cell>
          <cell r="Q99">
            <v>46102</v>
          </cell>
          <cell r="R99">
            <v>46099</v>
          </cell>
          <cell r="S99">
            <v>52</v>
          </cell>
          <cell r="T99">
            <v>4</v>
          </cell>
          <cell r="U99">
            <v>35</v>
          </cell>
          <cell r="V99">
            <v>78</v>
          </cell>
          <cell r="W99" t="str">
            <v>0.085D</v>
          </cell>
          <cell r="X99" t="str">
            <v>3-2026</v>
          </cell>
          <cell r="Y99" t="str">
            <v>Week 12</v>
          </cell>
          <cell r="Z99">
            <v>46097</v>
          </cell>
          <cell r="AA99">
            <v>292</v>
          </cell>
          <cell r="AB99">
            <v>2.8570000000000002E-2</v>
          </cell>
        </row>
        <row r="100">
          <cell r="A100" t="str">
            <v>F-2026-01-393-1</v>
          </cell>
          <cell r="B100"/>
          <cell r="C100" t="str">
            <v>FPRO-260127-0022</v>
          </cell>
          <cell r="D100" t="str">
            <v>Firm plan 28.01</v>
          </cell>
          <cell r="E100" t="str">
            <v>BDB-000160</v>
          </cell>
          <cell r="F100" t="str">
            <v>PVN-001562</v>
          </cell>
          <cell r="G100" t="str">
            <v>OrthoLite Ultra-Nike LIME GREEN/14-0452TPX 0.085D 25+/-4 Asker C 1.1M 2M 4mm</v>
          </cell>
          <cell r="H100">
            <v>1500</v>
          </cell>
          <cell r="I100">
            <v>1500</v>
          </cell>
          <cell r="J100">
            <v>0</v>
          </cell>
          <cell r="K100">
            <v>1500</v>
          </cell>
          <cell r="L100" t="str">
            <v>NIKE</v>
          </cell>
          <cell r="M100" t="str">
            <v>Forecast</v>
          </cell>
          <cell r="N100" t="str">
            <v>DIE CUT</v>
          </cell>
          <cell r="O100">
            <v>1</v>
          </cell>
          <cell r="P100">
            <v>46050</v>
          </cell>
          <cell r="Q100">
            <v>46135</v>
          </cell>
          <cell r="R100">
            <v>46132</v>
          </cell>
          <cell r="S100">
            <v>85</v>
          </cell>
          <cell r="T100">
            <v>4</v>
          </cell>
          <cell r="U100">
            <v>35</v>
          </cell>
          <cell r="V100">
            <v>43</v>
          </cell>
          <cell r="W100" t="str">
            <v>0.085D</v>
          </cell>
          <cell r="X100" t="str">
            <v>4-2026</v>
          </cell>
          <cell r="Y100" t="str">
            <v>Week 16</v>
          </cell>
          <cell r="Z100">
            <v>46125</v>
          </cell>
          <cell r="AA100">
            <v>292</v>
          </cell>
          <cell r="AB100">
            <v>2.8570000000000002E-2</v>
          </cell>
        </row>
        <row r="101">
          <cell r="A101" t="str">
            <v>F-2026-01-393-2</v>
          </cell>
          <cell r="B101"/>
          <cell r="C101" t="str">
            <v>FPRO-260401-0010</v>
          </cell>
          <cell r="D101" t="str">
            <v>Firm plan 28.01</v>
          </cell>
          <cell r="E101" t="str">
            <v>BDB-000160</v>
          </cell>
          <cell r="F101" t="str">
            <v>PVN-001562</v>
          </cell>
          <cell r="G101" t="str">
            <v>OrthoLite Ultra-Nike LIME GREEN/14-0452TPX 0.085D 25+/-4 Asker C 1.1M 2M 4mm</v>
          </cell>
          <cell r="H101">
            <v>500</v>
          </cell>
          <cell r="I101">
            <v>500</v>
          </cell>
          <cell r="J101">
            <v>0</v>
          </cell>
          <cell r="K101">
            <v>500</v>
          </cell>
          <cell r="L101" t="str">
            <v>NIKE</v>
          </cell>
          <cell r="M101" t="str">
            <v>Forecast</v>
          </cell>
          <cell r="N101" t="str">
            <v>DIE CUT</v>
          </cell>
          <cell r="O101" t="str">
            <v>1-SLT</v>
          </cell>
          <cell r="P101">
            <v>46050</v>
          </cell>
          <cell r="Q101">
            <v>46170</v>
          </cell>
          <cell r="R101">
            <v>46167</v>
          </cell>
          <cell r="S101">
            <v>120</v>
          </cell>
          <cell r="T101">
            <v>4</v>
          </cell>
          <cell r="U101">
            <v>35</v>
          </cell>
          <cell r="V101">
            <v>15</v>
          </cell>
          <cell r="W101" t="str">
            <v>0.085D</v>
          </cell>
          <cell r="X101" t="str">
            <v>5-2026</v>
          </cell>
          <cell r="Y101" t="str">
            <v>Week 21</v>
          </cell>
          <cell r="Z101">
            <v>46160</v>
          </cell>
          <cell r="AA101">
            <v>292</v>
          </cell>
          <cell r="AB101">
            <v>2.8570000000000002E-2</v>
          </cell>
        </row>
        <row r="102">
          <cell r="A102" t="str">
            <v>F-2026-01-393-3</v>
          </cell>
          <cell r="B102"/>
          <cell r="C102" t="str">
            <v>FPRO-260507-0001</v>
          </cell>
          <cell r="D102" t="str">
            <v>Firm plan 28.01</v>
          </cell>
          <cell r="E102" t="str">
            <v>BDB-000160</v>
          </cell>
          <cell r="F102" t="str">
            <v>PVN-001562</v>
          </cell>
          <cell r="G102" t="str">
            <v>OrthoLite Ultra-Nike LIME GREEN/14-0452TPX 0.085D 25+/-4 Asker C 1.1M 2M 4mm</v>
          </cell>
          <cell r="H102">
            <v>500</v>
          </cell>
          <cell r="I102">
            <v>500</v>
          </cell>
          <cell r="J102">
            <v>0</v>
          </cell>
          <cell r="K102">
            <v>500</v>
          </cell>
          <cell r="L102" t="str">
            <v>NIKE</v>
          </cell>
          <cell r="M102" t="str">
            <v>Forecast</v>
          </cell>
          <cell r="N102" t="str">
            <v>DIE CUT</v>
          </cell>
          <cell r="O102" t="str">
            <v>1-SLT</v>
          </cell>
          <cell r="P102">
            <v>46050</v>
          </cell>
          <cell r="Q102">
            <v>46176</v>
          </cell>
          <cell r="R102">
            <v>46173</v>
          </cell>
          <cell r="S102">
            <v>126</v>
          </cell>
          <cell r="T102">
            <v>4</v>
          </cell>
          <cell r="U102">
            <v>35</v>
          </cell>
          <cell r="V102">
            <v>15</v>
          </cell>
          <cell r="W102" t="str">
            <v>0.085D</v>
          </cell>
          <cell r="X102" t="str">
            <v>6-2026</v>
          </cell>
          <cell r="Y102" t="str">
            <v>Week 22</v>
          </cell>
          <cell r="Z102">
            <v>46167</v>
          </cell>
          <cell r="AA102">
            <v>283</v>
          </cell>
          <cell r="AB102">
            <v>2.8570000000000002E-2</v>
          </cell>
        </row>
        <row r="103">
          <cell r="A103" t="str">
            <v>F-2026-01-394-1</v>
          </cell>
          <cell r="B103"/>
          <cell r="C103" t="str">
            <v>FPRO-260127-0023</v>
          </cell>
          <cell r="D103" t="str">
            <v>Firm plan 28.01</v>
          </cell>
          <cell r="E103" t="str">
            <v>BDB-000160</v>
          </cell>
          <cell r="F103" t="str">
            <v>PVN-001562</v>
          </cell>
          <cell r="G103" t="str">
            <v>OrthoLite Ultra-Nike LIME GREEN/14-0452TPX 0.085D 25+/-4 Asker C 1.1M 2M 4mm</v>
          </cell>
          <cell r="H103">
            <v>1000</v>
          </cell>
          <cell r="I103">
            <v>1000</v>
          </cell>
          <cell r="J103">
            <v>0</v>
          </cell>
          <cell r="K103">
            <v>1000</v>
          </cell>
          <cell r="L103" t="str">
            <v>NIKE</v>
          </cell>
          <cell r="M103" t="str">
            <v>Forecast</v>
          </cell>
          <cell r="N103" t="str">
            <v>DIE CUT</v>
          </cell>
          <cell r="O103" t="str">
            <v>1-SLT</v>
          </cell>
          <cell r="P103">
            <v>46050</v>
          </cell>
          <cell r="Q103">
            <v>46127</v>
          </cell>
          <cell r="R103">
            <v>46124</v>
          </cell>
          <cell r="S103">
            <v>77</v>
          </cell>
          <cell r="T103">
            <v>4</v>
          </cell>
          <cell r="U103">
            <v>35</v>
          </cell>
          <cell r="V103">
            <v>29</v>
          </cell>
          <cell r="W103" t="str">
            <v>0.085D</v>
          </cell>
          <cell r="X103" t="str">
            <v>4-2026</v>
          </cell>
          <cell r="Y103" t="str">
            <v>Week 15</v>
          </cell>
          <cell r="Z103">
            <v>46118</v>
          </cell>
          <cell r="AA103">
            <v>292</v>
          </cell>
          <cell r="AB103">
            <v>2.8570000000000002E-2</v>
          </cell>
        </row>
        <row r="104">
          <cell r="A104" t="str">
            <v>F-2026-01-394-2-1</v>
          </cell>
          <cell r="B104"/>
          <cell r="C104" t="str">
            <v>FPRO-260327-0007</v>
          </cell>
          <cell r="D104" t="str">
            <v>Firm plan 28.01</v>
          </cell>
          <cell r="E104" t="str">
            <v>BDB-000160</v>
          </cell>
          <cell r="F104" t="str">
            <v>PVN-001562</v>
          </cell>
          <cell r="G104" t="str">
            <v>OrthoLite Ultra-Nike LIME GREEN/14-0452TPX 0.085D 25+/-4 Asker C 1.1M 2M 4mm</v>
          </cell>
          <cell r="H104">
            <v>500</v>
          </cell>
          <cell r="I104">
            <v>500</v>
          </cell>
          <cell r="J104">
            <v>0</v>
          </cell>
          <cell r="K104">
            <v>500</v>
          </cell>
          <cell r="L104" t="str">
            <v>NIKE</v>
          </cell>
          <cell r="M104" t="str">
            <v>Forecast</v>
          </cell>
          <cell r="N104" t="str">
            <v>DIE CUT</v>
          </cell>
          <cell r="O104" t="str">
            <v>1-SLT</v>
          </cell>
          <cell r="P104">
            <v>46050</v>
          </cell>
          <cell r="Q104">
            <v>46129</v>
          </cell>
          <cell r="R104">
            <v>46126</v>
          </cell>
          <cell r="S104">
            <v>79</v>
          </cell>
          <cell r="T104">
            <v>4</v>
          </cell>
          <cell r="U104">
            <v>35</v>
          </cell>
          <cell r="V104">
            <v>15</v>
          </cell>
          <cell r="W104" t="str">
            <v>0.085D</v>
          </cell>
          <cell r="X104" t="str">
            <v>4-2026</v>
          </cell>
          <cell r="Y104" t="str">
            <v>Week 15</v>
          </cell>
          <cell r="Z104">
            <v>46118</v>
          </cell>
          <cell r="AA104">
            <v>283</v>
          </cell>
          <cell r="AB104">
            <v>2.8570000000000002E-2</v>
          </cell>
        </row>
        <row r="105">
          <cell r="A105" t="str">
            <v>F-2026-01-394-2-2</v>
          </cell>
          <cell r="B105"/>
          <cell r="C105" t="str">
            <v>FPRO-260406-0014</v>
          </cell>
          <cell r="D105" t="str">
            <v>Firm plan 28.01</v>
          </cell>
          <cell r="E105" t="str">
            <v>BDB-000160</v>
          </cell>
          <cell r="F105" t="str">
            <v>PVN-001562</v>
          </cell>
          <cell r="G105" t="str">
            <v>OrthoLite Ultra-Nike LIME GREEN/14-0452TPX 0.085D 25+/-4 Asker C 1.1M 2M 4mm</v>
          </cell>
          <cell r="H105">
            <v>1000</v>
          </cell>
          <cell r="I105">
            <v>1000</v>
          </cell>
          <cell r="J105">
            <v>0</v>
          </cell>
          <cell r="K105">
            <v>1000</v>
          </cell>
          <cell r="L105" t="str">
            <v>NIKE</v>
          </cell>
          <cell r="M105" t="str">
            <v>Forecast</v>
          </cell>
          <cell r="N105" t="str">
            <v>DIE CUT</v>
          </cell>
          <cell r="O105">
            <v>1</v>
          </cell>
          <cell r="P105">
            <v>46050</v>
          </cell>
          <cell r="Q105">
            <v>46160</v>
          </cell>
          <cell r="R105">
            <v>46157</v>
          </cell>
          <cell r="S105">
            <v>110</v>
          </cell>
          <cell r="T105">
            <v>4</v>
          </cell>
          <cell r="U105">
            <v>35</v>
          </cell>
          <cell r="V105">
            <v>29</v>
          </cell>
          <cell r="W105" t="str">
            <v>0.085D</v>
          </cell>
          <cell r="X105" t="str">
            <v>5-2026</v>
          </cell>
          <cell r="Y105" t="str">
            <v>Week 20</v>
          </cell>
          <cell r="Z105">
            <v>46153</v>
          </cell>
          <cell r="AA105">
            <v>283</v>
          </cell>
          <cell r="AB105">
            <v>2.8570000000000002E-2</v>
          </cell>
        </row>
        <row r="106">
          <cell r="A106" t="str">
            <v>F-2026-01-395-1</v>
          </cell>
          <cell r="B106"/>
          <cell r="C106" t="str">
            <v>FPRO-260127-0024</v>
          </cell>
          <cell r="D106" t="str">
            <v>Firm plan 28.01</v>
          </cell>
          <cell r="E106" t="str">
            <v>BDB-000160</v>
          </cell>
          <cell r="F106" t="str">
            <v>PVN-001562</v>
          </cell>
          <cell r="G106" t="str">
            <v>OrthoLite Ultra-Nike LIME GREEN/14-0452TPX 0.085D 25+/-4 Asker C 1.1M 2M 4mm</v>
          </cell>
          <cell r="H106">
            <v>1000</v>
          </cell>
          <cell r="I106">
            <v>1000</v>
          </cell>
          <cell r="J106">
            <v>0</v>
          </cell>
          <cell r="K106">
            <v>1000</v>
          </cell>
          <cell r="L106" t="str">
            <v>NIKE</v>
          </cell>
          <cell r="M106" t="str">
            <v>Forecast</v>
          </cell>
          <cell r="N106" t="str">
            <v>DIE CUT</v>
          </cell>
          <cell r="O106">
            <v>1</v>
          </cell>
          <cell r="P106">
            <v>46050</v>
          </cell>
          <cell r="Q106">
            <v>46163</v>
          </cell>
          <cell r="R106">
            <v>46160</v>
          </cell>
          <cell r="S106">
            <v>113</v>
          </cell>
          <cell r="T106">
            <v>4</v>
          </cell>
          <cell r="U106">
            <v>35</v>
          </cell>
          <cell r="V106">
            <v>29</v>
          </cell>
          <cell r="W106" t="str">
            <v>0.085D</v>
          </cell>
          <cell r="X106" t="str">
            <v>5-2026</v>
          </cell>
          <cell r="Y106" t="str">
            <v>Week 20</v>
          </cell>
          <cell r="Z106">
            <v>46153</v>
          </cell>
          <cell r="AA106">
            <v>283</v>
          </cell>
          <cell r="AB106">
            <v>2.8570000000000002E-2</v>
          </cell>
        </row>
        <row r="107">
          <cell r="A107" t="str">
            <v>F-2026-01-395-2</v>
          </cell>
          <cell r="B107"/>
          <cell r="C107" t="str">
            <v>FPRO-260401-0013 1400PCS+FPRO-260428-0002 100PCS</v>
          </cell>
          <cell r="D107" t="str">
            <v>Firm plan 28.01</v>
          </cell>
          <cell r="E107" t="str">
            <v>BDB-000160</v>
          </cell>
          <cell r="F107" t="str">
            <v>PVN-001562</v>
          </cell>
          <cell r="G107" t="str">
            <v>OrthoLite Ultra-Nike LIME GREEN/14-0452TPX 0.085D 25+/-4 Asker C 1.1M 2M 4mm</v>
          </cell>
          <cell r="H107">
            <v>1500</v>
          </cell>
          <cell r="I107">
            <v>1500</v>
          </cell>
          <cell r="J107">
            <v>0</v>
          </cell>
          <cell r="K107">
            <v>1500</v>
          </cell>
          <cell r="L107" t="str">
            <v>NIKE</v>
          </cell>
          <cell r="M107" t="str">
            <v>Forecast</v>
          </cell>
          <cell r="N107" t="str">
            <v>DIE CUT</v>
          </cell>
          <cell r="O107">
            <v>1</v>
          </cell>
          <cell r="P107">
            <v>46050</v>
          </cell>
          <cell r="Q107">
            <v>46148</v>
          </cell>
          <cell r="R107">
            <v>46145</v>
          </cell>
          <cell r="S107">
            <v>98</v>
          </cell>
          <cell r="T107">
            <v>4</v>
          </cell>
          <cell r="U107">
            <v>35</v>
          </cell>
          <cell r="V107">
            <v>43</v>
          </cell>
          <cell r="W107" t="str">
            <v>0.085D</v>
          </cell>
          <cell r="X107" t="str">
            <v>5-2026</v>
          </cell>
          <cell r="Y107" t="str">
            <v>Week 17</v>
          </cell>
          <cell r="Z107">
            <v>46132</v>
          </cell>
          <cell r="AA107">
            <v>283</v>
          </cell>
          <cell r="AB107">
            <v>2.8570000000000002E-2</v>
          </cell>
        </row>
        <row r="108">
          <cell r="A108" t="str">
            <v>F-2026-01-396</v>
          </cell>
          <cell r="B108"/>
          <cell r="C108" t="str">
            <v>FPRO-260127-0025</v>
          </cell>
          <cell r="D108" t="str">
            <v>Firm plan 28.01</v>
          </cell>
          <cell r="E108" t="str">
            <v>BDB-000131</v>
          </cell>
          <cell r="F108" t="str">
            <v>PVN-001565</v>
          </cell>
          <cell r="G108" t="str">
            <v>OrthoLite Regular-Nike AIR BLUE/16-4134TPX 0.11D 15+/-4 Asker C 1.1M 2M 4mm</v>
          </cell>
          <cell r="H108">
            <v>1300</v>
          </cell>
          <cell r="I108">
            <v>1300</v>
          </cell>
          <cell r="J108">
            <v>1300</v>
          </cell>
          <cell r="K108">
            <v>0</v>
          </cell>
          <cell r="L108" t="str">
            <v>NIKE</v>
          </cell>
          <cell r="M108" t="str">
            <v>Forecast</v>
          </cell>
          <cell r="N108" t="str">
            <v>DIE CUT</v>
          </cell>
          <cell r="O108">
            <v>1</v>
          </cell>
          <cell r="P108">
            <v>46050</v>
          </cell>
          <cell r="Q108">
            <v>46084</v>
          </cell>
          <cell r="R108">
            <v>46081</v>
          </cell>
          <cell r="S108">
            <v>34</v>
          </cell>
          <cell r="T108">
            <v>4</v>
          </cell>
          <cell r="U108">
            <v>35</v>
          </cell>
          <cell r="V108">
            <v>38</v>
          </cell>
          <cell r="W108" t="str">
            <v>0.11D</v>
          </cell>
          <cell r="X108" t="str">
            <v>3-2026</v>
          </cell>
          <cell r="Y108" t="str">
            <v>Week 9</v>
          </cell>
          <cell r="Z108">
            <v>46076</v>
          </cell>
          <cell r="AA108">
            <v>283</v>
          </cell>
          <cell r="AB108">
            <v>2.8570000000000002E-2</v>
          </cell>
        </row>
        <row r="109">
          <cell r="A109" t="str">
            <v>F-2026-01-397</v>
          </cell>
          <cell r="B109"/>
          <cell r="C109" t="str">
            <v>FPRO-260127-0026 2700PCS+FPRO-260228-0003 300PCS</v>
          </cell>
          <cell r="D109" t="str">
            <v>Firm plan 28.01</v>
          </cell>
          <cell r="E109" t="str">
            <v>BDB-000162</v>
          </cell>
          <cell r="F109" t="str">
            <v>PVN-001566</v>
          </cell>
          <cell r="G109" t="str">
            <v>OrthoLite Ultra-Nike SEEDPEARL/12-0703TPX 0.085D 25+/-4 Asker C 1.1M 2M 4mm</v>
          </cell>
          <cell r="H109">
            <v>3000</v>
          </cell>
          <cell r="I109">
            <v>3000</v>
          </cell>
          <cell r="J109">
            <v>3000</v>
          </cell>
          <cell r="K109">
            <v>0</v>
          </cell>
          <cell r="L109" t="str">
            <v>NIKE</v>
          </cell>
          <cell r="M109" t="str">
            <v>Forecast</v>
          </cell>
          <cell r="N109" t="str">
            <v>DIE CUT</v>
          </cell>
          <cell r="O109">
            <v>1</v>
          </cell>
          <cell r="P109">
            <v>46050</v>
          </cell>
          <cell r="Q109">
            <v>46084</v>
          </cell>
          <cell r="R109">
            <v>46081</v>
          </cell>
          <cell r="S109">
            <v>34</v>
          </cell>
          <cell r="T109">
            <v>4</v>
          </cell>
          <cell r="U109">
            <v>35</v>
          </cell>
          <cell r="V109">
            <v>86</v>
          </cell>
          <cell r="W109" t="str">
            <v>0.085D</v>
          </cell>
          <cell r="X109" t="str">
            <v>3-2026</v>
          </cell>
          <cell r="Y109" t="str">
            <v>Week 9</v>
          </cell>
          <cell r="Z109">
            <v>46076</v>
          </cell>
          <cell r="AA109">
            <v>283</v>
          </cell>
          <cell r="AB109">
            <v>2.8570000000000002E-2</v>
          </cell>
        </row>
        <row r="110">
          <cell r="A110" t="str">
            <v>F-2026-01-398</v>
          </cell>
          <cell r="B110"/>
          <cell r="C110" t="str">
            <v>FPRO-260127-0027</v>
          </cell>
          <cell r="D110" t="str">
            <v>Firm plan 28.01</v>
          </cell>
          <cell r="E110" t="str">
            <v>BDB-000162</v>
          </cell>
          <cell r="F110" t="str">
            <v>PVN-001566</v>
          </cell>
          <cell r="G110" t="str">
            <v>OrthoLite Ultra-Nike SEEDPEARL/12-0703TPX 0.085D 25+/-4 Asker C 1.1M 2M 4mm</v>
          </cell>
          <cell r="H110">
            <v>3000</v>
          </cell>
          <cell r="I110">
            <v>3000</v>
          </cell>
          <cell r="J110">
            <v>3000</v>
          </cell>
          <cell r="K110">
            <v>0</v>
          </cell>
          <cell r="L110" t="str">
            <v>NIKE</v>
          </cell>
          <cell r="M110" t="str">
            <v>Forecast</v>
          </cell>
          <cell r="N110" t="str">
            <v>DIE CUT</v>
          </cell>
          <cell r="O110">
            <v>1</v>
          </cell>
          <cell r="P110">
            <v>46050</v>
          </cell>
          <cell r="Q110">
            <v>46088</v>
          </cell>
          <cell r="R110">
            <v>46085</v>
          </cell>
          <cell r="S110">
            <v>38</v>
          </cell>
          <cell r="T110">
            <v>4</v>
          </cell>
          <cell r="U110">
            <v>35</v>
          </cell>
          <cell r="V110">
            <v>86</v>
          </cell>
          <cell r="W110" t="str">
            <v>0.085D</v>
          </cell>
          <cell r="X110" t="str">
            <v>3-2026</v>
          </cell>
          <cell r="Y110" t="str">
            <v>Week 10</v>
          </cell>
          <cell r="Z110">
            <v>46083</v>
          </cell>
          <cell r="AA110">
            <v>283</v>
          </cell>
          <cell r="AB110">
            <v>2.8570000000000002E-2</v>
          </cell>
        </row>
        <row r="111">
          <cell r="A111" t="str">
            <v>F-2026-01-399</v>
          </cell>
          <cell r="B111"/>
          <cell r="C111" t="str">
            <v>FPRO-260127-0028</v>
          </cell>
          <cell r="D111" t="str">
            <v>Firm plan 28.01</v>
          </cell>
          <cell r="E111" t="str">
            <v>BDB-000162</v>
          </cell>
          <cell r="F111" t="str">
            <v>PVN-001566</v>
          </cell>
          <cell r="G111" t="str">
            <v>OrthoLite Ultra-Nike SEEDPEARL/12-0703TPX 0.085D 25+/-4 Asker C 1.1M 2M 4mm</v>
          </cell>
          <cell r="H111">
            <v>3000</v>
          </cell>
          <cell r="I111">
            <v>3000</v>
          </cell>
          <cell r="J111">
            <v>3000</v>
          </cell>
          <cell r="K111">
            <v>0</v>
          </cell>
          <cell r="L111" t="str">
            <v>NIKE</v>
          </cell>
          <cell r="M111" t="str">
            <v>Forecast</v>
          </cell>
          <cell r="N111" t="str">
            <v>DIE CUT</v>
          </cell>
          <cell r="O111">
            <v>1</v>
          </cell>
          <cell r="P111">
            <v>46050</v>
          </cell>
          <cell r="Q111">
            <v>46090</v>
          </cell>
          <cell r="R111">
            <v>46087</v>
          </cell>
          <cell r="S111">
            <v>40</v>
          </cell>
          <cell r="T111">
            <v>4</v>
          </cell>
          <cell r="U111">
            <v>35</v>
          </cell>
          <cell r="V111">
            <v>86</v>
          </cell>
          <cell r="W111" t="str">
            <v>0.085D</v>
          </cell>
          <cell r="X111" t="str">
            <v>3-2026</v>
          </cell>
          <cell r="Y111" t="str">
            <v>Week 10</v>
          </cell>
          <cell r="Z111">
            <v>46083</v>
          </cell>
          <cell r="AA111">
            <v>295</v>
          </cell>
          <cell r="AB111">
            <v>2.8570000000000002E-2</v>
          </cell>
        </row>
        <row r="112">
          <cell r="A112" t="str">
            <v>F-2026-01-400</v>
          </cell>
          <cell r="B112"/>
          <cell r="C112" t="str">
            <v>FPRO-260127-0029</v>
          </cell>
          <cell r="D112" t="str">
            <v>Firm plan 28.01</v>
          </cell>
          <cell r="E112" t="str">
            <v>BDB-000162</v>
          </cell>
          <cell r="F112" t="str">
            <v>PVN-001566</v>
          </cell>
          <cell r="G112" t="str">
            <v>OrthoLite Ultra-Nike SEEDPEARL/12-0703TPX 0.085D 25+/-4 Asker C 1.1M 2M 4mm</v>
          </cell>
          <cell r="H112">
            <v>2500</v>
          </cell>
          <cell r="I112">
            <v>2500</v>
          </cell>
          <cell r="J112">
            <v>2500</v>
          </cell>
          <cell r="K112">
            <v>0</v>
          </cell>
          <cell r="L112" t="str">
            <v>NIKE</v>
          </cell>
          <cell r="M112" t="str">
            <v>Forecast</v>
          </cell>
          <cell r="N112" t="str">
            <v>DIE CUT</v>
          </cell>
          <cell r="O112">
            <v>1</v>
          </cell>
          <cell r="P112">
            <v>46050</v>
          </cell>
          <cell r="Q112">
            <v>46099</v>
          </cell>
          <cell r="R112">
            <v>46096</v>
          </cell>
          <cell r="S112">
            <v>49</v>
          </cell>
          <cell r="T112">
            <v>4</v>
          </cell>
          <cell r="U112">
            <v>35</v>
          </cell>
          <cell r="V112">
            <v>72</v>
          </cell>
          <cell r="W112" t="str">
            <v>0.085D</v>
          </cell>
          <cell r="X112" t="str">
            <v>3-2026</v>
          </cell>
          <cell r="Y112" t="str">
            <v>Week 11</v>
          </cell>
          <cell r="Z112">
            <v>46090</v>
          </cell>
          <cell r="AA112">
            <v>383</v>
          </cell>
          <cell r="AB112">
            <v>2.8570000000000002E-2</v>
          </cell>
        </row>
        <row r="113">
          <cell r="A113" t="str">
            <v>F-2026-01-402</v>
          </cell>
          <cell r="B113"/>
          <cell r="C113" t="str">
            <v>FPRO-260127-0031</v>
          </cell>
          <cell r="D113" t="str">
            <v>Firm plan 28.01</v>
          </cell>
          <cell r="E113" t="str">
            <v>BDB-000125</v>
          </cell>
          <cell r="F113" t="str">
            <v>PVN-001579</v>
          </cell>
          <cell r="G113" t="str">
            <v>OrthoLite Regular-Nike AIR BLUE/16-4134TPX Flat Sheet 0.11D 25+/-4 Asker C 1.1M 2M 4mm</v>
          </cell>
          <cell r="H113">
            <v>700</v>
          </cell>
          <cell r="I113">
            <v>700</v>
          </cell>
          <cell r="J113">
            <v>700</v>
          </cell>
          <cell r="K113">
            <v>0</v>
          </cell>
          <cell r="L113" t="str">
            <v>NIKE</v>
          </cell>
          <cell r="M113" t="str">
            <v>Forecast</v>
          </cell>
          <cell r="N113" t="str">
            <v>LAMINATING</v>
          </cell>
          <cell r="O113">
            <v>1</v>
          </cell>
          <cell r="P113">
            <v>46050</v>
          </cell>
          <cell r="Q113">
            <v>46085</v>
          </cell>
          <cell r="R113">
            <v>46082</v>
          </cell>
          <cell r="S113">
            <v>35</v>
          </cell>
          <cell r="T113">
            <v>4</v>
          </cell>
          <cell r="U113">
            <v>35</v>
          </cell>
          <cell r="V113">
            <v>20</v>
          </cell>
          <cell r="W113" t="str">
            <v>0.11D</v>
          </cell>
          <cell r="X113" t="str">
            <v>3-2026</v>
          </cell>
          <cell r="Y113" t="str">
            <v>Week 9</v>
          </cell>
          <cell r="Z113">
            <v>46076</v>
          </cell>
          <cell r="AA113">
            <v>383</v>
          </cell>
          <cell r="AB113">
            <v>2.8570000000000002E-2</v>
          </cell>
        </row>
        <row r="114">
          <cell r="A114" t="str">
            <v>F-2026-01-405</v>
          </cell>
          <cell r="B114"/>
          <cell r="C114" t="str">
            <v>FPRO-260128-0003</v>
          </cell>
          <cell r="D114" t="str">
            <v>Firm plan 28.01</v>
          </cell>
          <cell r="E114" t="str">
            <v>BDB-000164</v>
          </cell>
          <cell r="F114" t="str">
            <v>PVN-001618</v>
          </cell>
          <cell r="G114" t="str">
            <v>OrthoLite Ultra-Nike GREY/17-1501TPX 0.085D 25+/-4 Asker C 1.1M 2M 4mm</v>
          </cell>
          <cell r="H114">
            <v>500</v>
          </cell>
          <cell r="I114">
            <v>500</v>
          </cell>
          <cell r="J114">
            <v>500</v>
          </cell>
          <cell r="K114">
            <v>0</v>
          </cell>
          <cell r="L114" t="str">
            <v>NIKE</v>
          </cell>
          <cell r="M114" t="str">
            <v>Forecast</v>
          </cell>
          <cell r="N114" t="str">
            <v>DIE CUT</v>
          </cell>
          <cell r="O114">
            <v>1</v>
          </cell>
          <cell r="P114">
            <v>46050</v>
          </cell>
          <cell r="Q114">
            <v>46093</v>
          </cell>
          <cell r="R114">
            <v>46090</v>
          </cell>
          <cell r="S114">
            <v>43</v>
          </cell>
          <cell r="T114">
            <v>4</v>
          </cell>
          <cell r="U114">
            <v>35</v>
          </cell>
          <cell r="V114">
            <v>15</v>
          </cell>
          <cell r="W114" t="str">
            <v>0.085D</v>
          </cell>
          <cell r="X114" t="str">
            <v>3-2026</v>
          </cell>
          <cell r="Y114" t="str">
            <v>Week 10</v>
          </cell>
          <cell r="Z114">
            <v>46083</v>
          </cell>
          <cell r="AA114">
            <v>254</v>
          </cell>
          <cell r="AB114">
            <v>2.8570000000000002E-2</v>
          </cell>
        </row>
        <row r="115">
          <cell r="A115" t="str">
            <v>F-2026-01-406</v>
          </cell>
          <cell r="B115"/>
          <cell r="C115" t="str">
            <v>FPRO-260128-0004</v>
          </cell>
          <cell r="D115" t="str">
            <v>Firm plan 28.01</v>
          </cell>
          <cell r="E115" t="str">
            <v>BDB-000164</v>
          </cell>
          <cell r="F115" t="str">
            <v>PVN-001618</v>
          </cell>
          <cell r="G115" t="str">
            <v>OrthoLite Ultra-Nike GREY/17-1501TPX 0.085D 25+/-4 Asker C 1.1M 2M 4mm</v>
          </cell>
          <cell r="H115">
            <v>500</v>
          </cell>
          <cell r="I115">
            <v>500</v>
          </cell>
          <cell r="J115">
            <v>500</v>
          </cell>
          <cell r="K115">
            <v>0</v>
          </cell>
          <cell r="L115" t="str">
            <v>NIKE</v>
          </cell>
          <cell r="M115" t="str">
            <v>Forecast</v>
          </cell>
          <cell r="N115" t="str">
            <v>DIE CUT</v>
          </cell>
          <cell r="O115">
            <v>1</v>
          </cell>
          <cell r="P115">
            <v>46050</v>
          </cell>
          <cell r="Q115">
            <v>46094</v>
          </cell>
          <cell r="R115">
            <v>46091</v>
          </cell>
          <cell r="S115">
            <v>44</v>
          </cell>
          <cell r="T115">
            <v>4</v>
          </cell>
          <cell r="U115">
            <v>35</v>
          </cell>
          <cell r="V115">
            <v>15</v>
          </cell>
          <cell r="W115" t="str">
            <v>0.085D</v>
          </cell>
          <cell r="X115" t="str">
            <v>3-2026</v>
          </cell>
          <cell r="Y115" t="str">
            <v>Week 11</v>
          </cell>
          <cell r="Z115">
            <v>46090</v>
          </cell>
          <cell r="AA115">
            <v>0</v>
          </cell>
          <cell r="AB115">
            <v>2.8570000000000002E-2</v>
          </cell>
        </row>
        <row r="116">
          <cell r="A116" t="str">
            <v>F-2026-01-407</v>
          </cell>
          <cell r="B116"/>
          <cell r="C116" t="str">
            <v>FPRO-260128-0005</v>
          </cell>
          <cell r="D116" t="str">
            <v>Firm plan 28.01</v>
          </cell>
          <cell r="E116" t="str">
            <v>BDB-000164</v>
          </cell>
          <cell r="F116" t="str">
            <v>PVN-001618</v>
          </cell>
          <cell r="G116" t="str">
            <v>OrthoLite Ultra-Nike GREY/17-1501TPX 0.085D 25+/-4 Asker C 1.1M 2M 4mm</v>
          </cell>
          <cell r="H116">
            <v>500</v>
          </cell>
          <cell r="I116">
            <v>500</v>
          </cell>
          <cell r="J116">
            <v>500</v>
          </cell>
          <cell r="K116">
            <v>0</v>
          </cell>
          <cell r="L116" t="str">
            <v>NIKE</v>
          </cell>
          <cell r="M116" t="str">
            <v>Forecast</v>
          </cell>
          <cell r="N116" t="str">
            <v>DIE CUT</v>
          </cell>
          <cell r="O116">
            <v>1</v>
          </cell>
          <cell r="P116">
            <v>46050</v>
          </cell>
          <cell r="Q116">
            <v>46099</v>
          </cell>
          <cell r="R116">
            <v>46096</v>
          </cell>
          <cell r="S116">
            <v>49</v>
          </cell>
          <cell r="T116">
            <v>4</v>
          </cell>
          <cell r="U116">
            <v>35</v>
          </cell>
          <cell r="V116">
            <v>15</v>
          </cell>
          <cell r="W116" t="str">
            <v>0.085D</v>
          </cell>
          <cell r="X116" t="str">
            <v>3-2026</v>
          </cell>
          <cell r="Y116" t="str">
            <v>Week 11</v>
          </cell>
          <cell r="Z116">
            <v>46090</v>
          </cell>
          <cell r="AA116">
            <v>0</v>
          </cell>
          <cell r="AB116">
            <v>2.8570000000000002E-2</v>
          </cell>
        </row>
        <row r="117">
          <cell r="A117" t="str">
            <v>F-2026-01-408</v>
          </cell>
          <cell r="B117"/>
          <cell r="C117" t="str">
            <v>FPRO-260128-0006</v>
          </cell>
          <cell r="D117" t="str">
            <v>Firm plan 28.01</v>
          </cell>
          <cell r="E117" t="str">
            <v>BDB-000164</v>
          </cell>
          <cell r="F117" t="str">
            <v>PVN-001618</v>
          </cell>
          <cell r="G117" t="str">
            <v>OrthoLite Ultra-Nike GREY/17-1501TPX 0.085D 25+/-4 Asker C 1.1M 2M 4mm</v>
          </cell>
          <cell r="H117">
            <v>500</v>
          </cell>
          <cell r="I117">
            <v>500</v>
          </cell>
          <cell r="J117">
            <v>500</v>
          </cell>
          <cell r="K117">
            <v>0</v>
          </cell>
          <cell r="L117" t="str">
            <v>NIKE</v>
          </cell>
          <cell r="M117" t="str">
            <v>Forecast</v>
          </cell>
          <cell r="N117" t="str">
            <v>DIE CUT</v>
          </cell>
          <cell r="O117">
            <v>1</v>
          </cell>
          <cell r="P117">
            <v>46050</v>
          </cell>
          <cell r="Q117">
            <v>46102</v>
          </cell>
          <cell r="R117">
            <v>46099</v>
          </cell>
          <cell r="S117">
            <v>52</v>
          </cell>
          <cell r="T117">
            <v>4</v>
          </cell>
          <cell r="U117">
            <v>35</v>
          </cell>
          <cell r="V117">
            <v>15</v>
          </cell>
          <cell r="W117" t="str">
            <v>0.085D</v>
          </cell>
          <cell r="X117" t="str">
            <v>3-2026</v>
          </cell>
          <cell r="Y117" t="str">
            <v>Week 12</v>
          </cell>
          <cell r="Z117">
            <v>46097</v>
          </cell>
          <cell r="AA117">
            <v>258</v>
          </cell>
          <cell r="AB117">
            <v>2.8570000000000002E-2</v>
          </cell>
        </row>
        <row r="118">
          <cell r="A118" t="str">
            <v>F-2026-01-409</v>
          </cell>
          <cell r="B118"/>
          <cell r="C118" t="str">
            <v>FPRO-260128-0007</v>
          </cell>
          <cell r="D118" t="str">
            <v>Firm plan 28.01</v>
          </cell>
          <cell r="E118" t="str">
            <v>BDB-000164</v>
          </cell>
          <cell r="F118" t="str">
            <v>PVN-001618</v>
          </cell>
          <cell r="G118" t="str">
            <v>OrthoLite Ultra-Nike GREY/17-1501TPX 0.085D 25+/-4 Asker C 1.1M 2M 4mm</v>
          </cell>
          <cell r="H118">
            <v>500</v>
          </cell>
          <cell r="I118">
            <v>500</v>
          </cell>
          <cell r="J118">
            <v>500</v>
          </cell>
          <cell r="K118">
            <v>0</v>
          </cell>
          <cell r="L118" t="str">
            <v>NIKE</v>
          </cell>
          <cell r="M118" t="str">
            <v>Forecast</v>
          </cell>
          <cell r="N118" t="str">
            <v>DIE CUT</v>
          </cell>
          <cell r="O118">
            <v>1</v>
          </cell>
          <cell r="P118">
            <v>46050</v>
          </cell>
          <cell r="Q118">
            <v>46097</v>
          </cell>
          <cell r="R118">
            <v>46094</v>
          </cell>
          <cell r="S118">
            <v>47</v>
          </cell>
          <cell r="T118">
            <v>4</v>
          </cell>
          <cell r="U118">
            <v>35</v>
          </cell>
          <cell r="V118">
            <v>15</v>
          </cell>
          <cell r="W118" t="str">
            <v>0.085D</v>
          </cell>
          <cell r="X118" t="str">
            <v>3-2026</v>
          </cell>
          <cell r="Y118" t="str">
            <v>Week 11</v>
          </cell>
          <cell r="Z118">
            <v>46090</v>
          </cell>
          <cell r="AA118">
            <v>258</v>
          </cell>
          <cell r="AB118">
            <v>2.8570000000000002E-2</v>
          </cell>
        </row>
        <row r="119">
          <cell r="A119" t="str">
            <v>F-2026-01-410</v>
          </cell>
          <cell r="B119"/>
          <cell r="C119" t="str">
            <v>FPRO-260128-0008 2400PCS+FPRO-260228-0004 100PCS</v>
          </cell>
          <cell r="D119" t="str">
            <v>Firm plan 28.01</v>
          </cell>
          <cell r="E119" t="str">
            <v>BDB-000125</v>
          </cell>
          <cell r="F119" t="str">
            <v>PVN-002413</v>
          </cell>
          <cell r="G119" t="str">
            <v>OrthoLite Regular-Nike AIR BLUE/16-4134TPX 0.11D 25+/-4 Asker C 1.1M 2M 4.2mm</v>
          </cell>
          <cell r="H119">
            <v>2500</v>
          </cell>
          <cell r="I119">
            <v>2500</v>
          </cell>
          <cell r="J119">
            <v>2500</v>
          </cell>
          <cell r="K119">
            <v>0</v>
          </cell>
          <cell r="L119" t="str">
            <v>NIKE</v>
          </cell>
          <cell r="M119" t="str">
            <v>Forecast</v>
          </cell>
          <cell r="N119" t="str">
            <v>DIE CUT</v>
          </cell>
          <cell r="O119">
            <v>1</v>
          </cell>
          <cell r="P119">
            <v>46050</v>
          </cell>
          <cell r="Q119">
            <v>46084</v>
          </cell>
          <cell r="R119">
            <v>46081</v>
          </cell>
          <cell r="S119">
            <v>34</v>
          </cell>
          <cell r="T119">
            <v>4.2</v>
          </cell>
          <cell r="U119">
            <v>33</v>
          </cell>
          <cell r="V119">
            <v>76</v>
          </cell>
          <cell r="W119" t="str">
            <v>0.11D</v>
          </cell>
          <cell r="X119" t="str">
            <v>3-2026</v>
          </cell>
          <cell r="Y119" t="str">
            <v>Week 9</v>
          </cell>
          <cell r="Z119">
            <v>46076</v>
          </cell>
          <cell r="AA119">
            <v>258</v>
          </cell>
          <cell r="AB119">
            <v>3.0300000000000001E-2</v>
          </cell>
        </row>
        <row r="120">
          <cell r="A120" t="str">
            <v>F-2026-01-411</v>
          </cell>
          <cell r="B120"/>
          <cell r="C120" t="str">
            <v>FPRO-260128-0009</v>
          </cell>
          <cell r="D120" t="str">
            <v>Firm plan 28.01</v>
          </cell>
          <cell r="E120" t="str">
            <v>BDB-000125</v>
          </cell>
          <cell r="F120" t="str">
            <v>PVN-002413</v>
          </cell>
          <cell r="G120" t="str">
            <v>OrthoLite Regular-Nike AIR BLUE/16-4134TPX 0.11D 25+/-4 Asker C 1.1M 2M 4.2mm</v>
          </cell>
          <cell r="H120">
            <v>2500</v>
          </cell>
          <cell r="I120">
            <v>2500</v>
          </cell>
          <cell r="J120">
            <v>2500</v>
          </cell>
          <cell r="K120">
            <v>0</v>
          </cell>
          <cell r="L120" t="str">
            <v>NIKE</v>
          </cell>
          <cell r="M120" t="str">
            <v>Forecast</v>
          </cell>
          <cell r="N120" t="str">
            <v>DIE CUT</v>
          </cell>
          <cell r="O120">
            <v>1</v>
          </cell>
          <cell r="P120">
            <v>46050</v>
          </cell>
          <cell r="Q120">
            <v>46085</v>
          </cell>
          <cell r="R120">
            <v>46082</v>
          </cell>
          <cell r="S120">
            <v>35</v>
          </cell>
          <cell r="T120">
            <v>4.2</v>
          </cell>
          <cell r="U120">
            <v>33</v>
          </cell>
          <cell r="V120">
            <v>76</v>
          </cell>
          <cell r="W120" t="str">
            <v>0.11D</v>
          </cell>
          <cell r="X120" t="str">
            <v>3-2026</v>
          </cell>
          <cell r="Y120" t="str">
            <v>Week 9</v>
          </cell>
          <cell r="Z120">
            <v>46076</v>
          </cell>
          <cell r="AA120">
            <v>258</v>
          </cell>
          <cell r="AB120">
            <v>3.0300000000000001E-2</v>
          </cell>
        </row>
        <row r="121">
          <cell r="A121" t="str">
            <v>F-2026-01-412</v>
          </cell>
          <cell r="B121"/>
          <cell r="C121" t="str">
            <v>FPRO-260128-0010</v>
          </cell>
          <cell r="D121" t="str">
            <v>Firm plan 28.01</v>
          </cell>
          <cell r="E121" t="str">
            <v>BDB-000125</v>
          </cell>
          <cell r="F121" t="str">
            <v>PVN-002413</v>
          </cell>
          <cell r="G121" t="str">
            <v>OrthoLite Regular-Nike AIR BLUE/16-4134TPX 0.11D 25+/-4 Asker C 1.1M 2M 4.2mm</v>
          </cell>
          <cell r="H121">
            <v>2200</v>
          </cell>
          <cell r="I121">
            <v>2200</v>
          </cell>
          <cell r="J121">
            <v>2200</v>
          </cell>
          <cell r="K121">
            <v>0</v>
          </cell>
          <cell r="L121" t="str">
            <v>NIKE</v>
          </cell>
          <cell r="M121" t="str">
            <v>Forecast</v>
          </cell>
          <cell r="N121" t="str">
            <v>DIE CUT</v>
          </cell>
          <cell r="O121">
            <v>1</v>
          </cell>
          <cell r="P121">
            <v>46050</v>
          </cell>
          <cell r="Q121">
            <v>46088</v>
          </cell>
          <cell r="R121">
            <v>46085</v>
          </cell>
          <cell r="S121">
            <v>38</v>
          </cell>
          <cell r="T121">
            <v>4.2</v>
          </cell>
          <cell r="U121">
            <v>33</v>
          </cell>
          <cell r="V121">
            <v>67</v>
          </cell>
          <cell r="W121" t="str">
            <v>0.11D</v>
          </cell>
          <cell r="X121" t="str">
            <v>3-2026</v>
          </cell>
          <cell r="Y121" t="str">
            <v>Week 10</v>
          </cell>
          <cell r="Z121">
            <v>46083</v>
          </cell>
          <cell r="AA121">
            <v>258</v>
          </cell>
          <cell r="AB121">
            <v>3.0300000000000001E-2</v>
          </cell>
        </row>
        <row r="122">
          <cell r="A122" t="str">
            <v>F-2026-01-413</v>
          </cell>
          <cell r="B122"/>
          <cell r="C122" t="str">
            <v>FPRO-260128-0011</v>
          </cell>
          <cell r="D122" t="str">
            <v>Firm plan 28.01</v>
          </cell>
          <cell r="E122" t="str">
            <v>BDB-000149</v>
          </cell>
          <cell r="F122" t="str">
            <v>PVN-002827</v>
          </cell>
          <cell r="G122" t="str">
            <v>OrthoLite Regular-Hybrid-Nike SEEDPEARL/12-0703TPX Hybrid 0.11D 25+/-4 Asker C 1.1M 2M 5mm</v>
          </cell>
          <cell r="H122">
            <v>1000</v>
          </cell>
          <cell r="I122">
            <v>1000</v>
          </cell>
          <cell r="J122">
            <v>1000</v>
          </cell>
          <cell r="K122">
            <v>0</v>
          </cell>
          <cell r="L122" t="str">
            <v>NIKE</v>
          </cell>
          <cell r="M122" t="str">
            <v>Forecast</v>
          </cell>
          <cell r="N122" t="str">
            <v>MOLDED</v>
          </cell>
          <cell r="O122">
            <v>1</v>
          </cell>
          <cell r="P122">
            <v>46050</v>
          </cell>
          <cell r="Q122">
            <v>46083</v>
          </cell>
          <cell r="R122">
            <v>46080</v>
          </cell>
          <cell r="S122">
            <v>33</v>
          </cell>
          <cell r="T122">
            <v>5</v>
          </cell>
          <cell r="U122">
            <v>28</v>
          </cell>
          <cell r="V122">
            <v>36</v>
          </cell>
          <cell r="W122" t="str">
            <v>0.11D</v>
          </cell>
          <cell r="X122" t="str">
            <v>3-2026</v>
          </cell>
          <cell r="Y122" t="str">
            <v>Week 9</v>
          </cell>
          <cell r="Z122">
            <v>46076</v>
          </cell>
          <cell r="AA122">
            <v>215</v>
          </cell>
          <cell r="AB122">
            <v>3.5709999999999999E-2</v>
          </cell>
        </row>
        <row r="123">
          <cell r="A123" t="str">
            <v>F-2026-01-414</v>
          </cell>
          <cell r="B123"/>
          <cell r="C123" t="str">
            <v>FPRO-260128-0012</v>
          </cell>
          <cell r="D123" t="str">
            <v>Firm plan 28.01</v>
          </cell>
          <cell r="E123" t="str">
            <v>BDB-000149</v>
          </cell>
          <cell r="F123" t="str">
            <v>PVN-002827</v>
          </cell>
          <cell r="G123" t="str">
            <v>OrthoLite Regular-Hybrid-Nike SEEDPEARL/12-0703TPX Hybrid 0.11D 25+/-4 Asker C 1.1M 2M 5mm</v>
          </cell>
          <cell r="H123">
            <v>700</v>
          </cell>
          <cell r="I123">
            <v>700</v>
          </cell>
          <cell r="J123">
            <v>700</v>
          </cell>
          <cell r="K123">
            <v>0</v>
          </cell>
          <cell r="L123" t="str">
            <v>NIKE</v>
          </cell>
          <cell r="M123" t="str">
            <v>Forecast</v>
          </cell>
          <cell r="N123" t="str">
            <v>MOLDED</v>
          </cell>
          <cell r="O123">
            <v>1</v>
          </cell>
          <cell r="P123">
            <v>46050</v>
          </cell>
          <cell r="Q123">
            <v>46085</v>
          </cell>
          <cell r="R123">
            <v>46082</v>
          </cell>
          <cell r="S123">
            <v>35</v>
          </cell>
          <cell r="T123">
            <v>5</v>
          </cell>
          <cell r="U123">
            <v>28</v>
          </cell>
          <cell r="V123">
            <v>25</v>
          </cell>
          <cell r="W123" t="str">
            <v>0.11D</v>
          </cell>
          <cell r="X123" t="str">
            <v>3-2026</v>
          </cell>
          <cell r="Y123" t="str">
            <v>Week 9</v>
          </cell>
          <cell r="Z123">
            <v>46076</v>
          </cell>
          <cell r="AA123">
            <v>215</v>
          </cell>
          <cell r="AB123">
            <v>3.5709999999999999E-2</v>
          </cell>
        </row>
        <row r="124">
          <cell r="A124" t="str">
            <v>F-2026-01-416</v>
          </cell>
          <cell r="B124"/>
          <cell r="C124" t="str">
            <v>FPRO-260128-0014</v>
          </cell>
          <cell r="D124" t="str">
            <v>Firm plan 28.01</v>
          </cell>
          <cell r="E124" t="str">
            <v>BDB-000175</v>
          </cell>
          <cell r="F124" t="str">
            <v>PVN-002875</v>
          </cell>
          <cell r="G124" t="str">
            <v>OrthoLite Ultra-Hybrid-Nike SEEDPEARL/12-0703TPX Hybrid 0.085D 25+/-4 Asker C 1.1M 2M 3mm</v>
          </cell>
          <cell r="H124">
            <v>1000</v>
          </cell>
          <cell r="I124">
            <v>1000</v>
          </cell>
          <cell r="J124">
            <v>1000</v>
          </cell>
          <cell r="K124">
            <v>0</v>
          </cell>
          <cell r="L124" t="str">
            <v>NIKE</v>
          </cell>
          <cell r="M124" t="str">
            <v>Forecast</v>
          </cell>
          <cell r="N124" t="str">
            <v>DIE CUT</v>
          </cell>
          <cell r="O124">
            <v>1</v>
          </cell>
          <cell r="P124">
            <v>46050</v>
          </cell>
          <cell r="Q124">
            <v>46085</v>
          </cell>
          <cell r="R124">
            <v>46082</v>
          </cell>
          <cell r="S124">
            <v>35</v>
          </cell>
          <cell r="T124">
            <v>3</v>
          </cell>
          <cell r="U124">
            <v>46</v>
          </cell>
          <cell r="V124">
            <v>22</v>
          </cell>
          <cell r="W124" t="str">
            <v>0.085D</v>
          </cell>
          <cell r="X124" t="str">
            <v>3-2026</v>
          </cell>
          <cell r="Y124" t="str">
            <v>Week 9</v>
          </cell>
          <cell r="Z124">
            <v>46076</v>
          </cell>
          <cell r="AA124">
            <v>237</v>
          </cell>
          <cell r="AB124">
            <v>2.1739999999999999E-2</v>
          </cell>
        </row>
        <row r="125">
          <cell r="A125" t="str">
            <v>F-2026-01-417</v>
          </cell>
          <cell r="B125"/>
          <cell r="C125" t="str">
            <v>FPRO-260128-0015</v>
          </cell>
          <cell r="D125" t="str">
            <v>Firm plan 28.01</v>
          </cell>
          <cell r="E125" t="str">
            <v>BDB-000175</v>
          </cell>
          <cell r="F125" t="str">
            <v>PVN-002875</v>
          </cell>
          <cell r="G125" t="str">
            <v>OrthoLite Ultra-Hybrid-Nike SEEDPEARL/12-0703TPX Hybrid 0.085D 25+/-4 Asker C 1.1M 2M 3mm</v>
          </cell>
          <cell r="H125">
            <v>1000</v>
          </cell>
          <cell r="I125">
            <v>1000</v>
          </cell>
          <cell r="J125">
            <v>1000</v>
          </cell>
          <cell r="K125">
            <v>0</v>
          </cell>
          <cell r="L125" t="str">
            <v>NIKE</v>
          </cell>
          <cell r="M125" t="str">
            <v>Forecast</v>
          </cell>
          <cell r="N125" t="str">
            <v>DIE CUT</v>
          </cell>
          <cell r="O125">
            <v>1</v>
          </cell>
          <cell r="P125">
            <v>46050</v>
          </cell>
          <cell r="Q125">
            <v>46088</v>
          </cell>
          <cell r="R125">
            <v>46085</v>
          </cell>
          <cell r="S125">
            <v>38</v>
          </cell>
          <cell r="T125">
            <v>3</v>
          </cell>
          <cell r="U125">
            <v>46</v>
          </cell>
          <cell r="V125">
            <v>22</v>
          </cell>
          <cell r="W125" t="str">
            <v>0.085D</v>
          </cell>
          <cell r="X125" t="str">
            <v>3-2026</v>
          </cell>
          <cell r="Y125" t="str">
            <v>Week 10</v>
          </cell>
          <cell r="Z125">
            <v>46083</v>
          </cell>
          <cell r="AA125">
            <v>237</v>
          </cell>
          <cell r="AB125">
            <v>2.1739999999999999E-2</v>
          </cell>
        </row>
        <row r="126">
          <cell r="A126" t="str">
            <v>F-2026-01-418</v>
          </cell>
          <cell r="B126"/>
          <cell r="C126" t="str">
            <v>FPRO-260128-0016</v>
          </cell>
          <cell r="D126" t="str">
            <v>Firm plan 28.01</v>
          </cell>
          <cell r="E126" t="str">
            <v>BDB-000175</v>
          </cell>
          <cell r="F126" t="str">
            <v>PVN-002875</v>
          </cell>
          <cell r="G126" t="str">
            <v>OrthoLite Ultra-Hybrid-Nike SEEDPEARL/12-0703TPX Hybrid 0.085D 25+/-4 Asker C 1.1M 2M 3mm</v>
          </cell>
          <cell r="H126">
            <v>1000</v>
          </cell>
          <cell r="I126">
            <v>1000</v>
          </cell>
          <cell r="J126">
            <v>1000</v>
          </cell>
          <cell r="K126">
            <v>0</v>
          </cell>
          <cell r="L126" t="str">
            <v>NIKE</v>
          </cell>
          <cell r="M126" t="str">
            <v>Forecast</v>
          </cell>
          <cell r="N126" t="str">
            <v>DIE CUT</v>
          </cell>
          <cell r="O126">
            <v>1</v>
          </cell>
          <cell r="P126">
            <v>46050</v>
          </cell>
          <cell r="Q126">
            <v>46094</v>
          </cell>
          <cell r="R126">
            <v>46091</v>
          </cell>
          <cell r="S126">
            <v>44</v>
          </cell>
          <cell r="T126">
            <v>3</v>
          </cell>
          <cell r="U126">
            <v>46</v>
          </cell>
          <cell r="V126">
            <v>22</v>
          </cell>
          <cell r="W126" t="str">
            <v>0.085D</v>
          </cell>
          <cell r="X126" t="str">
            <v>3-2026</v>
          </cell>
          <cell r="Y126" t="str">
            <v>Week 11</v>
          </cell>
          <cell r="Z126">
            <v>46090</v>
          </cell>
          <cell r="AA126">
            <v>0</v>
          </cell>
          <cell r="AB126">
            <v>2.1739999999999999E-2</v>
          </cell>
        </row>
        <row r="127">
          <cell r="A127" t="str">
            <v>F-2026-01-419</v>
          </cell>
          <cell r="B127"/>
          <cell r="C127" t="str">
            <v>FPRO-260128-0017</v>
          </cell>
          <cell r="D127" t="str">
            <v>Firm plan 28.01</v>
          </cell>
          <cell r="E127" t="str">
            <v>BDB-000175</v>
          </cell>
          <cell r="F127" t="str">
            <v>PVN-002875</v>
          </cell>
          <cell r="G127" t="str">
            <v>OrthoLite Ultra-Hybrid-Nike SEEDPEARL/12-0703TPX Hybrid 0.085D 25+/-4 Asker C 1.1M 2M 3mm</v>
          </cell>
          <cell r="H127">
            <v>1000</v>
          </cell>
          <cell r="I127">
            <v>1000</v>
          </cell>
          <cell r="J127">
            <v>1000</v>
          </cell>
          <cell r="K127">
            <v>0</v>
          </cell>
          <cell r="L127" t="str">
            <v>NIKE</v>
          </cell>
          <cell r="M127" t="str">
            <v>Forecast</v>
          </cell>
          <cell r="N127" t="str">
            <v>DIE CUT</v>
          </cell>
          <cell r="O127">
            <v>1</v>
          </cell>
          <cell r="P127">
            <v>46050</v>
          </cell>
          <cell r="Q127">
            <v>46099</v>
          </cell>
          <cell r="R127">
            <v>46096</v>
          </cell>
          <cell r="S127">
            <v>49</v>
          </cell>
          <cell r="T127">
            <v>3</v>
          </cell>
          <cell r="U127">
            <v>46</v>
          </cell>
          <cell r="V127">
            <v>22</v>
          </cell>
          <cell r="W127" t="str">
            <v>0.085D</v>
          </cell>
          <cell r="X127" t="str">
            <v>3-2026</v>
          </cell>
          <cell r="Y127" t="str">
            <v>Week 11</v>
          </cell>
          <cell r="Z127">
            <v>46090</v>
          </cell>
          <cell r="AA127">
            <v>135</v>
          </cell>
          <cell r="AB127">
            <v>2.1739999999999999E-2</v>
          </cell>
        </row>
        <row r="128">
          <cell r="A128" t="str">
            <v>F-2026-01-420</v>
          </cell>
          <cell r="B128"/>
          <cell r="C128" t="str">
            <v>FPRO-260128-0018</v>
          </cell>
          <cell r="D128" t="str">
            <v>Firm plan 28.01</v>
          </cell>
          <cell r="E128" t="str">
            <v>BDB-000175</v>
          </cell>
          <cell r="F128" t="str">
            <v>PVN-002875</v>
          </cell>
          <cell r="G128" t="str">
            <v>OrthoLite Ultra-Hybrid-Nike SEEDPEARL/12-0703TPX Hybrid 0.085D 25+/-4 Asker C 1.1M 2M 3mm</v>
          </cell>
          <cell r="H128">
            <v>1000</v>
          </cell>
          <cell r="I128">
            <v>1000</v>
          </cell>
          <cell r="J128">
            <v>1000</v>
          </cell>
          <cell r="K128">
            <v>0</v>
          </cell>
          <cell r="L128" t="str">
            <v>NIKE</v>
          </cell>
          <cell r="M128" t="str">
            <v>Forecast</v>
          </cell>
          <cell r="N128" t="str">
            <v>DIE CUT</v>
          </cell>
          <cell r="O128">
            <v>1</v>
          </cell>
          <cell r="P128">
            <v>46050</v>
          </cell>
          <cell r="Q128">
            <v>46108</v>
          </cell>
          <cell r="R128">
            <v>46105</v>
          </cell>
          <cell r="S128">
            <v>58</v>
          </cell>
          <cell r="T128">
            <v>3</v>
          </cell>
          <cell r="U128">
            <v>46</v>
          </cell>
          <cell r="V128">
            <v>22</v>
          </cell>
          <cell r="W128" t="str">
            <v>0.085D</v>
          </cell>
          <cell r="X128" t="str">
            <v>3-2026</v>
          </cell>
          <cell r="Y128" t="str">
            <v>Week 13</v>
          </cell>
          <cell r="Z128">
            <v>46104</v>
          </cell>
          <cell r="AA128">
            <v>135</v>
          </cell>
          <cell r="AB128">
            <v>2.1739999999999999E-2</v>
          </cell>
        </row>
        <row r="129">
          <cell r="A129" t="str">
            <v>F-2026-01-421</v>
          </cell>
          <cell r="B129"/>
          <cell r="C129" t="str">
            <v>FPRO-260128-0019</v>
          </cell>
          <cell r="D129" t="str">
            <v>Firm plan 28.01</v>
          </cell>
          <cell r="E129" t="str">
            <v>BDB-000175</v>
          </cell>
          <cell r="F129" t="str">
            <v>PVN-002875</v>
          </cell>
          <cell r="G129" t="str">
            <v>OrthoLite Ultra-Hybrid-Nike SEEDPEARL/12-0703TPX Hybrid 0.085D 25+/-4 Asker C 1.1M 2M 3mm</v>
          </cell>
          <cell r="H129">
            <v>1000</v>
          </cell>
          <cell r="I129">
            <v>1000</v>
          </cell>
          <cell r="J129">
            <v>1000</v>
          </cell>
          <cell r="K129">
            <v>0</v>
          </cell>
          <cell r="L129" t="str">
            <v>NIKE</v>
          </cell>
          <cell r="M129" t="str">
            <v>Forecast</v>
          </cell>
          <cell r="N129" t="str">
            <v>DIE CUT</v>
          </cell>
          <cell r="O129">
            <v>1</v>
          </cell>
          <cell r="P129">
            <v>46050</v>
          </cell>
          <cell r="Q129">
            <v>46111</v>
          </cell>
          <cell r="R129">
            <v>46108</v>
          </cell>
          <cell r="S129">
            <v>61</v>
          </cell>
          <cell r="T129">
            <v>3</v>
          </cell>
          <cell r="U129">
            <v>46</v>
          </cell>
          <cell r="V129">
            <v>22</v>
          </cell>
          <cell r="W129" t="str">
            <v>0.085D</v>
          </cell>
          <cell r="X129" t="str">
            <v>3-2026</v>
          </cell>
          <cell r="Y129" t="str">
            <v>Week 13</v>
          </cell>
          <cell r="Z129">
            <v>46104</v>
          </cell>
          <cell r="AA129">
            <v>135</v>
          </cell>
          <cell r="AB129">
            <v>2.1739999999999999E-2</v>
          </cell>
        </row>
        <row r="130">
          <cell r="A130" t="str">
            <v>F-2026-01-422</v>
          </cell>
          <cell r="B130"/>
          <cell r="C130" t="str">
            <v>FPRO-260128-0020</v>
          </cell>
          <cell r="D130" t="str">
            <v>Firm plan 28.01</v>
          </cell>
          <cell r="E130" t="str">
            <v>BDB-000175</v>
          </cell>
          <cell r="F130" t="str">
            <v>PVN-002875</v>
          </cell>
          <cell r="G130" t="str">
            <v>OrthoLite Ultra-Hybrid-Nike SEEDPEARL/12-0703TPX Hybrid 0.085D 25+/-4 Asker C 1.1M 2M 3mm</v>
          </cell>
          <cell r="H130">
            <v>700</v>
          </cell>
          <cell r="I130">
            <v>700</v>
          </cell>
          <cell r="J130">
            <v>700</v>
          </cell>
          <cell r="K130">
            <v>0</v>
          </cell>
          <cell r="L130" t="str">
            <v>NIKE</v>
          </cell>
          <cell r="M130" t="str">
            <v>Forecast</v>
          </cell>
          <cell r="N130" t="str">
            <v>DIE CUT</v>
          </cell>
          <cell r="O130">
            <v>1</v>
          </cell>
          <cell r="P130">
            <v>46050</v>
          </cell>
          <cell r="Q130">
            <v>46116</v>
          </cell>
          <cell r="R130">
            <v>46113</v>
          </cell>
          <cell r="S130">
            <v>66</v>
          </cell>
          <cell r="T130">
            <v>3</v>
          </cell>
          <cell r="U130">
            <v>46</v>
          </cell>
          <cell r="V130">
            <v>16</v>
          </cell>
          <cell r="W130" t="str">
            <v>0.085D</v>
          </cell>
          <cell r="X130" t="str">
            <v>4-2026</v>
          </cell>
          <cell r="Y130" t="str">
            <v>Week 13</v>
          </cell>
          <cell r="Z130">
            <v>46104</v>
          </cell>
          <cell r="AA130">
            <v>135</v>
          </cell>
          <cell r="AB130">
            <v>2.1739999999999999E-2</v>
          </cell>
        </row>
        <row r="131">
          <cell r="A131" t="str">
            <v>F-2026-01-423-1-1</v>
          </cell>
          <cell r="B131" t="str">
            <v>color</v>
          </cell>
          <cell r="C131" t="str">
            <v>FPRO-260303-0003</v>
          </cell>
          <cell r="D131" t="str">
            <v>Firm plan 28.01</v>
          </cell>
          <cell r="E131" t="str">
            <v>BDB-000175</v>
          </cell>
          <cell r="F131" t="str">
            <v>PVN-002966</v>
          </cell>
          <cell r="G131" t="str">
            <v>OrthoLite Ultra-Hybrid-Nike SEEDPEARL/12-0703TPX Hybrid 0.085D 25+/-4 Asker C 1.1M 2M 4mm</v>
          </cell>
          <cell r="H131">
            <v>1700</v>
          </cell>
          <cell r="I131">
            <v>1194</v>
          </cell>
          <cell r="J131">
            <v>1194</v>
          </cell>
          <cell r="K131">
            <v>0</v>
          </cell>
          <cell r="L131" t="str">
            <v>NIKE</v>
          </cell>
          <cell r="M131" t="str">
            <v>Forecast</v>
          </cell>
          <cell r="N131" t="str">
            <v>DIE CUT</v>
          </cell>
          <cell r="O131">
            <v>1</v>
          </cell>
          <cell r="P131">
            <v>46050</v>
          </cell>
          <cell r="Q131">
            <v>46094</v>
          </cell>
          <cell r="R131">
            <v>46091</v>
          </cell>
          <cell r="S131">
            <v>44</v>
          </cell>
          <cell r="T131">
            <v>4</v>
          </cell>
          <cell r="U131">
            <v>35</v>
          </cell>
          <cell r="V131">
            <v>35</v>
          </cell>
          <cell r="W131" t="str">
            <v>0.085D</v>
          </cell>
          <cell r="X131" t="str">
            <v>3-2026</v>
          </cell>
          <cell r="Y131" t="str">
            <v>Week 11</v>
          </cell>
          <cell r="Z131">
            <v>46090</v>
          </cell>
          <cell r="AA131">
            <v>135</v>
          </cell>
          <cell r="AB131">
            <v>2.8570000000000002E-2</v>
          </cell>
        </row>
        <row r="132">
          <cell r="A132" t="str">
            <v>F-2026-01-423-1-2</v>
          </cell>
          <cell r="B132" t="str">
            <v>color</v>
          </cell>
          <cell r="C132" t="str">
            <v>FPRO-260303-0003</v>
          </cell>
          <cell r="D132" t="str">
            <v>Firm plan 28.01</v>
          </cell>
          <cell r="E132" t="str">
            <v>BDB-000175</v>
          </cell>
          <cell r="F132" t="str">
            <v>PVN-002966</v>
          </cell>
          <cell r="G132" t="str">
            <v>OrthoLite Ultra-Hybrid-Nike SEEDPEARL/12-0703TPX Hybrid 0.085D 25+/-4 Asker C 1.1M 2M 4mm</v>
          </cell>
          <cell r="H132">
            <v>1700</v>
          </cell>
          <cell r="I132">
            <v>506</v>
          </cell>
          <cell r="J132">
            <v>506</v>
          </cell>
          <cell r="K132">
            <v>0</v>
          </cell>
          <cell r="L132" t="str">
            <v>NIKE</v>
          </cell>
          <cell r="M132" t="str">
            <v>Forecast</v>
          </cell>
          <cell r="N132" t="str">
            <v>DIE CUT</v>
          </cell>
          <cell r="O132">
            <v>1</v>
          </cell>
          <cell r="P132">
            <v>46050</v>
          </cell>
          <cell r="Q132">
            <v>46094</v>
          </cell>
          <cell r="R132">
            <v>46091</v>
          </cell>
          <cell r="S132">
            <v>44</v>
          </cell>
          <cell r="T132">
            <v>4</v>
          </cell>
          <cell r="U132">
            <v>35</v>
          </cell>
          <cell r="V132">
            <v>15</v>
          </cell>
          <cell r="W132" t="str">
            <v>0.085D</v>
          </cell>
          <cell r="X132" t="str">
            <v>3-2026</v>
          </cell>
          <cell r="Y132" t="str">
            <v>Week 11</v>
          </cell>
          <cell r="Z132">
            <v>46090</v>
          </cell>
          <cell r="AA132">
            <v>135</v>
          </cell>
          <cell r="AB132">
            <v>2.8570000000000002E-2</v>
          </cell>
        </row>
        <row r="133">
          <cell r="A133" t="str">
            <v>F-2026-01-423-2-1</v>
          </cell>
          <cell r="B133" t="str">
            <v>color</v>
          </cell>
          <cell r="C133" t="str">
            <v>FPRO-260128-0021</v>
          </cell>
          <cell r="D133" t="str">
            <v>Firm plan 28.01</v>
          </cell>
          <cell r="E133" t="str">
            <v>BDB-000175</v>
          </cell>
          <cell r="F133" t="str">
            <v>PVN-002966</v>
          </cell>
          <cell r="G133" t="str">
            <v>OrthoLite Ultra-Hybrid-Nike SEEDPEARL/12-0703TPX Hybrid 0.085D 25+/-4 Asker C 1.1M 2M 4mm</v>
          </cell>
          <cell r="H133">
            <v>2000</v>
          </cell>
          <cell r="I133">
            <v>1704</v>
          </cell>
          <cell r="J133">
            <v>1704</v>
          </cell>
          <cell r="K133">
            <v>0</v>
          </cell>
          <cell r="L133" t="str">
            <v>NIKE</v>
          </cell>
          <cell r="M133" t="str">
            <v>Forecast</v>
          </cell>
          <cell r="N133" t="str">
            <v>DIE CUT</v>
          </cell>
          <cell r="O133">
            <v>1</v>
          </cell>
          <cell r="P133">
            <v>46050</v>
          </cell>
          <cell r="Q133">
            <v>46100</v>
          </cell>
          <cell r="R133">
            <v>46097</v>
          </cell>
          <cell r="S133">
            <v>50</v>
          </cell>
          <cell r="T133">
            <v>4</v>
          </cell>
          <cell r="U133">
            <v>35</v>
          </cell>
          <cell r="V133">
            <v>49</v>
          </cell>
          <cell r="W133" t="str">
            <v>0.085D</v>
          </cell>
          <cell r="X133" t="str">
            <v>3-2026</v>
          </cell>
          <cell r="Y133" t="str">
            <v>Week 11</v>
          </cell>
          <cell r="Z133">
            <v>46090</v>
          </cell>
          <cell r="AA133">
            <v>135</v>
          </cell>
          <cell r="AB133">
            <v>2.8570000000000002E-2</v>
          </cell>
        </row>
        <row r="134">
          <cell r="A134" t="str">
            <v>F-2026-01-423-2-2</v>
          </cell>
          <cell r="B134" t="str">
            <v>color</v>
          </cell>
          <cell r="C134" t="str">
            <v>FPRO-260128-0021</v>
          </cell>
          <cell r="D134" t="str">
            <v>Firm plan 28.01</v>
          </cell>
          <cell r="E134" t="str">
            <v>BDB-000175</v>
          </cell>
          <cell r="F134" t="str">
            <v>PVN-002966</v>
          </cell>
          <cell r="G134" t="str">
            <v>OrthoLite Ultra-Hybrid-Nike SEEDPEARL/12-0703TPX Hybrid 0.085D 25+/-4 Asker C 1.1M 2M 4mm</v>
          </cell>
          <cell r="H134">
            <v>2000</v>
          </cell>
          <cell r="I134">
            <v>296</v>
          </cell>
          <cell r="J134">
            <v>296</v>
          </cell>
          <cell r="K134">
            <v>0</v>
          </cell>
          <cell r="L134" t="str">
            <v>NIKE</v>
          </cell>
          <cell r="M134" t="str">
            <v>Forecast</v>
          </cell>
          <cell r="N134" t="str">
            <v>DIE CUT</v>
          </cell>
          <cell r="O134">
            <v>1</v>
          </cell>
          <cell r="P134">
            <v>46050</v>
          </cell>
          <cell r="Q134">
            <v>46100</v>
          </cell>
          <cell r="R134">
            <v>46097</v>
          </cell>
          <cell r="S134">
            <v>50</v>
          </cell>
          <cell r="T134">
            <v>4</v>
          </cell>
          <cell r="U134">
            <v>35</v>
          </cell>
          <cell r="V134">
            <v>9</v>
          </cell>
          <cell r="W134" t="str">
            <v>0.085D</v>
          </cell>
          <cell r="X134" t="str">
            <v>3-2026</v>
          </cell>
          <cell r="Y134" t="str">
            <v>Week 11</v>
          </cell>
          <cell r="Z134">
            <v>46090</v>
          </cell>
          <cell r="AA134">
            <v>135</v>
          </cell>
          <cell r="AB134">
            <v>2.8570000000000002E-2</v>
          </cell>
        </row>
        <row r="135">
          <cell r="A135" t="str">
            <v>F-2026-01-424</v>
          </cell>
          <cell r="B135"/>
          <cell r="C135" t="str">
            <v>FPRO-260128-0022</v>
          </cell>
          <cell r="D135" t="str">
            <v>Firm plan 28.01</v>
          </cell>
          <cell r="E135" t="str">
            <v>BDB-000175</v>
          </cell>
          <cell r="F135" t="str">
            <v>PVN-002966</v>
          </cell>
          <cell r="G135" t="str">
            <v>OrthoLite Ultra-Hybrid-Nike SEEDPEARL/12-0703TPX Hybrid 0.085D 25+/-4 Asker C 1.1M 2M 4mm</v>
          </cell>
          <cell r="H135">
            <v>3500</v>
          </cell>
          <cell r="I135">
            <v>3500</v>
          </cell>
          <cell r="J135">
            <v>3500</v>
          </cell>
          <cell r="K135">
            <v>0</v>
          </cell>
          <cell r="L135" t="str">
            <v>NIKE</v>
          </cell>
          <cell r="M135" t="str">
            <v>Forecast</v>
          </cell>
          <cell r="N135" t="str">
            <v>DIE CUT</v>
          </cell>
          <cell r="O135">
            <v>1</v>
          </cell>
          <cell r="P135">
            <v>46050</v>
          </cell>
          <cell r="Q135">
            <v>46104</v>
          </cell>
          <cell r="R135">
            <v>46101</v>
          </cell>
          <cell r="S135">
            <v>54</v>
          </cell>
          <cell r="T135">
            <v>4</v>
          </cell>
          <cell r="U135">
            <v>35</v>
          </cell>
          <cell r="V135">
            <v>100</v>
          </cell>
          <cell r="W135" t="str">
            <v>0.085D</v>
          </cell>
          <cell r="X135" t="str">
            <v>3-2026</v>
          </cell>
          <cell r="Y135" t="str">
            <v>Week 12</v>
          </cell>
          <cell r="Z135">
            <v>46097</v>
          </cell>
          <cell r="AA135">
            <v>135</v>
          </cell>
          <cell r="AB135">
            <v>2.8570000000000002E-2</v>
          </cell>
        </row>
        <row r="136">
          <cell r="A136" t="str">
            <v>F-2026-01-425</v>
          </cell>
          <cell r="B136"/>
          <cell r="C136" t="str">
            <v>FPRO-260128-0023</v>
          </cell>
          <cell r="D136" t="str">
            <v>Firm plan 28.01</v>
          </cell>
          <cell r="E136" t="str">
            <v>BDB-000156</v>
          </cell>
          <cell r="F136" t="str">
            <v>PVN-003243</v>
          </cell>
          <cell r="G136" t="str">
            <v>OrthoLite X-35-Hybrid-Nike AMAZON/18-6024TPX Hybrid 0.145D 25+/-4 Asker C 1.1M 2M 5.2mm</v>
          </cell>
          <cell r="H136">
            <v>1000</v>
          </cell>
          <cell r="I136">
            <v>1000</v>
          </cell>
          <cell r="J136">
            <v>1000</v>
          </cell>
          <cell r="K136">
            <v>0</v>
          </cell>
          <cell r="L136" t="str">
            <v>NIKE</v>
          </cell>
          <cell r="M136" t="str">
            <v>Forecast</v>
          </cell>
          <cell r="N136" t="str">
            <v>MOLDED</v>
          </cell>
          <cell r="O136">
            <v>1</v>
          </cell>
          <cell r="P136">
            <v>46050</v>
          </cell>
          <cell r="Q136">
            <v>46087</v>
          </cell>
          <cell r="R136">
            <v>46084</v>
          </cell>
          <cell r="S136">
            <v>37</v>
          </cell>
          <cell r="T136">
            <v>5.2</v>
          </cell>
          <cell r="U136">
            <v>26</v>
          </cell>
          <cell r="V136">
            <v>39</v>
          </cell>
          <cell r="W136" t="str">
            <v>0.145D</v>
          </cell>
          <cell r="X136" t="str">
            <v>3-2026</v>
          </cell>
          <cell r="Y136" t="str">
            <v>Week 9</v>
          </cell>
          <cell r="Z136">
            <v>46076</v>
          </cell>
          <cell r="AA136">
            <v>135</v>
          </cell>
          <cell r="AB136">
            <v>3.8460000000000001E-2</v>
          </cell>
        </row>
        <row r="137">
          <cell r="A137" t="str">
            <v>F-2026-01-426</v>
          </cell>
          <cell r="B137"/>
          <cell r="C137" t="str">
            <v>FPRO-260128-0024</v>
          </cell>
          <cell r="D137" t="str">
            <v>Firm plan 28.01</v>
          </cell>
          <cell r="E137" t="str">
            <v>BDB-000156</v>
          </cell>
          <cell r="F137" t="str">
            <v>PVN-003243</v>
          </cell>
          <cell r="G137" t="str">
            <v>OrthoLite X-35-Hybrid-Nike AMAZON/18-6024TPX Hybrid 0.145D 25+/-4 Asker C 1.1M 2M 5.2mm</v>
          </cell>
          <cell r="H137">
            <v>600</v>
          </cell>
          <cell r="I137">
            <v>600</v>
          </cell>
          <cell r="J137">
            <v>600</v>
          </cell>
          <cell r="K137">
            <v>0</v>
          </cell>
          <cell r="L137" t="str">
            <v>NIKE</v>
          </cell>
          <cell r="M137" t="str">
            <v>Forecast</v>
          </cell>
          <cell r="N137" t="str">
            <v>MOLDED</v>
          </cell>
          <cell r="O137">
            <v>1</v>
          </cell>
          <cell r="P137">
            <v>46050</v>
          </cell>
          <cell r="Q137">
            <v>46088</v>
          </cell>
          <cell r="R137">
            <v>46085</v>
          </cell>
          <cell r="S137">
            <v>38</v>
          </cell>
          <cell r="T137">
            <v>5.2</v>
          </cell>
          <cell r="U137">
            <v>26</v>
          </cell>
          <cell r="V137">
            <v>24</v>
          </cell>
          <cell r="W137" t="str">
            <v>0.145D</v>
          </cell>
          <cell r="X137" t="str">
            <v>3-2026</v>
          </cell>
          <cell r="Y137" t="str">
            <v>Week 10</v>
          </cell>
          <cell r="Z137">
            <v>46083</v>
          </cell>
          <cell r="AA137">
            <v>509</v>
          </cell>
          <cell r="AB137">
            <v>3.8460000000000001E-2</v>
          </cell>
        </row>
        <row r="138">
          <cell r="A138" t="str">
            <v>F-2026-01-428</v>
          </cell>
          <cell r="B138"/>
          <cell r="C138" t="str">
            <v>FPRO-260128-0026</v>
          </cell>
          <cell r="D138" t="str">
            <v>Firm plan 28.01</v>
          </cell>
          <cell r="E138" t="str">
            <v>BDB-000157</v>
          </cell>
          <cell r="F138" t="str">
            <v>PVN-003244</v>
          </cell>
          <cell r="G138" t="str">
            <v>OrthoLite X-35-Hybrid-Nike SEEDPEARL/12-0703TPX Hybrid 0.145D 25+/-4 Asker C 1.1M 2M 5.2mm</v>
          </cell>
          <cell r="H138">
            <v>500</v>
          </cell>
          <cell r="I138">
            <v>500</v>
          </cell>
          <cell r="J138">
            <v>500</v>
          </cell>
          <cell r="K138">
            <v>0</v>
          </cell>
          <cell r="L138" t="str">
            <v>NIKE</v>
          </cell>
          <cell r="M138" t="str">
            <v>Forecast</v>
          </cell>
          <cell r="N138" t="str">
            <v>MOLDED</v>
          </cell>
          <cell r="O138">
            <v>1</v>
          </cell>
          <cell r="P138">
            <v>46050</v>
          </cell>
          <cell r="Q138">
            <v>46085</v>
          </cell>
          <cell r="R138">
            <v>46082</v>
          </cell>
          <cell r="S138">
            <v>35</v>
          </cell>
          <cell r="T138">
            <v>5.2</v>
          </cell>
          <cell r="U138">
            <v>26</v>
          </cell>
          <cell r="V138">
            <v>20</v>
          </cell>
          <cell r="W138" t="str">
            <v>0.145D</v>
          </cell>
          <cell r="X138" t="str">
            <v>3-2026</v>
          </cell>
          <cell r="Y138" t="str">
            <v>Week 9</v>
          </cell>
          <cell r="Z138">
            <v>46076</v>
          </cell>
          <cell r="AA138">
            <v>163</v>
          </cell>
          <cell r="AB138">
            <v>3.8460000000000001E-2</v>
          </cell>
        </row>
        <row r="139">
          <cell r="A139" t="str">
            <v>F-2026-01-429</v>
          </cell>
          <cell r="B139"/>
          <cell r="C139" t="str">
            <v>FPRO-260128-0027</v>
          </cell>
          <cell r="D139" t="str">
            <v>Firm plan 28.01</v>
          </cell>
          <cell r="E139" t="str">
            <v>BDB-000157</v>
          </cell>
          <cell r="F139" t="str">
            <v>PVN-003244</v>
          </cell>
          <cell r="G139" t="str">
            <v>OrthoLite X-35-Hybrid-Nike SEEDPEARL/12-0703TPX Hybrid 0.145D 25+/-4 Asker C 1.1M 2M 5.2mm</v>
          </cell>
          <cell r="H139">
            <v>500</v>
          </cell>
          <cell r="I139">
            <v>500</v>
          </cell>
          <cell r="J139">
            <v>500</v>
          </cell>
          <cell r="K139">
            <v>0</v>
          </cell>
          <cell r="L139" t="str">
            <v>NIKE</v>
          </cell>
          <cell r="M139" t="str">
            <v>Forecast</v>
          </cell>
          <cell r="N139" t="str">
            <v>MOLDED</v>
          </cell>
          <cell r="O139">
            <v>1</v>
          </cell>
          <cell r="P139">
            <v>46050</v>
          </cell>
          <cell r="Q139">
            <v>46086</v>
          </cell>
          <cell r="R139">
            <v>46083</v>
          </cell>
          <cell r="S139">
            <v>36</v>
          </cell>
          <cell r="T139">
            <v>5.2</v>
          </cell>
          <cell r="U139">
            <v>26</v>
          </cell>
          <cell r="V139">
            <v>20</v>
          </cell>
          <cell r="W139" t="str">
            <v>0.145D</v>
          </cell>
          <cell r="X139" t="str">
            <v>3-2026</v>
          </cell>
          <cell r="Y139" t="str">
            <v>Week 9</v>
          </cell>
          <cell r="Z139">
            <v>46076</v>
          </cell>
          <cell r="AA139">
            <v>163</v>
          </cell>
          <cell r="AB139">
            <v>3.8460000000000001E-2</v>
          </cell>
        </row>
        <row r="140">
          <cell r="A140" t="str">
            <v>F-2026-01-431-1</v>
          </cell>
          <cell r="B140"/>
          <cell r="C140" t="str">
            <v>FPRO-260128-0029</v>
          </cell>
          <cell r="D140" t="str">
            <v>Firm plan 28.01</v>
          </cell>
          <cell r="E140" t="str">
            <v>BDB-000218</v>
          </cell>
          <cell r="F140" t="str">
            <v>PVN-003488</v>
          </cell>
          <cell r="G140" t="str">
            <v>OrthoLite Ultra-Nike SEEDPEARL/12-0703TPX 0.085D 5-10 Asker C 1.1M 2M 4mm</v>
          </cell>
          <cell r="H140">
            <v>500</v>
          </cell>
          <cell r="I140">
            <v>500</v>
          </cell>
          <cell r="J140">
            <v>500</v>
          </cell>
          <cell r="K140">
            <v>0</v>
          </cell>
          <cell r="L140" t="str">
            <v>NIKE</v>
          </cell>
          <cell r="M140" t="str">
            <v>Forecast</v>
          </cell>
          <cell r="N140" t="str">
            <v>DIE CUT</v>
          </cell>
          <cell r="O140">
            <v>1</v>
          </cell>
          <cell r="P140">
            <v>46050</v>
          </cell>
          <cell r="Q140">
            <v>46107</v>
          </cell>
          <cell r="R140">
            <v>46104</v>
          </cell>
          <cell r="S140">
            <v>57</v>
          </cell>
          <cell r="T140">
            <v>4</v>
          </cell>
          <cell r="U140">
            <v>35</v>
          </cell>
          <cell r="V140">
            <v>15</v>
          </cell>
          <cell r="W140" t="str">
            <v>0.085D</v>
          </cell>
          <cell r="X140" t="str">
            <v>3-2026</v>
          </cell>
          <cell r="Y140" t="str">
            <v>Week 12</v>
          </cell>
          <cell r="Z140">
            <v>46097</v>
          </cell>
          <cell r="AA140">
            <v>122</v>
          </cell>
          <cell r="AB140">
            <v>2.8570000000000002E-2</v>
          </cell>
        </row>
        <row r="141">
          <cell r="A141" t="str">
            <v>F-2026-01-431-2</v>
          </cell>
          <cell r="B141"/>
          <cell r="C141" t="str">
            <v>FPRO-260309-0002</v>
          </cell>
          <cell r="D141" t="str">
            <v>Firm plan 28.01</v>
          </cell>
          <cell r="E141" t="str">
            <v>BDB-000218</v>
          </cell>
          <cell r="F141" t="str">
            <v>PVN-003488</v>
          </cell>
          <cell r="G141" t="str">
            <v>OrthoLite Ultra-Nike SEEDPEARL/12-0703TPX 0.085D 5-10 Asker C 1.1M 2M 4mm</v>
          </cell>
          <cell r="H141">
            <v>500</v>
          </cell>
          <cell r="I141">
            <v>500</v>
          </cell>
          <cell r="J141">
            <v>0</v>
          </cell>
          <cell r="K141">
            <v>500</v>
          </cell>
          <cell r="L141" t="str">
            <v>NIKE</v>
          </cell>
          <cell r="M141" t="str">
            <v>Forecast</v>
          </cell>
          <cell r="N141" t="str">
            <v>DIE CUT</v>
          </cell>
          <cell r="O141">
            <v>1</v>
          </cell>
          <cell r="P141">
            <v>46050</v>
          </cell>
          <cell r="Q141">
            <v>46128</v>
          </cell>
          <cell r="R141">
            <v>46125</v>
          </cell>
          <cell r="S141">
            <v>78</v>
          </cell>
          <cell r="T141">
            <v>4</v>
          </cell>
          <cell r="U141">
            <v>35</v>
          </cell>
          <cell r="V141">
            <v>15</v>
          </cell>
          <cell r="W141" t="str">
            <v>0.085D</v>
          </cell>
          <cell r="X141" t="str">
            <v>4-2026</v>
          </cell>
          <cell r="Y141" t="str">
            <v>Week 15</v>
          </cell>
          <cell r="Z141">
            <v>46118</v>
          </cell>
          <cell r="AA141">
            <v>122</v>
          </cell>
          <cell r="AB141">
            <v>2.8570000000000002E-2</v>
          </cell>
        </row>
        <row r="142">
          <cell r="A142" t="str">
            <v>F-2026-01-432</v>
          </cell>
          <cell r="B142"/>
          <cell r="C142" t="str">
            <v>FPRO-260128-0030</v>
          </cell>
          <cell r="D142" t="str">
            <v>Firm plan 28.01</v>
          </cell>
          <cell r="E142" t="str">
            <v>BDB-000259</v>
          </cell>
          <cell r="F142" t="str">
            <v>PVN-003684</v>
          </cell>
          <cell r="G142" t="str">
            <v>OrthoLite Nike PP002 GLACIER GRAY/14-4102TPX Flat Sheet 0.145D 25+/-4 asker C 1.1M 2M 4.2mm</v>
          </cell>
          <cell r="H142">
            <v>3000</v>
          </cell>
          <cell r="I142">
            <v>3000</v>
          </cell>
          <cell r="J142">
            <v>3000</v>
          </cell>
          <cell r="K142">
            <v>0</v>
          </cell>
          <cell r="L142" t="str">
            <v>NIKE</v>
          </cell>
          <cell r="M142" t="str">
            <v>Forecast</v>
          </cell>
          <cell r="N142" t="str">
            <v>MOLDED</v>
          </cell>
          <cell r="O142">
            <v>1</v>
          </cell>
          <cell r="P142">
            <v>46050</v>
          </cell>
          <cell r="Q142">
            <v>46086</v>
          </cell>
          <cell r="R142">
            <v>46083</v>
          </cell>
          <cell r="S142">
            <v>36</v>
          </cell>
          <cell r="T142">
            <v>4.2</v>
          </cell>
          <cell r="U142">
            <v>33</v>
          </cell>
          <cell r="V142">
            <v>91</v>
          </cell>
          <cell r="W142" t="str">
            <v>0.145D</v>
          </cell>
          <cell r="X142" t="str">
            <v>3-2026</v>
          </cell>
          <cell r="Y142" t="str">
            <v>Week 9</v>
          </cell>
          <cell r="Z142">
            <v>46076</v>
          </cell>
          <cell r="AA142">
            <v>122</v>
          </cell>
          <cell r="AB142">
            <v>3.0300000000000001E-2</v>
          </cell>
        </row>
        <row r="143">
          <cell r="A143" t="str">
            <v>F-2026-01-433</v>
          </cell>
          <cell r="B143"/>
          <cell r="C143" t="str">
            <v>FPRO-260128-0031</v>
          </cell>
          <cell r="D143" t="str">
            <v>Firm plan 28.01</v>
          </cell>
          <cell r="E143" t="str">
            <v>BDB-000259</v>
          </cell>
          <cell r="F143" t="str">
            <v>PVN-003684</v>
          </cell>
          <cell r="G143" t="str">
            <v>OrthoLite Nike PP002 GLACIER GRAY/14-4102TPX Flat Sheet 0.145D 25+/-4 asker C 1.1M 2M 4.2mm</v>
          </cell>
          <cell r="H143">
            <v>2500</v>
          </cell>
          <cell r="I143">
            <v>2500</v>
          </cell>
          <cell r="J143">
            <v>2500</v>
          </cell>
          <cell r="K143">
            <v>0</v>
          </cell>
          <cell r="L143" t="str">
            <v>NIKE</v>
          </cell>
          <cell r="M143" t="str">
            <v>Forecast</v>
          </cell>
          <cell r="N143" t="str">
            <v>MOLDED</v>
          </cell>
          <cell r="O143">
            <v>1</v>
          </cell>
          <cell r="P143">
            <v>46050</v>
          </cell>
          <cell r="Q143">
            <v>46096</v>
          </cell>
          <cell r="R143">
            <v>46093</v>
          </cell>
          <cell r="S143">
            <v>46</v>
          </cell>
          <cell r="T143">
            <v>4.2</v>
          </cell>
          <cell r="U143">
            <v>33</v>
          </cell>
          <cell r="V143">
            <v>76</v>
          </cell>
          <cell r="W143" t="str">
            <v>0.145D</v>
          </cell>
          <cell r="X143" t="str">
            <v>3-2026</v>
          </cell>
          <cell r="Y143" t="str">
            <v>Week 11</v>
          </cell>
          <cell r="Z143">
            <v>46090</v>
          </cell>
          <cell r="AA143">
            <v>0</v>
          </cell>
          <cell r="AB143">
            <v>3.0300000000000001E-2</v>
          </cell>
        </row>
        <row r="144">
          <cell r="A144" t="str">
            <v>F-2026-01-434-1</v>
          </cell>
          <cell r="B144" t="str">
            <v>color</v>
          </cell>
          <cell r="C144" t="str">
            <v>FPRO-260128-0032</v>
          </cell>
          <cell r="D144" t="str">
            <v>Firm plan 28.01</v>
          </cell>
          <cell r="E144" t="str">
            <v>BDB-000157</v>
          </cell>
          <cell r="F144" t="str">
            <v>PVN-003573</v>
          </cell>
          <cell r="G144" t="str">
            <v>OrthoLite X-35-Hybrid-Nike SEEDPEARL/12-0703TPX Hybrid 0.145D 25+/-4 Asker C 1.1M 2M 4.2mm</v>
          </cell>
          <cell r="H144">
            <v>3200</v>
          </cell>
          <cell r="I144">
            <v>2797</v>
          </cell>
          <cell r="J144">
            <v>2797</v>
          </cell>
          <cell r="K144">
            <v>0</v>
          </cell>
          <cell r="L144" t="str">
            <v>NIKE</v>
          </cell>
          <cell r="M144" t="str">
            <v>Forecast</v>
          </cell>
          <cell r="N144" t="str">
            <v>MOLDED</v>
          </cell>
          <cell r="O144">
            <v>1</v>
          </cell>
          <cell r="P144">
            <v>46050</v>
          </cell>
          <cell r="Q144">
            <v>46085</v>
          </cell>
          <cell r="R144">
            <v>46082</v>
          </cell>
          <cell r="S144">
            <v>35</v>
          </cell>
          <cell r="T144">
            <v>4.2</v>
          </cell>
          <cell r="U144">
            <v>33</v>
          </cell>
          <cell r="V144">
            <v>85</v>
          </cell>
          <cell r="W144" t="str">
            <v>0.145D</v>
          </cell>
          <cell r="X144" t="str">
            <v>3-2026</v>
          </cell>
          <cell r="Y144" t="str">
            <v>Week 9</v>
          </cell>
          <cell r="Z144">
            <v>46076</v>
          </cell>
          <cell r="AA144">
            <v>108</v>
          </cell>
          <cell r="AB144">
            <v>3.0300000000000001E-2</v>
          </cell>
        </row>
        <row r="145">
          <cell r="A145" t="str">
            <v>F-2026-01-434-2</v>
          </cell>
          <cell r="B145" t="str">
            <v>color</v>
          </cell>
          <cell r="C145" t="str">
            <v>FPRO-260128-0032</v>
          </cell>
          <cell r="D145" t="str">
            <v>Firm plan 28.01</v>
          </cell>
          <cell r="E145" t="str">
            <v>BDB-000157</v>
          </cell>
          <cell r="F145" t="str">
            <v>PVN-003573</v>
          </cell>
          <cell r="G145" t="str">
            <v>OrthoLite X-35-Hybrid-Nike SEEDPEARL/12-0703TPX Hybrid 0.145D 25+/-4 Asker C 1.1M 2M 4.2mm</v>
          </cell>
          <cell r="H145">
            <v>3200</v>
          </cell>
          <cell r="I145">
            <v>403</v>
          </cell>
          <cell r="J145">
            <v>403</v>
          </cell>
          <cell r="K145">
            <v>0</v>
          </cell>
          <cell r="L145" t="str">
            <v>NIKE</v>
          </cell>
          <cell r="M145" t="str">
            <v>Forecast</v>
          </cell>
          <cell r="N145" t="str">
            <v>MOLDED</v>
          </cell>
          <cell r="O145">
            <v>1</v>
          </cell>
          <cell r="P145">
            <v>46050</v>
          </cell>
          <cell r="Q145">
            <v>46085</v>
          </cell>
          <cell r="R145">
            <v>46082</v>
          </cell>
          <cell r="S145">
            <v>35</v>
          </cell>
          <cell r="T145">
            <v>4.2</v>
          </cell>
          <cell r="U145">
            <v>33</v>
          </cell>
          <cell r="V145">
            <v>13</v>
          </cell>
          <cell r="W145" t="str">
            <v>0.145D</v>
          </cell>
          <cell r="X145" t="str">
            <v>3-2026</v>
          </cell>
          <cell r="Y145" t="str">
            <v>Week 9</v>
          </cell>
          <cell r="Z145">
            <v>46076</v>
          </cell>
          <cell r="AA145">
            <v>108</v>
          </cell>
          <cell r="AB145">
            <v>3.0300000000000001E-2</v>
          </cell>
        </row>
        <row r="146">
          <cell r="A146" t="str">
            <v>F-2026-01-435</v>
          </cell>
          <cell r="B146"/>
          <cell r="C146" t="str">
            <v>FPRO-260128-0033</v>
          </cell>
          <cell r="D146" t="str">
            <v>Firm plan 28.01</v>
          </cell>
          <cell r="E146" t="str">
            <v>BDB-000157</v>
          </cell>
          <cell r="F146" t="str">
            <v>PVN-003573</v>
          </cell>
          <cell r="G146" t="str">
            <v>OrthoLite X-35-Hybrid-Nike SEEDPEARL/12-0703TPX Hybrid 0.145D 25+/-4 Asker C 1.1M 2M 4.2mm</v>
          </cell>
          <cell r="H146">
            <v>3000</v>
          </cell>
          <cell r="I146">
            <v>3000</v>
          </cell>
          <cell r="J146">
            <v>3000</v>
          </cell>
          <cell r="K146">
            <v>0</v>
          </cell>
          <cell r="L146" t="str">
            <v>NIKE</v>
          </cell>
          <cell r="M146" t="str">
            <v>Forecast</v>
          </cell>
          <cell r="N146" t="str">
            <v>DIE CUT</v>
          </cell>
          <cell r="O146">
            <v>1</v>
          </cell>
          <cell r="P146">
            <v>46050</v>
          </cell>
          <cell r="Q146">
            <v>46088</v>
          </cell>
          <cell r="R146">
            <v>46085</v>
          </cell>
          <cell r="S146">
            <v>38</v>
          </cell>
          <cell r="T146">
            <v>4.2</v>
          </cell>
          <cell r="U146">
            <v>33</v>
          </cell>
          <cell r="V146">
            <v>91</v>
          </cell>
          <cell r="W146" t="str">
            <v>0.145D</v>
          </cell>
          <cell r="X146" t="str">
            <v>3-2026</v>
          </cell>
          <cell r="Y146" t="str">
            <v>Week 10</v>
          </cell>
          <cell r="Z146">
            <v>46083</v>
          </cell>
          <cell r="AA146">
            <v>88</v>
          </cell>
          <cell r="AB146">
            <v>3.0300000000000001E-2</v>
          </cell>
        </row>
        <row r="147">
          <cell r="A147" t="str">
            <v>F-2026-01-436</v>
          </cell>
          <cell r="B147"/>
          <cell r="C147" t="str">
            <v>FPRO-260128-0034</v>
          </cell>
          <cell r="D147" t="str">
            <v>Firm plan 28.01</v>
          </cell>
          <cell r="E147" t="str">
            <v>BDB-000157</v>
          </cell>
          <cell r="F147" t="str">
            <v>PVN-003573</v>
          </cell>
          <cell r="G147" t="str">
            <v>OrthoLite X-35-Hybrid-Nike SEEDPEARL/12-0703TPX Hybrid 0.145D 25+/-4 Asker C 1.1M 2M 4.2mm</v>
          </cell>
          <cell r="H147">
            <v>3000</v>
          </cell>
          <cell r="I147">
            <v>3000</v>
          </cell>
          <cell r="J147">
            <v>3000</v>
          </cell>
          <cell r="K147">
            <v>0</v>
          </cell>
          <cell r="L147" t="str">
            <v>NIKE</v>
          </cell>
          <cell r="M147" t="str">
            <v>Forecast</v>
          </cell>
          <cell r="N147" t="str">
            <v>MOLDED</v>
          </cell>
          <cell r="O147">
            <v>1</v>
          </cell>
          <cell r="P147">
            <v>46050</v>
          </cell>
          <cell r="Q147">
            <v>46093</v>
          </cell>
          <cell r="R147">
            <v>46090</v>
          </cell>
          <cell r="S147">
            <v>43</v>
          </cell>
          <cell r="T147">
            <v>4.2</v>
          </cell>
          <cell r="U147">
            <v>33</v>
          </cell>
          <cell r="V147">
            <v>91</v>
          </cell>
          <cell r="W147" t="str">
            <v>0.145D</v>
          </cell>
          <cell r="X147" t="str">
            <v>3-2026</v>
          </cell>
          <cell r="Y147" t="str">
            <v>Week 10</v>
          </cell>
          <cell r="Z147">
            <v>46083</v>
          </cell>
          <cell r="AA147">
            <v>88</v>
          </cell>
          <cell r="AB147">
            <v>3.0300000000000001E-2</v>
          </cell>
        </row>
        <row r="148">
          <cell r="A148" t="str">
            <v>F-2026-01-437</v>
          </cell>
          <cell r="B148"/>
          <cell r="C148" t="str">
            <v>FPRO-260128-0035</v>
          </cell>
          <cell r="D148" t="str">
            <v>Firm plan 28.01</v>
          </cell>
          <cell r="E148" t="str">
            <v>BDB-000157</v>
          </cell>
          <cell r="F148" t="str">
            <v>PVN-003573</v>
          </cell>
          <cell r="G148" t="str">
            <v>OrthoLite X-35-Hybrid-Nike SEEDPEARL/12-0703TPX Hybrid 0.145D 25+/-4 Asker C 1.1M 2M 4.2mm</v>
          </cell>
          <cell r="H148">
            <v>3000</v>
          </cell>
          <cell r="I148">
            <v>3000</v>
          </cell>
          <cell r="J148">
            <v>3000</v>
          </cell>
          <cell r="K148">
            <v>0</v>
          </cell>
          <cell r="L148" t="str">
            <v>NIKE</v>
          </cell>
          <cell r="M148" t="str">
            <v>Forecast</v>
          </cell>
          <cell r="N148" t="str">
            <v>MOLDED</v>
          </cell>
          <cell r="O148">
            <v>1</v>
          </cell>
          <cell r="P148">
            <v>46050</v>
          </cell>
          <cell r="Q148">
            <v>46098</v>
          </cell>
          <cell r="R148">
            <v>46095</v>
          </cell>
          <cell r="S148">
            <v>48</v>
          </cell>
          <cell r="T148">
            <v>4.2</v>
          </cell>
          <cell r="U148">
            <v>33</v>
          </cell>
          <cell r="V148">
            <v>91</v>
          </cell>
          <cell r="W148" t="str">
            <v>0.145D</v>
          </cell>
          <cell r="X148" t="str">
            <v>3-2026</v>
          </cell>
          <cell r="Y148" t="str">
            <v>Week 11</v>
          </cell>
          <cell r="Z148">
            <v>46090</v>
          </cell>
          <cell r="AA148">
            <v>82</v>
          </cell>
          <cell r="AB148">
            <v>3.0300000000000001E-2</v>
          </cell>
        </row>
        <row r="149">
          <cell r="A149" t="str">
            <v>F-2026-01-438</v>
          </cell>
          <cell r="B149"/>
          <cell r="C149" t="str">
            <v>RPRO-260129-0584</v>
          </cell>
          <cell r="D149" t="str">
            <v>MPS 28.01</v>
          </cell>
          <cell r="E149" t="str">
            <v>BDB-000011</v>
          </cell>
          <cell r="F149" t="str">
            <v>PVN-000242</v>
          </cell>
          <cell r="G149" t="str">
            <v>OrthoLite Regular AIR BLUE/16-4134TPX Flat Sheet 0.13D 35+/-4 Asker C 1.1M 2M 2mm</v>
          </cell>
          <cell r="H149">
            <v>700</v>
          </cell>
          <cell r="I149">
            <v>700</v>
          </cell>
          <cell r="J149">
            <v>700</v>
          </cell>
          <cell r="K149">
            <v>0</v>
          </cell>
          <cell r="L149"/>
          <cell r="M149" t="str">
            <v>MPS</v>
          </cell>
          <cell r="N149" t="str">
            <v>SPLITTING</v>
          </cell>
          <cell r="O149">
            <v>2</v>
          </cell>
          <cell r="P149">
            <v>46051</v>
          </cell>
          <cell r="Q149">
            <v>46081</v>
          </cell>
          <cell r="R149">
            <v>46078</v>
          </cell>
          <cell r="S149">
            <v>30</v>
          </cell>
          <cell r="T149">
            <v>2</v>
          </cell>
          <cell r="U149">
            <v>70</v>
          </cell>
          <cell r="V149">
            <v>11</v>
          </cell>
          <cell r="W149" t="str">
            <v>0.13D</v>
          </cell>
          <cell r="X149" t="str">
            <v>2-2026</v>
          </cell>
          <cell r="Y149" t="str">
            <v>Week 7</v>
          </cell>
          <cell r="Z149">
            <v>46062</v>
          </cell>
          <cell r="AA149">
            <v>82</v>
          </cell>
          <cell r="AB149">
            <v>1.4290000000000001E-2</v>
          </cell>
        </row>
        <row r="150">
          <cell r="A150" t="str">
            <v>F-2026-01-439</v>
          </cell>
          <cell r="B150"/>
          <cell r="C150" t="str">
            <v>RPRO-260129-0585</v>
          </cell>
          <cell r="D150" t="str">
            <v>MPS 28.01</v>
          </cell>
          <cell r="E150" t="str">
            <v>BDB-000348</v>
          </cell>
          <cell r="F150" t="str">
            <v>PVN-004195</v>
          </cell>
          <cell r="G150" t="str">
            <v>OrthoLite IMPERIAL SEEDPEARL/12-0703TPX Flat Sheet 0.22D 25+/-4 Asker C 1.1M 1.47M 4mm</v>
          </cell>
          <cell r="H150">
            <v>140</v>
          </cell>
          <cell r="I150">
            <v>140</v>
          </cell>
          <cell r="J150">
            <v>140</v>
          </cell>
          <cell r="K150">
            <v>0</v>
          </cell>
          <cell r="L150"/>
          <cell r="M150" t="str">
            <v>MPS</v>
          </cell>
          <cell r="N150" t="str">
            <v>SPLITTING</v>
          </cell>
          <cell r="O150">
            <v>2</v>
          </cell>
          <cell r="P150">
            <v>46051</v>
          </cell>
          <cell r="Q150">
            <v>46081</v>
          </cell>
          <cell r="R150">
            <v>46078</v>
          </cell>
          <cell r="S150">
            <v>30</v>
          </cell>
          <cell r="T150">
            <v>4</v>
          </cell>
          <cell r="U150">
            <v>35</v>
          </cell>
          <cell r="V150">
            <v>4</v>
          </cell>
          <cell r="W150" t="e">
            <v>#N/A</v>
          </cell>
          <cell r="X150" t="str">
            <v>2-2026</v>
          </cell>
          <cell r="Y150" t="str">
            <v>Week 9</v>
          </cell>
          <cell r="Z150">
            <v>46076</v>
          </cell>
          <cell r="AA150">
            <v>82</v>
          </cell>
          <cell r="AB150">
            <v>2.8570000000000002E-2</v>
          </cell>
        </row>
        <row r="151">
          <cell r="A151" t="str">
            <v>F-2026-01-443</v>
          </cell>
          <cell r="B151"/>
          <cell r="C151" t="str">
            <v>RPRO-260129-0589</v>
          </cell>
          <cell r="D151" t="str">
            <v>MPS 28.01</v>
          </cell>
          <cell r="E151" t="str">
            <v>BDB-000348</v>
          </cell>
          <cell r="F151" t="str">
            <v>PVN-004210</v>
          </cell>
          <cell r="G151" t="str">
            <v>OrthoLite IMPERIAL SEEDPEARL/12-0703TPX Flat Sheet 0.22D 25+/-4 Asker C 1.1M 1.47M 5mm</v>
          </cell>
          <cell r="H151">
            <v>168</v>
          </cell>
          <cell r="I151">
            <v>168</v>
          </cell>
          <cell r="J151">
            <v>168</v>
          </cell>
          <cell r="K151">
            <v>0</v>
          </cell>
          <cell r="L151"/>
          <cell r="M151" t="str">
            <v>MPS</v>
          </cell>
          <cell r="N151" t="str">
            <v>SPLITTING</v>
          </cell>
          <cell r="O151">
            <v>2</v>
          </cell>
          <cell r="P151">
            <v>46051</v>
          </cell>
          <cell r="Q151">
            <v>46084</v>
          </cell>
          <cell r="R151">
            <v>46081</v>
          </cell>
          <cell r="S151">
            <v>33</v>
          </cell>
          <cell r="T151">
            <v>5</v>
          </cell>
          <cell r="U151">
            <v>28</v>
          </cell>
          <cell r="V151">
            <v>6</v>
          </cell>
          <cell r="W151" t="e">
            <v>#N/A</v>
          </cell>
          <cell r="X151" t="str">
            <v>3-2026</v>
          </cell>
          <cell r="Y151" t="str">
            <v>Week 9</v>
          </cell>
          <cell r="Z151">
            <v>46076</v>
          </cell>
          <cell r="AA151">
            <v>0</v>
          </cell>
          <cell r="AB151">
            <v>3.5709999999999999E-2</v>
          </cell>
        </row>
        <row r="152">
          <cell r="A152" t="str">
            <v>F-2026-01-444-1</v>
          </cell>
          <cell r="B152" t="str">
            <v>color</v>
          </cell>
          <cell r="C152" t="str">
            <v>RPRO-260129-0590</v>
          </cell>
          <cell r="D152" t="str">
            <v>Pro.sche.report 28.01</v>
          </cell>
          <cell r="E152" t="str">
            <v>BDB-000113</v>
          </cell>
          <cell r="F152" t="str">
            <v>PVN-002465</v>
          </cell>
          <cell r="G152" t="str">
            <v>OrthoLite Regular-Hybrid SEEDPEARL/12-0703TPX Hybrid Flat Sheet 0.11D 25+/-4 Asker C 1.1M 2M 5mm</v>
          </cell>
          <cell r="H152">
            <v>3000</v>
          </cell>
          <cell r="I152">
            <v>1710</v>
          </cell>
          <cell r="J152">
            <v>1710</v>
          </cell>
          <cell r="K152">
            <v>0</v>
          </cell>
          <cell r="L152" t="str">
            <v>ASICS</v>
          </cell>
          <cell r="M152" t="str">
            <v>Pr.Sch.R</v>
          </cell>
          <cell r="N152" t="str">
            <v>DIE CUT</v>
          </cell>
          <cell r="O152">
            <v>1</v>
          </cell>
          <cell r="P152">
            <v>46051</v>
          </cell>
          <cell r="Q152">
            <v>46080</v>
          </cell>
          <cell r="R152">
            <v>46077</v>
          </cell>
          <cell r="S152">
            <v>29</v>
          </cell>
          <cell r="T152">
            <v>5</v>
          </cell>
          <cell r="U152">
            <v>28</v>
          </cell>
          <cell r="V152">
            <v>62</v>
          </cell>
          <cell r="W152" t="str">
            <v>0.11D</v>
          </cell>
          <cell r="X152" t="str">
            <v>2-2026</v>
          </cell>
          <cell r="Y152" t="str">
            <v>Week 7</v>
          </cell>
          <cell r="Z152">
            <v>46062</v>
          </cell>
          <cell r="AA152">
            <v>0</v>
          </cell>
          <cell r="AB152">
            <v>3.5709999999999999E-2</v>
          </cell>
        </row>
        <row r="153">
          <cell r="A153" t="str">
            <v>F-2026-01-444-2</v>
          </cell>
          <cell r="B153" t="str">
            <v>color</v>
          </cell>
          <cell r="C153" t="str">
            <v>RPRO-260129-0590</v>
          </cell>
          <cell r="D153" t="str">
            <v>Pro.sche.report 28.01</v>
          </cell>
          <cell r="E153" t="str">
            <v>BDB-000113</v>
          </cell>
          <cell r="F153" t="str">
            <v>PVN-002465</v>
          </cell>
          <cell r="G153" t="str">
            <v>OrthoLite Regular-Hybrid SEEDPEARL/12-0703TPX Hybrid Flat Sheet 0.11D 25+/-4 Asker C 1.1M 2M 5mm</v>
          </cell>
          <cell r="H153">
            <v>3000</v>
          </cell>
          <cell r="I153">
            <v>628</v>
          </cell>
          <cell r="J153">
            <v>628</v>
          </cell>
          <cell r="K153">
            <v>0</v>
          </cell>
          <cell r="L153" t="str">
            <v>ASICS</v>
          </cell>
          <cell r="M153" t="str">
            <v>Pr.Sch.R</v>
          </cell>
          <cell r="N153" t="str">
            <v>DIE CUT</v>
          </cell>
          <cell r="O153">
            <v>1</v>
          </cell>
          <cell r="P153">
            <v>46051</v>
          </cell>
          <cell r="Q153">
            <v>46080</v>
          </cell>
          <cell r="R153">
            <v>46077</v>
          </cell>
          <cell r="S153">
            <v>29</v>
          </cell>
          <cell r="T153">
            <v>5</v>
          </cell>
          <cell r="U153">
            <v>28</v>
          </cell>
          <cell r="V153">
            <v>23</v>
          </cell>
          <cell r="W153" t="str">
            <v>0.11D</v>
          </cell>
          <cell r="X153" t="str">
            <v>2-2026</v>
          </cell>
          <cell r="Y153" t="str">
            <v>Week 7</v>
          </cell>
          <cell r="Z153">
            <v>46062</v>
          </cell>
          <cell r="AA153">
            <v>0</v>
          </cell>
          <cell r="AB153">
            <v>3.5709999999999999E-2</v>
          </cell>
        </row>
        <row r="154">
          <cell r="A154" t="str">
            <v>F-2026-01-444-3</v>
          </cell>
          <cell r="B154" t="str">
            <v>color</v>
          </cell>
          <cell r="C154" t="str">
            <v>RPRO-260129-0590</v>
          </cell>
          <cell r="D154" t="str">
            <v>Pro.sche.report 28.01</v>
          </cell>
          <cell r="E154" t="str">
            <v>BDB-000113</v>
          </cell>
          <cell r="F154" t="str">
            <v>PVN-002465</v>
          </cell>
          <cell r="G154" t="str">
            <v>OrthoLite Regular-Hybrid SEEDPEARL/12-0703TPX Hybrid Flat Sheet 0.11D 25+/-4 Asker C 1.1M 2M 5mm</v>
          </cell>
          <cell r="H154">
            <v>3000</v>
          </cell>
          <cell r="I154">
            <v>502</v>
          </cell>
          <cell r="J154">
            <v>502</v>
          </cell>
          <cell r="K154">
            <v>0</v>
          </cell>
          <cell r="L154" t="str">
            <v>ASICS</v>
          </cell>
          <cell r="M154" t="str">
            <v>Pr.Sch.R</v>
          </cell>
          <cell r="N154" t="str">
            <v>DIE CUT</v>
          </cell>
          <cell r="O154">
            <v>1</v>
          </cell>
          <cell r="P154">
            <v>46051</v>
          </cell>
          <cell r="Q154">
            <v>46080</v>
          </cell>
          <cell r="R154">
            <v>46077</v>
          </cell>
          <cell r="S154">
            <v>29</v>
          </cell>
          <cell r="T154">
            <v>5</v>
          </cell>
          <cell r="U154">
            <v>28</v>
          </cell>
          <cell r="V154">
            <v>18</v>
          </cell>
          <cell r="W154" t="str">
            <v>0.11D</v>
          </cell>
          <cell r="X154" t="str">
            <v>2-2026</v>
          </cell>
          <cell r="Y154" t="str">
            <v>Week 7</v>
          </cell>
          <cell r="Z154">
            <v>46062</v>
          </cell>
          <cell r="AA154">
            <v>34</v>
          </cell>
          <cell r="AB154">
            <v>3.5709999999999999E-2</v>
          </cell>
        </row>
        <row r="155">
          <cell r="A155" t="str">
            <v>F-2026-01-444-4</v>
          </cell>
          <cell r="B155" t="str">
            <v>color</v>
          </cell>
          <cell r="C155" t="str">
            <v>RPRO-260129-0590</v>
          </cell>
          <cell r="D155" t="str">
            <v>Pro.sche.report 28.01</v>
          </cell>
          <cell r="E155" t="str">
            <v>BDB-000113</v>
          </cell>
          <cell r="F155" t="str">
            <v>PVN-002465</v>
          </cell>
          <cell r="G155" t="str">
            <v>OrthoLite Regular-Hybrid SEEDPEARL/12-0703TPX Hybrid Flat Sheet 0.11D 25+/-4 Asker C 1.1M 2M 5mm</v>
          </cell>
          <cell r="H155">
            <v>3000</v>
          </cell>
          <cell r="I155">
            <v>160</v>
          </cell>
          <cell r="J155">
            <v>160</v>
          </cell>
          <cell r="K155">
            <v>0</v>
          </cell>
          <cell r="L155" t="str">
            <v>ASICS</v>
          </cell>
          <cell r="M155" t="str">
            <v>Pr.Sch.R</v>
          </cell>
          <cell r="N155" t="str">
            <v>DIE CUT</v>
          </cell>
          <cell r="O155">
            <v>1</v>
          </cell>
          <cell r="P155">
            <v>46051</v>
          </cell>
          <cell r="Q155">
            <v>46080</v>
          </cell>
          <cell r="R155">
            <v>46077</v>
          </cell>
          <cell r="S155">
            <v>29</v>
          </cell>
          <cell r="T155">
            <v>5</v>
          </cell>
          <cell r="U155">
            <v>28</v>
          </cell>
          <cell r="V155">
            <v>6</v>
          </cell>
          <cell r="W155" t="str">
            <v>0.11D</v>
          </cell>
          <cell r="X155" t="str">
            <v>2-2026</v>
          </cell>
          <cell r="Y155" t="str">
            <v>Week 7</v>
          </cell>
          <cell r="Z155">
            <v>46062</v>
          </cell>
          <cell r="AA155">
            <v>136</v>
          </cell>
          <cell r="AB155">
            <v>3.5709999999999999E-2</v>
          </cell>
        </row>
        <row r="156">
          <cell r="A156" t="str">
            <v>F-2026-01-445</v>
          </cell>
          <cell r="B156"/>
          <cell r="C156" t="str">
            <v>RPRO-260129-0591</v>
          </cell>
          <cell r="D156" t="str">
            <v>Pro.sche.report 28.01</v>
          </cell>
          <cell r="E156" t="str">
            <v>BDB-000113</v>
          </cell>
          <cell r="F156" t="str">
            <v>PVN-002465</v>
          </cell>
          <cell r="G156" t="str">
            <v>OrthoLite Regular-Hybrid SEEDPEARL/12-0703TPX Hybrid Flat Sheet 0.11D 25+/-4 Asker C 1.1M 2M 5mm</v>
          </cell>
          <cell r="H156">
            <v>3776</v>
          </cell>
          <cell r="I156">
            <v>3776</v>
          </cell>
          <cell r="J156">
            <v>3776</v>
          </cell>
          <cell r="K156">
            <v>0</v>
          </cell>
          <cell r="L156" t="str">
            <v>ASICS</v>
          </cell>
          <cell r="M156" t="str">
            <v>Pr.Sch.R</v>
          </cell>
          <cell r="N156" t="str">
            <v>DIE CUT</v>
          </cell>
          <cell r="O156">
            <v>1</v>
          </cell>
          <cell r="P156">
            <v>46051</v>
          </cell>
          <cell r="Q156">
            <v>46086</v>
          </cell>
          <cell r="R156">
            <v>46083</v>
          </cell>
          <cell r="S156">
            <v>35</v>
          </cell>
          <cell r="T156">
            <v>5</v>
          </cell>
          <cell r="U156">
            <v>28</v>
          </cell>
          <cell r="V156">
            <v>135</v>
          </cell>
          <cell r="W156" t="str">
            <v>0.11D</v>
          </cell>
          <cell r="X156" t="str">
            <v>3-2026</v>
          </cell>
          <cell r="Y156" t="str">
            <v>Week 9</v>
          </cell>
          <cell r="Z156">
            <v>46076</v>
          </cell>
          <cell r="AA156">
            <v>0</v>
          </cell>
          <cell r="AB156">
            <v>3.5709999999999999E-2</v>
          </cell>
        </row>
        <row r="157">
          <cell r="A157" t="str">
            <v>F-2026-01-446</v>
          </cell>
          <cell r="B157"/>
          <cell r="C157" t="str">
            <v>RPRO-260129-0592</v>
          </cell>
          <cell r="D157" t="str">
            <v>Pro.sche.report 28.01</v>
          </cell>
          <cell r="E157" t="str">
            <v>BDB-000113</v>
          </cell>
          <cell r="F157" t="str">
            <v>PVN-003414</v>
          </cell>
          <cell r="G157" t="str">
            <v>OrthoLite Regular-Hybrid SEEDPEARL/12-0703TPX Hybrid Flat Sheet 0.11D 25+/-4 Asker C 1.1M 2M 12mm</v>
          </cell>
          <cell r="H157">
            <v>209</v>
          </cell>
          <cell r="I157">
            <v>209</v>
          </cell>
          <cell r="J157">
            <v>209</v>
          </cell>
          <cell r="K157">
            <v>0</v>
          </cell>
          <cell r="L157" t="str">
            <v>ASICS</v>
          </cell>
          <cell r="M157" t="str">
            <v>Pr.Sch.R</v>
          </cell>
          <cell r="N157" t="str">
            <v>MOLDED</v>
          </cell>
          <cell r="O157">
            <v>1</v>
          </cell>
          <cell r="P157">
            <v>46051</v>
          </cell>
          <cell r="Q157">
            <v>46091</v>
          </cell>
          <cell r="R157">
            <v>46088</v>
          </cell>
          <cell r="S157">
            <v>40</v>
          </cell>
          <cell r="T157">
            <v>12</v>
          </cell>
          <cell r="U157">
            <v>11.5</v>
          </cell>
          <cell r="V157">
            <v>19</v>
          </cell>
          <cell r="W157" t="str">
            <v>0.11D</v>
          </cell>
          <cell r="X157" t="str">
            <v>3-2026</v>
          </cell>
          <cell r="Y157" t="str">
            <v>Week 10</v>
          </cell>
          <cell r="Z157">
            <v>46083</v>
          </cell>
          <cell r="AA157">
            <v>34</v>
          </cell>
          <cell r="AB157">
            <v>8.6959999999999996E-2</v>
          </cell>
        </row>
        <row r="158">
          <cell r="A158" t="str">
            <v>F-2026-01-448</v>
          </cell>
          <cell r="B158"/>
          <cell r="C158" t="str">
            <v>RPRO-260129-0594</v>
          </cell>
          <cell r="D158" t="str">
            <v>Pro.sche.report 28.01</v>
          </cell>
          <cell r="E158" t="str">
            <v>BDB-000175</v>
          </cell>
          <cell r="F158" t="str">
            <v>PVN-002876</v>
          </cell>
          <cell r="G158" t="str">
            <v>OrthoLite Ultra-Hybrid-Nike SEEDPEARL/12-0703TPX Hybrid Flat Sheet 0.085D 25+/-4 Asker C 1.1M 2M 5mm</v>
          </cell>
          <cell r="H158">
            <v>140</v>
          </cell>
          <cell r="I158">
            <v>140</v>
          </cell>
          <cell r="J158">
            <v>140</v>
          </cell>
          <cell r="K158">
            <v>0</v>
          </cell>
          <cell r="L158" t="str">
            <v>NIKE</v>
          </cell>
          <cell r="M158" t="str">
            <v>Pr.Sch.R</v>
          </cell>
          <cell r="N158" t="str">
            <v>MOLDED</v>
          </cell>
          <cell r="O158">
            <v>1</v>
          </cell>
          <cell r="P158">
            <v>46051</v>
          </cell>
          <cell r="Q158">
            <v>46084</v>
          </cell>
          <cell r="R158">
            <v>46081</v>
          </cell>
          <cell r="S158">
            <v>33</v>
          </cell>
          <cell r="T158">
            <v>5</v>
          </cell>
          <cell r="U158">
            <v>28</v>
          </cell>
          <cell r="V158">
            <v>5</v>
          </cell>
          <cell r="W158" t="str">
            <v>0.085D</v>
          </cell>
          <cell r="X158" t="str">
            <v>3-2026</v>
          </cell>
          <cell r="Y158" t="str">
            <v>Week 9</v>
          </cell>
          <cell r="Z158">
            <v>46076</v>
          </cell>
          <cell r="AA158">
            <v>136</v>
          </cell>
          <cell r="AB158">
            <v>3.5709999999999999E-2</v>
          </cell>
        </row>
        <row r="159">
          <cell r="A159" t="str">
            <v>F-2026-01-449</v>
          </cell>
          <cell r="B159"/>
          <cell r="C159" t="str">
            <v>RPRO-260129-0595</v>
          </cell>
          <cell r="D159" t="str">
            <v>Pro.sche.report 28.01</v>
          </cell>
          <cell r="E159" t="str">
            <v>BDB-000248</v>
          </cell>
          <cell r="F159" t="str">
            <v>PVN-003931</v>
          </cell>
          <cell r="G159" t="str">
            <v>OrthoLite X-40-Hybrid RED/19-1764TPX Hybrid Flat Sheet 0.16D 25+/-4 Asker C 1.1M 1.7M 6.5mm</v>
          </cell>
          <cell r="H159">
            <v>63</v>
          </cell>
          <cell r="I159">
            <v>63</v>
          </cell>
          <cell r="J159">
            <v>63</v>
          </cell>
          <cell r="K159">
            <v>0</v>
          </cell>
          <cell r="L159" t="str">
            <v>REDWING</v>
          </cell>
          <cell r="M159" t="str">
            <v>Pr.Sch.R</v>
          </cell>
          <cell r="N159" t="str">
            <v>MOLDED</v>
          </cell>
          <cell r="O159">
            <v>1</v>
          </cell>
          <cell r="P159">
            <v>46051</v>
          </cell>
          <cell r="Q159">
            <v>46084</v>
          </cell>
          <cell r="R159">
            <v>46081</v>
          </cell>
          <cell r="S159">
            <v>33</v>
          </cell>
          <cell r="T159">
            <v>6.5</v>
          </cell>
          <cell r="U159">
            <v>21</v>
          </cell>
          <cell r="V159">
            <v>4</v>
          </cell>
          <cell r="W159" t="str">
            <v>0.16D</v>
          </cell>
          <cell r="X159" t="str">
            <v>3-2026</v>
          </cell>
          <cell r="Y159" t="str">
            <v>Week 9</v>
          </cell>
          <cell r="Z159">
            <v>46076</v>
          </cell>
          <cell r="AA159">
            <v>140</v>
          </cell>
          <cell r="AB159">
            <v>4.7620000000000003E-2</v>
          </cell>
        </row>
        <row r="160">
          <cell r="A160" t="str">
            <v>F-2026-01-450</v>
          </cell>
          <cell r="B160"/>
          <cell r="C160" t="str">
            <v>RPRO-260129-0596</v>
          </cell>
          <cell r="D160" t="str">
            <v>Pro.sche.report 28.01</v>
          </cell>
          <cell r="E160" t="str">
            <v>BDB-000309</v>
          </cell>
          <cell r="F160" t="str">
            <v>PVN-004033</v>
          </cell>
          <cell r="G160" t="str">
            <v>OrthoLite X-40-Hybrid NEUTRAL GRAY/17-4402TPX Hybrid Flat Sheet 0.16D 35+/-4 Asker C 1.1M 2M 2mm</v>
          </cell>
          <cell r="H160">
            <v>70</v>
          </cell>
          <cell r="I160">
            <v>70</v>
          </cell>
          <cell r="J160">
            <v>70</v>
          </cell>
          <cell r="K160">
            <v>0</v>
          </cell>
          <cell r="L160" t="str">
            <v>REDWING</v>
          </cell>
          <cell r="M160" t="str">
            <v>Pr.Sch.R</v>
          </cell>
          <cell r="N160" t="str">
            <v>MOLDED</v>
          </cell>
          <cell r="O160">
            <v>1</v>
          </cell>
          <cell r="P160">
            <v>46051</v>
          </cell>
          <cell r="Q160">
            <v>46084</v>
          </cell>
          <cell r="R160">
            <v>46081</v>
          </cell>
          <cell r="S160">
            <v>33</v>
          </cell>
          <cell r="T160">
            <v>2</v>
          </cell>
          <cell r="U160">
            <v>70</v>
          </cell>
          <cell r="V160">
            <v>2</v>
          </cell>
          <cell r="W160" t="e">
            <v>#N/A</v>
          </cell>
          <cell r="X160" t="str">
            <v>3-2026</v>
          </cell>
          <cell r="Y160" t="str">
            <v>Week 9</v>
          </cell>
          <cell r="Z160">
            <v>46076</v>
          </cell>
          <cell r="AA160">
            <v>0</v>
          </cell>
          <cell r="AB160">
            <v>1.4290000000000001E-2</v>
          </cell>
        </row>
        <row r="161">
          <cell r="A161" t="str">
            <v>F-2026-01-451</v>
          </cell>
          <cell r="B161"/>
          <cell r="C161" t="str">
            <v>RPRO-260129-0597</v>
          </cell>
          <cell r="D161" t="str">
            <v>Pro.sche.report 28.01</v>
          </cell>
          <cell r="E161" t="str">
            <v>BDB-000234</v>
          </cell>
          <cell r="F161" t="str">
            <v>PVN-003581</v>
          </cell>
          <cell r="G161" t="str">
            <v>OrthoLite X-30-Hybrid BROWN SUGAR/17-1134TPX Hybrid Flat Sheet 0.13D 25+/-4 Asker C 1.1M 2M 12mm</v>
          </cell>
          <cell r="H161">
            <v>77</v>
          </cell>
          <cell r="I161">
            <v>77</v>
          </cell>
          <cell r="J161">
            <v>77</v>
          </cell>
          <cell r="K161">
            <v>0</v>
          </cell>
          <cell r="L161" t="str">
            <v>ASICS</v>
          </cell>
          <cell r="M161" t="str">
            <v>Pr.Sch.R</v>
          </cell>
          <cell r="N161" t="str">
            <v>MOLDED</v>
          </cell>
          <cell r="O161">
            <v>1</v>
          </cell>
          <cell r="P161">
            <v>46051</v>
          </cell>
          <cell r="Q161">
            <v>46083</v>
          </cell>
          <cell r="R161">
            <v>46080</v>
          </cell>
          <cell r="S161">
            <v>32</v>
          </cell>
          <cell r="T161">
            <v>12</v>
          </cell>
          <cell r="U161">
            <v>11.5</v>
          </cell>
          <cell r="V161">
            <v>7</v>
          </cell>
          <cell r="W161" t="str">
            <v>0.13D</v>
          </cell>
          <cell r="X161" t="str">
            <v>3-2026</v>
          </cell>
          <cell r="Y161" t="str">
            <v>Week 9</v>
          </cell>
          <cell r="Z161">
            <v>46076</v>
          </cell>
          <cell r="AA161">
            <v>72</v>
          </cell>
          <cell r="AB161">
            <v>8.6959999999999996E-2</v>
          </cell>
        </row>
        <row r="162">
          <cell r="A162" t="str">
            <v>F-2026-01-452</v>
          </cell>
          <cell r="B162"/>
          <cell r="C162" t="str">
            <v>RPRO-260129-0598</v>
          </cell>
          <cell r="D162" t="str">
            <v>Pro.sche.report 28.01</v>
          </cell>
          <cell r="E162" t="str">
            <v>BDB-000209</v>
          </cell>
          <cell r="F162" t="str">
            <v>PVN-003461</v>
          </cell>
          <cell r="G162" t="str">
            <v>OrthoLite HybridPlus-Recycled MINT GREEN/11-4805TPX Hybrid Flat Sheet 0.12D 25+/-4 Asker C 1.1M 2M 11mm</v>
          </cell>
          <cell r="H162">
            <v>36</v>
          </cell>
          <cell r="I162">
            <v>36</v>
          </cell>
          <cell r="J162">
            <v>36</v>
          </cell>
          <cell r="K162">
            <v>0</v>
          </cell>
          <cell r="L162" t="str">
            <v>AKU</v>
          </cell>
          <cell r="M162" t="str">
            <v>Pr.Sch.R</v>
          </cell>
          <cell r="N162" t="str">
            <v>MOLDED</v>
          </cell>
          <cell r="O162">
            <v>1</v>
          </cell>
          <cell r="P162">
            <v>46051</v>
          </cell>
          <cell r="Q162">
            <v>46084</v>
          </cell>
          <cell r="R162">
            <v>46081</v>
          </cell>
          <cell r="S162">
            <v>33</v>
          </cell>
          <cell r="T162">
            <v>11</v>
          </cell>
          <cell r="U162">
            <v>12</v>
          </cell>
          <cell r="V162">
            <v>3</v>
          </cell>
          <cell r="W162" t="str">
            <v>0.12D</v>
          </cell>
          <cell r="X162" t="str">
            <v>3-2026</v>
          </cell>
          <cell r="Y162" t="str">
            <v>Week 9</v>
          </cell>
          <cell r="Z162">
            <v>46076</v>
          </cell>
          <cell r="AA162">
            <v>11</v>
          </cell>
          <cell r="AB162">
            <v>8.3330000000000001E-2</v>
          </cell>
        </row>
        <row r="163">
          <cell r="A163" t="str">
            <v>F-2026-01-454</v>
          </cell>
          <cell r="B163"/>
          <cell r="C163" t="str">
            <v>RPRO-260129-0600</v>
          </cell>
          <cell r="D163" t="str">
            <v>Pro.sche.report 28.01</v>
          </cell>
          <cell r="E163" t="str">
            <v>BDB-000008</v>
          </cell>
          <cell r="F163" t="str">
            <v>PVN-000505</v>
          </cell>
          <cell r="G163" t="str">
            <v>OrthoLite Regular LIME GREEN/14-0452TPX Flat Sheet 0.11D 25+/-4 Asker C 1.1M 2M 12mm</v>
          </cell>
          <cell r="H163">
            <v>1056</v>
          </cell>
          <cell r="I163">
            <v>1056</v>
          </cell>
          <cell r="J163">
            <v>1056</v>
          </cell>
          <cell r="K163">
            <v>0</v>
          </cell>
          <cell r="L163" t="str">
            <v>ASICS</v>
          </cell>
          <cell r="M163" t="str">
            <v>Pr.Sch.R</v>
          </cell>
          <cell r="N163" t="str">
            <v>MOLDED</v>
          </cell>
          <cell r="O163">
            <v>1</v>
          </cell>
          <cell r="P163">
            <v>46051</v>
          </cell>
          <cell r="Q163">
            <v>46080</v>
          </cell>
          <cell r="R163">
            <v>46077</v>
          </cell>
          <cell r="S163">
            <v>29</v>
          </cell>
          <cell r="T163">
            <v>12</v>
          </cell>
          <cell r="U163">
            <v>11.5</v>
          </cell>
          <cell r="V163">
            <v>92</v>
          </cell>
          <cell r="W163" t="str">
            <v>0.11D</v>
          </cell>
          <cell r="X163" t="str">
            <v>2-2026</v>
          </cell>
          <cell r="Y163" t="str">
            <v>Week 9</v>
          </cell>
          <cell r="Z163">
            <v>46076</v>
          </cell>
          <cell r="AA163">
            <v>103</v>
          </cell>
          <cell r="AB163">
            <v>8.6959999999999996E-2</v>
          </cell>
        </row>
        <row r="164">
          <cell r="A164" t="str">
            <v>F-2026-01-455</v>
          </cell>
          <cell r="B164"/>
          <cell r="C164" t="str">
            <v>RPRO-260129-0601 (924) RPRO-260228-0104 (209)</v>
          </cell>
          <cell r="D164" t="str">
            <v>Pro.sche.report 28.01</v>
          </cell>
          <cell r="E164" t="str">
            <v>BDB-000011</v>
          </cell>
          <cell r="F164" t="str">
            <v>PVN-000121</v>
          </cell>
          <cell r="G164" t="str">
            <v>OrthoLite Regular AIR BLUE/16-4134TPX Flat Sheet 0.13D 35+/-4 Asker C 1.1M 2M 12mm</v>
          </cell>
          <cell r="H164">
            <v>1133</v>
          </cell>
          <cell r="I164">
            <v>1133</v>
          </cell>
          <cell r="J164">
            <v>1133</v>
          </cell>
          <cell r="K164">
            <v>0</v>
          </cell>
          <cell r="L164" t="str">
            <v>ASICS</v>
          </cell>
          <cell r="M164" t="str">
            <v>Pr.Sch.R</v>
          </cell>
          <cell r="N164" t="str">
            <v>MOLDED</v>
          </cell>
          <cell r="O164">
            <v>1</v>
          </cell>
          <cell r="P164">
            <v>46051</v>
          </cell>
          <cell r="Q164" t="str">
            <v>02/03*500; 03/3*633</v>
          </cell>
          <cell r="R164" t="e">
            <v>#VALUE!</v>
          </cell>
          <cell r="S164" t="e">
            <v>#VALUE!</v>
          </cell>
          <cell r="T164">
            <v>12</v>
          </cell>
          <cell r="U164">
            <v>11.5</v>
          </cell>
          <cell r="V164">
            <v>99</v>
          </cell>
          <cell r="W164" t="str">
            <v>0.13D</v>
          </cell>
          <cell r="X164" t="e">
            <v>#VALUE!</v>
          </cell>
          <cell r="Y164" t="str">
            <v>Week 9</v>
          </cell>
          <cell r="Z164">
            <v>46076</v>
          </cell>
          <cell r="AA164">
            <v>50</v>
          </cell>
          <cell r="AB164">
            <v>8.6959999999999996E-2</v>
          </cell>
        </row>
        <row r="165">
          <cell r="A165" t="str">
            <v>F-2026-01-456</v>
          </cell>
          <cell r="B165"/>
          <cell r="C165" t="str">
            <v>RPRO-260129-0602</v>
          </cell>
          <cell r="D165" t="str">
            <v>Pro.sche.report 28.01</v>
          </cell>
          <cell r="E165" t="str">
            <v>BDB-000318</v>
          </cell>
          <cell r="F165" t="str">
            <v>PVN-004077</v>
          </cell>
          <cell r="G165" t="str">
            <v>OrthoLite X-55 RED/19-1764TPX Flat Sheet 0.16D 25+/-4 Asker C 1.1M 2M 5.2mm</v>
          </cell>
          <cell r="H165">
            <v>182</v>
          </cell>
          <cell r="I165">
            <v>182</v>
          </cell>
          <cell r="J165">
            <v>182</v>
          </cell>
          <cell r="K165">
            <v>0</v>
          </cell>
          <cell r="L165" t="str">
            <v>NEW BALANCE</v>
          </cell>
          <cell r="M165" t="str">
            <v>Pr.Sch.R</v>
          </cell>
          <cell r="N165" t="str">
            <v>MOLDED</v>
          </cell>
          <cell r="O165">
            <v>1</v>
          </cell>
          <cell r="P165">
            <v>46051</v>
          </cell>
          <cell r="Q165">
            <v>46083</v>
          </cell>
          <cell r="R165">
            <v>46080</v>
          </cell>
          <cell r="S165">
            <v>32</v>
          </cell>
          <cell r="T165">
            <v>5.2</v>
          </cell>
          <cell r="U165">
            <v>26</v>
          </cell>
          <cell r="V165">
            <v>7</v>
          </cell>
          <cell r="W165" t="e">
            <v>#N/A</v>
          </cell>
          <cell r="X165" t="str">
            <v>3-2026</v>
          </cell>
          <cell r="Y165" t="str">
            <v>Week 9</v>
          </cell>
          <cell r="Z165">
            <v>46076</v>
          </cell>
          <cell r="AA165">
            <v>0</v>
          </cell>
          <cell r="AB165">
            <v>3.8460000000000001E-2</v>
          </cell>
        </row>
        <row r="166">
          <cell r="A166" t="str">
            <v>F-2026-01-457</v>
          </cell>
          <cell r="B166"/>
          <cell r="C166" t="str">
            <v>RPRO-260129-0603</v>
          </cell>
          <cell r="D166" t="str">
            <v>Pro.sche.report 28.01</v>
          </cell>
          <cell r="E166" t="str">
            <v>BDB-000234</v>
          </cell>
          <cell r="F166" t="str">
            <v>PVN-003575</v>
          </cell>
          <cell r="G166" t="str">
            <v>OrthoLite X-30-Hybrid BROWN SUGAR/17-1134TPX Hybrid Flat Sheet 0.13D 25+/-4 Asker C 1.1M 2M 10mm</v>
          </cell>
          <cell r="H166">
            <v>13</v>
          </cell>
          <cell r="I166">
            <v>13</v>
          </cell>
          <cell r="J166">
            <v>13</v>
          </cell>
          <cell r="K166">
            <v>0</v>
          </cell>
          <cell r="L166" t="str">
            <v>ASICS</v>
          </cell>
          <cell r="M166" t="str">
            <v>Pr.Sch.R</v>
          </cell>
          <cell r="N166" t="str">
            <v>MOLDED</v>
          </cell>
          <cell r="O166">
            <v>1</v>
          </cell>
          <cell r="P166">
            <v>46051</v>
          </cell>
          <cell r="Q166">
            <v>46083</v>
          </cell>
          <cell r="R166">
            <v>46080</v>
          </cell>
          <cell r="S166">
            <v>32</v>
          </cell>
          <cell r="T166">
            <v>10</v>
          </cell>
          <cell r="U166">
            <v>13</v>
          </cell>
          <cell r="V166">
            <v>1</v>
          </cell>
          <cell r="W166" t="str">
            <v>0.13D</v>
          </cell>
          <cell r="X166" t="str">
            <v>3-2026</v>
          </cell>
          <cell r="Y166" t="str">
            <v>Week 9</v>
          </cell>
          <cell r="Z166">
            <v>46076</v>
          </cell>
          <cell r="AA166">
            <v>71</v>
          </cell>
          <cell r="AB166">
            <v>7.6920000000000002E-2</v>
          </cell>
        </row>
        <row r="167">
          <cell r="A167" t="str">
            <v>F-2026-01-459</v>
          </cell>
          <cell r="B167"/>
          <cell r="C167" t="str">
            <v>RPRO-260129-0605</v>
          </cell>
          <cell r="D167" t="str">
            <v>Pro.sche.report 28.01</v>
          </cell>
          <cell r="E167" t="str">
            <v>BDB-000175</v>
          </cell>
          <cell r="F167" t="str">
            <v>PVN-003018</v>
          </cell>
          <cell r="G167" t="str">
            <v>OrthoLite Ultra-Hybrid-Nike SEEDPEARL/12-0703TPX Hybrid Flat Sheet 0.085D 25+/-4 Asker C 1.1M 2M 2mm</v>
          </cell>
          <cell r="H167">
            <v>140</v>
          </cell>
          <cell r="I167">
            <v>140</v>
          </cell>
          <cell r="J167">
            <v>140</v>
          </cell>
          <cell r="K167">
            <v>0</v>
          </cell>
          <cell r="L167" t="str">
            <v>NIKE</v>
          </cell>
          <cell r="M167" t="str">
            <v>Pr.Sch.R</v>
          </cell>
          <cell r="N167" t="str">
            <v>DIE CUT</v>
          </cell>
          <cell r="O167">
            <v>1</v>
          </cell>
          <cell r="P167">
            <v>46051</v>
          </cell>
          <cell r="Q167">
            <v>46081</v>
          </cell>
          <cell r="R167">
            <v>46078</v>
          </cell>
          <cell r="S167">
            <v>30</v>
          </cell>
          <cell r="T167">
            <v>2</v>
          </cell>
          <cell r="U167">
            <v>70</v>
          </cell>
          <cell r="V167">
            <v>3</v>
          </cell>
          <cell r="W167" t="str">
            <v>0.085D</v>
          </cell>
          <cell r="X167" t="str">
            <v>2-2026</v>
          </cell>
          <cell r="Y167" t="str">
            <v>Week 9</v>
          </cell>
          <cell r="Z167">
            <v>46076</v>
          </cell>
          <cell r="AA167">
            <v>16</v>
          </cell>
          <cell r="AB167">
            <v>1.4290000000000001E-2</v>
          </cell>
        </row>
        <row r="168">
          <cell r="A168" t="str">
            <v>F-2026-01-461</v>
          </cell>
          <cell r="B168"/>
          <cell r="C168" t="str">
            <v>RPRO-260130-0007</v>
          </cell>
          <cell r="D168" t="str">
            <v>Pro.sche.report 28.01</v>
          </cell>
          <cell r="E168" t="str">
            <v>BDB-000235</v>
          </cell>
          <cell r="F168" t="str">
            <v>PVN-003576</v>
          </cell>
          <cell r="G168" t="str">
            <v>OrthoLite X-55-Hybrid FOSSIL/17-0909TPX Hybrid Flat Sheet 0.16D 25+/-4 Asker C 1.1M 1.7M 12mm</v>
          </cell>
          <cell r="H168">
            <v>1232</v>
          </cell>
          <cell r="I168">
            <v>1232</v>
          </cell>
          <cell r="J168">
            <v>1232</v>
          </cell>
          <cell r="K168">
            <v>0</v>
          </cell>
          <cell r="L168" t="str">
            <v>ASICS</v>
          </cell>
          <cell r="M168" t="str">
            <v>Pr.Sch.R</v>
          </cell>
          <cell r="N168" t="str">
            <v>MOLDED</v>
          </cell>
          <cell r="O168">
            <v>1</v>
          </cell>
          <cell r="P168">
            <v>46051</v>
          </cell>
          <cell r="Q168">
            <v>46083</v>
          </cell>
          <cell r="R168">
            <v>46080</v>
          </cell>
          <cell r="S168">
            <v>32</v>
          </cell>
          <cell r="T168">
            <v>12</v>
          </cell>
          <cell r="U168">
            <v>11.5</v>
          </cell>
          <cell r="V168">
            <v>108</v>
          </cell>
          <cell r="W168" t="str">
            <v>0.16D</v>
          </cell>
          <cell r="X168" t="str">
            <v>3-2026</v>
          </cell>
          <cell r="Y168" t="str">
            <v>Week 9</v>
          </cell>
          <cell r="Z168">
            <v>46076</v>
          </cell>
          <cell r="AA168">
            <v>0</v>
          </cell>
          <cell r="AB168">
            <v>8.6959999999999996E-2</v>
          </cell>
        </row>
        <row r="169">
          <cell r="A169" t="str">
            <v>F-2026-01-462</v>
          </cell>
          <cell r="B169"/>
          <cell r="C169" t="str">
            <v>RPRO-260130-0074</v>
          </cell>
          <cell r="D169" t="str">
            <v>MPS 29.1</v>
          </cell>
          <cell r="E169" t="str">
            <v>BDB-000348</v>
          </cell>
          <cell r="F169" t="str">
            <v>PVN-004195</v>
          </cell>
          <cell r="G169" t="str">
            <v>OrthoLite IMPERIAL SEEDPEARL/12-0703TPX Flat Sheet 0.22D 25+/-4 Asker C 1.1M 1.47M 4mm</v>
          </cell>
          <cell r="H169">
            <v>105</v>
          </cell>
          <cell r="I169">
            <v>105</v>
          </cell>
          <cell r="J169">
            <v>105</v>
          </cell>
          <cell r="K169">
            <v>0</v>
          </cell>
          <cell r="L169"/>
          <cell r="M169" t="str">
            <v>MPS</v>
          </cell>
          <cell r="N169" t="str">
            <v>SPLITTING</v>
          </cell>
          <cell r="O169">
            <v>2</v>
          </cell>
          <cell r="P169">
            <v>46052</v>
          </cell>
          <cell r="Q169">
            <v>46081</v>
          </cell>
          <cell r="R169">
            <v>46078</v>
          </cell>
          <cell r="S169">
            <v>29</v>
          </cell>
          <cell r="T169">
            <v>4</v>
          </cell>
          <cell r="U169">
            <v>35</v>
          </cell>
          <cell r="V169">
            <v>3</v>
          </cell>
          <cell r="W169" t="e">
            <v>#N/A</v>
          </cell>
          <cell r="X169" t="str">
            <v>2-2026</v>
          </cell>
          <cell r="Y169" t="str">
            <v>Week 9</v>
          </cell>
          <cell r="Z169">
            <v>46076</v>
          </cell>
          <cell r="AA169">
            <v>43</v>
          </cell>
          <cell r="AB169">
            <v>2.8570000000000002E-2</v>
          </cell>
        </row>
        <row r="170">
          <cell r="A170" t="str">
            <v>F-2026-01-465</v>
          </cell>
          <cell r="B170"/>
          <cell r="C170" t="str">
            <v>RPRO-260130-0077</v>
          </cell>
          <cell r="D170" t="str">
            <v>MPS 29.1</v>
          </cell>
          <cell r="E170" t="str">
            <v>BDB-000286</v>
          </cell>
          <cell r="F170" t="str">
            <v>PVN-003864</v>
          </cell>
          <cell r="G170" t="str">
            <v>OrthoLite Regular-Hybrid SEEDPEARL/12-0703TPX Hybrid Flat Sheet 0.13D 25+/-4 Asker C 1.1M 1.7M 3mm</v>
          </cell>
          <cell r="H170">
            <v>276</v>
          </cell>
          <cell r="I170">
            <v>276</v>
          </cell>
          <cell r="J170">
            <v>276</v>
          </cell>
          <cell r="K170">
            <v>0</v>
          </cell>
          <cell r="L170"/>
          <cell r="M170" t="str">
            <v>MPS</v>
          </cell>
          <cell r="N170" t="str">
            <v>SPLITTING</v>
          </cell>
          <cell r="O170">
            <v>2</v>
          </cell>
          <cell r="P170">
            <v>46052</v>
          </cell>
          <cell r="Q170">
            <v>46086</v>
          </cell>
          <cell r="R170">
            <v>46083</v>
          </cell>
          <cell r="S170">
            <v>34</v>
          </cell>
          <cell r="T170">
            <v>3</v>
          </cell>
          <cell r="U170">
            <v>46</v>
          </cell>
          <cell r="V170">
            <v>7</v>
          </cell>
          <cell r="W170" t="str">
            <v>0.13D</v>
          </cell>
          <cell r="X170" t="str">
            <v>3-2026</v>
          </cell>
          <cell r="Y170" t="str">
            <v>Week 9</v>
          </cell>
          <cell r="Z170">
            <v>46076</v>
          </cell>
          <cell r="AA170">
            <v>47</v>
          </cell>
          <cell r="AB170">
            <v>2.1739999999999999E-2</v>
          </cell>
        </row>
        <row r="171">
          <cell r="A171" t="str">
            <v>F-2026-01-466</v>
          </cell>
          <cell r="B171"/>
          <cell r="C171" t="str">
            <v>RPRO-260130-0078</v>
          </cell>
          <cell r="D171" t="str">
            <v>MPS 29.1</v>
          </cell>
          <cell r="E171" t="str">
            <v>BDB-000286</v>
          </cell>
          <cell r="F171" t="str">
            <v>PVN-003913</v>
          </cell>
          <cell r="G171" t="str">
            <v>OrthoLite Regular-Hybrid SEEDPEARL/12-0703TPX Hybrid Flat Sheet 0.13D 25+/-4 Asker C 1.1M 1.7M 4mm</v>
          </cell>
          <cell r="H171">
            <v>105</v>
          </cell>
          <cell r="I171">
            <v>105</v>
          </cell>
          <cell r="J171">
            <v>105</v>
          </cell>
          <cell r="K171">
            <v>0</v>
          </cell>
          <cell r="L171"/>
          <cell r="M171" t="str">
            <v>MPS</v>
          </cell>
          <cell r="N171" t="str">
            <v>SPLITTING</v>
          </cell>
          <cell r="O171">
            <v>2</v>
          </cell>
          <cell r="P171">
            <v>46052</v>
          </cell>
          <cell r="Q171">
            <v>46086</v>
          </cell>
          <cell r="R171">
            <v>46083</v>
          </cell>
          <cell r="S171">
            <v>34</v>
          </cell>
          <cell r="T171">
            <v>4</v>
          </cell>
          <cell r="U171">
            <v>35</v>
          </cell>
          <cell r="V171">
            <v>3</v>
          </cell>
          <cell r="W171" t="str">
            <v>0.13D</v>
          </cell>
          <cell r="X171" t="str">
            <v>3-2026</v>
          </cell>
          <cell r="Y171" t="str">
            <v>Week 9</v>
          </cell>
          <cell r="Z171">
            <v>46076</v>
          </cell>
          <cell r="AA171">
            <v>0</v>
          </cell>
          <cell r="AB171">
            <v>2.8570000000000002E-2</v>
          </cell>
        </row>
        <row r="172">
          <cell r="A172" t="str">
            <v>F-2026-01-467</v>
          </cell>
          <cell r="B172"/>
          <cell r="C172" t="str">
            <v>RPRO-260130-0079</v>
          </cell>
          <cell r="D172" t="str">
            <v>Pro.sche.report 29.1</v>
          </cell>
          <cell r="E172" t="str">
            <v>BDB-000076</v>
          </cell>
          <cell r="F172" t="str">
            <v>PVN-003448</v>
          </cell>
          <cell r="G172" t="str">
            <v>OrthoLite X-25 BILLIARD/16-5427TPX Flat Sheet 0.12D 20+/-4 Asker C 1.1M 2M 6.2mm</v>
          </cell>
          <cell r="H172">
            <v>792</v>
          </cell>
          <cell r="I172">
            <v>792</v>
          </cell>
          <cell r="J172">
            <v>792</v>
          </cell>
          <cell r="K172">
            <v>0</v>
          </cell>
          <cell r="L172" t="str">
            <v>ADIDAS</v>
          </cell>
          <cell r="M172" t="str">
            <v>Pr.Sch.R</v>
          </cell>
          <cell r="N172" t="str">
            <v>MOLDED</v>
          </cell>
          <cell r="O172">
            <v>1</v>
          </cell>
          <cell r="P172">
            <v>46052</v>
          </cell>
          <cell r="Q172">
            <v>46086</v>
          </cell>
          <cell r="R172">
            <v>46083</v>
          </cell>
          <cell r="S172">
            <v>34</v>
          </cell>
          <cell r="T172">
            <v>6.2</v>
          </cell>
          <cell r="U172">
            <v>22</v>
          </cell>
          <cell r="V172">
            <v>36</v>
          </cell>
          <cell r="W172" t="str">
            <v>0.12D</v>
          </cell>
          <cell r="X172" t="str">
            <v>3-2026</v>
          </cell>
          <cell r="Y172" t="str">
            <v>Week 9</v>
          </cell>
          <cell r="Z172">
            <v>46076</v>
          </cell>
          <cell r="AA172">
            <v>0</v>
          </cell>
          <cell r="AB172">
            <v>4.5449999999999997E-2</v>
          </cell>
        </row>
        <row r="173">
          <cell r="A173" t="str">
            <v>F-2026-01-470</v>
          </cell>
          <cell r="B173"/>
          <cell r="C173" t="str">
            <v>RPRO-260130-0082</v>
          </cell>
          <cell r="D173" t="str">
            <v>Pro.sche.report 29.1</v>
          </cell>
          <cell r="E173" t="str">
            <v>BDB-000157</v>
          </cell>
          <cell r="F173" t="str">
            <v>PVN-004083</v>
          </cell>
          <cell r="G173" t="str">
            <v>OrthoLite X-35-Hybrid-Nike SEEDPEARL/12-0703TPX Hybrid Flat Sheet 0.145D 25+/-4 Asker C 1.1M 2M 4mm</v>
          </cell>
          <cell r="H173">
            <v>70</v>
          </cell>
          <cell r="I173">
            <v>70</v>
          </cell>
          <cell r="J173">
            <v>70</v>
          </cell>
          <cell r="K173">
            <v>0</v>
          </cell>
          <cell r="L173" t="str">
            <v>NIKE</v>
          </cell>
          <cell r="M173" t="str">
            <v>Pr.Sch.R</v>
          </cell>
          <cell r="N173" t="str">
            <v>DIE CUT</v>
          </cell>
          <cell r="O173">
            <v>1</v>
          </cell>
          <cell r="P173">
            <v>46052</v>
          </cell>
          <cell r="Q173">
            <v>46085</v>
          </cell>
          <cell r="R173">
            <v>46082</v>
          </cell>
          <cell r="S173">
            <v>33</v>
          </cell>
          <cell r="T173">
            <v>4</v>
          </cell>
          <cell r="U173">
            <v>35</v>
          </cell>
          <cell r="V173">
            <v>2</v>
          </cell>
          <cell r="W173" t="str">
            <v>0.145D</v>
          </cell>
          <cell r="X173" t="str">
            <v>3-2026</v>
          </cell>
          <cell r="Y173" t="str">
            <v>Week 9</v>
          </cell>
          <cell r="Z173">
            <v>46076</v>
          </cell>
          <cell r="AA173">
            <v>111</v>
          </cell>
          <cell r="AB173">
            <v>2.8570000000000002E-2</v>
          </cell>
        </row>
        <row r="174">
          <cell r="A174" t="str">
            <v>F-2026-01-471</v>
          </cell>
          <cell r="B174"/>
          <cell r="C174" t="str">
            <v>RPRO-260130-0083</v>
          </cell>
          <cell r="D174" t="str">
            <v>Pro.sche.report 29.1</v>
          </cell>
          <cell r="E174" t="str">
            <v>BDB-000314</v>
          </cell>
          <cell r="F174" t="str">
            <v>PVN-004066</v>
          </cell>
          <cell r="G174" t="str">
            <v>OrthoLite Regular NEUTRAL GRAY/17-4402TPX Flat Sheet 0.16D 51+/-4 Asker C 1.1M 1.7M 9.5mm</v>
          </cell>
          <cell r="H174">
            <v>28</v>
          </cell>
          <cell r="I174">
            <v>28</v>
          </cell>
          <cell r="J174">
            <v>28</v>
          </cell>
          <cell r="K174">
            <v>0</v>
          </cell>
          <cell r="L174" t="str">
            <v>FOOTJOY</v>
          </cell>
          <cell r="M174" t="str">
            <v>Pr.Sch.R</v>
          </cell>
          <cell r="N174" t="str">
            <v>MOLDED</v>
          </cell>
          <cell r="O174">
            <v>1</v>
          </cell>
          <cell r="P174">
            <v>46052</v>
          </cell>
          <cell r="Q174">
            <v>46083</v>
          </cell>
          <cell r="R174">
            <v>46080</v>
          </cell>
          <cell r="S174">
            <v>31</v>
          </cell>
          <cell r="T174">
            <v>9.5</v>
          </cell>
          <cell r="U174">
            <v>14</v>
          </cell>
          <cell r="V174">
            <v>3</v>
          </cell>
          <cell r="W174" t="e">
            <v>#N/A</v>
          </cell>
          <cell r="X174" t="str">
            <v>3-2026</v>
          </cell>
          <cell r="Y174" t="str">
            <v>Week 9</v>
          </cell>
          <cell r="Z174">
            <v>46076</v>
          </cell>
          <cell r="AA174">
            <v>0</v>
          </cell>
          <cell r="AB174">
            <v>7.1429999999999993E-2</v>
          </cell>
        </row>
        <row r="175">
          <cell r="A175" t="str">
            <v>F-2026-01-472</v>
          </cell>
          <cell r="B175"/>
          <cell r="C175" t="str">
            <v>RPRO-260130-0084</v>
          </cell>
          <cell r="D175" t="str">
            <v>Pro.sche.report 29.1</v>
          </cell>
          <cell r="E175" t="str">
            <v>BDB-000262</v>
          </cell>
          <cell r="F175" t="str">
            <v>PVN-003816</v>
          </cell>
          <cell r="G175" t="str">
            <v>OrthoLite Ultra-Hybrid SEEDPEARL/12-0703TPX Hybrid Flat Sheet 0.085D 78-90 Asker F 1.1M 2M 2.5mm</v>
          </cell>
          <cell r="H175">
            <v>112</v>
          </cell>
          <cell r="I175">
            <v>112</v>
          </cell>
          <cell r="J175">
            <v>112</v>
          </cell>
          <cell r="K175">
            <v>0</v>
          </cell>
          <cell r="L175" t="str">
            <v>FOOTJOY</v>
          </cell>
          <cell r="M175" t="str">
            <v>Pr.Sch.R</v>
          </cell>
          <cell r="N175" t="str">
            <v>DIE CUT</v>
          </cell>
          <cell r="O175">
            <v>1</v>
          </cell>
          <cell r="P175">
            <v>46052</v>
          </cell>
          <cell r="Q175">
            <v>46087</v>
          </cell>
          <cell r="R175">
            <v>46084</v>
          </cell>
          <cell r="S175">
            <v>35</v>
          </cell>
          <cell r="T175">
            <v>2.5</v>
          </cell>
          <cell r="U175">
            <v>56</v>
          </cell>
          <cell r="V175">
            <v>3</v>
          </cell>
          <cell r="W175" t="str">
            <v>0.085D</v>
          </cell>
          <cell r="X175" t="str">
            <v>3-2026</v>
          </cell>
          <cell r="Y175" t="str">
            <v>Week 9</v>
          </cell>
          <cell r="Z175">
            <v>46076</v>
          </cell>
          <cell r="AA175">
            <v>0</v>
          </cell>
          <cell r="AB175">
            <v>1.7860000000000001E-2</v>
          </cell>
        </row>
        <row r="176">
          <cell r="A176" t="str">
            <v>F-2026-01-475</v>
          </cell>
          <cell r="B176"/>
          <cell r="C176" t="str">
            <v>RPRO-260130-0087</v>
          </cell>
          <cell r="D176" t="str">
            <v>Pro.sche.report 29.1</v>
          </cell>
          <cell r="E176" t="str">
            <v>BDB-000145</v>
          </cell>
          <cell r="F176" t="str">
            <v>PVN-002811</v>
          </cell>
          <cell r="G176" t="str">
            <v>OrthoLite Regular-Hybrid-Nike YELLOW/13-0858TPX Hybrid Flat Sheet 0.11D 25+/-4 Asker C 1.1M 1.7M 2mm</v>
          </cell>
          <cell r="H176">
            <v>210</v>
          </cell>
          <cell r="I176">
            <v>210</v>
          </cell>
          <cell r="J176">
            <v>210</v>
          </cell>
          <cell r="K176">
            <v>0</v>
          </cell>
          <cell r="L176" t="str">
            <v>NIKE</v>
          </cell>
          <cell r="M176" t="str">
            <v>Pr.Sch.R</v>
          </cell>
          <cell r="N176" t="str">
            <v>DIE CUT</v>
          </cell>
          <cell r="O176">
            <v>1</v>
          </cell>
          <cell r="P176">
            <v>46052</v>
          </cell>
          <cell r="Q176">
            <v>46081</v>
          </cell>
          <cell r="R176">
            <v>46078</v>
          </cell>
          <cell r="S176">
            <v>29</v>
          </cell>
          <cell r="T176">
            <v>2</v>
          </cell>
          <cell r="U176">
            <v>70</v>
          </cell>
          <cell r="V176">
            <v>4</v>
          </cell>
          <cell r="W176" t="str">
            <v>0.11D</v>
          </cell>
          <cell r="X176" t="str">
            <v>2-2026</v>
          </cell>
          <cell r="Y176" t="str">
            <v>Week 9</v>
          </cell>
          <cell r="Z176">
            <v>46076</v>
          </cell>
          <cell r="AA176">
            <v>10</v>
          </cell>
          <cell r="AB176">
            <v>1.4290000000000001E-2</v>
          </cell>
        </row>
        <row r="177">
          <cell r="A177" t="str">
            <v>F-2026-01-476</v>
          </cell>
          <cell r="B177"/>
          <cell r="C177" t="str">
            <v>RPRO-260130-0088</v>
          </cell>
          <cell r="D177" t="str">
            <v>Pro.sche.report 29.1</v>
          </cell>
          <cell r="E177" t="str">
            <v>BDB-000076</v>
          </cell>
          <cell r="F177" t="str">
            <v>PVN-004091</v>
          </cell>
          <cell r="G177" t="str">
            <v>OrthoLite X-25 BILLIARD/16-5427TPX Flat Sheet 0.12D 20+/-4 Asker C 1.1M 2M 3.5mm</v>
          </cell>
          <cell r="H177">
            <v>240</v>
          </cell>
          <cell r="I177">
            <v>240</v>
          </cell>
          <cell r="J177">
            <v>240</v>
          </cell>
          <cell r="K177">
            <v>0</v>
          </cell>
          <cell r="L177" t="str">
            <v>BROOKS</v>
          </cell>
          <cell r="M177" t="str">
            <v>Pr.Sch.R</v>
          </cell>
          <cell r="N177" t="str">
            <v>MOLDED</v>
          </cell>
          <cell r="O177">
            <v>1</v>
          </cell>
          <cell r="P177">
            <v>46052</v>
          </cell>
          <cell r="Q177">
            <v>46087</v>
          </cell>
          <cell r="R177">
            <v>46084</v>
          </cell>
          <cell r="S177">
            <v>35</v>
          </cell>
          <cell r="T177">
            <v>3.5</v>
          </cell>
          <cell r="U177">
            <v>40</v>
          </cell>
          <cell r="V177">
            <v>6</v>
          </cell>
          <cell r="W177" t="str">
            <v>0.12D</v>
          </cell>
          <cell r="X177" t="str">
            <v>3-2026</v>
          </cell>
          <cell r="Y177" t="str">
            <v>Week 9</v>
          </cell>
          <cell r="Z177">
            <v>46076</v>
          </cell>
          <cell r="AA177">
            <v>0</v>
          </cell>
          <cell r="AB177">
            <v>2.5000000000000001E-2</v>
          </cell>
        </row>
        <row r="178">
          <cell r="A178" t="str">
            <v>F-2026-01-477</v>
          </cell>
          <cell r="B178"/>
          <cell r="C178" t="str">
            <v>RPRO-260130-0089</v>
          </cell>
          <cell r="D178" t="str">
            <v>Pro.sche.report 29.1</v>
          </cell>
          <cell r="E178" t="str">
            <v>BDB-000088</v>
          </cell>
          <cell r="F178" t="str">
            <v>PVN-001104</v>
          </cell>
          <cell r="G178" t="str">
            <v>OrthoLite Eco LT RED/19-1764TPX Flat Sheet 0.11D 25+/-4 Asker C 1.1M 2M 4mm</v>
          </cell>
          <cell r="H178">
            <v>280</v>
          </cell>
          <cell r="I178">
            <v>280</v>
          </cell>
          <cell r="J178">
            <v>280</v>
          </cell>
          <cell r="K178">
            <v>0</v>
          </cell>
          <cell r="L178" t="str">
            <v>THE NORTH FACE</v>
          </cell>
          <cell r="M178" t="str">
            <v>Pr.Sch.R</v>
          </cell>
          <cell r="N178" t="str">
            <v>DIE CUT</v>
          </cell>
          <cell r="O178">
            <v>1</v>
          </cell>
          <cell r="P178">
            <v>46052</v>
          </cell>
          <cell r="Q178">
            <v>46081</v>
          </cell>
          <cell r="R178">
            <v>46078</v>
          </cell>
          <cell r="S178">
            <v>29</v>
          </cell>
          <cell r="T178">
            <v>4</v>
          </cell>
          <cell r="U178">
            <v>35</v>
          </cell>
          <cell r="V178">
            <v>8</v>
          </cell>
          <cell r="W178" t="str">
            <v>0.11D</v>
          </cell>
          <cell r="X178" t="str">
            <v>2-2026</v>
          </cell>
          <cell r="Y178" t="str">
            <v>Week 9</v>
          </cell>
          <cell r="Z178">
            <v>46076</v>
          </cell>
          <cell r="AA178">
            <v>0</v>
          </cell>
          <cell r="AB178">
            <v>2.8570000000000002E-2</v>
          </cell>
        </row>
        <row r="179">
          <cell r="A179" t="str">
            <v>F-2026-01-478</v>
          </cell>
          <cell r="B179"/>
          <cell r="C179" t="str">
            <v>FPRO-260130-0001</v>
          </cell>
          <cell r="D179" t="str">
            <v>Firm plan 30.01</v>
          </cell>
          <cell r="E179" t="str">
            <v>BDB-000011</v>
          </cell>
          <cell r="F179" t="str">
            <v>PVN-000121</v>
          </cell>
          <cell r="G179" t="str">
            <v>OrthoLite Regular AIR BLUE/16-4134TPX Flat Sheet 0.13D 35+/-4 Asker C 1.1M 2M 12mm</v>
          </cell>
          <cell r="H179">
            <v>500</v>
          </cell>
          <cell r="I179">
            <v>500</v>
          </cell>
          <cell r="J179">
            <v>500</v>
          </cell>
          <cell r="K179">
            <v>0</v>
          </cell>
          <cell r="L179" t="str">
            <v>ASICS</v>
          </cell>
          <cell r="M179" t="str">
            <v>Forecast</v>
          </cell>
          <cell r="N179" t="str">
            <v>MOLDED</v>
          </cell>
          <cell r="O179">
            <v>1</v>
          </cell>
          <cell r="P179">
            <v>46052</v>
          </cell>
          <cell r="Q179">
            <v>46090</v>
          </cell>
          <cell r="R179">
            <v>46087</v>
          </cell>
          <cell r="S179">
            <v>38</v>
          </cell>
          <cell r="T179">
            <v>12</v>
          </cell>
          <cell r="U179">
            <v>11.5</v>
          </cell>
          <cell r="V179">
            <v>44</v>
          </cell>
          <cell r="W179" t="str">
            <v>0.13D</v>
          </cell>
          <cell r="X179" t="str">
            <v>3-2026</v>
          </cell>
          <cell r="Y179" t="str">
            <v>Week 10</v>
          </cell>
          <cell r="Z179">
            <v>46083</v>
          </cell>
          <cell r="AA179">
            <v>8</v>
          </cell>
          <cell r="AB179">
            <v>8.6959999999999996E-2</v>
          </cell>
        </row>
        <row r="180">
          <cell r="A180" t="str">
            <v>F-2026-01-479</v>
          </cell>
          <cell r="B180"/>
          <cell r="C180" t="str">
            <v>FPRO-260130-0002</v>
          </cell>
          <cell r="D180" t="str">
            <v>Firm plan 30.01</v>
          </cell>
          <cell r="E180" t="str">
            <v>BDB-000011</v>
          </cell>
          <cell r="F180" t="str">
            <v>PVN-000121</v>
          </cell>
          <cell r="G180" t="str">
            <v>OrthoLite Regular AIR BLUE/16-4134TPX Flat Sheet 0.13D 35+/-4 Asker C 1.1M 2M 12mm</v>
          </cell>
          <cell r="H180">
            <v>500</v>
          </cell>
          <cell r="I180">
            <v>500</v>
          </cell>
          <cell r="J180">
            <v>500</v>
          </cell>
          <cell r="K180">
            <v>0</v>
          </cell>
          <cell r="L180" t="str">
            <v>ASICS</v>
          </cell>
          <cell r="M180" t="str">
            <v>Forecast</v>
          </cell>
          <cell r="N180" t="str">
            <v>MOLDED</v>
          </cell>
          <cell r="O180">
            <v>1</v>
          </cell>
          <cell r="P180">
            <v>46052</v>
          </cell>
          <cell r="Q180">
            <v>46094</v>
          </cell>
          <cell r="R180">
            <v>46091</v>
          </cell>
          <cell r="S180">
            <v>42</v>
          </cell>
          <cell r="T180">
            <v>12</v>
          </cell>
          <cell r="U180">
            <v>11.5</v>
          </cell>
          <cell r="V180">
            <v>44</v>
          </cell>
          <cell r="W180" t="str">
            <v>0.13D</v>
          </cell>
          <cell r="X180" t="str">
            <v>3-2026</v>
          </cell>
          <cell r="Y180" t="str">
            <v>Week 11</v>
          </cell>
          <cell r="Z180">
            <v>46090</v>
          </cell>
          <cell r="AA180">
            <v>8</v>
          </cell>
          <cell r="AB180">
            <v>8.6959999999999996E-2</v>
          </cell>
        </row>
        <row r="181">
          <cell r="A181" t="str">
            <v>F-2026-01-480</v>
          </cell>
          <cell r="B181"/>
          <cell r="C181" t="str">
            <v>FPRO-260130-0003</v>
          </cell>
          <cell r="D181" t="str">
            <v>Firm plan 30.01</v>
          </cell>
          <cell r="E181" t="str">
            <v>BDB-000011</v>
          </cell>
          <cell r="F181" t="str">
            <v>PVN-000242</v>
          </cell>
          <cell r="G181" t="str">
            <v>OrthoLite Regular AIR BLUE/16-4134TPX Flat Sheet 0.13D 35+/-4 Asker C 1.1M 2M 2mm</v>
          </cell>
          <cell r="H181">
            <v>1400</v>
          </cell>
          <cell r="I181">
            <v>1400</v>
          </cell>
          <cell r="J181">
            <v>1400</v>
          </cell>
          <cell r="K181">
            <v>0</v>
          </cell>
          <cell r="L181" t="str">
            <v>ASICS</v>
          </cell>
          <cell r="M181" t="str">
            <v>Forecast</v>
          </cell>
          <cell r="N181" t="str">
            <v>SPLITTING</v>
          </cell>
          <cell r="O181">
            <v>2</v>
          </cell>
          <cell r="P181">
            <v>46052</v>
          </cell>
          <cell r="Q181">
            <v>46085</v>
          </cell>
          <cell r="R181">
            <v>46082</v>
          </cell>
          <cell r="S181">
            <v>33</v>
          </cell>
          <cell r="T181">
            <v>2</v>
          </cell>
          <cell r="U181">
            <v>70</v>
          </cell>
          <cell r="V181">
            <v>21</v>
          </cell>
          <cell r="W181" t="str">
            <v>0.13D</v>
          </cell>
          <cell r="X181" t="str">
            <v>3-2026</v>
          </cell>
          <cell r="Y181" t="str">
            <v>Week 9</v>
          </cell>
          <cell r="Z181">
            <v>46076</v>
          </cell>
          <cell r="AA181">
            <v>36</v>
          </cell>
          <cell r="AB181">
            <v>1.4290000000000001E-2</v>
          </cell>
        </row>
        <row r="182">
          <cell r="A182" t="str">
            <v>F-2026-01-481</v>
          </cell>
          <cell r="B182"/>
          <cell r="C182" t="str">
            <v>FPRO-260130-0004</v>
          </cell>
          <cell r="D182" t="str">
            <v>Firm plan 30.01</v>
          </cell>
          <cell r="E182" t="str">
            <v>BDB-000011</v>
          </cell>
          <cell r="F182" t="str">
            <v>PVN-000242</v>
          </cell>
          <cell r="G182" t="str">
            <v>OrthoLite Regular AIR BLUE/16-4134TPX Flat Sheet 0.13D 35+/-4 Asker C 1.1M 2M 2mm</v>
          </cell>
          <cell r="H182">
            <v>1000</v>
          </cell>
          <cell r="I182">
            <v>1000</v>
          </cell>
          <cell r="J182">
            <v>1000</v>
          </cell>
          <cell r="K182">
            <v>0</v>
          </cell>
          <cell r="L182" t="str">
            <v>ASICS</v>
          </cell>
          <cell r="M182" t="str">
            <v>Forecast</v>
          </cell>
          <cell r="N182" t="str">
            <v>SPLITTING</v>
          </cell>
          <cell r="O182">
            <v>2</v>
          </cell>
          <cell r="P182">
            <v>46052</v>
          </cell>
          <cell r="Q182">
            <v>46097</v>
          </cell>
          <cell r="R182">
            <v>46094</v>
          </cell>
          <cell r="S182">
            <v>45</v>
          </cell>
          <cell r="T182">
            <v>2</v>
          </cell>
          <cell r="U182">
            <v>70</v>
          </cell>
          <cell r="V182">
            <v>15</v>
          </cell>
          <cell r="W182" t="str">
            <v>0.13D</v>
          </cell>
          <cell r="X182" t="str">
            <v>3-2026</v>
          </cell>
          <cell r="Y182" t="str">
            <v>Week 11</v>
          </cell>
          <cell r="Z182">
            <v>46090</v>
          </cell>
          <cell r="AA182">
            <v>108</v>
          </cell>
          <cell r="AB182">
            <v>1.4290000000000001E-2</v>
          </cell>
        </row>
        <row r="183">
          <cell r="A183" t="str">
            <v>F-2026-01-482</v>
          </cell>
          <cell r="B183"/>
          <cell r="C183" t="str">
            <v>FPRO-260130-0005</v>
          </cell>
          <cell r="D183" t="str">
            <v>Firm plan 30.01</v>
          </cell>
          <cell r="E183" t="str">
            <v>BDB-000011</v>
          </cell>
          <cell r="F183" t="str">
            <v>PVN-000242</v>
          </cell>
          <cell r="G183" t="str">
            <v>OrthoLite Regular AIR BLUE/16-4134TPX Flat Sheet 0.13D 35+/-4 Asker C 1.1M 2M 2mm</v>
          </cell>
          <cell r="H183">
            <v>1000</v>
          </cell>
          <cell r="I183">
            <v>1000</v>
          </cell>
          <cell r="J183">
            <v>1000</v>
          </cell>
          <cell r="K183">
            <v>0</v>
          </cell>
          <cell r="L183" t="str">
            <v>ASICS</v>
          </cell>
          <cell r="M183" t="str">
            <v>Forecast</v>
          </cell>
          <cell r="N183" t="str">
            <v>SPLITTING</v>
          </cell>
          <cell r="O183">
            <v>2</v>
          </cell>
          <cell r="P183">
            <v>46052</v>
          </cell>
          <cell r="Q183">
            <v>46104</v>
          </cell>
          <cell r="R183">
            <v>46101</v>
          </cell>
          <cell r="S183">
            <v>52</v>
          </cell>
          <cell r="T183">
            <v>2</v>
          </cell>
          <cell r="U183">
            <v>70</v>
          </cell>
          <cell r="V183">
            <v>15</v>
          </cell>
          <cell r="W183" t="str">
            <v>0.13D</v>
          </cell>
          <cell r="X183" t="str">
            <v>3-2026</v>
          </cell>
          <cell r="Y183" t="str">
            <v>Week 12</v>
          </cell>
          <cell r="Z183">
            <v>46097</v>
          </cell>
          <cell r="AA183">
            <v>108</v>
          </cell>
          <cell r="AB183">
            <v>1.4290000000000001E-2</v>
          </cell>
        </row>
        <row r="184">
          <cell r="A184" t="str">
            <v>F-2026-01-483</v>
          </cell>
          <cell r="B184"/>
          <cell r="C184" t="str">
            <v>FPRO-260130-0006</v>
          </cell>
          <cell r="D184" t="str">
            <v>Firm plan 30.01</v>
          </cell>
          <cell r="E184" t="str">
            <v>BDB-000011</v>
          </cell>
          <cell r="F184" t="str">
            <v>PVN-000242</v>
          </cell>
          <cell r="G184" t="str">
            <v>OrthoLite Regular AIR BLUE/16-4134TPX Flat Sheet 0.13D 35+/-4 Asker C 1.1M 2M 2mm</v>
          </cell>
          <cell r="H184">
            <v>1000</v>
          </cell>
          <cell r="I184">
            <v>1000</v>
          </cell>
          <cell r="J184">
            <v>0</v>
          </cell>
          <cell r="K184">
            <v>1000</v>
          </cell>
          <cell r="L184" t="str">
            <v>ASICS</v>
          </cell>
          <cell r="M184" t="str">
            <v>Forecast</v>
          </cell>
          <cell r="N184" t="str">
            <v>SPLITTING</v>
          </cell>
          <cell r="O184">
            <v>2</v>
          </cell>
          <cell r="P184">
            <v>46052</v>
          </cell>
          <cell r="Q184">
            <v>46175</v>
          </cell>
          <cell r="R184">
            <v>46172</v>
          </cell>
          <cell r="S184">
            <v>123</v>
          </cell>
          <cell r="T184">
            <v>2</v>
          </cell>
          <cell r="U184">
            <v>70</v>
          </cell>
          <cell r="V184">
            <v>15</v>
          </cell>
          <cell r="W184" t="str">
            <v>0.13D</v>
          </cell>
          <cell r="X184" t="str">
            <v>6-2026</v>
          </cell>
          <cell r="Y184" t="str">
            <v>Week 22</v>
          </cell>
          <cell r="Z184">
            <v>46167</v>
          </cell>
          <cell r="AA184">
            <v>47</v>
          </cell>
          <cell r="AB184">
            <v>1.4290000000000001E-2</v>
          </cell>
        </row>
        <row r="185">
          <cell r="A185" t="str">
            <v>F-2026-01-484</v>
          </cell>
          <cell r="B185"/>
          <cell r="C185" t="str">
            <v>FPRO-260130-0007</v>
          </cell>
          <cell r="D185" t="str">
            <v>Firm plan 30.01</v>
          </cell>
          <cell r="E185" t="str">
            <v>BDB-000011</v>
          </cell>
          <cell r="F185" t="str">
            <v>PVN-000258</v>
          </cell>
          <cell r="G185" t="str">
            <v>OrthoLite Regular AIR BLUE/16-4134TPX Flat Sheet 0.13D 35+/-4 Asker C 1.1M 2M 2.5mm</v>
          </cell>
          <cell r="H185">
            <v>2500</v>
          </cell>
          <cell r="I185">
            <v>2500</v>
          </cell>
          <cell r="J185">
            <v>2500</v>
          </cell>
          <cell r="K185">
            <v>0</v>
          </cell>
          <cell r="L185" t="str">
            <v>ASICS</v>
          </cell>
          <cell r="M185" t="str">
            <v>Forecast</v>
          </cell>
          <cell r="N185" t="str">
            <v>SPLITTING</v>
          </cell>
          <cell r="O185">
            <v>2</v>
          </cell>
          <cell r="P185">
            <v>46052</v>
          </cell>
          <cell r="Q185">
            <v>46087</v>
          </cell>
          <cell r="R185">
            <v>46084</v>
          </cell>
          <cell r="S185">
            <v>35</v>
          </cell>
          <cell r="T185">
            <v>2.5</v>
          </cell>
          <cell r="U185">
            <v>56</v>
          </cell>
          <cell r="V185">
            <v>45</v>
          </cell>
          <cell r="W185" t="str">
            <v>0.13D</v>
          </cell>
          <cell r="X185" t="str">
            <v>3-2026</v>
          </cell>
          <cell r="Y185" t="str">
            <v>Week 9</v>
          </cell>
          <cell r="Z185">
            <v>46076</v>
          </cell>
          <cell r="AA185">
            <v>47</v>
          </cell>
          <cell r="AB185">
            <v>1.7860000000000001E-2</v>
          </cell>
        </row>
        <row r="186">
          <cell r="A186" t="str">
            <v>F-2026-01-485</v>
          </cell>
          <cell r="B186"/>
          <cell r="C186" t="str">
            <v>FPRO-260130-0008</v>
          </cell>
          <cell r="D186" t="str">
            <v>Firm plan 30.01</v>
          </cell>
          <cell r="E186" t="str">
            <v>BDB-000011</v>
          </cell>
          <cell r="F186" t="str">
            <v>PVN-000258</v>
          </cell>
          <cell r="G186" t="str">
            <v>OrthoLite Regular AIR BLUE/16-4134TPX Flat Sheet 0.13D 35+/-4 Asker C 1.1M 2M 2.5mm</v>
          </cell>
          <cell r="H186">
            <v>2500</v>
          </cell>
          <cell r="I186">
            <v>2500</v>
          </cell>
          <cell r="J186">
            <v>2500</v>
          </cell>
          <cell r="K186">
            <v>0</v>
          </cell>
          <cell r="L186" t="str">
            <v>ASICS</v>
          </cell>
          <cell r="M186" t="str">
            <v>Forecast</v>
          </cell>
          <cell r="N186" t="str">
            <v>SPLITTING</v>
          </cell>
          <cell r="O186">
            <v>2</v>
          </cell>
          <cell r="P186">
            <v>46052</v>
          </cell>
          <cell r="Q186">
            <v>46094</v>
          </cell>
          <cell r="R186">
            <v>46091</v>
          </cell>
          <cell r="S186">
            <v>42</v>
          </cell>
          <cell r="T186">
            <v>2.5</v>
          </cell>
          <cell r="U186">
            <v>56</v>
          </cell>
          <cell r="V186">
            <v>45</v>
          </cell>
          <cell r="W186" t="str">
            <v>0.13D</v>
          </cell>
          <cell r="X186" t="str">
            <v>3-2026</v>
          </cell>
          <cell r="Y186" t="str">
            <v>Week 10</v>
          </cell>
          <cell r="Z186">
            <v>46083</v>
          </cell>
          <cell r="AA186">
            <v>47</v>
          </cell>
          <cell r="AB186">
            <v>1.7860000000000001E-2</v>
          </cell>
        </row>
        <row r="187">
          <cell r="A187" t="str">
            <v>F-2026-01-486</v>
          </cell>
          <cell r="B187"/>
          <cell r="C187" t="str">
            <v>FPRO-260130-0009</v>
          </cell>
          <cell r="D187" t="str">
            <v>Firm plan 30.01</v>
          </cell>
          <cell r="E187" t="str">
            <v>BDB-000011</v>
          </cell>
          <cell r="F187" t="str">
            <v>PVN-000258</v>
          </cell>
          <cell r="G187" t="str">
            <v>OrthoLite Regular AIR BLUE/16-4134TPX Flat Sheet 0.13D 35+/-4 Asker C 1.1M 2M 2.5mm</v>
          </cell>
          <cell r="H187">
            <v>2500</v>
          </cell>
          <cell r="I187">
            <v>2500</v>
          </cell>
          <cell r="J187">
            <v>0</v>
          </cell>
          <cell r="K187">
            <v>2500</v>
          </cell>
          <cell r="L187" t="str">
            <v>ASICS</v>
          </cell>
          <cell r="M187" t="str">
            <v>Forecast</v>
          </cell>
          <cell r="N187" t="str">
            <v>SPLITTING</v>
          </cell>
          <cell r="O187">
            <v>2</v>
          </cell>
          <cell r="P187">
            <v>46052</v>
          </cell>
          <cell r="Q187">
            <v>46160</v>
          </cell>
          <cell r="R187">
            <v>46157</v>
          </cell>
          <cell r="S187">
            <v>108</v>
          </cell>
          <cell r="T187">
            <v>2.5</v>
          </cell>
          <cell r="U187">
            <v>56</v>
          </cell>
          <cell r="V187">
            <v>45</v>
          </cell>
          <cell r="W187" t="str">
            <v>0.13D</v>
          </cell>
          <cell r="X187" t="str">
            <v>5-2026</v>
          </cell>
          <cell r="Y187" t="str">
            <v>Week 20</v>
          </cell>
          <cell r="Z187">
            <v>46153</v>
          </cell>
          <cell r="AA187">
            <v>47</v>
          </cell>
          <cell r="AB187">
            <v>1.7860000000000001E-2</v>
          </cell>
        </row>
        <row r="188">
          <cell r="A188" t="str">
            <v>F-2026-01-487</v>
          </cell>
          <cell r="B188"/>
          <cell r="C188" t="str">
            <v>FPRO-260130-0010</v>
          </cell>
          <cell r="D188" t="str">
            <v>Firm plan 30.01</v>
          </cell>
          <cell r="E188" t="str">
            <v>BDB-000011</v>
          </cell>
          <cell r="F188" t="str">
            <v>PVN-000258</v>
          </cell>
          <cell r="G188" t="str">
            <v>OrthoLite Regular AIR BLUE/16-4134TPX Flat Sheet 0.13D 35+/-4 Asker C 1.1M 2M 2.5mm</v>
          </cell>
          <cell r="H188">
            <v>2500</v>
          </cell>
          <cell r="I188">
            <v>2500</v>
          </cell>
          <cell r="J188">
            <v>2500</v>
          </cell>
          <cell r="K188">
            <v>0</v>
          </cell>
          <cell r="L188" t="str">
            <v>ASICS</v>
          </cell>
          <cell r="M188" t="str">
            <v>Forecast</v>
          </cell>
          <cell r="N188" t="str">
            <v>SPLITTING</v>
          </cell>
          <cell r="O188">
            <v>2</v>
          </cell>
          <cell r="P188">
            <v>46052</v>
          </cell>
          <cell r="Q188">
            <v>46109</v>
          </cell>
          <cell r="R188">
            <v>46106</v>
          </cell>
          <cell r="S188">
            <v>57</v>
          </cell>
          <cell r="T188">
            <v>2.5</v>
          </cell>
          <cell r="U188">
            <v>56</v>
          </cell>
          <cell r="V188">
            <v>45</v>
          </cell>
          <cell r="W188" t="str">
            <v>0.13D</v>
          </cell>
          <cell r="X188" t="str">
            <v>3-2026</v>
          </cell>
          <cell r="Y188" t="str">
            <v>Week 13</v>
          </cell>
          <cell r="Z188">
            <v>46104</v>
          </cell>
          <cell r="AA188">
            <v>85</v>
          </cell>
          <cell r="AB188">
            <v>1.7860000000000001E-2</v>
          </cell>
        </row>
        <row r="189">
          <cell r="A189" t="str">
            <v>F-2026-01-488</v>
          </cell>
          <cell r="B189"/>
          <cell r="C189" t="str">
            <v>FPRO-260130-0011</v>
          </cell>
          <cell r="D189" t="str">
            <v>Firm plan 30.01</v>
          </cell>
          <cell r="E189" t="str">
            <v>BDB-000011</v>
          </cell>
          <cell r="F189" t="str">
            <v>PVN-000258</v>
          </cell>
          <cell r="G189" t="str">
            <v>OrthoLite Regular AIR BLUE/16-4134TPX Flat Sheet 0.13D 35+/-4 Asker C 1.1M 2M 2.5mm</v>
          </cell>
          <cell r="H189">
            <v>2500</v>
          </cell>
          <cell r="I189">
            <v>2500</v>
          </cell>
          <cell r="J189">
            <v>0</v>
          </cell>
          <cell r="K189">
            <v>2500</v>
          </cell>
          <cell r="L189" t="str">
            <v>ASICS</v>
          </cell>
          <cell r="M189" t="str">
            <v>Forecast</v>
          </cell>
          <cell r="N189" t="str">
            <v>SPLITTING</v>
          </cell>
          <cell r="O189">
            <v>2</v>
          </cell>
          <cell r="P189">
            <v>46052</v>
          </cell>
          <cell r="Q189">
            <v>46125</v>
          </cell>
          <cell r="R189">
            <v>46122</v>
          </cell>
          <cell r="S189">
            <v>73</v>
          </cell>
          <cell r="T189">
            <v>2.5</v>
          </cell>
          <cell r="U189">
            <v>56</v>
          </cell>
          <cell r="V189">
            <v>45</v>
          </cell>
          <cell r="W189" t="str">
            <v>0.13D</v>
          </cell>
          <cell r="X189" t="str">
            <v>4-2026</v>
          </cell>
          <cell r="Y189" t="str">
            <v>Week 15</v>
          </cell>
          <cell r="Z189">
            <v>46118</v>
          </cell>
          <cell r="AA189">
            <v>85</v>
          </cell>
          <cell r="AB189">
            <v>1.7860000000000001E-2</v>
          </cell>
        </row>
        <row r="190">
          <cell r="A190" t="str">
            <v>F-2026-01-489-1</v>
          </cell>
          <cell r="B190"/>
          <cell r="C190" t="str">
            <v>FPRO-260130-0012</v>
          </cell>
          <cell r="D190" t="str">
            <v>Firm plan 30.01</v>
          </cell>
          <cell r="E190" t="str">
            <v>BDB-000011</v>
          </cell>
          <cell r="F190" t="str">
            <v>PVN-000258</v>
          </cell>
          <cell r="G190" t="str">
            <v>OrthoLite Regular AIR BLUE/16-4134TPX Flat Sheet 0.13D 35+/-4 Asker C 1.1M 2M 2.5mm</v>
          </cell>
          <cell r="H190">
            <v>1000</v>
          </cell>
          <cell r="I190">
            <v>1000</v>
          </cell>
          <cell r="J190">
            <v>0</v>
          </cell>
          <cell r="K190">
            <v>1000</v>
          </cell>
          <cell r="L190" t="str">
            <v>ASICS</v>
          </cell>
          <cell r="M190" t="str">
            <v>Forecast</v>
          </cell>
          <cell r="N190" t="str">
            <v>SPLITTING</v>
          </cell>
          <cell r="O190">
            <v>2</v>
          </cell>
          <cell r="P190">
            <v>46052</v>
          </cell>
          <cell r="Q190">
            <v>46150</v>
          </cell>
          <cell r="R190">
            <v>46147</v>
          </cell>
          <cell r="S190">
            <v>98</v>
          </cell>
          <cell r="T190">
            <v>2.5</v>
          </cell>
          <cell r="U190">
            <v>56</v>
          </cell>
          <cell r="V190">
            <v>18</v>
          </cell>
          <cell r="W190" t="str">
            <v>0.13D</v>
          </cell>
          <cell r="X190" t="str">
            <v>5-2026</v>
          </cell>
          <cell r="Y190" t="str">
            <v>Week 19</v>
          </cell>
          <cell r="Z190">
            <v>46146</v>
          </cell>
          <cell r="AA190">
            <v>85</v>
          </cell>
          <cell r="AB190">
            <v>1.7860000000000001E-2</v>
          </cell>
        </row>
        <row r="191">
          <cell r="A191" t="str">
            <v>F-2026-01-489-2</v>
          </cell>
          <cell r="B191"/>
          <cell r="C191" t="str">
            <v>FPRO-260423-0001</v>
          </cell>
          <cell r="D191" t="str">
            <v>Firm plan 30.01</v>
          </cell>
          <cell r="E191" t="str">
            <v>BDB-000011</v>
          </cell>
          <cell r="F191" t="str">
            <v>PVN-000258</v>
          </cell>
          <cell r="G191" t="str">
            <v>OrthoLite Regular AIR BLUE/16-4134TPX Flat Sheet 0.13D 35+/-4 Asker C 1.1M 2M 2.5mm</v>
          </cell>
          <cell r="H191">
            <v>1500</v>
          </cell>
          <cell r="I191">
            <v>1500</v>
          </cell>
          <cell r="J191">
            <v>0</v>
          </cell>
          <cell r="K191">
            <v>1500</v>
          </cell>
          <cell r="L191" t="str">
            <v>ASICS</v>
          </cell>
          <cell r="M191" t="str">
            <v>Forecast</v>
          </cell>
          <cell r="N191" t="str">
            <v>SPLITTING</v>
          </cell>
          <cell r="O191">
            <v>2</v>
          </cell>
          <cell r="P191">
            <v>46052</v>
          </cell>
          <cell r="Q191">
            <v>46154</v>
          </cell>
          <cell r="R191">
            <v>46151</v>
          </cell>
          <cell r="S191">
            <v>102</v>
          </cell>
          <cell r="T191">
            <v>2.5</v>
          </cell>
          <cell r="U191">
            <v>56</v>
          </cell>
          <cell r="V191">
            <v>27</v>
          </cell>
          <cell r="W191" t="str">
            <v>0.13D</v>
          </cell>
          <cell r="X191" t="str">
            <v>5-2026</v>
          </cell>
          <cell r="Y191" t="str">
            <v>Week 19</v>
          </cell>
          <cell r="Z191">
            <v>46146</v>
          </cell>
          <cell r="AA191">
            <v>85</v>
          </cell>
          <cell r="AB191">
            <v>1.7860000000000001E-2</v>
          </cell>
        </row>
        <row r="192">
          <cell r="A192" t="str">
            <v>F-2026-01-490-1</v>
          </cell>
          <cell r="B192"/>
          <cell r="C192" t="str">
            <v>FPRO-260130-0013</v>
          </cell>
          <cell r="D192" t="str">
            <v>Firm plan 30.01</v>
          </cell>
          <cell r="E192" t="str">
            <v>BDB-000011</v>
          </cell>
          <cell r="F192" t="str">
            <v>PVN-000258</v>
          </cell>
          <cell r="G192" t="str">
            <v>OrthoLite Regular AIR BLUE/16-4134TPX Flat Sheet 0.13D 35+/-4 Asker C 1.1M 2M 2.5mm</v>
          </cell>
          <cell r="H192">
            <v>1000</v>
          </cell>
          <cell r="I192">
            <v>1000</v>
          </cell>
          <cell r="J192">
            <v>0</v>
          </cell>
          <cell r="K192">
            <v>1000</v>
          </cell>
          <cell r="L192" t="str">
            <v>ASICS</v>
          </cell>
          <cell r="M192" t="str">
            <v>Forecast</v>
          </cell>
          <cell r="N192" t="str">
            <v>SPLITTING</v>
          </cell>
          <cell r="O192">
            <v>2</v>
          </cell>
          <cell r="P192">
            <v>46052</v>
          </cell>
          <cell r="Q192">
            <v>46132</v>
          </cell>
          <cell r="R192">
            <v>46129</v>
          </cell>
          <cell r="S192">
            <v>80</v>
          </cell>
          <cell r="T192">
            <v>2.5</v>
          </cell>
          <cell r="U192">
            <v>56</v>
          </cell>
          <cell r="V192">
            <v>18</v>
          </cell>
          <cell r="W192" t="str">
            <v>0.13D</v>
          </cell>
          <cell r="X192" t="str">
            <v>4-2026</v>
          </cell>
          <cell r="Y192" t="str">
            <v>Week 16</v>
          </cell>
          <cell r="Z192">
            <v>46125</v>
          </cell>
          <cell r="AA192">
            <v>85</v>
          </cell>
          <cell r="AB192">
            <v>1.7860000000000001E-2</v>
          </cell>
        </row>
        <row r="193">
          <cell r="A193" t="str">
            <v>F-2026-01-490-2</v>
          </cell>
          <cell r="B193"/>
          <cell r="C193" t="str">
            <v>FPRO-260406-0013</v>
          </cell>
          <cell r="D193" t="str">
            <v>Firm plan 30.01</v>
          </cell>
          <cell r="E193" t="str">
            <v>BDB-000011</v>
          </cell>
          <cell r="F193" t="str">
            <v>PVN-000258</v>
          </cell>
          <cell r="G193" t="str">
            <v>OrthoLite Regular AIR BLUE/16-4134TPX Flat Sheet 0.13D 35+/-4 Asker C 1.1M 2M 2.5mm</v>
          </cell>
          <cell r="H193">
            <v>1500</v>
          </cell>
          <cell r="I193">
            <v>1500</v>
          </cell>
          <cell r="J193">
            <v>0</v>
          </cell>
          <cell r="K193">
            <v>1500</v>
          </cell>
          <cell r="L193" t="str">
            <v>ASICS</v>
          </cell>
          <cell r="M193" t="str">
            <v>Forecast</v>
          </cell>
          <cell r="N193" t="str">
            <v>SPLITTING</v>
          </cell>
          <cell r="O193">
            <v>2</v>
          </cell>
          <cell r="P193">
            <v>46052</v>
          </cell>
          <cell r="Q193">
            <v>46137</v>
          </cell>
          <cell r="R193">
            <v>46134</v>
          </cell>
          <cell r="S193">
            <v>85</v>
          </cell>
          <cell r="T193">
            <v>2.5</v>
          </cell>
          <cell r="U193">
            <v>56</v>
          </cell>
          <cell r="V193">
            <v>27</v>
          </cell>
          <cell r="W193" t="str">
            <v>0.13D</v>
          </cell>
          <cell r="X193" t="str">
            <v>4-2026</v>
          </cell>
          <cell r="Y193" t="str">
            <v>Week 17</v>
          </cell>
          <cell r="Z193">
            <v>46132</v>
          </cell>
          <cell r="AA193">
            <v>85</v>
          </cell>
          <cell r="AB193">
            <v>1.7860000000000001E-2</v>
          </cell>
        </row>
        <row r="194">
          <cell r="A194" t="str">
            <v>F-2026-01-491</v>
          </cell>
          <cell r="B194"/>
          <cell r="C194" t="str">
            <v>FPRO-260130-0014</v>
          </cell>
          <cell r="D194" t="str">
            <v>Firm plan 30.01</v>
          </cell>
          <cell r="E194" t="str">
            <v>BDB-000011</v>
          </cell>
          <cell r="F194" t="str">
            <v>PVN-000258</v>
          </cell>
          <cell r="G194" t="str">
            <v>OrthoLite Regular AIR BLUE/16-4134TPX Flat Sheet 0.13D 35+/-4 Asker C 1.1M 2M 2.5mm</v>
          </cell>
          <cell r="H194">
            <v>2000</v>
          </cell>
          <cell r="I194">
            <v>2000</v>
          </cell>
          <cell r="J194">
            <v>0</v>
          </cell>
          <cell r="K194">
            <v>2000</v>
          </cell>
          <cell r="L194" t="str">
            <v>ASICS</v>
          </cell>
          <cell r="M194" t="str">
            <v>Forecast</v>
          </cell>
          <cell r="N194" t="str">
            <v>SPLITTING</v>
          </cell>
          <cell r="O194">
            <v>2</v>
          </cell>
          <cell r="P194">
            <v>46052</v>
          </cell>
          <cell r="Q194">
            <v>46168</v>
          </cell>
          <cell r="R194">
            <v>46165</v>
          </cell>
          <cell r="S194">
            <v>116</v>
          </cell>
          <cell r="T194">
            <v>2.5</v>
          </cell>
          <cell r="U194">
            <v>56</v>
          </cell>
          <cell r="V194">
            <v>36</v>
          </cell>
          <cell r="W194" t="str">
            <v>0.13D</v>
          </cell>
          <cell r="X194" t="str">
            <v>5-2026</v>
          </cell>
          <cell r="Y194" t="str">
            <v>Week 21</v>
          </cell>
          <cell r="Z194">
            <v>46160</v>
          </cell>
          <cell r="AA194">
            <v>85</v>
          </cell>
          <cell r="AB194">
            <v>1.7860000000000001E-2</v>
          </cell>
        </row>
        <row r="195">
          <cell r="A195" t="str">
            <v>F-2026-01-492</v>
          </cell>
          <cell r="B195"/>
          <cell r="C195" t="str">
            <v>FPRO-260130-0015</v>
          </cell>
          <cell r="D195" t="str">
            <v>Firm plan 30.01</v>
          </cell>
          <cell r="E195" t="str">
            <v>BDB-000008</v>
          </cell>
          <cell r="F195" t="str">
            <v>PVN-000505</v>
          </cell>
          <cell r="G195" t="str">
            <v>OrthoLite Regular LIME GREEN/14-0452TPX Flat Sheet 0.11D 25+/-4 Asker C 1.1M 2M 12mm</v>
          </cell>
          <cell r="H195">
            <v>500</v>
          </cell>
          <cell r="I195">
            <v>500</v>
          </cell>
          <cell r="J195">
            <v>500</v>
          </cell>
          <cell r="K195">
            <v>0</v>
          </cell>
          <cell r="L195" t="str">
            <v>ASICS</v>
          </cell>
          <cell r="M195" t="str">
            <v>Forecast</v>
          </cell>
          <cell r="N195" t="str">
            <v>MOLDED</v>
          </cell>
          <cell r="O195">
            <v>1</v>
          </cell>
          <cell r="P195">
            <v>46052</v>
          </cell>
          <cell r="Q195">
            <v>46094</v>
          </cell>
          <cell r="R195">
            <v>46091</v>
          </cell>
          <cell r="S195">
            <v>42</v>
          </cell>
          <cell r="T195">
            <v>12</v>
          </cell>
          <cell r="U195">
            <v>11.5</v>
          </cell>
          <cell r="V195">
            <v>44</v>
          </cell>
          <cell r="W195" t="str">
            <v>0.11D</v>
          </cell>
          <cell r="X195" t="str">
            <v>3-2026</v>
          </cell>
          <cell r="Y195" t="str">
            <v>Week 11</v>
          </cell>
          <cell r="Z195">
            <v>46090</v>
          </cell>
          <cell r="AA195">
            <v>85</v>
          </cell>
          <cell r="AB195">
            <v>8.6959999999999996E-2</v>
          </cell>
        </row>
        <row r="196">
          <cell r="A196" t="str">
            <v>F-2026-01-493</v>
          </cell>
          <cell r="B196"/>
          <cell r="C196" t="str">
            <v>FPRO-260130-0016</v>
          </cell>
          <cell r="D196" t="str">
            <v>Firm plan 30.01</v>
          </cell>
          <cell r="E196" t="str">
            <v>BDB-000008</v>
          </cell>
          <cell r="F196" t="str">
            <v>PVN-000505</v>
          </cell>
          <cell r="G196" t="str">
            <v>OrthoLite Regular LIME GREEN/14-0452TPX Flat Sheet 0.11D 25+/-4 Asker C 1.1M 2M 12mm</v>
          </cell>
          <cell r="H196">
            <v>360</v>
          </cell>
          <cell r="I196">
            <v>360</v>
          </cell>
          <cell r="J196">
            <v>360</v>
          </cell>
          <cell r="K196">
            <v>0</v>
          </cell>
          <cell r="L196" t="str">
            <v>ASICS</v>
          </cell>
          <cell r="M196" t="str">
            <v>Forecast</v>
          </cell>
          <cell r="N196" t="str">
            <v>MOLDED</v>
          </cell>
          <cell r="O196">
            <v>1</v>
          </cell>
          <cell r="P196">
            <v>46052</v>
          </cell>
          <cell r="Q196">
            <v>46085</v>
          </cell>
          <cell r="R196">
            <v>46082</v>
          </cell>
          <cell r="S196">
            <v>33</v>
          </cell>
          <cell r="T196">
            <v>12</v>
          </cell>
          <cell r="U196">
            <v>11.5</v>
          </cell>
          <cell r="V196">
            <v>32</v>
          </cell>
          <cell r="W196" t="str">
            <v>0.11D</v>
          </cell>
          <cell r="X196" t="str">
            <v>3-2026</v>
          </cell>
          <cell r="Y196" t="str">
            <v>Week 9</v>
          </cell>
          <cell r="Z196">
            <v>46076</v>
          </cell>
          <cell r="AA196">
            <v>85</v>
          </cell>
          <cell r="AB196">
            <v>8.6959999999999996E-2</v>
          </cell>
        </row>
        <row r="197">
          <cell r="A197" t="str">
            <v>F-2026-01-494</v>
          </cell>
          <cell r="B197"/>
          <cell r="C197" t="str">
            <v>FPRO-260130-0017</v>
          </cell>
          <cell r="D197" t="str">
            <v>Firm plan 30.01</v>
          </cell>
          <cell r="E197" t="str">
            <v>BDB-000113</v>
          </cell>
          <cell r="F197" t="str">
            <v>PVN-002465</v>
          </cell>
          <cell r="G197" t="str">
            <v>OrthoLite Regular-Hybrid SEEDPEARL/12-0703TPX Hybrid Flat Sheet 0.11D 25+/-4 Asker C 1.1M 2M 5mm</v>
          </cell>
          <cell r="H197">
            <v>3200</v>
          </cell>
          <cell r="I197">
            <v>3200</v>
          </cell>
          <cell r="J197">
            <v>3200</v>
          </cell>
          <cell r="K197">
            <v>0</v>
          </cell>
          <cell r="L197" t="str">
            <v>ASICS</v>
          </cell>
          <cell r="M197" t="str">
            <v>Forecast</v>
          </cell>
          <cell r="N197" t="str">
            <v>DIE CUT</v>
          </cell>
          <cell r="O197">
            <v>1</v>
          </cell>
          <cell r="P197">
            <v>46052</v>
          </cell>
          <cell r="Q197">
            <v>46097</v>
          </cell>
          <cell r="R197">
            <v>46094</v>
          </cell>
          <cell r="S197">
            <v>45</v>
          </cell>
          <cell r="T197">
            <v>5</v>
          </cell>
          <cell r="U197">
            <v>28</v>
          </cell>
          <cell r="V197">
            <v>115</v>
          </cell>
          <cell r="W197" t="str">
            <v>0.11D</v>
          </cell>
          <cell r="X197" t="str">
            <v>3-2026</v>
          </cell>
          <cell r="Y197" t="str">
            <v>Week 11</v>
          </cell>
          <cell r="Z197">
            <v>46090</v>
          </cell>
          <cell r="AA197">
            <v>85</v>
          </cell>
          <cell r="AB197">
            <v>3.5709999999999999E-2</v>
          </cell>
        </row>
        <row r="198">
          <cell r="A198" t="str">
            <v>F-2026-01-495</v>
          </cell>
          <cell r="B198"/>
          <cell r="C198" t="str">
            <v>FPRO-260130-0018</v>
          </cell>
          <cell r="D198" t="str">
            <v>Firm plan 30.01</v>
          </cell>
          <cell r="E198" t="str">
            <v>BDB-000113</v>
          </cell>
          <cell r="F198" t="str">
            <v>PVN-002465</v>
          </cell>
          <cell r="G198" t="str">
            <v>OrthoLite Regular-Hybrid SEEDPEARL/12-0703TPX Hybrid Flat Sheet 0.11D 25+/-4 Asker C 1.1M 2M 5mm</v>
          </cell>
          <cell r="H198">
            <v>3000</v>
          </cell>
          <cell r="I198">
            <v>3000</v>
          </cell>
          <cell r="J198">
            <v>3000</v>
          </cell>
          <cell r="K198">
            <v>0</v>
          </cell>
          <cell r="L198" t="str">
            <v>ASICS</v>
          </cell>
          <cell r="M198" t="str">
            <v>Forecast</v>
          </cell>
          <cell r="N198" t="str">
            <v>DIE CUT</v>
          </cell>
          <cell r="O198">
            <v>1</v>
          </cell>
          <cell r="P198">
            <v>46052</v>
          </cell>
          <cell r="Q198">
            <v>46095</v>
          </cell>
          <cell r="R198">
            <v>46092</v>
          </cell>
          <cell r="S198">
            <v>43</v>
          </cell>
          <cell r="T198">
            <v>5</v>
          </cell>
          <cell r="U198">
            <v>28</v>
          </cell>
          <cell r="V198">
            <v>108</v>
          </cell>
          <cell r="W198" t="str">
            <v>0.11D</v>
          </cell>
          <cell r="X198" t="str">
            <v>3-2026</v>
          </cell>
          <cell r="Y198" t="str">
            <v>Week 11</v>
          </cell>
          <cell r="Z198">
            <v>46090</v>
          </cell>
          <cell r="AA198">
            <v>71</v>
          </cell>
          <cell r="AB198">
            <v>3.5709999999999999E-2</v>
          </cell>
        </row>
        <row r="199">
          <cell r="A199" t="str">
            <v>F-2026-01-496-1</v>
          </cell>
          <cell r="B199" t="str">
            <v>color</v>
          </cell>
          <cell r="C199" t="str">
            <v>FPRO-260130-0019</v>
          </cell>
          <cell r="D199" t="str">
            <v>Firm plan 30.01</v>
          </cell>
          <cell r="E199" t="str">
            <v>BDB-000113</v>
          </cell>
          <cell r="F199" t="str">
            <v>PVN-002465</v>
          </cell>
          <cell r="G199" t="str">
            <v>OrthoLite Regular-Hybrid SEEDPEARL/12-0703TPX Hybrid Flat Sheet 0.11D 25+/-4 Asker C 1.1M 2M 5mm</v>
          </cell>
          <cell r="H199">
            <v>3000</v>
          </cell>
          <cell r="I199">
            <v>2810</v>
          </cell>
          <cell r="J199">
            <v>2810</v>
          </cell>
          <cell r="K199">
            <v>0</v>
          </cell>
          <cell r="L199" t="str">
            <v>ASICS</v>
          </cell>
          <cell r="M199" t="str">
            <v>Forecast</v>
          </cell>
          <cell r="N199" t="str">
            <v>DIE CUT</v>
          </cell>
          <cell r="O199">
            <v>1</v>
          </cell>
          <cell r="P199">
            <v>46052</v>
          </cell>
          <cell r="Q199">
            <v>46099</v>
          </cell>
          <cell r="R199">
            <v>46096</v>
          </cell>
          <cell r="S199">
            <v>47</v>
          </cell>
          <cell r="T199">
            <v>5</v>
          </cell>
          <cell r="U199">
            <v>28</v>
          </cell>
          <cell r="V199">
            <v>101</v>
          </cell>
          <cell r="W199" t="str">
            <v>0.11D</v>
          </cell>
          <cell r="X199" t="str">
            <v>3-2026</v>
          </cell>
          <cell r="Y199" t="str">
            <v>Week 11</v>
          </cell>
          <cell r="Z199">
            <v>46090</v>
          </cell>
          <cell r="AA199">
            <v>71</v>
          </cell>
          <cell r="AB199">
            <v>3.5709999999999999E-2</v>
          </cell>
        </row>
        <row r="200">
          <cell r="A200" t="str">
            <v>F-2026-01-496-2</v>
          </cell>
          <cell r="B200" t="str">
            <v>color</v>
          </cell>
          <cell r="C200" t="str">
            <v>FPRO-260130-0019</v>
          </cell>
          <cell r="D200" t="str">
            <v>Firm plan 30.01</v>
          </cell>
          <cell r="E200" t="str">
            <v>BDB-000113</v>
          </cell>
          <cell r="F200" t="str">
            <v>PVN-002465</v>
          </cell>
          <cell r="G200" t="str">
            <v>OrthoLite Regular-Hybrid SEEDPEARL/12-0703TPX Hybrid Flat Sheet 0.11D 25+/-4 Asker C 1.1M 2M 5mm</v>
          </cell>
          <cell r="H200">
            <v>3000</v>
          </cell>
          <cell r="I200">
            <v>190</v>
          </cell>
          <cell r="J200">
            <v>190</v>
          </cell>
          <cell r="K200">
            <v>0</v>
          </cell>
          <cell r="L200" t="str">
            <v>ASICS</v>
          </cell>
          <cell r="M200" t="str">
            <v>Forecast</v>
          </cell>
          <cell r="N200" t="str">
            <v>DIE CUT</v>
          </cell>
          <cell r="O200">
            <v>1</v>
          </cell>
          <cell r="P200">
            <v>46052</v>
          </cell>
          <cell r="Q200">
            <v>46099</v>
          </cell>
          <cell r="R200">
            <v>46096</v>
          </cell>
          <cell r="S200">
            <v>47</v>
          </cell>
          <cell r="T200">
            <v>5</v>
          </cell>
          <cell r="U200">
            <v>28</v>
          </cell>
          <cell r="V200">
            <v>7</v>
          </cell>
          <cell r="W200" t="str">
            <v>0.11D</v>
          </cell>
          <cell r="X200" t="str">
            <v>3-2026</v>
          </cell>
          <cell r="Y200" t="str">
            <v>Week 11</v>
          </cell>
          <cell r="Z200">
            <v>46090</v>
          </cell>
          <cell r="AA200">
            <v>136</v>
          </cell>
          <cell r="AB200">
            <v>3.5709999999999999E-2</v>
          </cell>
        </row>
        <row r="201">
          <cell r="A201" t="str">
            <v>F-2026-01-497</v>
          </cell>
          <cell r="B201"/>
          <cell r="C201" t="str">
            <v>FPRO-260130-0020</v>
          </cell>
          <cell r="D201" t="str">
            <v>Firm plan 30.01</v>
          </cell>
          <cell r="E201" t="str">
            <v>BDB-000113</v>
          </cell>
          <cell r="F201" t="str">
            <v>PVN-002465</v>
          </cell>
          <cell r="G201" t="str">
            <v>OrthoLite Regular-Hybrid SEEDPEARL/12-0703TPX Hybrid Flat Sheet 0.11D 25+/-4 Asker C 1.1M 2M 5mm</v>
          </cell>
          <cell r="H201">
            <v>3000</v>
          </cell>
          <cell r="I201">
            <v>3000</v>
          </cell>
          <cell r="J201">
            <v>3000</v>
          </cell>
          <cell r="K201">
            <v>0</v>
          </cell>
          <cell r="L201" t="str">
            <v>ASICS</v>
          </cell>
          <cell r="M201" t="str">
            <v>Forecast</v>
          </cell>
          <cell r="N201" t="str">
            <v>DIE CUT</v>
          </cell>
          <cell r="O201">
            <v>1</v>
          </cell>
          <cell r="P201">
            <v>46052</v>
          </cell>
          <cell r="Q201">
            <v>46100</v>
          </cell>
          <cell r="R201">
            <v>46097</v>
          </cell>
          <cell r="S201">
            <v>48</v>
          </cell>
          <cell r="T201">
            <v>5</v>
          </cell>
          <cell r="U201">
            <v>28</v>
          </cell>
          <cell r="V201">
            <v>108</v>
          </cell>
          <cell r="W201" t="str">
            <v>0.11D</v>
          </cell>
          <cell r="X201" t="str">
            <v>3-2026</v>
          </cell>
          <cell r="Y201" t="str">
            <v>Week 11</v>
          </cell>
          <cell r="Z201">
            <v>46090</v>
          </cell>
          <cell r="AA201">
            <v>136</v>
          </cell>
          <cell r="AB201">
            <v>3.5709999999999999E-2</v>
          </cell>
        </row>
        <row r="202">
          <cell r="A202" t="str">
            <v>F-2026-01-498</v>
          </cell>
          <cell r="B202"/>
          <cell r="C202" t="str">
            <v>FPRO-260130-0021</v>
          </cell>
          <cell r="D202" t="str">
            <v>Firm plan 30.01</v>
          </cell>
          <cell r="E202" t="str">
            <v>BDB-000113</v>
          </cell>
          <cell r="F202" t="str">
            <v>PVN-002465</v>
          </cell>
          <cell r="G202" t="str">
            <v>OrthoLite Regular-Hybrid SEEDPEARL/12-0703TPX Hybrid Flat Sheet 0.11D 25+/-4 Asker C 1.1M 2M 5mm</v>
          </cell>
          <cell r="H202">
            <v>3000</v>
          </cell>
          <cell r="I202">
            <v>3000</v>
          </cell>
          <cell r="J202">
            <v>3000</v>
          </cell>
          <cell r="K202">
            <v>0</v>
          </cell>
          <cell r="L202" t="str">
            <v>ASICS</v>
          </cell>
          <cell r="M202" t="str">
            <v>Forecast</v>
          </cell>
          <cell r="N202" t="str">
            <v>DIE CUT</v>
          </cell>
          <cell r="O202">
            <v>1</v>
          </cell>
          <cell r="P202">
            <v>46052</v>
          </cell>
          <cell r="Q202">
            <v>46086</v>
          </cell>
          <cell r="R202">
            <v>46083</v>
          </cell>
          <cell r="S202">
            <v>34</v>
          </cell>
          <cell r="T202">
            <v>5</v>
          </cell>
          <cell r="U202">
            <v>28</v>
          </cell>
          <cell r="V202">
            <v>108</v>
          </cell>
          <cell r="W202" t="str">
            <v>0.11D</v>
          </cell>
          <cell r="X202" t="str">
            <v>3-2026</v>
          </cell>
          <cell r="Y202" t="str">
            <v>Week 9</v>
          </cell>
          <cell r="Z202">
            <v>46076</v>
          </cell>
          <cell r="AA202">
            <v>136</v>
          </cell>
          <cell r="AB202">
            <v>3.5709999999999999E-2</v>
          </cell>
        </row>
        <row r="203">
          <cell r="A203" t="str">
            <v>F-2026-01-499</v>
          </cell>
          <cell r="B203" t="str">
            <v>xx</v>
          </cell>
          <cell r="C203" t="str">
            <v>FPRO-260130-0022</v>
          </cell>
          <cell r="D203" t="str">
            <v>Firm plan 30.01</v>
          </cell>
          <cell r="E203" t="str">
            <v>BDB-000113</v>
          </cell>
          <cell r="F203" t="str">
            <v>PVN-002465</v>
          </cell>
          <cell r="G203" t="str">
            <v>OrthoLite Regular-Hybrid SEEDPEARL/12-0703TPX Hybrid Flat Sheet 0.11D 25+/-4 Asker C 1.1M 2M 5mm</v>
          </cell>
          <cell r="H203">
            <v>3000</v>
          </cell>
          <cell r="I203">
            <v>3000</v>
          </cell>
          <cell r="J203">
            <v>3000</v>
          </cell>
          <cell r="K203">
            <v>0</v>
          </cell>
          <cell r="L203" t="str">
            <v>ASICS</v>
          </cell>
          <cell r="M203" t="str">
            <v>Forecast</v>
          </cell>
          <cell r="N203" t="str">
            <v>DIE CUT</v>
          </cell>
          <cell r="O203">
            <v>1</v>
          </cell>
          <cell r="P203">
            <v>46052</v>
          </cell>
          <cell r="Q203">
            <v>46094</v>
          </cell>
          <cell r="R203">
            <v>46091</v>
          </cell>
          <cell r="S203">
            <v>42</v>
          </cell>
          <cell r="T203">
            <v>5</v>
          </cell>
          <cell r="U203">
            <v>28</v>
          </cell>
          <cell r="V203">
            <v>108</v>
          </cell>
          <cell r="W203" t="str">
            <v>0.11D</v>
          </cell>
          <cell r="X203" t="str">
            <v>3-2026</v>
          </cell>
          <cell r="Y203" t="str">
            <v>Week 11</v>
          </cell>
          <cell r="Z203">
            <v>46090</v>
          </cell>
          <cell r="AA203">
            <v>136</v>
          </cell>
          <cell r="AB203">
            <v>3.5709999999999999E-2</v>
          </cell>
        </row>
        <row r="204">
          <cell r="A204" t="str">
            <v>F-2026-01-500</v>
          </cell>
          <cell r="B204"/>
          <cell r="C204" t="str">
            <v>FPRO-260130-0023</v>
          </cell>
          <cell r="D204" t="str">
            <v>Firm plan 30.01</v>
          </cell>
          <cell r="E204" t="str">
            <v>BDB-000113</v>
          </cell>
          <cell r="F204" t="str">
            <v>PVN-002501</v>
          </cell>
          <cell r="G204" t="str">
            <v>OrthoLite Regular-Hybrid SEEDPEARL/12-0703TPX Hybrid Flat Sheet 0.11D 25+/-4 Asker C 1.1M 2M 2mm</v>
          </cell>
          <cell r="H204">
            <v>1000</v>
          </cell>
          <cell r="I204">
            <v>1000</v>
          </cell>
          <cell r="J204">
            <v>0</v>
          </cell>
          <cell r="K204">
            <v>1000</v>
          </cell>
          <cell r="L204" t="str">
            <v>ASICS</v>
          </cell>
          <cell r="M204" t="str">
            <v>Forecast</v>
          </cell>
          <cell r="N204" t="str">
            <v>SPLITTING</v>
          </cell>
          <cell r="O204">
            <v>2</v>
          </cell>
          <cell r="P204">
            <v>46052</v>
          </cell>
          <cell r="Q204">
            <v>46137</v>
          </cell>
          <cell r="R204">
            <v>46134</v>
          </cell>
          <cell r="S204">
            <v>85</v>
          </cell>
          <cell r="T204">
            <v>2</v>
          </cell>
          <cell r="U204">
            <v>70</v>
          </cell>
          <cell r="V204">
            <v>15</v>
          </cell>
          <cell r="W204" t="str">
            <v>0.11D</v>
          </cell>
          <cell r="X204" t="str">
            <v>4-2026</v>
          </cell>
          <cell r="Y204" t="str">
            <v>Week 17</v>
          </cell>
          <cell r="Z204">
            <v>46132</v>
          </cell>
          <cell r="AA204">
            <v>136</v>
          </cell>
          <cell r="AB204">
            <v>1.4290000000000001E-2</v>
          </cell>
        </row>
        <row r="205">
          <cell r="A205" t="str">
            <v>F-2026-01-501</v>
          </cell>
          <cell r="B205"/>
          <cell r="C205" t="str">
            <v>FPRO-260130-0024</v>
          </cell>
          <cell r="D205" t="str">
            <v>Firm plan 30.01</v>
          </cell>
          <cell r="E205" t="str">
            <v>BDB-000113</v>
          </cell>
          <cell r="F205" t="str">
            <v>PVN-002501</v>
          </cell>
          <cell r="G205" t="str">
            <v>OrthoLite Regular-Hybrid SEEDPEARL/12-0703TPX Hybrid Flat Sheet 0.11D 25+/-4 Asker C 1.1M 2M 2mm</v>
          </cell>
          <cell r="H205">
            <v>1000</v>
          </cell>
          <cell r="I205">
            <v>1000</v>
          </cell>
          <cell r="J205">
            <v>0</v>
          </cell>
          <cell r="K205">
            <v>1000</v>
          </cell>
          <cell r="L205" t="str">
            <v>ASICS</v>
          </cell>
          <cell r="M205" t="str">
            <v>Forecast</v>
          </cell>
          <cell r="N205" t="str">
            <v>SPLITTING</v>
          </cell>
          <cell r="O205">
            <v>2</v>
          </cell>
          <cell r="P205">
            <v>46052</v>
          </cell>
          <cell r="Q205">
            <v>46148</v>
          </cell>
          <cell r="R205">
            <v>46145</v>
          </cell>
          <cell r="S205">
            <v>96</v>
          </cell>
          <cell r="T205">
            <v>2</v>
          </cell>
          <cell r="U205">
            <v>70</v>
          </cell>
          <cell r="V205">
            <v>15</v>
          </cell>
          <cell r="W205" t="str">
            <v>0.11D</v>
          </cell>
          <cell r="X205" t="str">
            <v>5-2026</v>
          </cell>
          <cell r="Y205" t="str">
            <v>Week 17</v>
          </cell>
          <cell r="Z205">
            <v>46132</v>
          </cell>
          <cell r="AA205">
            <v>136</v>
          </cell>
          <cell r="AB205">
            <v>1.4290000000000001E-2</v>
          </cell>
        </row>
        <row r="206">
          <cell r="A206" t="str">
            <v>F-2026-01-502</v>
          </cell>
          <cell r="B206"/>
          <cell r="C206" t="str">
            <v>FPRO-260130-0025</v>
          </cell>
          <cell r="D206" t="str">
            <v>Firm plan 30.01</v>
          </cell>
          <cell r="E206" t="str">
            <v>BDB-000113</v>
          </cell>
          <cell r="F206" t="str">
            <v>PVN-002501</v>
          </cell>
          <cell r="G206" t="str">
            <v>OrthoLite Regular-Hybrid SEEDPEARL/12-0703TPX Hybrid Flat Sheet 0.11D 25+/-4 Asker C 1.1M 2M 2mm</v>
          </cell>
          <cell r="H206">
            <v>1000</v>
          </cell>
          <cell r="I206">
            <v>1000</v>
          </cell>
          <cell r="J206">
            <v>1000</v>
          </cell>
          <cell r="K206">
            <v>0</v>
          </cell>
          <cell r="L206" t="str">
            <v>ASICS</v>
          </cell>
          <cell r="M206" t="str">
            <v>Forecast</v>
          </cell>
          <cell r="N206" t="str">
            <v>SPLITTING</v>
          </cell>
          <cell r="O206">
            <v>2</v>
          </cell>
          <cell r="P206">
            <v>46052</v>
          </cell>
          <cell r="Q206">
            <v>46111</v>
          </cell>
          <cell r="R206">
            <v>46108</v>
          </cell>
          <cell r="S206">
            <v>59</v>
          </cell>
          <cell r="T206">
            <v>2</v>
          </cell>
          <cell r="U206">
            <v>70</v>
          </cell>
          <cell r="V206">
            <v>15</v>
          </cell>
          <cell r="W206" t="str">
            <v>0.11D</v>
          </cell>
          <cell r="X206" t="str">
            <v>3-2026</v>
          </cell>
          <cell r="Y206" t="str">
            <v>Week 13</v>
          </cell>
          <cell r="Z206">
            <v>46104</v>
          </cell>
          <cell r="AA206">
            <v>136</v>
          </cell>
          <cell r="AB206">
            <v>1.4290000000000001E-2</v>
          </cell>
        </row>
        <row r="207">
          <cell r="A207" t="str">
            <v>F-2026-01-503</v>
          </cell>
          <cell r="B207"/>
          <cell r="C207" t="str">
            <v>FPRO-260130-0026</v>
          </cell>
          <cell r="D207" t="str">
            <v>Firm plan 30.01</v>
          </cell>
          <cell r="E207" t="str">
            <v>BDB-000113</v>
          </cell>
          <cell r="F207" t="str">
            <v>PVN-002501</v>
          </cell>
          <cell r="G207" t="str">
            <v>OrthoLite Regular-Hybrid SEEDPEARL/12-0703TPX Hybrid Flat Sheet 0.11D 25+/-4 Asker C 1.1M 2M 2mm</v>
          </cell>
          <cell r="H207">
            <v>1000</v>
          </cell>
          <cell r="I207">
            <v>1000</v>
          </cell>
          <cell r="J207">
            <v>0</v>
          </cell>
          <cell r="K207">
            <v>1000</v>
          </cell>
          <cell r="L207" t="str">
            <v>ASICS</v>
          </cell>
          <cell r="M207" t="str">
            <v>Forecast</v>
          </cell>
          <cell r="N207" t="str">
            <v>SPLITTING</v>
          </cell>
          <cell r="O207">
            <v>2</v>
          </cell>
          <cell r="P207">
            <v>46052</v>
          </cell>
          <cell r="Q207">
            <v>46118</v>
          </cell>
          <cell r="R207">
            <v>46115</v>
          </cell>
          <cell r="S207">
            <v>66</v>
          </cell>
          <cell r="T207">
            <v>2</v>
          </cell>
          <cell r="U207">
            <v>70</v>
          </cell>
          <cell r="V207">
            <v>15</v>
          </cell>
          <cell r="W207" t="str">
            <v>0.11D</v>
          </cell>
          <cell r="X207" t="str">
            <v>4-2026</v>
          </cell>
          <cell r="Y207" t="str">
            <v>Week 14</v>
          </cell>
          <cell r="Z207">
            <v>46111</v>
          </cell>
          <cell r="AA207">
            <v>84</v>
          </cell>
          <cell r="AB207">
            <v>1.4290000000000001E-2</v>
          </cell>
        </row>
        <row r="208">
          <cell r="A208" t="str">
            <v>F-2026-01-504</v>
          </cell>
          <cell r="B208"/>
          <cell r="C208" t="str">
            <v>FPRO-260130-0027</v>
          </cell>
          <cell r="D208" t="str">
            <v>Firm plan 30.01</v>
          </cell>
          <cell r="E208" t="str">
            <v>BDB-000113</v>
          </cell>
          <cell r="F208" t="str">
            <v>PVN-002501</v>
          </cell>
          <cell r="G208" t="str">
            <v>OrthoLite Regular-Hybrid SEEDPEARL/12-0703TPX Hybrid Flat Sheet 0.11D 25+/-4 Asker C 1.1M 2M 2mm</v>
          </cell>
          <cell r="H208">
            <v>1000</v>
          </cell>
          <cell r="I208">
            <v>1000</v>
          </cell>
          <cell r="J208">
            <v>0</v>
          </cell>
          <cell r="K208">
            <v>1000</v>
          </cell>
          <cell r="L208" t="str">
            <v>ASICS</v>
          </cell>
          <cell r="M208" t="str">
            <v>Forecast</v>
          </cell>
          <cell r="N208" t="str">
            <v>SPLITTING</v>
          </cell>
          <cell r="O208">
            <v>2</v>
          </cell>
          <cell r="P208">
            <v>46052</v>
          </cell>
          <cell r="Q208">
            <v>46125</v>
          </cell>
          <cell r="R208">
            <v>46122</v>
          </cell>
          <cell r="S208">
            <v>73</v>
          </cell>
          <cell r="T208">
            <v>2</v>
          </cell>
          <cell r="U208">
            <v>70</v>
          </cell>
          <cell r="V208">
            <v>15</v>
          </cell>
          <cell r="W208" t="str">
            <v>0.11D</v>
          </cell>
          <cell r="X208" t="str">
            <v>4-2026</v>
          </cell>
          <cell r="Y208" t="str">
            <v>Week 15</v>
          </cell>
          <cell r="Z208">
            <v>46118</v>
          </cell>
          <cell r="AA208">
            <v>84</v>
          </cell>
          <cell r="AB208">
            <v>1.4290000000000001E-2</v>
          </cell>
        </row>
        <row r="209">
          <cell r="A209" t="str">
            <v>F-2026-01-505</v>
          </cell>
          <cell r="B209"/>
          <cell r="C209" t="str">
            <v>FPRO-260130-0028</v>
          </cell>
          <cell r="D209" t="str">
            <v>Firm plan 30.01</v>
          </cell>
          <cell r="E209" t="str">
            <v>BDB-000113</v>
          </cell>
          <cell r="F209" t="str">
            <v>PVN-002501</v>
          </cell>
          <cell r="G209" t="str">
            <v>OrthoLite Regular-Hybrid SEEDPEARL/12-0703TPX Hybrid Flat Sheet 0.11D 25+/-4 Asker C 1.1M 2M 2mm</v>
          </cell>
          <cell r="H209">
            <v>1000</v>
          </cell>
          <cell r="I209">
            <v>1000</v>
          </cell>
          <cell r="J209">
            <v>0</v>
          </cell>
          <cell r="K209">
            <v>1000</v>
          </cell>
          <cell r="L209" t="str">
            <v>ASICS</v>
          </cell>
          <cell r="M209" t="str">
            <v>Forecast</v>
          </cell>
          <cell r="N209" t="str">
            <v>SPLITTING</v>
          </cell>
          <cell r="O209">
            <v>2</v>
          </cell>
          <cell r="P209">
            <v>46052</v>
          </cell>
          <cell r="Q209">
            <v>46132</v>
          </cell>
          <cell r="R209">
            <v>46129</v>
          </cell>
          <cell r="S209">
            <v>80</v>
          </cell>
          <cell r="T209">
            <v>2</v>
          </cell>
          <cell r="U209">
            <v>70</v>
          </cell>
          <cell r="V209">
            <v>15</v>
          </cell>
          <cell r="W209" t="str">
            <v>0.11D</v>
          </cell>
          <cell r="X209" t="str">
            <v>4-2026</v>
          </cell>
          <cell r="Y209" t="str">
            <v>Week 16</v>
          </cell>
          <cell r="Z209">
            <v>46125</v>
          </cell>
          <cell r="AA209">
            <v>84</v>
          </cell>
          <cell r="AB209">
            <v>1.4290000000000001E-2</v>
          </cell>
        </row>
        <row r="210">
          <cell r="A210" t="str">
            <v>F-2026-01-506</v>
          </cell>
          <cell r="B210"/>
          <cell r="C210" t="str">
            <v>FPRO-260130-0029</v>
          </cell>
          <cell r="D210" t="str">
            <v>Firm plan 30.01</v>
          </cell>
          <cell r="E210" t="str">
            <v>BDB-000113</v>
          </cell>
          <cell r="F210" t="str">
            <v>PVN-002501</v>
          </cell>
          <cell r="G210" t="str">
            <v>OrthoLite Regular-Hybrid SEEDPEARL/12-0703TPX Hybrid Flat Sheet 0.11D 25+/-4 Asker C 1.1M 2M 2mm</v>
          </cell>
          <cell r="H210">
            <v>900</v>
          </cell>
          <cell r="I210">
            <v>900</v>
          </cell>
          <cell r="J210">
            <v>900</v>
          </cell>
          <cell r="K210">
            <v>0</v>
          </cell>
          <cell r="L210" t="str">
            <v>ASICS</v>
          </cell>
          <cell r="M210" t="str">
            <v>Forecast</v>
          </cell>
          <cell r="N210" t="str">
            <v>SPLITTING</v>
          </cell>
          <cell r="O210">
            <v>2</v>
          </cell>
          <cell r="P210">
            <v>46052</v>
          </cell>
          <cell r="Q210">
            <v>46087</v>
          </cell>
          <cell r="R210">
            <v>46084</v>
          </cell>
          <cell r="S210">
            <v>35</v>
          </cell>
          <cell r="T210">
            <v>2</v>
          </cell>
          <cell r="U210">
            <v>70</v>
          </cell>
          <cell r="V210">
            <v>13</v>
          </cell>
          <cell r="W210" t="str">
            <v>0.11D</v>
          </cell>
          <cell r="X210" t="str">
            <v>3-2026</v>
          </cell>
          <cell r="Y210" t="str">
            <v>Week 9</v>
          </cell>
          <cell r="Z210">
            <v>46076</v>
          </cell>
          <cell r="AA210">
            <v>84</v>
          </cell>
          <cell r="AB210">
            <v>1.4290000000000001E-2</v>
          </cell>
        </row>
        <row r="211">
          <cell r="A211" t="str">
            <v>F-2026-01-507-1</v>
          </cell>
          <cell r="B211"/>
          <cell r="C211" t="str">
            <v>FPRO-260305-0001</v>
          </cell>
          <cell r="D211" t="str">
            <v>Firm plan 30.01</v>
          </cell>
          <cell r="E211" t="str">
            <v>BDB-000113</v>
          </cell>
          <cell r="F211" t="str">
            <v>PVN-003414</v>
          </cell>
          <cell r="G211" t="str">
            <v>OrthoLite Regular-Hybrid SEEDPEARL/12-0703TPX Hybrid Flat Sheet 0.11D 25+/-4 Asker C 1.1M 2M 12mm</v>
          </cell>
          <cell r="H211">
            <v>1000</v>
          </cell>
          <cell r="I211">
            <v>1000</v>
          </cell>
          <cell r="J211">
            <v>1000</v>
          </cell>
          <cell r="K211">
            <v>0</v>
          </cell>
          <cell r="L211" t="str">
            <v>ASICS</v>
          </cell>
          <cell r="M211" t="str">
            <v>Forecast</v>
          </cell>
          <cell r="N211" t="str">
            <v>MOLDED</v>
          </cell>
          <cell r="O211">
            <v>1</v>
          </cell>
          <cell r="P211">
            <v>46052</v>
          </cell>
          <cell r="Q211">
            <v>46088</v>
          </cell>
          <cell r="R211">
            <v>46085</v>
          </cell>
          <cell r="S211">
            <v>36</v>
          </cell>
          <cell r="T211">
            <v>12</v>
          </cell>
          <cell r="U211">
            <v>11.5</v>
          </cell>
          <cell r="V211">
            <v>87</v>
          </cell>
          <cell r="W211" t="str">
            <v>0.11D</v>
          </cell>
          <cell r="X211" t="str">
            <v>3-2026</v>
          </cell>
          <cell r="Y211" t="str">
            <v>Week 10</v>
          </cell>
          <cell r="Z211">
            <v>46083</v>
          </cell>
          <cell r="AA211">
            <v>84</v>
          </cell>
          <cell r="AB211">
            <v>8.6959999999999996E-2</v>
          </cell>
        </row>
        <row r="212">
          <cell r="A212" t="str">
            <v>F-2026-01-507-2</v>
          </cell>
          <cell r="B212" t="str">
            <v>color</v>
          </cell>
          <cell r="C212" t="str">
            <v>FPRO-260130-0030</v>
          </cell>
          <cell r="D212" t="str">
            <v>Firm plan 30.01</v>
          </cell>
          <cell r="E212" t="str">
            <v>BDB-000113</v>
          </cell>
          <cell r="F212" t="str">
            <v>PVN-003414</v>
          </cell>
          <cell r="G212" t="str">
            <v>OrthoLite Regular-Hybrid SEEDPEARL/12-0703TPX Hybrid Flat Sheet 0.11D 25+/-4 Asker C 1.1M 2M 12mm</v>
          </cell>
          <cell r="H212">
            <v>3000</v>
          </cell>
          <cell r="I212">
            <v>1219</v>
          </cell>
          <cell r="J212">
            <v>1219</v>
          </cell>
          <cell r="K212">
            <v>0</v>
          </cell>
          <cell r="L212" t="str">
            <v>ASICS</v>
          </cell>
          <cell r="M212" t="str">
            <v>Forecast</v>
          </cell>
          <cell r="N212" t="str">
            <v>MOLDED</v>
          </cell>
          <cell r="O212">
            <v>1</v>
          </cell>
          <cell r="P212">
            <v>46052</v>
          </cell>
          <cell r="Q212">
            <v>46090</v>
          </cell>
          <cell r="R212">
            <v>46087</v>
          </cell>
          <cell r="S212">
            <v>38</v>
          </cell>
          <cell r="T212">
            <v>12</v>
          </cell>
          <cell r="U212">
            <v>11.5</v>
          </cell>
          <cell r="V212">
            <v>107</v>
          </cell>
          <cell r="W212" t="str">
            <v>0.11D</v>
          </cell>
          <cell r="X212" t="str">
            <v>3-2026</v>
          </cell>
          <cell r="Y212" t="str">
            <v>Week 10</v>
          </cell>
          <cell r="Z212">
            <v>46083</v>
          </cell>
          <cell r="AA212">
            <v>84</v>
          </cell>
          <cell r="AB212">
            <v>8.6959999999999996E-2</v>
          </cell>
        </row>
        <row r="213">
          <cell r="A213" t="str">
            <v>F-2026-01-507-3</v>
          </cell>
          <cell r="B213" t="str">
            <v>color</v>
          </cell>
          <cell r="C213" t="str">
            <v>FPRO-260130-0030</v>
          </cell>
          <cell r="D213" t="str">
            <v>Firm plan 30.01</v>
          </cell>
          <cell r="E213" t="str">
            <v>BDB-000113</v>
          </cell>
          <cell r="F213" t="str">
            <v>PVN-003414</v>
          </cell>
          <cell r="G213" t="str">
            <v>OrthoLite Regular-Hybrid SEEDPEARL/12-0703TPX Hybrid Flat Sheet 0.11D 25+/-4 Asker C 1.1M 2M 12mm</v>
          </cell>
          <cell r="H213">
            <v>3000</v>
          </cell>
          <cell r="I213">
            <v>1781</v>
          </cell>
          <cell r="J213">
            <v>1781</v>
          </cell>
          <cell r="K213">
            <v>0</v>
          </cell>
          <cell r="L213" t="str">
            <v>ASICS</v>
          </cell>
          <cell r="M213" t="str">
            <v>Forecast</v>
          </cell>
          <cell r="N213" t="str">
            <v>MOLDED</v>
          </cell>
          <cell r="O213">
            <v>1</v>
          </cell>
          <cell r="P213">
            <v>46052</v>
          </cell>
          <cell r="Q213">
            <v>46090</v>
          </cell>
          <cell r="R213">
            <v>46087</v>
          </cell>
          <cell r="S213">
            <v>38</v>
          </cell>
          <cell r="T213">
            <v>12</v>
          </cell>
          <cell r="U213">
            <v>11.5</v>
          </cell>
          <cell r="V213">
            <v>155</v>
          </cell>
          <cell r="W213" t="str">
            <v>0.11D</v>
          </cell>
          <cell r="X213" t="str">
            <v>3-2026</v>
          </cell>
          <cell r="Y213" t="str">
            <v>Week 10</v>
          </cell>
          <cell r="Z213">
            <v>46083</v>
          </cell>
          <cell r="AA213">
            <v>84</v>
          </cell>
          <cell r="AB213">
            <v>8.6959999999999996E-2</v>
          </cell>
        </row>
        <row r="214">
          <cell r="A214" t="str">
            <v>F-2026-01-508-1</v>
          </cell>
          <cell r="B214" t="str">
            <v>color</v>
          </cell>
          <cell r="C214" t="str">
            <v>FPRO-260130-0031</v>
          </cell>
          <cell r="D214" t="str">
            <v>Firm plan 30.01</v>
          </cell>
          <cell r="E214" t="str">
            <v>BDB-000113</v>
          </cell>
          <cell r="F214" t="str">
            <v>PVN-003414</v>
          </cell>
          <cell r="G214" t="str">
            <v>OrthoLite Regular-Hybrid SEEDPEARL/12-0703TPX Hybrid Flat Sheet 0.11D 25+/-4 Asker C 1.1M 2M 12mm</v>
          </cell>
          <cell r="H214">
            <v>4000</v>
          </cell>
          <cell r="I214">
            <v>2250</v>
          </cell>
          <cell r="J214">
            <v>2250</v>
          </cell>
          <cell r="K214">
            <v>0</v>
          </cell>
          <cell r="L214" t="str">
            <v>ASICS</v>
          </cell>
          <cell r="M214" t="str">
            <v>Forecast</v>
          </cell>
          <cell r="N214" t="str">
            <v>MOLDED</v>
          </cell>
          <cell r="O214">
            <v>1</v>
          </cell>
          <cell r="P214">
            <v>46052</v>
          </cell>
          <cell r="Q214">
            <v>46091</v>
          </cell>
          <cell r="R214">
            <v>46088</v>
          </cell>
          <cell r="S214">
            <v>39</v>
          </cell>
          <cell r="T214">
            <v>12</v>
          </cell>
          <cell r="U214">
            <v>11.5</v>
          </cell>
          <cell r="V214">
            <v>196</v>
          </cell>
          <cell r="W214" t="str">
            <v>0.11D</v>
          </cell>
          <cell r="X214" t="str">
            <v>3-2026</v>
          </cell>
          <cell r="Y214" t="str">
            <v>Week 10</v>
          </cell>
          <cell r="Z214">
            <v>46083</v>
          </cell>
          <cell r="AA214">
            <v>84</v>
          </cell>
          <cell r="AB214">
            <v>8.6959999999999996E-2</v>
          </cell>
        </row>
        <row r="215">
          <cell r="A215" t="str">
            <v>F-2026-01-508-2</v>
          </cell>
          <cell r="B215" t="str">
            <v>color</v>
          </cell>
          <cell r="C215" t="str">
            <v>FPRO-260130-0031</v>
          </cell>
          <cell r="D215" t="str">
            <v>Firm plan 30.01</v>
          </cell>
          <cell r="E215" t="str">
            <v>BDB-000113</v>
          </cell>
          <cell r="F215" t="str">
            <v>PVN-003414</v>
          </cell>
          <cell r="G215" t="str">
            <v>OrthoLite Regular-Hybrid SEEDPEARL/12-0703TPX Hybrid Flat Sheet 0.11D 25+/-4 Asker C 1.1M 2M 12mm</v>
          </cell>
          <cell r="H215">
            <v>4000</v>
          </cell>
          <cell r="I215">
            <v>1500</v>
          </cell>
          <cell r="J215">
            <v>1500</v>
          </cell>
          <cell r="K215">
            <v>0</v>
          </cell>
          <cell r="L215" t="str">
            <v>ASICS</v>
          </cell>
          <cell r="M215" t="str">
            <v>Forecast</v>
          </cell>
          <cell r="N215" t="str">
            <v>MOLDED</v>
          </cell>
          <cell r="O215">
            <v>1</v>
          </cell>
          <cell r="P215">
            <v>46052</v>
          </cell>
          <cell r="Q215">
            <v>46091</v>
          </cell>
          <cell r="R215">
            <v>46088</v>
          </cell>
          <cell r="S215">
            <v>39</v>
          </cell>
          <cell r="T215">
            <v>12</v>
          </cell>
          <cell r="U215">
            <v>11.5</v>
          </cell>
          <cell r="V215">
            <v>131</v>
          </cell>
          <cell r="W215" t="str">
            <v>0.11D</v>
          </cell>
          <cell r="X215" t="str">
            <v>3-2026</v>
          </cell>
          <cell r="Y215" t="str">
            <v>Week 10</v>
          </cell>
          <cell r="Z215">
            <v>46083</v>
          </cell>
          <cell r="AA215">
            <v>84</v>
          </cell>
          <cell r="AB215">
            <v>8.6959999999999996E-2</v>
          </cell>
        </row>
        <row r="216">
          <cell r="A216" t="str">
            <v>F-2026-01-508-3</v>
          </cell>
          <cell r="B216" t="str">
            <v>color</v>
          </cell>
          <cell r="C216" t="str">
            <v>FPRO-260130-0031</v>
          </cell>
          <cell r="D216" t="str">
            <v>Firm plan 30.01</v>
          </cell>
          <cell r="E216" t="str">
            <v>BDB-000113</v>
          </cell>
          <cell r="F216" t="str">
            <v>PVN-003414</v>
          </cell>
          <cell r="G216" t="str">
            <v>OrthoLite Regular-Hybrid SEEDPEARL/12-0703TPX Hybrid Flat Sheet 0.11D 25+/-4 Asker C 1.1M 2M 12mm</v>
          </cell>
          <cell r="H216">
            <v>4000</v>
          </cell>
          <cell r="I216">
            <v>250</v>
          </cell>
          <cell r="J216">
            <v>250</v>
          </cell>
          <cell r="K216">
            <v>0</v>
          </cell>
          <cell r="L216" t="str">
            <v>ASICS</v>
          </cell>
          <cell r="M216" t="str">
            <v>Forecast</v>
          </cell>
          <cell r="N216" t="str">
            <v>MOLDED</v>
          </cell>
          <cell r="O216">
            <v>1</v>
          </cell>
          <cell r="P216">
            <v>46052</v>
          </cell>
          <cell r="Q216">
            <v>46091</v>
          </cell>
          <cell r="R216">
            <v>46088</v>
          </cell>
          <cell r="S216">
            <v>39</v>
          </cell>
          <cell r="T216">
            <v>12</v>
          </cell>
          <cell r="U216">
            <v>11.5</v>
          </cell>
          <cell r="V216">
            <v>22</v>
          </cell>
          <cell r="W216" t="str">
            <v>0.11D</v>
          </cell>
          <cell r="X216" t="str">
            <v>3-2026</v>
          </cell>
          <cell r="Y216" t="str">
            <v>Week 10</v>
          </cell>
          <cell r="Z216">
            <v>46083</v>
          </cell>
          <cell r="AA216">
            <v>140</v>
          </cell>
          <cell r="AB216">
            <v>8.6959999999999996E-2</v>
          </cell>
        </row>
        <row r="217">
          <cell r="A217" t="str">
            <v>F-2026-01-509</v>
          </cell>
          <cell r="B217"/>
          <cell r="C217" t="str">
            <v>FPRO-260130-0032</v>
          </cell>
          <cell r="D217" t="str">
            <v>Firm plan 30.01</v>
          </cell>
          <cell r="E217" t="str">
            <v>BDB-000113</v>
          </cell>
          <cell r="F217" t="str">
            <v>PVN-003414</v>
          </cell>
          <cell r="G217" t="str">
            <v>OrthoLite Regular-Hybrid SEEDPEARL/12-0703TPX Hybrid Flat Sheet 0.11D 25+/-4 Asker C 1.1M 2M 12mm</v>
          </cell>
          <cell r="H217">
            <v>4000</v>
          </cell>
          <cell r="I217">
            <v>4000</v>
          </cell>
          <cell r="J217">
            <v>4000</v>
          </cell>
          <cell r="K217">
            <v>0</v>
          </cell>
          <cell r="L217" t="str">
            <v>ASICS</v>
          </cell>
          <cell r="M217" t="str">
            <v>Forecast</v>
          </cell>
          <cell r="N217" t="str">
            <v>MOLDED</v>
          </cell>
          <cell r="O217">
            <v>1</v>
          </cell>
          <cell r="P217">
            <v>46052</v>
          </cell>
          <cell r="Q217">
            <v>46095</v>
          </cell>
          <cell r="R217">
            <v>46092</v>
          </cell>
          <cell r="S217">
            <v>43</v>
          </cell>
          <cell r="T217">
            <v>12</v>
          </cell>
          <cell r="U217">
            <v>11.5</v>
          </cell>
          <cell r="V217">
            <v>348</v>
          </cell>
          <cell r="W217" t="str">
            <v>0.11D</v>
          </cell>
          <cell r="X217" t="str">
            <v>3-2026</v>
          </cell>
          <cell r="Y217" t="str">
            <v>Week 11</v>
          </cell>
          <cell r="Z217">
            <v>46090</v>
          </cell>
          <cell r="AA217">
            <v>84</v>
          </cell>
          <cell r="AB217">
            <v>8.6959999999999996E-2</v>
          </cell>
        </row>
        <row r="218">
          <cell r="A218" t="str">
            <v>F-2026-01-510-1-1</v>
          </cell>
          <cell r="B218" t="str">
            <v>color</v>
          </cell>
          <cell r="C218" t="str">
            <v>FPRO-260130-0033</v>
          </cell>
          <cell r="D218" t="str">
            <v>Firm plan 30.01</v>
          </cell>
          <cell r="E218" t="str">
            <v>BDB-000113</v>
          </cell>
          <cell r="F218" t="str">
            <v>PVN-003414</v>
          </cell>
          <cell r="G218" t="str">
            <v>OrthoLite Regular-Hybrid SEEDPEARL/12-0703TPX Hybrid Flat Sheet 0.11D 25+/-4 Asker C 1.1M 2M 12mm</v>
          </cell>
          <cell r="H218">
            <v>1650</v>
          </cell>
          <cell r="I218">
            <v>1239</v>
          </cell>
          <cell r="J218">
            <v>1239</v>
          </cell>
          <cell r="K218">
            <v>0</v>
          </cell>
          <cell r="L218" t="str">
            <v>ASICS</v>
          </cell>
          <cell r="M218" t="str">
            <v>Forecast</v>
          </cell>
          <cell r="N218" t="str">
            <v>MOLDED</v>
          </cell>
          <cell r="O218">
            <v>1</v>
          </cell>
          <cell r="P218">
            <v>46052</v>
          </cell>
          <cell r="Q218">
            <v>46099</v>
          </cell>
          <cell r="R218">
            <v>46096</v>
          </cell>
          <cell r="S218">
            <v>47</v>
          </cell>
          <cell r="T218">
            <v>12</v>
          </cell>
          <cell r="U218">
            <v>11.5</v>
          </cell>
          <cell r="V218">
            <v>108</v>
          </cell>
          <cell r="W218" t="str">
            <v>0.11D</v>
          </cell>
          <cell r="X218" t="str">
            <v>3-2026</v>
          </cell>
          <cell r="Y218" t="str">
            <v>Week 11</v>
          </cell>
          <cell r="Z218">
            <v>46090</v>
          </cell>
          <cell r="AA218">
            <v>140</v>
          </cell>
          <cell r="AB218">
            <v>8.6959999999999996E-2</v>
          </cell>
        </row>
        <row r="219">
          <cell r="A219" t="str">
            <v>F-2026-01-510-1-2</v>
          </cell>
          <cell r="B219" t="str">
            <v>color</v>
          </cell>
          <cell r="C219" t="str">
            <v>FPRO-260130-0033</v>
          </cell>
          <cell r="D219" t="str">
            <v>Firm plan 30.01</v>
          </cell>
          <cell r="E219" t="str">
            <v>BDB-000113</v>
          </cell>
          <cell r="F219" t="str">
            <v>PVN-003414</v>
          </cell>
          <cell r="G219" t="str">
            <v>OrthoLite Regular-Hybrid SEEDPEARL/12-0703TPX Hybrid Flat Sheet 0.11D 25+/-4 Asker C 1.1M 2M 12mm</v>
          </cell>
          <cell r="H219">
            <v>1650</v>
          </cell>
          <cell r="I219">
            <v>411</v>
          </cell>
          <cell r="J219">
            <v>411</v>
          </cell>
          <cell r="K219">
            <v>0</v>
          </cell>
          <cell r="L219" t="str">
            <v>ASICS</v>
          </cell>
          <cell r="M219" t="str">
            <v>Forecast</v>
          </cell>
          <cell r="N219" t="str">
            <v>MOLDED</v>
          </cell>
          <cell r="O219">
            <v>1</v>
          </cell>
          <cell r="P219">
            <v>46052</v>
          </cell>
          <cell r="Q219">
            <v>46099</v>
          </cell>
          <cell r="R219">
            <v>46096</v>
          </cell>
          <cell r="S219">
            <v>47</v>
          </cell>
          <cell r="T219">
            <v>12</v>
          </cell>
          <cell r="U219">
            <v>11.5</v>
          </cell>
          <cell r="V219">
            <v>36</v>
          </cell>
          <cell r="W219" t="str">
            <v>0.11D</v>
          </cell>
          <cell r="X219" t="str">
            <v>3-2026</v>
          </cell>
          <cell r="Y219" t="str">
            <v>Week 11</v>
          </cell>
          <cell r="Z219">
            <v>46090</v>
          </cell>
          <cell r="AA219">
            <v>140</v>
          </cell>
          <cell r="AB219">
            <v>8.6959999999999996E-2</v>
          </cell>
        </row>
        <row r="220">
          <cell r="A220" t="str">
            <v>F-2026-01-510-2-1</v>
          </cell>
          <cell r="B220" t="str">
            <v>Color</v>
          </cell>
          <cell r="C220" t="str">
            <v>FPRO-260312-0002</v>
          </cell>
          <cell r="D220" t="str">
            <v>Firm plan 30.01</v>
          </cell>
          <cell r="E220" t="str">
            <v>BDB-000113</v>
          </cell>
          <cell r="F220" t="str">
            <v>PVN-003414</v>
          </cell>
          <cell r="G220" t="str">
            <v>OrthoLite Regular-Hybrid SEEDPEARL/12-0703TPX Hybrid Flat Sheet 0.11D 25+/-4 Asker C 1.1M 2M 12mm</v>
          </cell>
          <cell r="H220">
            <v>2350</v>
          </cell>
          <cell r="I220">
            <v>2286</v>
          </cell>
          <cell r="J220">
            <v>2286</v>
          </cell>
          <cell r="K220">
            <v>0</v>
          </cell>
          <cell r="L220" t="str">
            <v>ASICS</v>
          </cell>
          <cell r="M220" t="str">
            <v>Forecast</v>
          </cell>
          <cell r="N220" t="str">
            <v>MOLDED</v>
          </cell>
          <cell r="O220">
            <v>1</v>
          </cell>
          <cell r="P220">
            <v>46052</v>
          </cell>
          <cell r="Q220">
            <v>46102</v>
          </cell>
          <cell r="R220">
            <v>46099</v>
          </cell>
          <cell r="S220">
            <v>50</v>
          </cell>
          <cell r="T220">
            <v>12</v>
          </cell>
          <cell r="U220">
            <v>11.5</v>
          </cell>
          <cell r="V220">
            <v>199</v>
          </cell>
          <cell r="W220" t="str">
            <v>0.11D</v>
          </cell>
          <cell r="X220" t="str">
            <v>3-2026</v>
          </cell>
          <cell r="Y220" t="str">
            <v>Week 12</v>
          </cell>
          <cell r="Z220">
            <v>46097</v>
          </cell>
          <cell r="AA220">
            <v>140</v>
          </cell>
          <cell r="AB220">
            <v>8.6959999999999996E-2</v>
          </cell>
        </row>
        <row r="221">
          <cell r="A221" t="str">
            <v>F-2026-01-510-2-2</v>
          </cell>
          <cell r="B221" t="str">
            <v>Color</v>
          </cell>
          <cell r="C221" t="str">
            <v>FPRO-260312-0002</v>
          </cell>
          <cell r="D221" t="str">
            <v>Firm plan 30.01</v>
          </cell>
          <cell r="E221" t="str">
            <v>BDB-000113</v>
          </cell>
          <cell r="F221" t="str">
            <v>PVN-003414</v>
          </cell>
          <cell r="G221" t="str">
            <v>OrthoLite Regular-Hybrid SEEDPEARL/12-0703TPX Hybrid Flat Sheet 0.11D 25+/-4 Asker C 1.1M 2M 12mm</v>
          </cell>
          <cell r="H221">
            <v>2350</v>
          </cell>
          <cell r="I221">
            <v>64</v>
          </cell>
          <cell r="J221">
            <v>64</v>
          </cell>
          <cell r="K221">
            <v>0</v>
          </cell>
          <cell r="L221" t="str">
            <v>ASICS</v>
          </cell>
          <cell r="M221" t="str">
            <v>Forecast</v>
          </cell>
          <cell r="N221" t="str">
            <v>MOLDED</v>
          </cell>
          <cell r="O221">
            <v>1</v>
          </cell>
          <cell r="P221">
            <v>46052</v>
          </cell>
          <cell r="Q221">
            <v>46102</v>
          </cell>
          <cell r="R221">
            <v>46099</v>
          </cell>
          <cell r="S221">
            <v>50</v>
          </cell>
          <cell r="T221">
            <v>12</v>
          </cell>
          <cell r="U221">
            <v>11.5</v>
          </cell>
          <cell r="V221">
            <v>6</v>
          </cell>
          <cell r="W221" t="str">
            <v>0.11D</v>
          </cell>
          <cell r="X221" t="str">
            <v>3-2026</v>
          </cell>
          <cell r="Y221" t="str">
            <v>Week 12</v>
          </cell>
          <cell r="Z221">
            <v>46097</v>
          </cell>
          <cell r="AA221">
            <v>140</v>
          </cell>
          <cell r="AB221">
            <v>8.6959999999999996E-2</v>
          </cell>
        </row>
        <row r="222">
          <cell r="A222" t="str">
            <v>F-2026-01-511</v>
          </cell>
          <cell r="B222"/>
          <cell r="C222" t="str">
            <v>FPRO-260130-0034</v>
          </cell>
          <cell r="D222" t="str">
            <v>Firm plan 30.01</v>
          </cell>
          <cell r="E222" t="str">
            <v>BDB-000113</v>
          </cell>
          <cell r="F222" t="str">
            <v>PVN-003414</v>
          </cell>
          <cell r="G222" t="str">
            <v>OrthoLite Regular-Hybrid SEEDPEARL/12-0703TPX Hybrid Flat Sheet 0.11D 25+/-4 Asker C 1.1M 2M 12mm</v>
          </cell>
          <cell r="H222">
            <v>4000</v>
          </cell>
          <cell r="I222">
            <v>4000</v>
          </cell>
          <cell r="J222">
            <v>4000</v>
          </cell>
          <cell r="K222">
            <v>0</v>
          </cell>
          <cell r="L222" t="str">
            <v>ASICS</v>
          </cell>
          <cell r="M222" t="str">
            <v>Forecast</v>
          </cell>
          <cell r="N222" t="str">
            <v>MOLDED</v>
          </cell>
          <cell r="O222">
            <v>1</v>
          </cell>
          <cell r="P222">
            <v>46052</v>
          </cell>
          <cell r="Q222">
            <v>46105</v>
          </cell>
          <cell r="R222">
            <v>46102</v>
          </cell>
          <cell r="S222">
            <v>53</v>
          </cell>
          <cell r="T222">
            <v>12</v>
          </cell>
          <cell r="U222">
            <v>11.5</v>
          </cell>
          <cell r="V222">
            <v>348</v>
          </cell>
          <cell r="W222" t="str">
            <v>0.11D</v>
          </cell>
          <cell r="X222" t="str">
            <v>3-2026</v>
          </cell>
          <cell r="Y222" t="str">
            <v>Week 12</v>
          </cell>
          <cell r="Z222">
            <v>46097</v>
          </cell>
          <cell r="AA222">
            <v>140</v>
          </cell>
          <cell r="AB222">
            <v>8.6959999999999996E-2</v>
          </cell>
        </row>
        <row r="223">
          <cell r="A223" t="str">
            <v>F-2026-01-512</v>
          </cell>
          <cell r="B223"/>
          <cell r="C223" t="str">
            <v>FPRO-260130-0035</v>
          </cell>
          <cell r="D223" t="str">
            <v>Firm plan 30.01</v>
          </cell>
          <cell r="E223" t="str">
            <v>BDB-000113</v>
          </cell>
          <cell r="F223" t="str">
            <v>PVN-003414</v>
          </cell>
          <cell r="G223" t="str">
            <v>OrthoLite Regular-Hybrid SEEDPEARL/12-0703TPX Hybrid Flat Sheet 0.11D 25+/-4 Asker C 1.1M 2M 12mm</v>
          </cell>
          <cell r="H223">
            <v>4000</v>
          </cell>
          <cell r="I223">
            <v>4000</v>
          </cell>
          <cell r="J223">
            <v>4000</v>
          </cell>
          <cell r="K223">
            <v>0</v>
          </cell>
          <cell r="L223" t="str">
            <v>ASICS</v>
          </cell>
          <cell r="M223" t="str">
            <v>Forecast</v>
          </cell>
          <cell r="N223" t="str">
            <v>MOLDED</v>
          </cell>
          <cell r="O223">
            <v>1</v>
          </cell>
          <cell r="P223">
            <v>46052</v>
          </cell>
          <cell r="Q223">
            <v>46109</v>
          </cell>
          <cell r="R223">
            <v>46106</v>
          </cell>
          <cell r="S223">
            <v>57</v>
          </cell>
          <cell r="T223">
            <v>12</v>
          </cell>
          <cell r="U223">
            <v>11.5</v>
          </cell>
          <cell r="V223">
            <v>348</v>
          </cell>
          <cell r="W223" t="str">
            <v>0.11D</v>
          </cell>
          <cell r="X223" t="str">
            <v>3-2026</v>
          </cell>
          <cell r="Y223" t="str">
            <v>Week 13</v>
          </cell>
          <cell r="Z223">
            <v>46104</v>
          </cell>
          <cell r="AA223">
            <v>140</v>
          </cell>
          <cell r="AB223">
            <v>8.6959999999999996E-2</v>
          </cell>
        </row>
        <row r="224">
          <cell r="A224" t="str">
            <v>F-2026-01-513-1</v>
          </cell>
          <cell r="B224" t="str">
            <v>Color</v>
          </cell>
          <cell r="C224" t="str">
            <v>FPRO-260130-0036 1500PCS+FPRO-260330-0026 1200PCS</v>
          </cell>
          <cell r="D224" t="str">
            <v>Firm plan 30.01</v>
          </cell>
          <cell r="E224" t="str">
            <v>BDB-000113</v>
          </cell>
          <cell r="F224" t="str">
            <v>PVN-003414</v>
          </cell>
          <cell r="G224" t="str">
            <v>OrthoLite Regular-Hybrid SEEDPEARL/12-0703TPX Hybrid Flat Sheet 0.11D 25+/-4 Asker C 1.1M 2M 12mm</v>
          </cell>
          <cell r="H224">
            <v>2700</v>
          </cell>
          <cell r="I224">
            <v>2400</v>
          </cell>
          <cell r="J224">
            <v>2400</v>
          </cell>
          <cell r="K224">
            <v>0</v>
          </cell>
          <cell r="L224" t="str">
            <v>ASICS</v>
          </cell>
          <cell r="M224" t="str">
            <v>Forecast</v>
          </cell>
          <cell r="N224" t="str">
            <v>MOLDED</v>
          </cell>
          <cell r="O224">
            <v>1</v>
          </cell>
          <cell r="P224">
            <v>46052</v>
          </cell>
          <cell r="Q224">
            <v>46116</v>
          </cell>
          <cell r="R224">
            <v>46113</v>
          </cell>
          <cell r="S224">
            <v>64</v>
          </cell>
          <cell r="T224">
            <v>12</v>
          </cell>
          <cell r="U224">
            <v>11.5</v>
          </cell>
          <cell r="V224">
            <v>209</v>
          </cell>
          <cell r="W224" t="str">
            <v>0.11D</v>
          </cell>
          <cell r="X224" t="str">
            <v>4-2026</v>
          </cell>
          <cell r="Y224" t="str">
            <v>Week 13</v>
          </cell>
          <cell r="Z224">
            <v>46104</v>
          </cell>
          <cell r="AA224">
            <v>140</v>
          </cell>
          <cell r="AB224">
            <v>8.6959999999999996E-2</v>
          </cell>
        </row>
        <row r="225">
          <cell r="A225" t="str">
            <v>F-2026-01-513-2</v>
          </cell>
          <cell r="B225" t="str">
            <v>Color</v>
          </cell>
          <cell r="C225" t="str">
            <v>FPRO-260130-0036 1500PCS+FPRO-260330-0026 1200PCS</v>
          </cell>
          <cell r="D225" t="str">
            <v>Firm plan 30.01</v>
          </cell>
          <cell r="E225" t="str">
            <v>BDB-000113</v>
          </cell>
          <cell r="F225" t="str">
            <v>PVN-003414</v>
          </cell>
          <cell r="G225" t="str">
            <v>OrthoLite Regular-Hybrid SEEDPEARL/12-0703TPX Hybrid Flat Sheet 0.11D 25+/-4 Asker C 1.1M 2M 12mm</v>
          </cell>
          <cell r="H225">
            <v>2700</v>
          </cell>
          <cell r="I225">
            <v>300</v>
          </cell>
          <cell r="J225">
            <v>300</v>
          </cell>
          <cell r="K225">
            <v>0</v>
          </cell>
          <cell r="L225" t="str">
            <v>ASICS</v>
          </cell>
          <cell r="M225" t="str">
            <v>Forecast</v>
          </cell>
          <cell r="N225" t="str">
            <v>MOLDED</v>
          </cell>
          <cell r="O225">
            <v>1</v>
          </cell>
          <cell r="P225">
            <v>46052</v>
          </cell>
          <cell r="Q225">
            <v>46116</v>
          </cell>
          <cell r="R225">
            <v>46113</v>
          </cell>
          <cell r="S225">
            <v>64</v>
          </cell>
          <cell r="T225">
            <v>12</v>
          </cell>
          <cell r="U225">
            <v>11.5</v>
          </cell>
          <cell r="V225">
            <v>27</v>
          </cell>
          <cell r="W225" t="str">
            <v>0.11D</v>
          </cell>
          <cell r="X225" t="str">
            <v>4-2026</v>
          </cell>
          <cell r="Y225" t="str">
            <v>Week 13</v>
          </cell>
          <cell r="Z225">
            <v>46104</v>
          </cell>
          <cell r="AA225">
            <v>140</v>
          </cell>
          <cell r="AB225">
            <v>8.6959999999999996E-2</v>
          </cell>
        </row>
        <row r="226">
          <cell r="A226" t="str">
            <v>F-2026-01-514</v>
          </cell>
          <cell r="B226"/>
          <cell r="C226" t="str">
            <v>FPRO-260130-0037</v>
          </cell>
          <cell r="D226" t="str">
            <v>Firm plan 30.01</v>
          </cell>
          <cell r="E226" t="str">
            <v>BDB-000235</v>
          </cell>
          <cell r="F226" t="str">
            <v>PVN-003576</v>
          </cell>
          <cell r="G226" t="str">
            <v>OrthoLite X-55-Hybrid FOSSIL/17-0909TPX Hybrid Flat Sheet 0.16D 25+/-4 Asker C 1.1M 1.7M 12mm</v>
          </cell>
          <cell r="H226">
            <v>2600</v>
          </cell>
          <cell r="I226">
            <v>2600</v>
          </cell>
          <cell r="J226">
            <v>2600</v>
          </cell>
          <cell r="K226">
            <v>0</v>
          </cell>
          <cell r="L226" t="str">
            <v>ASICS</v>
          </cell>
          <cell r="M226" t="str">
            <v>Forecast</v>
          </cell>
          <cell r="N226" t="str">
            <v>MOLDED</v>
          </cell>
          <cell r="O226">
            <v>1</v>
          </cell>
          <cell r="P226">
            <v>46052</v>
          </cell>
          <cell r="Q226">
            <v>46093</v>
          </cell>
          <cell r="R226">
            <v>46090</v>
          </cell>
          <cell r="S226">
            <v>41</v>
          </cell>
          <cell r="T226">
            <v>12</v>
          </cell>
          <cell r="U226">
            <v>11.5</v>
          </cell>
          <cell r="V226">
            <v>227</v>
          </cell>
          <cell r="W226" t="str">
            <v>0.16D</v>
          </cell>
          <cell r="X226" t="str">
            <v>3-2026</v>
          </cell>
          <cell r="Y226" t="str">
            <v>Week 10</v>
          </cell>
          <cell r="Z226">
            <v>46083</v>
          </cell>
          <cell r="AA226">
            <v>140</v>
          </cell>
          <cell r="AB226">
            <v>8.6959999999999996E-2</v>
          </cell>
        </row>
        <row r="227">
          <cell r="A227" t="str">
            <v>F-2026-01-515</v>
          </cell>
          <cell r="B227"/>
          <cell r="C227" t="str">
            <v>FPRO-260130-0038</v>
          </cell>
          <cell r="D227" t="str">
            <v>Firm plan 30.01</v>
          </cell>
          <cell r="E227" t="str">
            <v>BDB-000235</v>
          </cell>
          <cell r="F227" t="str">
            <v>PVN-003576</v>
          </cell>
          <cell r="G227" t="str">
            <v>OrthoLite X-55-Hybrid FOSSIL/17-0909TPX Hybrid Flat Sheet 0.16D 25+/-4 Asker C 1.1M 1.7M 12mm</v>
          </cell>
          <cell r="H227">
            <v>2500</v>
          </cell>
          <cell r="I227">
            <v>2500</v>
          </cell>
          <cell r="J227">
            <v>2500</v>
          </cell>
          <cell r="K227">
            <v>0</v>
          </cell>
          <cell r="L227" t="str">
            <v>ASICS</v>
          </cell>
          <cell r="M227" t="str">
            <v>Forecast</v>
          </cell>
          <cell r="N227" t="str">
            <v>MOLDED</v>
          </cell>
          <cell r="O227">
            <v>1</v>
          </cell>
          <cell r="P227">
            <v>46052</v>
          </cell>
          <cell r="Q227">
            <v>46107</v>
          </cell>
          <cell r="R227">
            <v>46104</v>
          </cell>
          <cell r="S227">
            <v>55</v>
          </cell>
          <cell r="T227">
            <v>12</v>
          </cell>
          <cell r="U227">
            <v>11.5</v>
          </cell>
          <cell r="V227">
            <v>218</v>
          </cell>
          <cell r="W227" t="str">
            <v>0.16D</v>
          </cell>
          <cell r="X227" t="str">
            <v>3-2026</v>
          </cell>
          <cell r="Y227" t="str">
            <v>Week 12</v>
          </cell>
          <cell r="Z227">
            <v>46097</v>
          </cell>
          <cell r="AA227">
            <v>140</v>
          </cell>
          <cell r="AB227">
            <v>8.6959999999999996E-2</v>
          </cell>
        </row>
        <row r="228">
          <cell r="A228" t="str">
            <v>F-2026-01-516</v>
          </cell>
          <cell r="B228"/>
          <cell r="C228" t="str">
            <v>FPRO-260130-0039</v>
          </cell>
          <cell r="D228" t="str">
            <v>Firm plan 30.01</v>
          </cell>
          <cell r="E228" t="str">
            <v>BDB-000235</v>
          </cell>
          <cell r="F228" t="str">
            <v>PVN-003576</v>
          </cell>
          <cell r="G228" t="str">
            <v>OrthoLite X-55-Hybrid FOSSIL/17-0909TPX Hybrid Flat Sheet 0.16D 25+/-4 Asker C 1.1M 1.7M 12mm</v>
          </cell>
          <cell r="H228">
            <v>2500</v>
          </cell>
          <cell r="I228">
            <v>2500</v>
          </cell>
          <cell r="J228">
            <v>2500</v>
          </cell>
          <cell r="K228">
            <v>0</v>
          </cell>
          <cell r="L228" t="str">
            <v>ASICS</v>
          </cell>
          <cell r="M228" t="str">
            <v>Forecast</v>
          </cell>
          <cell r="N228" t="str">
            <v>MOLDED</v>
          </cell>
          <cell r="O228">
            <v>1</v>
          </cell>
          <cell r="P228">
            <v>46052</v>
          </cell>
          <cell r="Q228">
            <v>46099</v>
          </cell>
          <cell r="R228">
            <v>46096</v>
          </cell>
          <cell r="S228">
            <v>47</v>
          </cell>
          <cell r="T228">
            <v>12</v>
          </cell>
          <cell r="U228">
            <v>11.5</v>
          </cell>
          <cell r="V228">
            <v>218</v>
          </cell>
          <cell r="W228" t="str">
            <v>0.16D</v>
          </cell>
          <cell r="X228" t="str">
            <v>3-2026</v>
          </cell>
          <cell r="Y228" t="str">
            <v>Week 11</v>
          </cell>
          <cell r="Z228">
            <v>46090</v>
          </cell>
          <cell r="AA228">
            <v>140</v>
          </cell>
          <cell r="AB228">
            <v>8.6959999999999996E-2</v>
          </cell>
        </row>
        <row r="229">
          <cell r="A229" t="str">
            <v>F-2026-01-517</v>
          </cell>
          <cell r="B229"/>
          <cell r="C229" t="str">
            <v>FPRO-260130-0040</v>
          </cell>
          <cell r="D229" t="str">
            <v>Firm plan 30.01</v>
          </cell>
          <cell r="E229" t="str">
            <v>BDB-000234</v>
          </cell>
          <cell r="F229" t="str">
            <v>PVN-003581</v>
          </cell>
          <cell r="G229" t="str">
            <v>OrthoLite X-30-Hybrid BROWN SUGAR/17-1134TPX Hybrid Flat Sheet 0.13D 25+/-4 Asker C 1.1M 2M 12mm</v>
          </cell>
          <cell r="H229">
            <v>1000</v>
          </cell>
          <cell r="I229">
            <v>1000</v>
          </cell>
          <cell r="J229">
            <v>1000</v>
          </cell>
          <cell r="K229">
            <v>0</v>
          </cell>
          <cell r="L229" t="str">
            <v>ASICS</v>
          </cell>
          <cell r="M229" t="str">
            <v>Forecast</v>
          </cell>
          <cell r="N229" t="str">
            <v>MOLDED</v>
          </cell>
          <cell r="O229">
            <v>1</v>
          </cell>
          <cell r="P229">
            <v>46052</v>
          </cell>
          <cell r="Q229">
            <v>46085</v>
          </cell>
          <cell r="R229">
            <v>46082</v>
          </cell>
          <cell r="S229">
            <v>33</v>
          </cell>
          <cell r="T229">
            <v>12</v>
          </cell>
          <cell r="U229">
            <v>11.5</v>
          </cell>
          <cell r="V229">
            <v>87</v>
          </cell>
          <cell r="W229" t="str">
            <v>0.13D</v>
          </cell>
          <cell r="X229" t="str">
            <v>3-2026</v>
          </cell>
          <cell r="Y229" t="str">
            <v>Week 9</v>
          </cell>
          <cell r="Z229">
            <v>46076</v>
          </cell>
          <cell r="AA229">
            <v>139</v>
          </cell>
          <cell r="AB229">
            <v>8.6959999999999996E-2</v>
          </cell>
        </row>
        <row r="230">
          <cell r="A230" t="str">
            <v>F-2026-01-518</v>
          </cell>
          <cell r="B230"/>
          <cell r="C230" t="str">
            <v>FPRO-260130-0041</v>
          </cell>
          <cell r="D230" t="str">
            <v>Firm plan 30.01</v>
          </cell>
          <cell r="E230" t="str">
            <v>BDB-000234</v>
          </cell>
          <cell r="F230" t="str">
            <v>PVN-003581</v>
          </cell>
          <cell r="G230" t="str">
            <v>OrthoLite X-30-Hybrid BROWN SUGAR/17-1134TPX Hybrid Flat Sheet 0.13D 25+/-4 Asker C 1.1M 2M 12mm</v>
          </cell>
          <cell r="H230">
            <v>1000</v>
          </cell>
          <cell r="I230">
            <v>1000</v>
          </cell>
          <cell r="J230">
            <v>1000</v>
          </cell>
          <cell r="K230">
            <v>0</v>
          </cell>
          <cell r="L230" t="str">
            <v>ASICS</v>
          </cell>
          <cell r="M230" t="str">
            <v>Forecast</v>
          </cell>
          <cell r="N230" t="str">
            <v>MOLDED</v>
          </cell>
          <cell r="O230">
            <v>1</v>
          </cell>
          <cell r="P230">
            <v>46052</v>
          </cell>
          <cell r="Q230">
            <v>46093</v>
          </cell>
          <cell r="R230">
            <v>46090</v>
          </cell>
          <cell r="S230">
            <v>41</v>
          </cell>
          <cell r="T230">
            <v>12</v>
          </cell>
          <cell r="U230">
            <v>11.5</v>
          </cell>
          <cell r="V230">
            <v>87</v>
          </cell>
          <cell r="W230" t="str">
            <v>0.13D</v>
          </cell>
          <cell r="X230" t="str">
            <v>3-2026</v>
          </cell>
          <cell r="Y230" t="str">
            <v>Week 10</v>
          </cell>
          <cell r="Z230">
            <v>46083</v>
          </cell>
          <cell r="AA230">
            <v>139</v>
          </cell>
          <cell r="AB230">
            <v>8.6959999999999996E-2</v>
          </cell>
        </row>
        <row r="231">
          <cell r="A231" t="str">
            <v>F-2026-01-519</v>
          </cell>
          <cell r="B231"/>
          <cell r="C231" t="str">
            <v>FPRO-260130-0042</v>
          </cell>
          <cell r="D231" t="str">
            <v>Firm plan 30.01</v>
          </cell>
          <cell r="E231" t="str">
            <v>BDB-000234</v>
          </cell>
          <cell r="F231" t="str">
            <v>PVN-003581</v>
          </cell>
          <cell r="G231" t="str">
            <v>OrthoLite X-30-Hybrid BROWN SUGAR/17-1134TPX Hybrid Flat Sheet 0.13D 25+/-4 Asker C 1.1M 2M 12mm</v>
          </cell>
          <cell r="H231">
            <v>1000</v>
          </cell>
          <cell r="I231">
            <v>1000</v>
          </cell>
          <cell r="J231">
            <v>1000</v>
          </cell>
          <cell r="K231">
            <v>0</v>
          </cell>
          <cell r="L231" t="str">
            <v>ASICS</v>
          </cell>
          <cell r="M231" t="str">
            <v>Forecast</v>
          </cell>
          <cell r="N231" t="str">
            <v>MOLDED</v>
          </cell>
          <cell r="O231">
            <v>1</v>
          </cell>
          <cell r="P231">
            <v>46052</v>
          </cell>
          <cell r="Q231" t="str">
            <v>12/3*500;16/3*500</v>
          </cell>
          <cell r="R231" t="e">
            <v>#VALUE!</v>
          </cell>
          <cell r="S231" t="e">
            <v>#VALUE!</v>
          </cell>
          <cell r="T231">
            <v>12</v>
          </cell>
          <cell r="U231">
            <v>11.5</v>
          </cell>
          <cell r="V231">
            <v>87</v>
          </cell>
          <cell r="W231" t="str">
            <v>0.13D</v>
          </cell>
          <cell r="X231" t="e">
            <v>#VALUE!</v>
          </cell>
          <cell r="Y231" t="str">
            <v>Week 11</v>
          </cell>
          <cell r="Z231">
            <v>46090</v>
          </cell>
          <cell r="AA231">
            <v>139</v>
          </cell>
          <cell r="AB231">
            <v>8.6959999999999996E-2</v>
          </cell>
        </row>
        <row r="232">
          <cell r="A232" t="str">
            <v>F-2026-01-520</v>
          </cell>
          <cell r="B232"/>
          <cell r="C232" t="str">
            <v>FPRO-260130-0043</v>
          </cell>
          <cell r="D232" t="str">
            <v>Firm plan 30.01</v>
          </cell>
          <cell r="E232" t="str">
            <v>BDB-000234</v>
          </cell>
          <cell r="F232" t="str">
            <v>PVN-003581</v>
          </cell>
          <cell r="G232" t="str">
            <v>OrthoLite X-30-Hybrid BROWN SUGAR/17-1134TPX Hybrid Flat Sheet 0.13D 25+/-4 Asker C 1.1M 2M 12mm</v>
          </cell>
          <cell r="H232">
            <v>1000</v>
          </cell>
          <cell r="I232">
            <v>1000</v>
          </cell>
          <cell r="J232">
            <v>1000</v>
          </cell>
          <cell r="K232">
            <v>0</v>
          </cell>
          <cell r="L232" t="str">
            <v>ASICS</v>
          </cell>
          <cell r="M232" t="str">
            <v>Forecast</v>
          </cell>
          <cell r="N232" t="str">
            <v>MOLDED</v>
          </cell>
          <cell r="O232">
            <v>1</v>
          </cell>
          <cell r="P232">
            <v>46052</v>
          </cell>
          <cell r="Q232">
            <v>46102</v>
          </cell>
          <cell r="R232">
            <v>46099</v>
          </cell>
          <cell r="S232">
            <v>50</v>
          </cell>
          <cell r="T232">
            <v>12</v>
          </cell>
          <cell r="U232">
            <v>11.5</v>
          </cell>
          <cell r="V232">
            <v>87</v>
          </cell>
          <cell r="W232" t="str">
            <v>0.13D</v>
          </cell>
          <cell r="X232" t="str">
            <v>3-2026</v>
          </cell>
          <cell r="Y232" t="str">
            <v>Week 12</v>
          </cell>
          <cell r="Z232">
            <v>46097</v>
          </cell>
          <cell r="AA232">
            <v>103</v>
          </cell>
          <cell r="AB232">
            <v>8.6959999999999996E-2</v>
          </cell>
        </row>
        <row r="233">
          <cell r="A233" t="str">
            <v>F-2026-01-521</v>
          </cell>
          <cell r="B233"/>
          <cell r="C233" t="str">
            <v>FPRO-260130-0044</v>
          </cell>
          <cell r="D233" t="str">
            <v>Firm plan 30.01</v>
          </cell>
          <cell r="E233" t="str">
            <v>BDB-000234</v>
          </cell>
          <cell r="F233" t="str">
            <v>PVN-003581</v>
          </cell>
          <cell r="G233" t="str">
            <v>OrthoLite X-30-Hybrid BROWN SUGAR/17-1134TPX Hybrid Flat Sheet 0.13D 25+/-4 Asker C 1.1M 2M 12mm</v>
          </cell>
          <cell r="H233">
            <v>1000</v>
          </cell>
          <cell r="I233">
            <v>1000</v>
          </cell>
          <cell r="J233">
            <v>1000</v>
          </cell>
          <cell r="K233">
            <v>0</v>
          </cell>
          <cell r="L233" t="str">
            <v>ASICS</v>
          </cell>
          <cell r="M233" t="str">
            <v>Forecast</v>
          </cell>
          <cell r="N233" t="str">
            <v>MOLDED</v>
          </cell>
          <cell r="O233">
            <v>1</v>
          </cell>
          <cell r="P233">
            <v>46052</v>
          </cell>
          <cell r="Q233">
            <v>46107</v>
          </cell>
          <cell r="R233">
            <v>46104</v>
          </cell>
          <cell r="S233">
            <v>55</v>
          </cell>
          <cell r="T233">
            <v>12</v>
          </cell>
          <cell r="U233">
            <v>11.5</v>
          </cell>
          <cell r="V233">
            <v>87</v>
          </cell>
          <cell r="W233" t="str">
            <v>0.13D</v>
          </cell>
          <cell r="X233" t="str">
            <v>3-2026</v>
          </cell>
          <cell r="Y233" t="str">
            <v>Week 12</v>
          </cell>
          <cell r="Z233">
            <v>46097</v>
          </cell>
          <cell r="AA233">
            <v>103</v>
          </cell>
          <cell r="AB233">
            <v>8.6959999999999996E-2</v>
          </cell>
        </row>
        <row r="234">
          <cell r="A234" t="str">
            <v>F-2026-01-522</v>
          </cell>
          <cell r="B234"/>
          <cell r="C234" t="str">
            <v>FPRO-260130-0045</v>
          </cell>
          <cell r="D234" t="str">
            <v>Firm plan 30.01</v>
          </cell>
          <cell r="E234" t="str">
            <v>BDB-000234</v>
          </cell>
          <cell r="F234" t="str">
            <v>PVN-003581</v>
          </cell>
          <cell r="G234" t="str">
            <v>OrthoLite X-30-Hybrid BROWN SUGAR/17-1134TPX Hybrid Flat Sheet 0.13D 25+/-4 Asker C 1.1M 2M 12mm</v>
          </cell>
          <cell r="H234">
            <v>900</v>
          </cell>
          <cell r="I234">
            <v>900</v>
          </cell>
          <cell r="J234">
            <v>900</v>
          </cell>
          <cell r="K234">
            <v>0</v>
          </cell>
          <cell r="L234" t="str">
            <v>ASICS</v>
          </cell>
          <cell r="M234" t="str">
            <v>Forecast</v>
          </cell>
          <cell r="N234" t="str">
            <v>MOLDED</v>
          </cell>
          <cell r="O234">
            <v>1</v>
          </cell>
          <cell r="P234">
            <v>46052</v>
          </cell>
          <cell r="Q234">
            <v>46112</v>
          </cell>
          <cell r="R234">
            <v>46109</v>
          </cell>
          <cell r="S234">
            <v>60</v>
          </cell>
          <cell r="T234">
            <v>12</v>
          </cell>
          <cell r="U234">
            <v>11.5</v>
          </cell>
          <cell r="V234">
            <v>79</v>
          </cell>
          <cell r="W234" t="str">
            <v>0.13D</v>
          </cell>
          <cell r="X234" t="str">
            <v>3-2026</v>
          </cell>
          <cell r="Y234" t="str">
            <v>Week 13</v>
          </cell>
          <cell r="Z234">
            <v>46104</v>
          </cell>
          <cell r="AA234">
            <v>103</v>
          </cell>
          <cell r="AB234">
            <v>8.6959999999999996E-2</v>
          </cell>
        </row>
        <row r="235">
          <cell r="A235" t="str">
            <v>F-2026-01-523-2</v>
          </cell>
          <cell r="B235"/>
          <cell r="C235" t="str">
            <v>FPRO-260206-0001 535PCS+ FPRO-260228-0005 65PCS</v>
          </cell>
          <cell r="D235" t="str">
            <v>Firm plan 30.01</v>
          </cell>
          <cell r="E235" t="str">
            <v>BDB-000052</v>
          </cell>
          <cell r="F235" t="str">
            <v>PVN-003603</v>
          </cell>
          <cell r="G235" t="str">
            <v>OrthoLite X-40 TRUE BLUE/19-4057TPX Flat Sheet 0.16D 25+/-4 Asker C 1.1M 1.47M 12mm</v>
          </cell>
          <cell r="H235">
            <v>600</v>
          </cell>
          <cell r="I235">
            <v>600</v>
          </cell>
          <cell r="J235">
            <v>600</v>
          </cell>
          <cell r="K235">
            <v>0</v>
          </cell>
          <cell r="L235" t="str">
            <v>ASICS</v>
          </cell>
          <cell r="M235" t="str">
            <v>Forecast</v>
          </cell>
          <cell r="N235" t="str">
            <v>MOLDED</v>
          </cell>
          <cell r="O235">
            <v>1</v>
          </cell>
          <cell r="P235">
            <v>46052</v>
          </cell>
          <cell r="Q235">
            <v>46081</v>
          </cell>
          <cell r="R235">
            <v>46078</v>
          </cell>
          <cell r="S235">
            <v>29</v>
          </cell>
          <cell r="T235">
            <v>12</v>
          </cell>
          <cell r="U235">
            <v>11.5</v>
          </cell>
          <cell r="V235">
            <v>53</v>
          </cell>
          <cell r="W235" t="str">
            <v>0.16D</v>
          </cell>
          <cell r="X235" t="str">
            <v>2-2026</v>
          </cell>
          <cell r="Y235" t="str">
            <v>Week 7</v>
          </cell>
          <cell r="Z235">
            <v>46062</v>
          </cell>
          <cell r="AA235">
            <v>103</v>
          </cell>
          <cell r="AB235">
            <v>8.6959999999999996E-2</v>
          </cell>
        </row>
        <row r="236">
          <cell r="A236" t="str">
            <v>OIN-2026.01.29-01</v>
          </cell>
          <cell r="B236" t="str">
            <v>Urgent/FCL</v>
          </cell>
          <cell r="C236" t="str">
            <v>RPRO-260202-1217</v>
          </cell>
          <cell r="D236" t="str">
            <v>OIN</v>
          </cell>
          <cell r="E236" t="str">
            <v>BDB-000123</v>
          </cell>
          <cell r="F236" t="str">
            <v>PVN-003784</v>
          </cell>
          <cell r="G236" t="str">
            <v xml:space="preserve">[116-311] Ultra Hybrid 25+/-4 Asker C 0.085D Seedpearl 12-0703 Tpx 1.10M X 2.00M 47mm </v>
          </cell>
          <cell r="H236">
            <v>1064</v>
          </cell>
          <cell r="I236">
            <v>1064</v>
          </cell>
          <cell r="J236">
            <v>1064</v>
          </cell>
          <cell r="K236">
            <v>0</v>
          </cell>
          <cell r="L236" t="str">
            <v>KICKERS</v>
          </cell>
          <cell r="M236" t="str">
            <v>PO-6587-SO-260130-0324</v>
          </cell>
          <cell r="N236" t="str">
            <v>FLAT SHEET</v>
          </cell>
          <cell r="O236">
            <v>2</v>
          </cell>
          <cell r="P236">
            <v>46051</v>
          </cell>
          <cell r="Q236">
            <v>46080</v>
          </cell>
          <cell r="R236">
            <v>46077</v>
          </cell>
          <cell r="S236">
            <v>29</v>
          </cell>
          <cell r="T236">
            <v>47</v>
          </cell>
          <cell r="U236">
            <v>3</v>
          </cell>
          <cell r="V236">
            <v>355</v>
          </cell>
          <cell r="W236" t="str">
            <v>0.085D</v>
          </cell>
          <cell r="X236" t="str">
            <v>2-2026</v>
          </cell>
          <cell r="Y236" t="str">
            <v>Week 6</v>
          </cell>
          <cell r="Z236">
            <v>46055</v>
          </cell>
          <cell r="AA236">
            <v>114</v>
          </cell>
          <cell r="AB236">
            <v>0.33333000000000002</v>
          </cell>
        </row>
        <row r="237">
          <cell r="A237" t="str">
            <v>OIN-2026.01.31-01</v>
          </cell>
          <cell r="B237" t="str">
            <v>Urgent/FCL</v>
          </cell>
          <cell r="C237" t="str">
            <v>RPRO-260202-1220</v>
          </cell>
          <cell r="D237" t="str">
            <v>OIN</v>
          </cell>
          <cell r="E237" t="str">
            <v>BDB-000123</v>
          </cell>
          <cell r="F237" t="str">
            <v>PVN-003784</v>
          </cell>
          <cell r="G237" t="str">
            <v xml:space="preserve">[116-311] Ultra Hybrid 25+/-4 Asker C 0.085D Seedpearl 12-0703 Tpx 1.10M X 2.00M 47mm </v>
          </cell>
          <cell r="H237">
            <v>532</v>
          </cell>
          <cell r="I237">
            <v>532</v>
          </cell>
          <cell r="J237">
            <v>532</v>
          </cell>
          <cell r="K237">
            <v>0</v>
          </cell>
          <cell r="L237" t="str">
            <v>KICKERS</v>
          </cell>
          <cell r="M237" t="str">
            <v>PO-6601-SO-260202-0085</v>
          </cell>
          <cell r="N237" t="str">
            <v>FLAT SHEET</v>
          </cell>
          <cell r="O237">
            <v>2</v>
          </cell>
          <cell r="P237">
            <v>46053</v>
          </cell>
          <cell r="Q237">
            <v>46081</v>
          </cell>
          <cell r="R237">
            <v>46078</v>
          </cell>
          <cell r="S237">
            <v>28</v>
          </cell>
          <cell r="T237">
            <v>47</v>
          </cell>
          <cell r="U237">
            <v>3</v>
          </cell>
          <cell r="V237">
            <v>178</v>
          </cell>
          <cell r="W237" t="str">
            <v>0.085D</v>
          </cell>
          <cell r="X237" t="str">
            <v>2-2026</v>
          </cell>
          <cell r="Y237" t="str">
            <v>Week 7</v>
          </cell>
          <cell r="Z237">
            <v>46062</v>
          </cell>
          <cell r="AA237">
            <v>108</v>
          </cell>
          <cell r="AB237">
            <v>0.33333000000000002</v>
          </cell>
        </row>
        <row r="238">
          <cell r="A238" t="str">
            <v>OIN-2026.01.31-02</v>
          </cell>
          <cell r="B238" t="str">
            <v>Urgent/FCL</v>
          </cell>
          <cell r="C238" t="str">
            <v>RPRO-260202-1221</v>
          </cell>
          <cell r="D238" t="str">
            <v>OIN</v>
          </cell>
          <cell r="E238" t="str">
            <v>BDB-000058</v>
          </cell>
          <cell r="F238" t="str">
            <v>PVN-003780</v>
          </cell>
          <cell r="G238" t="str">
            <v>[116-361] Ultra 25+/-4 Asker C 0.085D Green 16-5932 Tpx 1.10M X 2.00M 47mm</v>
          </cell>
          <cell r="H238">
            <v>48</v>
          </cell>
          <cell r="I238">
            <v>48</v>
          </cell>
          <cell r="J238">
            <v>48</v>
          </cell>
          <cell r="K238">
            <v>0</v>
          </cell>
          <cell r="L238" t="str">
            <v>CLARKS</v>
          </cell>
          <cell r="M238" t="str">
            <v>PO-6601-SO-260202-0086</v>
          </cell>
          <cell r="N238" t="str">
            <v>FLAT SHEET</v>
          </cell>
          <cell r="O238">
            <v>2</v>
          </cell>
          <cell r="P238">
            <v>46053</v>
          </cell>
          <cell r="Q238">
            <v>46081</v>
          </cell>
          <cell r="R238">
            <v>46078</v>
          </cell>
          <cell r="S238">
            <v>28</v>
          </cell>
          <cell r="T238">
            <v>47</v>
          </cell>
          <cell r="U238">
            <v>3</v>
          </cell>
          <cell r="V238">
            <v>16</v>
          </cell>
          <cell r="W238" t="str">
            <v>0.085D</v>
          </cell>
          <cell r="X238" t="str">
            <v>2-2026</v>
          </cell>
          <cell r="Y238" t="str">
            <v>Week 7</v>
          </cell>
          <cell r="Z238">
            <v>46062</v>
          </cell>
          <cell r="AA238">
            <v>108</v>
          </cell>
          <cell r="AB238">
            <v>0.33333000000000002</v>
          </cell>
        </row>
        <row r="239">
          <cell r="A239" t="str">
            <v>F-2026-02-01</v>
          </cell>
          <cell r="B239"/>
          <cell r="C239" t="str">
            <v>RPRO-260202-1273</v>
          </cell>
          <cell r="D239" t="str">
            <v>MPS 30.01+31.01+01.2</v>
          </cell>
          <cell r="E239" t="str">
            <v>BDB-000058</v>
          </cell>
          <cell r="F239" t="str">
            <v>PVN-001277</v>
          </cell>
          <cell r="G239" t="str">
            <v>OrthoLite Ultra GREEN/16-5932TPX Flat Sheet 0.085D 25+/-4 Asker C 1.1M 2M 4mm</v>
          </cell>
          <cell r="H239">
            <v>980</v>
          </cell>
          <cell r="I239">
            <v>980</v>
          </cell>
          <cell r="J239">
            <v>980</v>
          </cell>
          <cell r="K239">
            <v>0</v>
          </cell>
          <cell r="L239"/>
          <cell r="M239" t="str">
            <v>MPS</v>
          </cell>
          <cell r="N239" t="str">
            <v>SPLITTING</v>
          </cell>
          <cell r="O239">
            <v>2</v>
          </cell>
          <cell r="P239">
            <v>46055</v>
          </cell>
          <cell r="Q239">
            <v>46084</v>
          </cell>
          <cell r="R239">
            <v>46081</v>
          </cell>
          <cell r="S239">
            <v>29</v>
          </cell>
          <cell r="T239">
            <v>4</v>
          </cell>
          <cell r="U239">
            <v>35</v>
          </cell>
          <cell r="V239">
            <v>28</v>
          </cell>
          <cell r="W239" t="str">
            <v>0.085D</v>
          </cell>
          <cell r="X239" t="str">
            <v>3-2026</v>
          </cell>
          <cell r="Y239" t="str">
            <v>Week 9</v>
          </cell>
          <cell r="Z239">
            <v>46076</v>
          </cell>
          <cell r="AA239">
            <v>47</v>
          </cell>
          <cell r="AB239">
            <v>2.8570000000000002E-2</v>
          </cell>
        </row>
        <row r="240">
          <cell r="A240" t="str">
            <v>F-2026-02-02</v>
          </cell>
          <cell r="B240"/>
          <cell r="C240" t="str">
            <v>RPRO-260202-1274</v>
          </cell>
          <cell r="D240" t="str">
            <v>MPS 30.01+31.01+01.2</v>
          </cell>
          <cell r="E240" t="str">
            <v>BDB-000123</v>
          </cell>
          <cell r="F240" t="str">
            <v>PVN-003300</v>
          </cell>
          <cell r="G240" t="str">
            <v>OrthoLite Ultra-Hybrid SEEDPEARL/12-0703TPX Hybrid Flat Sheet 0.085D 25+/-4 Asker C 1.1M 2M 2mm</v>
          </cell>
          <cell r="H240">
            <v>963</v>
          </cell>
          <cell r="I240">
            <v>963</v>
          </cell>
          <cell r="J240">
            <v>963</v>
          </cell>
          <cell r="K240">
            <v>0</v>
          </cell>
          <cell r="L240"/>
          <cell r="M240" t="str">
            <v>MPS</v>
          </cell>
          <cell r="N240" t="str">
            <v>SPLITTING</v>
          </cell>
          <cell r="O240">
            <v>2</v>
          </cell>
          <cell r="P240">
            <v>46055</v>
          </cell>
          <cell r="Q240">
            <v>46081</v>
          </cell>
          <cell r="R240">
            <v>46078</v>
          </cell>
          <cell r="S240">
            <v>26</v>
          </cell>
          <cell r="T240">
            <v>2</v>
          </cell>
          <cell r="U240">
            <v>70</v>
          </cell>
          <cell r="V240">
            <v>14</v>
          </cell>
          <cell r="W240" t="str">
            <v>0.085D</v>
          </cell>
          <cell r="X240" t="str">
            <v>2-2026</v>
          </cell>
          <cell r="Y240" t="str">
            <v>Week 9</v>
          </cell>
          <cell r="Z240">
            <v>46076</v>
          </cell>
          <cell r="AA240">
            <v>47</v>
          </cell>
          <cell r="AB240">
            <v>1.4290000000000001E-2</v>
          </cell>
        </row>
        <row r="241">
          <cell r="A241" t="str">
            <v>F-2026-02-03</v>
          </cell>
          <cell r="B241"/>
          <cell r="C241" t="str">
            <v>RPRO-260202-1275</v>
          </cell>
          <cell r="D241" t="str">
            <v>MPS 30.01+31.01+01.2</v>
          </cell>
          <cell r="E241" t="str">
            <v>BDB-000200</v>
          </cell>
          <cell r="F241" t="str">
            <v>PVN-003418</v>
          </cell>
          <cell r="G241" t="str">
            <v>OrthoLite Ultra SEEDPEARL/12-0703TPX Flat Sheet 0.085D 78-90 Asker F 1.1M 2M 5mm</v>
          </cell>
          <cell r="H241">
            <v>308</v>
          </cell>
          <cell r="I241">
            <v>308</v>
          </cell>
          <cell r="J241">
            <v>308</v>
          </cell>
          <cell r="K241">
            <v>0</v>
          </cell>
          <cell r="L241"/>
          <cell r="M241" t="str">
            <v>MPS</v>
          </cell>
          <cell r="N241" t="str">
            <v>SPLITTING</v>
          </cell>
          <cell r="O241">
            <v>2</v>
          </cell>
          <cell r="P241">
            <v>46055</v>
          </cell>
          <cell r="Q241">
            <v>46083</v>
          </cell>
          <cell r="R241">
            <v>46080</v>
          </cell>
          <cell r="S241">
            <v>28</v>
          </cell>
          <cell r="T241">
            <v>5</v>
          </cell>
          <cell r="U241">
            <v>28</v>
          </cell>
          <cell r="V241">
            <v>11</v>
          </cell>
          <cell r="W241" t="str">
            <v>0.085D</v>
          </cell>
          <cell r="X241" t="str">
            <v>3-2026</v>
          </cell>
          <cell r="Y241" t="str">
            <v>Week 9</v>
          </cell>
          <cell r="Z241">
            <v>46076</v>
          </cell>
          <cell r="AA241">
            <v>47</v>
          </cell>
          <cell r="AB241">
            <v>3.5709999999999999E-2</v>
          </cell>
        </row>
        <row r="242">
          <cell r="A242" t="str">
            <v>F-2026-02-04</v>
          </cell>
          <cell r="B242"/>
          <cell r="C242" t="str">
            <v>RPRO-260202-1276 (1500) và RPRO-260227-0682 (110)</v>
          </cell>
          <cell r="D242" t="str">
            <v>MPS 30.01+31.01+01.2</v>
          </cell>
          <cell r="E242" t="str">
            <v>BDB-000200</v>
          </cell>
          <cell r="F242" t="str">
            <v>PVN-003425</v>
          </cell>
          <cell r="G242" t="str">
            <v>OrthoLite Ultra SEEDPEARL/12-0703TPX Flat Sheet 0.085D 78-90 Asker F 1.1M 2M 4mm</v>
          </cell>
          <cell r="H242">
            <v>1610</v>
          </cell>
          <cell r="I242">
            <v>1610</v>
          </cell>
          <cell r="J242">
            <v>1610</v>
          </cell>
          <cell r="K242">
            <v>0</v>
          </cell>
          <cell r="L242"/>
          <cell r="M242" t="str">
            <v>MPS</v>
          </cell>
          <cell r="N242" t="str">
            <v>SPLITTING</v>
          </cell>
          <cell r="O242">
            <v>2</v>
          </cell>
          <cell r="P242">
            <v>46055</v>
          </cell>
          <cell r="Q242">
            <v>46081</v>
          </cell>
          <cell r="R242">
            <v>46078</v>
          </cell>
          <cell r="S242">
            <v>26</v>
          </cell>
          <cell r="T242">
            <v>4</v>
          </cell>
          <cell r="U242">
            <v>35</v>
          </cell>
          <cell r="V242">
            <v>46</v>
          </cell>
          <cell r="W242" t="str">
            <v>0.085D</v>
          </cell>
          <cell r="X242" t="str">
            <v>2-2026</v>
          </cell>
          <cell r="Y242" t="str">
            <v>Week 7</v>
          </cell>
          <cell r="Z242">
            <v>46062</v>
          </cell>
          <cell r="AA242">
            <v>47</v>
          </cell>
          <cell r="AB242">
            <v>2.8570000000000002E-2</v>
          </cell>
        </row>
        <row r="243">
          <cell r="A243" t="str">
            <v>F-2026-02-05</v>
          </cell>
          <cell r="B243"/>
          <cell r="C243" t="str">
            <v>RPRO-260202-1277</v>
          </cell>
          <cell r="D243" t="str">
            <v>MPS 30.01+31.01+01.2</v>
          </cell>
          <cell r="E243" t="str">
            <v>BDB-000348</v>
          </cell>
          <cell r="F243" t="str">
            <v>PVN-004210</v>
          </cell>
          <cell r="G243" t="str">
            <v>OrthoLite IMPERIAL SEEDPEARL/12-0703TPX Flat Sheet 0.22D 25+/-4 Asker C 1.1M 1.47M 5mm</v>
          </cell>
          <cell r="H243">
            <v>112</v>
          </cell>
          <cell r="I243">
            <v>112</v>
          </cell>
          <cell r="J243">
            <v>112</v>
          </cell>
          <cell r="K243">
            <v>0</v>
          </cell>
          <cell r="L243"/>
          <cell r="M243" t="str">
            <v>MPS</v>
          </cell>
          <cell r="N243" t="str">
            <v>SPLITTING</v>
          </cell>
          <cell r="O243">
            <v>2</v>
          </cell>
          <cell r="P243">
            <v>46055</v>
          </cell>
          <cell r="Q243">
            <v>46084</v>
          </cell>
          <cell r="R243">
            <v>46081</v>
          </cell>
          <cell r="S243">
            <v>29</v>
          </cell>
          <cell r="T243">
            <v>5</v>
          </cell>
          <cell r="U243">
            <v>28</v>
          </cell>
          <cell r="V243">
            <v>4</v>
          </cell>
          <cell r="W243" t="e">
            <v>#N/A</v>
          </cell>
          <cell r="X243" t="str">
            <v>3-2026</v>
          </cell>
          <cell r="Y243" t="str">
            <v>Week 9</v>
          </cell>
          <cell r="Z243">
            <v>46076</v>
          </cell>
          <cell r="AA243">
            <v>85</v>
          </cell>
          <cell r="AB243">
            <v>3.5709999999999999E-2</v>
          </cell>
        </row>
        <row r="244">
          <cell r="A244" t="str">
            <v>F-2026-02-06</v>
          </cell>
          <cell r="B244"/>
          <cell r="C244" t="str">
            <v>RPRO-260202-1278</v>
          </cell>
          <cell r="D244" t="str">
            <v>Pro.sche.report 30.01+31.01</v>
          </cell>
          <cell r="E244" t="str">
            <v>BDB-000217</v>
          </cell>
          <cell r="F244" t="str">
            <v>PVN-003483</v>
          </cell>
          <cell r="G244" t="str">
            <v>OrthoLite X-40-Hybrid SEEDPEARL/12-0703TPX Hybrid Flat Sheet 0.16D 35+/-4 Asker C 1.1M 1.7M 12mm</v>
          </cell>
          <cell r="H244">
            <v>143</v>
          </cell>
          <cell r="I244">
            <v>143</v>
          </cell>
          <cell r="J244">
            <v>143</v>
          </cell>
          <cell r="K244">
            <v>0</v>
          </cell>
          <cell r="L244" t="str">
            <v>BROOKS</v>
          </cell>
          <cell r="M244" t="str">
            <v>Pr.Sch.R</v>
          </cell>
          <cell r="N244" t="str">
            <v>MOLDED</v>
          </cell>
          <cell r="O244">
            <v>1</v>
          </cell>
          <cell r="P244">
            <v>46055</v>
          </cell>
          <cell r="Q244">
            <v>46088</v>
          </cell>
          <cell r="R244">
            <v>46085</v>
          </cell>
          <cell r="S244">
            <v>33</v>
          </cell>
          <cell r="T244">
            <v>12</v>
          </cell>
          <cell r="U244">
            <v>11</v>
          </cell>
          <cell r="V244">
            <v>14</v>
          </cell>
          <cell r="W244" t="str">
            <v>0.16D</v>
          </cell>
          <cell r="X244" t="str">
            <v>3-2026</v>
          </cell>
          <cell r="Y244" t="str">
            <v>Week 9</v>
          </cell>
          <cell r="Z244">
            <v>46076</v>
          </cell>
          <cell r="AA244">
            <v>85</v>
          </cell>
          <cell r="AB244">
            <v>9.0910000000000005E-2</v>
          </cell>
        </row>
        <row r="245">
          <cell r="A245" t="str">
            <v>F-2026-02-07</v>
          </cell>
          <cell r="B245"/>
          <cell r="C245" t="str">
            <v>RPRO-260202-1279</v>
          </cell>
          <cell r="D245" t="str">
            <v>Pro.sche.report 30.01+31.01</v>
          </cell>
          <cell r="E245" t="str">
            <v>BDB-000209</v>
          </cell>
          <cell r="F245" t="str">
            <v>PVN-003462</v>
          </cell>
          <cell r="G245" t="str">
            <v>OrthoLite HybridPlus-Recycled MINT GREEN/11-4805TPX Hybrid Flat Sheet 0.12D 25+/-4 Asker C 1.1M 2M 12mm</v>
          </cell>
          <cell r="H245">
            <v>352</v>
          </cell>
          <cell r="I245">
            <v>352</v>
          </cell>
          <cell r="J245">
            <v>352</v>
          </cell>
          <cell r="K245">
            <v>0</v>
          </cell>
          <cell r="L245" t="str">
            <v>BROOKS</v>
          </cell>
          <cell r="M245" t="str">
            <v>Pr.Sch.R</v>
          </cell>
          <cell r="N245" t="str">
            <v>MOLDED</v>
          </cell>
          <cell r="O245">
            <v>1</v>
          </cell>
          <cell r="P245">
            <v>46055</v>
          </cell>
          <cell r="Q245">
            <v>46083</v>
          </cell>
          <cell r="R245">
            <v>46080</v>
          </cell>
          <cell r="S245">
            <v>28</v>
          </cell>
          <cell r="T245">
            <v>12</v>
          </cell>
          <cell r="U245">
            <v>11</v>
          </cell>
          <cell r="V245">
            <v>33</v>
          </cell>
          <cell r="W245" t="str">
            <v>0.12D</v>
          </cell>
          <cell r="X245" t="str">
            <v>3-2026</v>
          </cell>
          <cell r="Y245" t="str">
            <v>Week 9</v>
          </cell>
          <cell r="Z245">
            <v>46076</v>
          </cell>
          <cell r="AA245">
            <v>85</v>
          </cell>
          <cell r="AB245">
            <v>9.0910000000000005E-2</v>
          </cell>
        </row>
        <row r="246">
          <cell r="A246" t="str">
            <v>F-2026-02-08-1</v>
          </cell>
          <cell r="B246" t="str">
            <v>color</v>
          </cell>
          <cell r="C246" t="str">
            <v>RPRO-260202-1280</v>
          </cell>
          <cell r="D246" t="str">
            <v>Pro.sche.report 30.01+31.01</v>
          </cell>
          <cell r="E246" t="str">
            <v>BDB-000209</v>
          </cell>
          <cell r="F246" t="str">
            <v>PVN-003537</v>
          </cell>
          <cell r="G246" t="str">
            <v>OrthoLite HybridPlus-Recycled MINT GREEN/11-4805TPX Hybrid Flat Sheet 0.12D 25+/-4 Asker C 1.1M 2M 4.5mm</v>
          </cell>
          <cell r="H246">
            <v>4805</v>
          </cell>
          <cell r="I246">
            <v>4285</v>
          </cell>
          <cell r="J246">
            <v>4285</v>
          </cell>
          <cell r="K246">
            <v>0</v>
          </cell>
          <cell r="L246" t="str">
            <v>ON RUNNING</v>
          </cell>
          <cell r="M246" t="str">
            <v>Pr.Sch.R</v>
          </cell>
          <cell r="N246" t="str">
            <v>MOLDED</v>
          </cell>
          <cell r="O246">
            <v>1</v>
          </cell>
          <cell r="P246">
            <v>46055</v>
          </cell>
          <cell r="Q246">
            <v>46088</v>
          </cell>
          <cell r="R246">
            <v>46085</v>
          </cell>
          <cell r="S246">
            <v>33</v>
          </cell>
          <cell r="T246">
            <v>4.5</v>
          </cell>
          <cell r="U246">
            <v>31</v>
          </cell>
          <cell r="V246">
            <v>139</v>
          </cell>
          <cell r="W246" t="str">
            <v>0.12D</v>
          </cell>
          <cell r="X246" t="str">
            <v>3-2026</v>
          </cell>
          <cell r="Y246" t="str">
            <v>Week 10</v>
          </cell>
          <cell r="Z246">
            <v>46083</v>
          </cell>
          <cell r="AA246">
            <v>85</v>
          </cell>
          <cell r="AB246">
            <v>3.2259999999999997E-2</v>
          </cell>
        </row>
        <row r="247">
          <cell r="A247" t="str">
            <v>F-2026-02-08-2</v>
          </cell>
          <cell r="B247" t="str">
            <v>color</v>
          </cell>
          <cell r="C247" t="str">
            <v>RPRO-260202-1280</v>
          </cell>
          <cell r="D247" t="str">
            <v>Pro.sche.report 30.01+31.01</v>
          </cell>
          <cell r="E247" t="str">
            <v>BDB-000209</v>
          </cell>
          <cell r="F247" t="str">
            <v>PVN-003537</v>
          </cell>
          <cell r="G247" t="str">
            <v>OrthoLite HybridPlus-Recycled MINT GREEN/11-4805TPX Hybrid Flat Sheet 0.12D 25+/-4 Asker C 1.1M 2M 4.5mm</v>
          </cell>
          <cell r="H247">
            <v>4805</v>
          </cell>
          <cell r="I247">
            <v>520</v>
          </cell>
          <cell r="J247">
            <v>520</v>
          </cell>
          <cell r="K247">
            <v>0</v>
          </cell>
          <cell r="L247" t="str">
            <v>ON RUNNING</v>
          </cell>
          <cell r="M247" t="str">
            <v>Pr.Sch.R</v>
          </cell>
          <cell r="N247" t="str">
            <v>MOLDED</v>
          </cell>
          <cell r="O247">
            <v>1</v>
          </cell>
          <cell r="P247">
            <v>46055</v>
          </cell>
          <cell r="Q247">
            <v>46088</v>
          </cell>
          <cell r="R247">
            <v>46085</v>
          </cell>
          <cell r="S247">
            <v>33</v>
          </cell>
          <cell r="T247">
            <v>4.5</v>
          </cell>
          <cell r="U247">
            <v>31</v>
          </cell>
          <cell r="V247">
            <v>17</v>
          </cell>
          <cell r="W247" t="str">
            <v>0.12D</v>
          </cell>
          <cell r="X247" t="str">
            <v>3-2026</v>
          </cell>
          <cell r="Y247" t="str">
            <v>Week 10</v>
          </cell>
          <cell r="Z247">
            <v>46083</v>
          </cell>
          <cell r="AA247">
            <v>85</v>
          </cell>
          <cell r="AB247">
            <v>3.2259999999999997E-2</v>
          </cell>
        </row>
        <row r="248">
          <cell r="A248" t="str">
            <v>F-2026-02-09</v>
          </cell>
          <cell r="B248"/>
          <cell r="C248" t="str">
            <v>RPRO-260202-1281</v>
          </cell>
          <cell r="D248" t="str">
            <v>Pro.sche.report 30.01+31.01</v>
          </cell>
          <cell r="E248" t="str">
            <v>BDB-000052</v>
          </cell>
          <cell r="F248" t="str">
            <v>PVN-003603</v>
          </cell>
          <cell r="G248" t="str">
            <v>OrthoLite X-40 TRUE BLUE/19-4057TPX Flat Sheet 0.16D 25+/-4 Asker C 1.1M 1.47M 12mm</v>
          </cell>
          <cell r="H248">
            <v>528</v>
          </cell>
          <cell r="I248">
            <v>528</v>
          </cell>
          <cell r="J248">
            <v>528</v>
          </cell>
          <cell r="K248">
            <v>0</v>
          </cell>
          <cell r="L248" t="str">
            <v>ASICS</v>
          </cell>
          <cell r="M248" t="str">
            <v>Pr.Sch.R</v>
          </cell>
          <cell r="N248" t="str">
            <v>MOLDED</v>
          </cell>
          <cell r="O248">
            <v>1</v>
          </cell>
          <cell r="P248">
            <v>46055</v>
          </cell>
          <cell r="Q248">
            <v>46088</v>
          </cell>
          <cell r="R248">
            <v>46085</v>
          </cell>
          <cell r="S248">
            <v>33</v>
          </cell>
          <cell r="T248">
            <v>12</v>
          </cell>
          <cell r="U248">
            <v>11.5</v>
          </cell>
          <cell r="V248">
            <v>46</v>
          </cell>
          <cell r="W248" t="str">
            <v>0.16D</v>
          </cell>
          <cell r="X248" t="str">
            <v>3-2026</v>
          </cell>
          <cell r="Y248" t="str">
            <v>Week 9</v>
          </cell>
          <cell r="Z248">
            <v>46076</v>
          </cell>
          <cell r="AA248">
            <v>85</v>
          </cell>
          <cell r="AB248">
            <v>8.6959999999999996E-2</v>
          </cell>
        </row>
        <row r="249">
          <cell r="A249" t="str">
            <v>F-2026-02-10</v>
          </cell>
          <cell r="B249"/>
          <cell r="C249" t="str">
            <v>RPRO-260202-1282</v>
          </cell>
          <cell r="D249" t="str">
            <v>Pro.sche.report 30.01+31.01</v>
          </cell>
          <cell r="E249" t="str">
            <v>BDB-000057</v>
          </cell>
          <cell r="F249" t="str">
            <v>PVN-000825</v>
          </cell>
          <cell r="G249" t="str">
            <v>OrthoLite Ultra YELLOW/13-0858TPX Flat Sheet 0.085D 25+/-4 Asker C 1.1M 2M 12mm</v>
          </cell>
          <cell r="H249">
            <v>44</v>
          </cell>
          <cell r="I249">
            <v>44</v>
          </cell>
          <cell r="J249">
            <v>44</v>
          </cell>
          <cell r="K249">
            <v>0</v>
          </cell>
          <cell r="L249" t="str">
            <v>ASICS</v>
          </cell>
          <cell r="M249" t="str">
            <v>Pr.Sch.R</v>
          </cell>
          <cell r="N249" t="str">
            <v>MOLDED</v>
          </cell>
          <cell r="O249">
            <v>1</v>
          </cell>
          <cell r="P249">
            <v>46055</v>
          </cell>
          <cell r="Q249">
            <v>46081</v>
          </cell>
          <cell r="R249">
            <v>46078</v>
          </cell>
          <cell r="S249">
            <v>26</v>
          </cell>
          <cell r="T249">
            <v>12</v>
          </cell>
          <cell r="U249">
            <v>11.5</v>
          </cell>
          <cell r="V249">
            <v>4</v>
          </cell>
          <cell r="W249" t="str">
            <v>0.085D</v>
          </cell>
          <cell r="X249" t="str">
            <v>2-2026</v>
          </cell>
          <cell r="Y249" t="str">
            <v>Week 9</v>
          </cell>
          <cell r="Z249">
            <v>46076</v>
          </cell>
          <cell r="AA249">
            <v>85</v>
          </cell>
          <cell r="AB249">
            <v>8.6959999999999996E-2</v>
          </cell>
        </row>
        <row r="250">
          <cell r="A250" t="str">
            <v>F-2026-02-11</v>
          </cell>
          <cell r="B250"/>
          <cell r="C250" t="str">
            <v>RPRO-260202-1283</v>
          </cell>
          <cell r="D250" t="str">
            <v>Pro.sche.report 30.01+31.01</v>
          </cell>
          <cell r="E250" t="str">
            <v>BDB-000123</v>
          </cell>
          <cell r="F250" t="str">
            <v>PVN-002539</v>
          </cell>
          <cell r="G250" t="str">
            <v>OrthoLite Ultra-Hybrid SEEDPEARL/12-0703TPX Hybrid Flat Sheet 0.085D 25+/-4 Asker C 1.1M 2M 5mm</v>
          </cell>
          <cell r="H250">
            <v>980</v>
          </cell>
          <cell r="I250">
            <v>980</v>
          </cell>
          <cell r="J250">
            <v>980</v>
          </cell>
          <cell r="K250">
            <v>0</v>
          </cell>
          <cell r="L250" t="str">
            <v>BROOKS</v>
          </cell>
          <cell r="M250" t="str">
            <v>Pr.Sch.R</v>
          </cell>
          <cell r="N250" t="str">
            <v>DIE CUT</v>
          </cell>
          <cell r="O250">
            <v>1</v>
          </cell>
          <cell r="P250">
            <v>46055</v>
          </cell>
          <cell r="Q250">
            <v>46090</v>
          </cell>
          <cell r="R250">
            <v>46087</v>
          </cell>
          <cell r="S250">
            <v>35</v>
          </cell>
          <cell r="T250">
            <v>5</v>
          </cell>
          <cell r="U250">
            <v>28</v>
          </cell>
          <cell r="V250">
            <v>35</v>
          </cell>
          <cell r="W250" t="str">
            <v>0.085D</v>
          </cell>
          <cell r="X250" t="str">
            <v>3-2026</v>
          </cell>
          <cell r="Y250" t="str">
            <v>Week 10</v>
          </cell>
          <cell r="Z250">
            <v>46083</v>
          </cell>
          <cell r="AA250">
            <v>85</v>
          </cell>
          <cell r="AB250">
            <v>3.5709999999999999E-2</v>
          </cell>
        </row>
        <row r="251">
          <cell r="A251" t="str">
            <v>F-2026-02-12</v>
          </cell>
          <cell r="B251"/>
          <cell r="C251" t="str">
            <v>RPRO-260202-1284</v>
          </cell>
          <cell r="D251" t="str">
            <v>Pro.sche.report 30.01+31.01</v>
          </cell>
          <cell r="E251" t="str">
            <v>BDB-000212</v>
          </cell>
          <cell r="F251" t="str">
            <v>PVN-003460</v>
          </cell>
          <cell r="G251" t="str">
            <v>OrthoLite X-25-Hybrid SEEDPEARL/12-0703TPX Hybrid Flat Sheet 0.12D 20+/-4 Asker C 1.1M 2M 5.5mm</v>
          </cell>
          <cell r="H251">
            <v>250</v>
          </cell>
          <cell r="I251">
            <v>250</v>
          </cell>
          <cell r="J251">
            <v>250</v>
          </cell>
          <cell r="K251">
            <v>0</v>
          </cell>
          <cell r="L251" t="str">
            <v>ON RUNNING</v>
          </cell>
          <cell r="M251" t="str">
            <v>Pr.Sch.R</v>
          </cell>
          <cell r="N251" t="str">
            <v>MOLDED</v>
          </cell>
          <cell r="O251">
            <v>1</v>
          </cell>
          <cell r="P251">
            <v>46055</v>
          </cell>
          <cell r="Q251">
            <v>46088</v>
          </cell>
          <cell r="R251">
            <v>46085</v>
          </cell>
          <cell r="S251">
            <v>33</v>
          </cell>
          <cell r="T251">
            <v>5.5</v>
          </cell>
          <cell r="U251">
            <v>25</v>
          </cell>
          <cell r="V251">
            <v>10</v>
          </cell>
          <cell r="W251" t="str">
            <v>0.12D</v>
          </cell>
          <cell r="X251" t="str">
            <v>3-2026</v>
          </cell>
          <cell r="Y251" t="str">
            <v>Week 9</v>
          </cell>
          <cell r="Z251">
            <v>46076</v>
          </cell>
          <cell r="AA251">
            <v>85</v>
          </cell>
          <cell r="AB251">
            <v>0.04</v>
          </cell>
        </row>
        <row r="252">
          <cell r="A252" t="str">
            <v>F-2026-02-13</v>
          </cell>
          <cell r="B252"/>
          <cell r="C252" t="str">
            <v>RPRO-260202-1285</v>
          </cell>
          <cell r="D252" t="str">
            <v>Pro.sche.report 30.01+31.01</v>
          </cell>
          <cell r="E252" t="str">
            <v>BDB-000332</v>
          </cell>
          <cell r="F252" t="str">
            <v>PVN-004146</v>
          </cell>
          <cell r="G252" t="str">
            <v>OrthoLite X-25 CASTLEROCK/18-0201TPX Flat Sheet 0.12D 20+/-4 Asker C 1.1M 2M 5.5mm</v>
          </cell>
          <cell r="H252">
            <v>25</v>
          </cell>
          <cell r="I252">
            <v>25</v>
          </cell>
          <cell r="J252">
            <v>25</v>
          </cell>
          <cell r="K252">
            <v>0</v>
          </cell>
          <cell r="L252" t="str">
            <v>ON RUNNING</v>
          </cell>
          <cell r="M252" t="str">
            <v>Pr.Sch.R</v>
          </cell>
          <cell r="N252" t="str">
            <v>MOLDED</v>
          </cell>
          <cell r="O252">
            <v>1</v>
          </cell>
          <cell r="P252">
            <v>46055</v>
          </cell>
          <cell r="Q252">
            <v>46084</v>
          </cell>
          <cell r="R252">
            <v>46081</v>
          </cell>
          <cell r="S252">
            <v>29</v>
          </cell>
          <cell r="T252">
            <v>5.5</v>
          </cell>
          <cell r="U252">
            <v>25</v>
          </cell>
          <cell r="V252">
            <v>1</v>
          </cell>
          <cell r="W252" t="e">
            <v>#N/A</v>
          </cell>
          <cell r="X252" t="str">
            <v>3-2026</v>
          </cell>
          <cell r="Y252" t="str">
            <v>Week 9</v>
          </cell>
          <cell r="Z252">
            <v>46076</v>
          </cell>
          <cell r="AA252">
            <v>71</v>
          </cell>
          <cell r="AB252">
            <v>0.04</v>
          </cell>
        </row>
        <row r="253">
          <cell r="A253" t="str">
            <v>F-2026-02-14</v>
          </cell>
          <cell r="B253"/>
          <cell r="C253" t="str">
            <v>RPRO-260202-1286</v>
          </cell>
          <cell r="D253" t="str">
            <v>Pro.sche.report 30.01+31.01</v>
          </cell>
          <cell r="E253" t="str">
            <v>BDB-000339</v>
          </cell>
          <cell r="F253" t="str">
            <v>PVN-004178</v>
          </cell>
          <cell r="G253" t="str">
            <v>OrthoLite Float NEUTRAL GRAY/17-4402TPX Flat Sheet 0.12D 21+/-4 Asker C 1.1M 2M 5.5mm</v>
          </cell>
          <cell r="H253">
            <v>975</v>
          </cell>
          <cell r="I253">
            <v>975</v>
          </cell>
          <cell r="J253">
            <v>975</v>
          </cell>
          <cell r="K253">
            <v>0</v>
          </cell>
          <cell r="L253" t="str">
            <v>PUMA</v>
          </cell>
          <cell r="M253" t="str">
            <v>Pr.Sch.R</v>
          </cell>
          <cell r="N253" t="str">
            <v>MOLDED</v>
          </cell>
          <cell r="O253">
            <v>1</v>
          </cell>
          <cell r="P253">
            <v>46055</v>
          </cell>
          <cell r="Q253">
            <v>46086</v>
          </cell>
          <cell r="R253">
            <v>46083</v>
          </cell>
          <cell r="S253">
            <v>31</v>
          </cell>
          <cell r="T253">
            <v>5.5</v>
          </cell>
          <cell r="U253">
            <v>25</v>
          </cell>
          <cell r="V253">
            <v>39</v>
          </cell>
          <cell r="W253" t="e">
            <v>#N/A</v>
          </cell>
          <cell r="X253" t="str">
            <v>3-2026</v>
          </cell>
          <cell r="Y253" t="str">
            <v>Week 9</v>
          </cell>
          <cell r="Z253">
            <v>46076</v>
          </cell>
          <cell r="AA253">
            <v>71</v>
          </cell>
          <cell r="AB253">
            <v>0.04</v>
          </cell>
        </row>
        <row r="254">
          <cell r="A254" t="str">
            <v>F-2026-02-15</v>
          </cell>
          <cell r="B254"/>
          <cell r="C254" t="str">
            <v>RPRO-260202-1287</v>
          </cell>
          <cell r="D254" t="str">
            <v>Pro.sche.report 30.01+31.01</v>
          </cell>
          <cell r="E254" t="str">
            <v>BDB-000319</v>
          </cell>
          <cell r="F254" t="str">
            <v>PVN-004247</v>
          </cell>
          <cell r="G254" t="str">
            <v>OrthoLite X-40-Hybrid-Nike SEEDPEARL/12-0703TPX Hybrid Flat Sheet 0.16D 25+/-4 Asker C 1.1M 2M 4.2mm</v>
          </cell>
          <cell r="H254">
            <v>66</v>
          </cell>
          <cell r="I254">
            <v>66</v>
          </cell>
          <cell r="J254">
            <v>66</v>
          </cell>
          <cell r="K254">
            <v>0</v>
          </cell>
          <cell r="L254" t="str">
            <v>NIKE</v>
          </cell>
          <cell r="M254" t="str">
            <v>Pr.Sch.R</v>
          </cell>
          <cell r="N254" t="str">
            <v>MOLDED</v>
          </cell>
          <cell r="O254">
            <v>1</v>
          </cell>
          <cell r="P254">
            <v>46055</v>
          </cell>
          <cell r="Q254">
            <v>46084</v>
          </cell>
          <cell r="R254">
            <v>46081</v>
          </cell>
          <cell r="S254">
            <v>29</v>
          </cell>
          <cell r="T254">
            <v>4.2</v>
          </cell>
          <cell r="U254">
            <v>33</v>
          </cell>
          <cell r="V254">
            <v>2</v>
          </cell>
          <cell r="W254" t="e">
            <v>#N/A</v>
          </cell>
          <cell r="X254" t="str">
            <v>3-2026</v>
          </cell>
          <cell r="Y254" t="str">
            <v>Week 9</v>
          </cell>
          <cell r="Z254">
            <v>46076</v>
          </cell>
          <cell r="AA254">
            <v>136</v>
          </cell>
          <cell r="AB254">
            <v>3.0300000000000001E-2</v>
          </cell>
        </row>
        <row r="255">
          <cell r="A255" t="str">
            <v>F-2026-02-16</v>
          </cell>
          <cell r="B255"/>
          <cell r="C255" t="str">
            <v>RPRO-260202-1288</v>
          </cell>
          <cell r="D255" t="str">
            <v>Pro.sche.report 30.01+31.01</v>
          </cell>
          <cell r="E255" t="str">
            <v>BDB-000157</v>
          </cell>
          <cell r="F255" t="str">
            <v>PVN-004083</v>
          </cell>
          <cell r="G255" t="str">
            <v>OrthoLite X-35-Hybrid-Nike SEEDPEARL/12-0703TPX Hybrid Flat Sheet 0.145D 25+/-4 Asker C 1.1M 2M 4mm</v>
          </cell>
          <cell r="H255">
            <v>35</v>
          </cell>
          <cell r="I255">
            <v>35</v>
          </cell>
          <cell r="J255">
            <v>35</v>
          </cell>
          <cell r="K255">
            <v>0</v>
          </cell>
          <cell r="L255" t="str">
            <v>NIKE</v>
          </cell>
          <cell r="M255" t="str">
            <v>Pr.Sch.R</v>
          </cell>
          <cell r="N255" t="str">
            <v>DIE CUT</v>
          </cell>
          <cell r="O255">
            <v>1</v>
          </cell>
          <cell r="P255">
            <v>46055</v>
          </cell>
          <cell r="Q255">
            <v>46085</v>
          </cell>
          <cell r="R255">
            <v>46082</v>
          </cell>
          <cell r="S255">
            <v>30</v>
          </cell>
          <cell r="T255">
            <v>4</v>
          </cell>
          <cell r="U255">
            <v>35</v>
          </cell>
          <cell r="V255">
            <v>1</v>
          </cell>
          <cell r="W255" t="str">
            <v>0.145D</v>
          </cell>
          <cell r="X255" t="str">
            <v>3-2026</v>
          </cell>
          <cell r="Y255" t="str">
            <v>Week 9</v>
          </cell>
          <cell r="Z255">
            <v>46076</v>
          </cell>
          <cell r="AA255">
            <v>136</v>
          </cell>
          <cell r="AB255">
            <v>2.8570000000000002E-2</v>
          </cell>
        </row>
        <row r="256">
          <cell r="A256" t="str">
            <v>F-2026-02-17</v>
          </cell>
          <cell r="B256"/>
          <cell r="C256" t="str">
            <v>RPRO-260202-1289</v>
          </cell>
          <cell r="D256" t="str">
            <v>Pro.sche.report 30.01+31.01</v>
          </cell>
          <cell r="E256" t="str">
            <v>BDB-000220</v>
          </cell>
          <cell r="F256" t="str">
            <v>PVN-003656</v>
          </cell>
          <cell r="G256" t="str">
            <v>OrthoLite X-25 BILLIARD/16-5427TPX Flat Sheet 0.12D 20+/-4 Asker C 1.1M 1.47M 3mm</v>
          </cell>
          <cell r="H256">
            <v>46</v>
          </cell>
          <cell r="I256">
            <v>46</v>
          </cell>
          <cell r="J256">
            <v>46</v>
          </cell>
          <cell r="K256">
            <v>0</v>
          </cell>
          <cell r="L256" t="str">
            <v>FOOTJOY</v>
          </cell>
          <cell r="M256" t="str">
            <v>Pr.Sch.R</v>
          </cell>
          <cell r="N256" t="str">
            <v>DIE CUT</v>
          </cell>
          <cell r="O256">
            <v>1</v>
          </cell>
          <cell r="P256">
            <v>46055</v>
          </cell>
          <cell r="Q256">
            <v>46088</v>
          </cell>
          <cell r="R256">
            <v>46085</v>
          </cell>
          <cell r="S256">
            <v>33</v>
          </cell>
          <cell r="T256">
            <v>3</v>
          </cell>
          <cell r="U256">
            <v>46</v>
          </cell>
          <cell r="V256">
            <v>2</v>
          </cell>
          <cell r="W256" t="str">
            <v>0.12D</v>
          </cell>
          <cell r="X256" t="str">
            <v>3-2026</v>
          </cell>
          <cell r="Y256" t="str">
            <v>Week 9</v>
          </cell>
          <cell r="Z256">
            <v>46076</v>
          </cell>
          <cell r="AA256">
            <v>136</v>
          </cell>
          <cell r="AB256">
            <v>2.1739999999999999E-2</v>
          </cell>
        </row>
        <row r="257">
          <cell r="A257" t="str">
            <v>F-2026-02-18</v>
          </cell>
          <cell r="B257"/>
          <cell r="C257" t="str">
            <v>RPRO-260202-1290</v>
          </cell>
          <cell r="D257" t="str">
            <v>Pro.sche.report 30.01+31.01</v>
          </cell>
          <cell r="E257" t="str">
            <v>BDB-000262</v>
          </cell>
          <cell r="F257" t="str">
            <v>PVN-003816</v>
          </cell>
          <cell r="G257" t="str">
            <v>OrthoLite Ultra-Hybrid SEEDPEARL/12-0703TPX Hybrid Flat Sheet 0.085D 78-90 Asker F 1.1M 2M 2.5mm</v>
          </cell>
          <cell r="H257">
            <v>56</v>
          </cell>
          <cell r="I257">
            <v>56</v>
          </cell>
          <cell r="J257">
            <v>56</v>
          </cell>
          <cell r="K257">
            <v>0</v>
          </cell>
          <cell r="L257" t="str">
            <v>FOOTJOY</v>
          </cell>
          <cell r="M257" t="str">
            <v>Pr.Sch.R</v>
          </cell>
          <cell r="N257" t="str">
            <v>DIE CUT</v>
          </cell>
          <cell r="O257">
            <v>1</v>
          </cell>
          <cell r="P257">
            <v>46055</v>
          </cell>
          <cell r="Q257">
            <v>46088</v>
          </cell>
          <cell r="R257">
            <v>46085</v>
          </cell>
          <cell r="S257">
            <v>33</v>
          </cell>
          <cell r="T257">
            <v>2.5</v>
          </cell>
          <cell r="U257">
            <v>56</v>
          </cell>
          <cell r="V257">
            <v>2</v>
          </cell>
          <cell r="W257" t="str">
            <v>0.085D</v>
          </cell>
          <cell r="X257" t="str">
            <v>3-2026</v>
          </cell>
          <cell r="Y257" t="str">
            <v>Week 9</v>
          </cell>
          <cell r="Z257">
            <v>46076</v>
          </cell>
          <cell r="AA257">
            <v>136</v>
          </cell>
          <cell r="AB257">
            <v>1.7860000000000001E-2</v>
          </cell>
        </row>
        <row r="258">
          <cell r="A258" t="str">
            <v>F-2026-02-19</v>
          </cell>
          <cell r="B258"/>
          <cell r="C258" t="str">
            <v>RPRO-260202-1291</v>
          </cell>
          <cell r="D258" t="str">
            <v>Pro.sche.report 30.01+31.01</v>
          </cell>
          <cell r="E258" t="str">
            <v>BDB-000363</v>
          </cell>
          <cell r="F258" t="str">
            <v>PVN-004260</v>
          </cell>
          <cell r="G258" t="str">
            <v>OrthoLite HybridPlus-Recycled MINT GREEN/11-4805TPX Hybrid Flat Sheet 0.12D 35+/-4 Asker C 1.1M 2M 5.5mm</v>
          </cell>
          <cell r="H258">
            <v>300</v>
          </cell>
          <cell r="I258">
            <v>300</v>
          </cell>
          <cell r="J258">
            <v>300</v>
          </cell>
          <cell r="K258">
            <v>0</v>
          </cell>
          <cell r="L258" t="str">
            <v>ON RUNNING</v>
          </cell>
          <cell r="M258" t="str">
            <v>Pr.Sch.R</v>
          </cell>
          <cell r="N258" t="str">
            <v>MOLDED</v>
          </cell>
          <cell r="O258">
            <v>1</v>
          </cell>
          <cell r="P258">
            <v>46055</v>
          </cell>
          <cell r="Q258">
            <v>46088</v>
          </cell>
          <cell r="R258">
            <v>46085</v>
          </cell>
          <cell r="S258">
            <v>33</v>
          </cell>
          <cell r="T258">
            <v>5.5</v>
          </cell>
          <cell r="U258">
            <v>25</v>
          </cell>
          <cell r="V258">
            <v>12</v>
          </cell>
          <cell r="W258" t="e">
            <v>#N/A</v>
          </cell>
          <cell r="X258" t="str">
            <v>3-2026</v>
          </cell>
          <cell r="Y258" t="str">
            <v>Week 9</v>
          </cell>
          <cell r="Z258">
            <v>46076</v>
          </cell>
          <cell r="AA258">
            <v>136</v>
          </cell>
          <cell r="AB258">
            <v>0.04</v>
          </cell>
        </row>
        <row r="259">
          <cell r="A259" t="str">
            <v>F-2026-02-21</v>
          </cell>
          <cell r="B259"/>
          <cell r="C259" t="str">
            <v>RPRO-260202-1293</v>
          </cell>
          <cell r="D259" t="str">
            <v>Pro.sche.report 30.01+31.01</v>
          </cell>
          <cell r="E259" t="str">
            <v>BDB-000076</v>
          </cell>
          <cell r="F259" t="str">
            <v>PVN-003494</v>
          </cell>
          <cell r="G259" t="str">
            <v>OrthoLite X-25 BILLIARD/16-5427TPX Flat Sheet 0.12D 20+/-4 Asker C 1.1M 2M 5.5mm</v>
          </cell>
          <cell r="H259">
            <v>175</v>
          </cell>
          <cell r="I259">
            <v>175</v>
          </cell>
          <cell r="J259">
            <v>175</v>
          </cell>
          <cell r="K259">
            <v>0</v>
          </cell>
          <cell r="L259" t="str">
            <v>ON RUNNING</v>
          </cell>
          <cell r="M259" t="str">
            <v>Pr.Sch.R</v>
          </cell>
          <cell r="N259" t="str">
            <v>MOLDED</v>
          </cell>
          <cell r="O259">
            <v>1</v>
          </cell>
          <cell r="P259">
            <v>46055</v>
          </cell>
          <cell r="Q259">
            <v>46088</v>
          </cell>
          <cell r="R259">
            <v>46085</v>
          </cell>
          <cell r="S259">
            <v>33</v>
          </cell>
          <cell r="T259">
            <v>5.5</v>
          </cell>
          <cell r="U259">
            <v>25</v>
          </cell>
          <cell r="V259">
            <v>7</v>
          </cell>
          <cell r="W259" t="str">
            <v>0.12D</v>
          </cell>
          <cell r="X259" t="str">
            <v>3-2026</v>
          </cell>
          <cell r="Y259" t="str">
            <v>Week 9</v>
          </cell>
          <cell r="Z259">
            <v>46076</v>
          </cell>
          <cell r="AA259">
            <v>84</v>
          </cell>
          <cell r="AB259">
            <v>0.04</v>
          </cell>
        </row>
        <row r="260">
          <cell r="A260" t="str">
            <v>F-2026-02-22</v>
          </cell>
          <cell r="B260"/>
          <cell r="C260" t="str">
            <v>RPRO-260202-1294</v>
          </cell>
          <cell r="D260" t="str">
            <v>Pro.sche.report 30.01+31.01</v>
          </cell>
          <cell r="E260" t="str">
            <v>BDB-000318</v>
          </cell>
          <cell r="F260" t="str">
            <v>PVN-004077</v>
          </cell>
          <cell r="G260" t="str">
            <v>OrthoLite X-55 RED/19-1764TPX Flat Sheet 0.16D 25+/-4 Asker C 1.1M 2M 5.2mm</v>
          </cell>
          <cell r="H260">
            <v>26</v>
          </cell>
          <cell r="I260">
            <v>26</v>
          </cell>
          <cell r="J260">
            <v>26</v>
          </cell>
          <cell r="K260">
            <v>0</v>
          </cell>
          <cell r="L260" t="str">
            <v>NEW BALANCE</v>
          </cell>
          <cell r="M260" t="str">
            <v>Pr.Sch.R</v>
          </cell>
          <cell r="N260" t="str">
            <v>MOLDED</v>
          </cell>
          <cell r="O260">
            <v>1</v>
          </cell>
          <cell r="P260">
            <v>46055</v>
          </cell>
          <cell r="Q260">
            <v>46084</v>
          </cell>
          <cell r="R260">
            <v>46081</v>
          </cell>
          <cell r="S260">
            <v>29</v>
          </cell>
          <cell r="T260">
            <v>5.2</v>
          </cell>
          <cell r="U260">
            <v>26</v>
          </cell>
          <cell r="V260">
            <v>1</v>
          </cell>
          <cell r="W260" t="e">
            <v>#N/A</v>
          </cell>
          <cell r="X260" t="str">
            <v>3-2026</v>
          </cell>
          <cell r="Y260" t="str">
            <v>Week 9</v>
          </cell>
          <cell r="Z260">
            <v>46076</v>
          </cell>
          <cell r="AA260">
            <v>84</v>
          </cell>
          <cell r="AB260">
            <v>3.8460000000000001E-2</v>
          </cell>
        </row>
        <row r="261">
          <cell r="A261" t="str">
            <v>F-2026-02-23</v>
          </cell>
          <cell r="B261"/>
          <cell r="C261" t="str">
            <v>RPRO-260202-1295</v>
          </cell>
          <cell r="D261" t="str">
            <v>Pro.sche.report 30.01+31.01</v>
          </cell>
          <cell r="E261" t="str">
            <v>BDB-000113</v>
          </cell>
          <cell r="F261" t="str">
            <v>PVN-002515</v>
          </cell>
          <cell r="G261" t="str">
            <v>OrthoLite Regular-Hybrid SEEDPEARL/12-0703TPX Hybrid Flat Sheet 0.11D 25+/-4 Asker C 1.1M 2M 11mm</v>
          </cell>
          <cell r="H261">
            <v>60</v>
          </cell>
          <cell r="I261">
            <v>60</v>
          </cell>
          <cell r="J261">
            <v>60</v>
          </cell>
          <cell r="K261">
            <v>0</v>
          </cell>
          <cell r="L261" t="str">
            <v>ASICS</v>
          </cell>
          <cell r="M261" t="str">
            <v>Pr.Sch.R</v>
          </cell>
          <cell r="N261" t="str">
            <v>MOLDED</v>
          </cell>
          <cell r="O261">
            <v>1</v>
          </cell>
          <cell r="P261">
            <v>46055</v>
          </cell>
          <cell r="Q261">
            <v>46086</v>
          </cell>
          <cell r="R261">
            <v>46083</v>
          </cell>
          <cell r="S261">
            <v>31</v>
          </cell>
          <cell r="T261">
            <v>11</v>
          </cell>
          <cell r="U261">
            <v>12</v>
          </cell>
          <cell r="V261">
            <v>5</v>
          </cell>
          <cell r="W261" t="str">
            <v>0.11D</v>
          </cell>
          <cell r="X261" t="str">
            <v>3-2026</v>
          </cell>
          <cell r="Y261" t="str">
            <v>Week 9</v>
          </cell>
          <cell r="Z261">
            <v>46076</v>
          </cell>
          <cell r="AA261">
            <v>84</v>
          </cell>
          <cell r="AB261">
            <v>8.3330000000000001E-2</v>
          </cell>
        </row>
        <row r="262">
          <cell r="A262" t="str">
            <v>F-2026-02-24</v>
          </cell>
          <cell r="B262"/>
          <cell r="C262" t="str">
            <v>RPRO-260202-1296</v>
          </cell>
          <cell r="D262" t="str">
            <v>Pro.sche.report 30.01+31.01</v>
          </cell>
          <cell r="E262" t="str">
            <v>BDB-000317</v>
          </cell>
          <cell r="F262" t="str">
            <v>PVN-004076</v>
          </cell>
          <cell r="G262" t="str">
            <v>OrthoLite Regular NEUTRAL GRAY/17-4402TPX Flat Sheet 0.13D 15+/-4 Asker C 1.1M 2M 24mm</v>
          </cell>
          <cell r="H262">
            <v>205</v>
          </cell>
          <cell r="I262">
            <v>205</v>
          </cell>
          <cell r="J262">
            <v>205</v>
          </cell>
          <cell r="K262">
            <v>0</v>
          </cell>
          <cell r="L262" t="str">
            <v>ASICS</v>
          </cell>
          <cell r="M262" t="str">
            <v>Pr.Sch.R</v>
          </cell>
          <cell r="N262" t="str">
            <v>MOLDED</v>
          </cell>
          <cell r="O262">
            <v>1</v>
          </cell>
          <cell r="P262">
            <v>46055</v>
          </cell>
          <cell r="Q262">
            <v>46086</v>
          </cell>
          <cell r="R262">
            <v>46083</v>
          </cell>
          <cell r="S262">
            <v>31</v>
          </cell>
          <cell r="T262">
            <v>24</v>
          </cell>
          <cell r="U262">
            <v>5</v>
          </cell>
          <cell r="V262">
            <v>41</v>
          </cell>
          <cell r="W262" t="e">
            <v>#N/A</v>
          </cell>
          <cell r="X262" t="str">
            <v>3-2026</v>
          </cell>
          <cell r="Y262" t="str">
            <v>Week 9</v>
          </cell>
          <cell r="Z262">
            <v>46076</v>
          </cell>
          <cell r="AA262">
            <v>84</v>
          </cell>
          <cell r="AB262">
            <v>0.2</v>
          </cell>
        </row>
        <row r="263">
          <cell r="A263" t="str">
            <v>F-2026-02-25</v>
          </cell>
          <cell r="B263"/>
          <cell r="C263" t="str">
            <v>RPRO-260202-1297</v>
          </cell>
          <cell r="D263" t="str">
            <v>Pro.sche.report 30.01+31.01</v>
          </cell>
          <cell r="E263" t="str">
            <v>BDB-000325</v>
          </cell>
          <cell r="F263" t="str">
            <v>PVN-004115</v>
          </cell>
          <cell r="G263" t="str">
            <v>OrthoLite X-40 TRUE BLUE/19-4057TPX Flat Sheet 0.16D 35+/-4 Asker C 1.1M 2M 4mm</v>
          </cell>
          <cell r="H263">
            <v>385</v>
          </cell>
          <cell r="I263">
            <v>385</v>
          </cell>
          <cell r="J263">
            <v>385</v>
          </cell>
          <cell r="K263">
            <v>0</v>
          </cell>
          <cell r="L263" t="str">
            <v>ASICS</v>
          </cell>
          <cell r="M263" t="str">
            <v>Pr.Sch.R</v>
          </cell>
          <cell r="N263" t="str">
            <v>MOLDED</v>
          </cell>
          <cell r="O263">
            <v>1</v>
          </cell>
          <cell r="P263">
            <v>46055</v>
          </cell>
          <cell r="Q263">
            <v>46086</v>
          </cell>
          <cell r="R263">
            <v>46083</v>
          </cell>
          <cell r="S263">
            <v>31</v>
          </cell>
          <cell r="T263">
            <v>4</v>
          </cell>
          <cell r="U263">
            <v>35</v>
          </cell>
          <cell r="V263">
            <v>11</v>
          </cell>
          <cell r="W263" t="e">
            <v>#N/A</v>
          </cell>
          <cell r="X263" t="str">
            <v>3-2026</v>
          </cell>
          <cell r="Y263" t="str">
            <v>Week 9</v>
          </cell>
          <cell r="Z263">
            <v>46076</v>
          </cell>
          <cell r="AA263">
            <v>84</v>
          </cell>
          <cell r="AB263">
            <v>2.8570000000000002E-2</v>
          </cell>
        </row>
        <row r="264">
          <cell r="A264" t="str">
            <v>F-2026-02-26</v>
          </cell>
          <cell r="B264"/>
          <cell r="C264" t="str">
            <v>RPRO-260202-1298</v>
          </cell>
          <cell r="D264" t="str">
            <v>Pro.sche.report 30.01+31.01</v>
          </cell>
          <cell r="E264" t="str">
            <v>BDB-000355</v>
          </cell>
          <cell r="F264" t="str">
            <v>PVN-004231</v>
          </cell>
          <cell r="G264" t="str">
            <v>OrthoLite HybridPlus-Recycled CASTLEROCK/18-0201TPX Hybrid Flat Sheet 0.12D 25+/-4 Asker C 1.1M 2M 4.5mm</v>
          </cell>
          <cell r="H264">
            <v>372</v>
          </cell>
          <cell r="I264">
            <v>372</v>
          </cell>
          <cell r="J264">
            <v>372</v>
          </cell>
          <cell r="K264">
            <v>0</v>
          </cell>
          <cell r="L264" t="str">
            <v>ON RUNNING</v>
          </cell>
          <cell r="M264" t="str">
            <v>Pr.Sch.R</v>
          </cell>
          <cell r="N264" t="str">
            <v>MOLDED</v>
          </cell>
          <cell r="O264">
            <v>1</v>
          </cell>
          <cell r="P264">
            <v>46055</v>
          </cell>
          <cell r="Q264">
            <v>46084</v>
          </cell>
          <cell r="R264">
            <v>46081</v>
          </cell>
          <cell r="S264">
            <v>29</v>
          </cell>
          <cell r="T264">
            <v>4.5</v>
          </cell>
          <cell r="U264">
            <v>31</v>
          </cell>
          <cell r="V264">
            <v>13</v>
          </cell>
          <cell r="W264" t="e">
            <v>#N/A</v>
          </cell>
          <cell r="X264" t="str">
            <v>3-2026</v>
          </cell>
          <cell r="Y264" t="str">
            <v>Week 9</v>
          </cell>
          <cell r="Z264">
            <v>46076</v>
          </cell>
          <cell r="AA264">
            <v>84</v>
          </cell>
          <cell r="AB264">
            <v>3.2259999999999997E-2</v>
          </cell>
        </row>
        <row r="265">
          <cell r="A265" t="str">
            <v>F-2026-02-27</v>
          </cell>
          <cell r="B265"/>
          <cell r="C265" t="str">
            <v>RPRO-260202-1299</v>
          </cell>
          <cell r="D265" t="str">
            <v>Pro.sche.report 30.01+31.01</v>
          </cell>
          <cell r="E265" t="str">
            <v>BDB-000076</v>
          </cell>
          <cell r="F265" t="str">
            <v>PVN-004119</v>
          </cell>
          <cell r="G265" t="str">
            <v>OrthoLite X-25 BILLIARD/16-5427TPX Flat Sheet 0.12D 20+/-4 Asker C 1.1M 2M 6.5mm</v>
          </cell>
          <cell r="H265">
            <v>21</v>
          </cell>
          <cell r="I265">
            <v>21</v>
          </cell>
          <cell r="J265">
            <v>21</v>
          </cell>
          <cell r="K265">
            <v>0</v>
          </cell>
          <cell r="L265" t="str">
            <v>ONE8</v>
          </cell>
          <cell r="M265" t="str">
            <v>Pr.Sch.R</v>
          </cell>
          <cell r="N265" t="str">
            <v>MOLDED</v>
          </cell>
          <cell r="O265">
            <v>1</v>
          </cell>
          <cell r="P265">
            <v>46055</v>
          </cell>
          <cell r="Q265">
            <v>46088</v>
          </cell>
          <cell r="R265">
            <v>46085</v>
          </cell>
          <cell r="S265">
            <v>33</v>
          </cell>
          <cell r="T265">
            <v>6.5</v>
          </cell>
          <cell r="U265">
            <v>21</v>
          </cell>
          <cell r="V265">
            <v>2</v>
          </cell>
          <cell r="W265" t="str">
            <v>0.12D</v>
          </cell>
          <cell r="X265" t="str">
            <v>3-2026</v>
          </cell>
          <cell r="Y265" t="str">
            <v>Week 9</v>
          </cell>
          <cell r="Z265">
            <v>46076</v>
          </cell>
          <cell r="AA265">
            <v>84</v>
          </cell>
          <cell r="AB265">
            <v>4.7620000000000003E-2</v>
          </cell>
        </row>
        <row r="266">
          <cell r="A266" t="str">
            <v>F-2026-02-28</v>
          </cell>
          <cell r="B266"/>
          <cell r="C266" t="str">
            <v>RPRO-260202-1300</v>
          </cell>
          <cell r="D266" t="str">
            <v>Pro.sche.report 30.01+31.01</v>
          </cell>
          <cell r="E266" t="str">
            <v>BDB-000076</v>
          </cell>
          <cell r="F266" t="str">
            <v>PVN-004091</v>
          </cell>
          <cell r="G266" t="str">
            <v>OrthoLite X-25 BILLIARD/16-5427TPX Flat Sheet 0.12D 20+/-4 Asker C 1.1M 2M 3.5mm</v>
          </cell>
          <cell r="H266">
            <v>160</v>
          </cell>
          <cell r="I266">
            <v>160</v>
          </cell>
          <cell r="J266">
            <v>160</v>
          </cell>
          <cell r="K266">
            <v>0</v>
          </cell>
          <cell r="L266" t="str">
            <v>BROOKS</v>
          </cell>
          <cell r="M266" t="str">
            <v>Pr.Sch.R</v>
          </cell>
          <cell r="N266" t="str">
            <v>MOLDED</v>
          </cell>
          <cell r="O266">
            <v>1</v>
          </cell>
          <cell r="P266">
            <v>46055</v>
          </cell>
          <cell r="Q266">
            <v>46088</v>
          </cell>
          <cell r="R266">
            <v>46085</v>
          </cell>
          <cell r="S266">
            <v>33</v>
          </cell>
          <cell r="T266">
            <v>3.5</v>
          </cell>
          <cell r="U266">
            <v>40</v>
          </cell>
          <cell r="V266">
            <v>4</v>
          </cell>
          <cell r="W266" t="str">
            <v>0.12D</v>
          </cell>
          <cell r="X266" t="str">
            <v>3-2026</v>
          </cell>
          <cell r="Y266" t="str">
            <v>Week 9</v>
          </cell>
          <cell r="Z266">
            <v>46076</v>
          </cell>
          <cell r="AA266">
            <v>140</v>
          </cell>
          <cell r="AB266">
            <v>2.5000000000000001E-2</v>
          </cell>
        </row>
        <row r="267">
          <cell r="A267" t="str">
            <v>F-2026-02-30</v>
          </cell>
          <cell r="B267"/>
          <cell r="C267" t="str">
            <v>RPRO-260203-0839</v>
          </cell>
          <cell r="D267" t="str">
            <v>MPS 02.02</v>
          </cell>
          <cell r="E267" t="str">
            <v>BDB-000008</v>
          </cell>
          <cell r="F267" t="str">
            <v>PVN-000313</v>
          </cell>
          <cell r="G267" t="str">
            <v>OrthoLite Regular LIME GREEN/14-0452TPX Flat Sheet 0.11D 25+/-4 Asker C 1.1M 2M 4mm</v>
          </cell>
          <cell r="H267">
            <v>140</v>
          </cell>
          <cell r="I267">
            <v>140</v>
          </cell>
          <cell r="J267">
            <v>140</v>
          </cell>
          <cell r="K267">
            <v>0</v>
          </cell>
          <cell r="L267"/>
          <cell r="M267" t="str">
            <v>MPS</v>
          </cell>
          <cell r="N267" t="str">
            <v>SPLITTING</v>
          </cell>
          <cell r="O267">
            <v>2</v>
          </cell>
          <cell r="P267">
            <v>46057</v>
          </cell>
          <cell r="Q267">
            <v>46090</v>
          </cell>
          <cell r="R267">
            <v>46087</v>
          </cell>
          <cell r="S267">
            <v>33</v>
          </cell>
          <cell r="T267">
            <v>4</v>
          </cell>
          <cell r="U267">
            <v>35</v>
          </cell>
          <cell r="V267">
            <v>4</v>
          </cell>
          <cell r="W267" t="str">
            <v>0.11D</v>
          </cell>
          <cell r="X267" t="str">
            <v>3-2026</v>
          </cell>
          <cell r="Y267" t="str">
            <v>Week 10</v>
          </cell>
          <cell r="Z267">
            <v>46083</v>
          </cell>
          <cell r="AA267">
            <v>140</v>
          </cell>
          <cell r="AB267">
            <v>2.8570000000000002E-2</v>
          </cell>
        </row>
        <row r="268">
          <cell r="A268" t="str">
            <v>F-2026-02-31</v>
          </cell>
          <cell r="B268"/>
          <cell r="C268" t="str">
            <v>RPRO-260203-0840</v>
          </cell>
          <cell r="D268" t="str">
            <v>MPS 02.02</v>
          </cell>
          <cell r="E268" t="str">
            <v>BDB-000057</v>
          </cell>
          <cell r="F268" t="str">
            <v>PVN-000849</v>
          </cell>
          <cell r="G268" t="str">
            <v>OrthoLite Ultra YELLOW/13-0858TPX Flat Sheet 0.085D 25+/-4 Asker C 1.1M 2M 8mm</v>
          </cell>
          <cell r="H268">
            <v>17</v>
          </cell>
          <cell r="I268">
            <v>17</v>
          </cell>
          <cell r="J268">
            <v>17</v>
          </cell>
          <cell r="K268">
            <v>0</v>
          </cell>
          <cell r="L268"/>
          <cell r="M268" t="str">
            <v>MPS</v>
          </cell>
          <cell r="N268" t="str">
            <v>SPLITTING</v>
          </cell>
          <cell r="O268">
            <v>2</v>
          </cell>
          <cell r="P268">
            <v>46057</v>
          </cell>
          <cell r="Q268">
            <v>46090</v>
          </cell>
          <cell r="R268">
            <v>46087</v>
          </cell>
          <cell r="S268">
            <v>33</v>
          </cell>
          <cell r="T268">
            <v>8</v>
          </cell>
          <cell r="U268">
            <v>17</v>
          </cell>
          <cell r="V268">
            <v>1</v>
          </cell>
          <cell r="W268" t="str">
            <v>0.085D</v>
          </cell>
          <cell r="X268" t="str">
            <v>3-2026</v>
          </cell>
          <cell r="Y268" t="str">
            <v>Week 10</v>
          </cell>
          <cell r="Z268">
            <v>46083</v>
          </cell>
          <cell r="AA268">
            <v>140</v>
          </cell>
          <cell r="AB268">
            <v>5.8819999999999997E-2</v>
          </cell>
        </row>
        <row r="269">
          <cell r="A269" t="str">
            <v>F-2026-02-32</v>
          </cell>
          <cell r="B269"/>
          <cell r="C269" t="str">
            <v>RPRO-260203-0841</v>
          </cell>
          <cell r="D269" t="str">
            <v>MPS 02.02</v>
          </cell>
          <cell r="E269" t="str">
            <v>BDB-000264</v>
          </cell>
          <cell r="F269" t="str">
            <v>PVN-003881</v>
          </cell>
          <cell r="G269" t="str">
            <v>OrthoLite Ultra YELLOW/13-0858TPX Flat Sheet 0.085D 25+/-4 Asker C 1.1M 1.47M 5mm</v>
          </cell>
          <cell r="H269">
            <v>140</v>
          </cell>
          <cell r="I269">
            <v>140</v>
          </cell>
          <cell r="J269">
            <v>140</v>
          </cell>
          <cell r="K269">
            <v>0</v>
          </cell>
          <cell r="L269"/>
          <cell r="M269" t="str">
            <v>MPS</v>
          </cell>
          <cell r="N269" t="str">
            <v>SPLITTING</v>
          </cell>
          <cell r="O269">
            <v>2</v>
          </cell>
          <cell r="P269">
            <v>46057</v>
          </cell>
          <cell r="Q269">
            <v>46090</v>
          </cell>
          <cell r="R269">
            <v>46087</v>
          </cell>
          <cell r="S269">
            <v>33</v>
          </cell>
          <cell r="T269">
            <v>5</v>
          </cell>
          <cell r="U269">
            <v>28</v>
          </cell>
          <cell r="V269">
            <v>5</v>
          </cell>
          <cell r="W269" t="str">
            <v>0.085D</v>
          </cell>
          <cell r="X269" t="str">
            <v>3-2026</v>
          </cell>
          <cell r="Y269" t="str">
            <v>Week 10</v>
          </cell>
          <cell r="Z269">
            <v>46083</v>
          </cell>
          <cell r="AA269">
            <v>140</v>
          </cell>
          <cell r="AB269">
            <v>3.5709999999999999E-2</v>
          </cell>
        </row>
        <row r="270">
          <cell r="A270" t="str">
            <v>F-2026-02-33</v>
          </cell>
          <cell r="B270"/>
          <cell r="C270" t="str">
            <v>RPRO-260203-0842</v>
          </cell>
          <cell r="D270" t="str">
            <v>MPS 02.02</v>
          </cell>
          <cell r="E270" t="str">
            <v>BDB-000348</v>
          </cell>
          <cell r="F270" t="str">
            <v>PVN-004195</v>
          </cell>
          <cell r="G270" t="str">
            <v>OrthoLite IMPERIAL SEEDPEARL/12-0703TPX Flat Sheet 0.22D 25+/-4 Asker C 1.1M 1.47M 4mm</v>
          </cell>
          <cell r="H270">
            <v>2205</v>
          </cell>
          <cell r="I270">
            <v>2205</v>
          </cell>
          <cell r="J270">
            <v>2205</v>
          </cell>
          <cell r="K270">
            <v>0</v>
          </cell>
          <cell r="L270"/>
          <cell r="M270" t="str">
            <v>MPS</v>
          </cell>
          <cell r="N270" t="str">
            <v>SPLITTING</v>
          </cell>
          <cell r="O270">
            <v>2</v>
          </cell>
          <cell r="P270">
            <v>46057</v>
          </cell>
          <cell r="Q270">
            <v>46083</v>
          </cell>
          <cell r="R270">
            <v>46080</v>
          </cell>
          <cell r="S270">
            <v>26</v>
          </cell>
          <cell r="T270">
            <v>4</v>
          </cell>
          <cell r="U270">
            <v>35</v>
          </cell>
          <cell r="V270">
            <v>63</v>
          </cell>
          <cell r="W270" t="e">
            <v>#N/A</v>
          </cell>
          <cell r="X270" t="str">
            <v>3-2026</v>
          </cell>
          <cell r="Y270" t="str">
            <v>Week 9</v>
          </cell>
          <cell r="Z270">
            <v>46076</v>
          </cell>
          <cell r="AA270">
            <v>140</v>
          </cell>
          <cell r="AB270">
            <v>2.8570000000000002E-2</v>
          </cell>
        </row>
        <row r="271">
          <cell r="A271" t="str">
            <v>F-2026-02-34</v>
          </cell>
          <cell r="B271"/>
          <cell r="C271" t="str">
            <v>RPRO-260203-0843</v>
          </cell>
          <cell r="D271" t="str">
            <v>MPS 02.02</v>
          </cell>
          <cell r="E271" t="str">
            <v>BDB-000011</v>
          </cell>
          <cell r="F271" t="str">
            <v>PVN-000127</v>
          </cell>
          <cell r="G271" t="str">
            <v>OrthoLite Regular AIR BLUE/16-4134TPX Flat Sheet 0.13D 35+/-4 Asker C 1.1M 2M 5mm</v>
          </cell>
          <cell r="H271">
            <v>140</v>
          </cell>
          <cell r="I271">
            <v>140</v>
          </cell>
          <cell r="J271">
            <v>140</v>
          </cell>
          <cell r="K271">
            <v>0</v>
          </cell>
          <cell r="L271"/>
          <cell r="M271" t="str">
            <v>MPS</v>
          </cell>
          <cell r="N271" t="str">
            <v>SPLITTING</v>
          </cell>
          <cell r="O271">
            <v>2</v>
          </cell>
          <cell r="P271">
            <v>46057</v>
          </cell>
          <cell r="Q271">
            <v>46090</v>
          </cell>
          <cell r="R271">
            <v>46087</v>
          </cell>
          <cell r="S271">
            <v>33</v>
          </cell>
          <cell r="T271">
            <v>5</v>
          </cell>
          <cell r="U271">
            <v>28</v>
          </cell>
          <cell r="V271">
            <v>5</v>
          </cell>
          <cell r="W271" t="str">
            <v>0.13D</v>
          </cell>
          <cell r="X271" t="str">
            <v>3-2026</v>
          </cell>
          <cell r="Y271" t="str">
            <v>Week 10</v>
          </cell>
          <cell r="Z271">
            <v>46083</v>
          </cell>
          <cell r="AA271">
            <v>140</v>
          </cell>
          <cell r="AB271">
            <v>3.5709999999999999E-2</v>
          </cell>
        </row>
        <row r="272">
          <cell r="A272" t="str">
            <v>F-2026-02-35</v>
          </cell>
          <cell r="B272"/>
          <cell r="C272" t="str">
            <v>RPRO-260203-0844</v>
          </cell>
          <cell r="D272" t="str">
            <v>MPS 02.02</v>
          </cell>
          <cell r="E272" t="str">
            <v>BDB-000016</v>
          </cell>
          <cell r="F272" t="str">
            <v>PVN-000458</v>
          </cell>
          <cell r="G272" t="str">
            <v>OrthoLite Regular GREEN/16-5932TPX Flat Sheet 0.13D 35+/-4 Asker C 1.1M 2M 3mm</v>
          </cell>
          <cell r="H272">
            <v>415</v>
          </cell>
          <cell r="I272">
            <v>415</v>
          </cell>
          <cell r="J272">
            <v>415</v>
          </cell>
          <cell r="K272">
            <v>0</v>
          </cell>
          <cell r="L272"/>
          <cell r="M272" t="str">
            <v>MPS</v>
          </cell>
          <cell r="N272" t="str">
            <v>SPLITTING</v>
          </cell>
          <cell r="O272">
            <v>2</v>
          </cell>
          <cell r="P272">
            <v>46057</v>
          </cell>
          <cell r="Q272">
            <v>46088</v>
          </cell>
          <cell r="R272">
            <v>46085</v>
          </cell>
          <cell r="S272">
            <v>31</v>
          </cell>
          <cell r="T272">
            <v>3</v>
          </cell>
          <cell r="U272">
            <v>46</v>
          </cell>
          <cell r="V272">
            <v>10</v>
          </cell>
          <cell r="W272" t="str">
            <v>0.13D</v>
          </cell>
          <cell r="X272" t="str">
            <v>3-2026</v>
          </cell>
          <cell r="Y272" t="str">
            <v>Week 10</v>
          </cell>
          <cell r="Z272">
            <v>46083</v>
          </cell>
          <cell r="AA272">
            <v>139</v>
          </cell>
          <cell r="AB272">
            <v>2.1739999999999999E-2</v>
          </cell>
        </row>
        <row r="273">
          <cell r="A273" t="str">
            <v>F-2026-02-36</v>
          </cell>
          <cell r="B273"/>
          <cell r="C273" t="str">
            <v>RPRO-260203-0845</v>
          </cell>
          <cell r="D273" t="str">
            <v>MPS 02.02</v>
          </cell>
          <cell r="E273" t="str">
            <v>BDB-000057</v>
          </cell>
          <cell r="F273" t="str">
            <v>PVN-000925</v>
          </cell>
          <cell r="G273" t="str">
            <v>OrthoLite Ultra YELLOW/13-0858TPX Flat Sheet 0.085D 25+/-4 Asker C 1.1M 2M 5mm</v>
          </cell>
          <cell r="H273">
            <v>868</v>
          </cell>
          <cell r="I273">
            <v>868</v>
          </cell>
          <cell r="J273">
            <v>868</v>
          </cell>
          <cell r="K273">
            <v>0</v>
          </cell>
          <cell r="L273"/>
          <cell r="M273" t="str">
            <v>MPS</v>
          </cell>
          <cell r="N273" t="str">
            <v>SPLITTING</v>
          </cell>
          <cell r="O273">
            <v>2</v>
          </cell>
          <cell r="P273">
            <v>46057</v>
          </cell>
          <cell r="Q273">
            <v>46085</v>
          </cell>
          <cell r="R273">
            <v>46082</v>
          </cell>
          <cell r="S273">
            <v>28</v>
          </cell>
          <cell r="T273">
            <v>5</v>
          </cell>
          <cell r="U273">
            <v>28</v>
          </cell>
          <cell r="V273">
            <v>31</v>
          </cell>
          <cell r="W273" t="str">
            <v>0.085D</v>
          </cell>
          <cell r="X273" t="str">
            <v>3-2026</v>
          </cell>
          <cell r="Y273" t="str">
            <v>Week 9</v>
          </cell>
          <cell r="Z273">
            <v>46076</v>
          </cell>
          <cell r="AA273">
            <v>139</v>
          </cell>
          <cell r="AB273">
            <v>3.5709999999999999E-2</v>
          </cell>
        </row>
        <row r="274">
          <cell r="A274" t="str">
            <v>F-2026-02-37</v>
          </cell>
          <cell r="B274"/>
          <cell r="C274" t="str">
            <v>RPRO-260203-0846</v>
          </cell>
          <cell r="D274" t="str">
            <v>MPS 02.02</v>
          </cell>
          <cell r="E274" t="str">
            <v>BDB-000113</v>
          </cell>
          <cell r="F274" t="str">
            <v>PVN-003161</v>
          </cell>
          <cell r="G274" t="str">
            <v>OrthoLite Regular-Hybrid SEEDPEARL/12-0703TPX Hybrid Flat Sheet 0.11D 25+/-4 Asker C 1.1M 2M 2.5mm</v>
          </cell>
          <cell r="H274">
            <v>56</v>
          </cell>
          <cell r="I274">
            <v>56</v>
          </cell>
          <cell r="J274">
            <v>56</v>
          </cell>
          <cell r="K274">
            <v>0</v>
          </cell>
          <cell r="L274"/>
          <cell r="M274" t="str">
            <v>MPS</v>
          </cell>
          <cell r="N274" t="str">
            <v>SPLITTING</v>
          </cell>
          <cell r="O274">
            <v>2</v>
          </cell>
          <cell r="P274">
            <v>46057</v>
          </cell>
          <cell r="Q274">
            <v>46090</v>
          </cell>
          <cell r="R274">
            <v>46087</v>
          </cell>
          <cell r="S274">
            <v>33</v>
          </cell>
          <cell r="T274">
            <v>2.5</v>
          </cell>
          <cell r="U274">
            <v>56</v>
          </cell>
          <cell r="V274">
            <v>2</v>
          </cell>
          <cell r="W274" t="str">
            <v>0.11D</v>
          </cell>
          <cell r="X274" t="str">
            <v>3-2026</v>
          </cell>
          <cell r="Y274" t="str">
            <v>Week 10</v>
          </cell>
          <cell r="Z274">
            <v>46083</v>
          </cell>
          <cell r="AA274">
            <v>139</v>
          </cell>
          <cell r="AB274">
            <v>1.7860000000000001E-2</v>
          </cell>
        </row>
        <row r="275">
          <cell r="A275" t="str">
            <v>F-2026-02-38</v>
          </cell>
          <cell r="B275"/>
          <cell r="C275" t="str">
            <v>RPRO-260203-0847</v>
          </cell>
          <cell r="D275" t="str">
            <v>MPS 02.02</v>
          </cell>
          <cell r="E275" t="str">
            <v>BDB-000051</v>
          </cell>
          <cell r="F275" t="str">
            <v>PVN-003329</v>
          </cell>
          <cell r="G275" t="str">
            <v>OrthoLite X-40 TRUE BLUE/19-4057TPX Flat Sheet 0.16D 25+/-4 Asker C 1.1M 1.7M 5.5mm</v>
          </cell>
          <cell r="H275">
            <v>25</v>
          </cell>
          <cell r="I275">
            <v>25</v>
          </cell>
          <cell r="J275">
            <v>25</v>
          </cell>
          <cell r="K275">
            <v>0</v>
          </cell>
          <cell r="L275"/>
          <cell r="M275" t="str">
            <v>MPS</v>
          </cell>
          <cell r="N275" t="str">
            <v>SPLITTING</v>
          </cell>
          <cell r="O275">
            <v>2</v>
          </cell>
          <cell r="P275">
            <v>46057</v>
          </cell>
          <cell r="Q275">
            <v>46090</v>
          </cell>
          <cell r="R275">
            <v>46087</v>
          </cell>
          <cell r="S275">
            <v>33</v>
          </cell>
          <cell r="T275">
            <v>5.5</v>
          </cell>
          <cell r="U275">
            <v>25</v>
          </cell>
          <cell r="V275">
            <v>1</v>
          </cell>
          <cell r="W275" t="str">
            <v>0.16D</v>
          </cell>
          <cell r="X275" t="str">
            <v>3-2026</v>
          </cell>
          <cell r="Y275" t="str">
            <v>Week 10</v>
          </cell>
          <cell r="Z275">
            <v>46083</v>
          </cell>
          <cell r="AA275">
            <v>103</v>
          </cell>
          <cell r="AB275">
            <v>0.04</v>
          </cell>
        </row>
        <row r="276">
          <cell r="A276" t="str">
            <v>F-2026-02-39</v>
          </cell>
          <cell r="B276"/>
          <cell r="C276" t="str">
            <v>RPRO-260203-0848</v>
          </cell>
          <cell r="D276" t="str">
            <v>MPS 02.02</v>
          </cell>
          <cell r="E276" t="str">
            <v>BDB-000348</v>
          </cell>
          <cell r="F276" t="str">
            <v>PVN-004210</v>
          </cell>
          <cell r="G276" t="str">
            <v>OrthoLite IMPERIAL SEEDPEARL/12-0703TPX Flat Sheet 0.22D 25+/-4 Asker C 1.1M 1.47M 5mm</v>
          </cell>
          <cell r="H276">
            <v>269</v>
          </cell>
          <cell r="I276">
            <v>269</v>
          </cell>
          <cell r="J276">
            <v>269</v>
          </cell>
          <cell r="K276">
            <v>0</v>
          </cell>
          <cell r="L276"/>
          <cell r="M276" t="str">
            <v>MPS</v>
          </cell>
          <cell r="N276" t="str">
            <v>SPLITTING</v>
          </cell>
          <cell r="O276">
            <v>2</v>
          </cell>
          <cell r="P276">
            <v>46057</v>
          </cell>
          <cell r="Q276">
            <v>46090</v>
          </cell>
          <cell r="R276">
            <v>46087</v>
          </cell>
          <cell r="S276">
            <v>33</v>
          </cell>
          <cell r="T276">
            <v>5</v>
          </cell>
          <cell r="U276">
            <v>28</v>
          </cell>
          <cell r="V276">
            <v>10</v>
          </cell>
          <cell r="W276" t="e">
            <v>#N/A</v>
          </cell>
          <cell r="X276" t="str">
            <v>3-2026</v>
          </cell>
          <cell r="Y276" t="str">
            <v>Week 10</v>
          </cell>
          <cell r="Z276">
            <v>46083</v>
          </cell>
          <cell r="AA276">
            <v>103</v>
          </cell>
          <cell r="AB276">
            <v>3.5709999999999999E-2</v>
          </cell>
        </row>
        <row r="277">
          <cell r="A277" t="str">
            <v>F-2026-02-40</v>
          </cell>
          <cell r="B277"/>
          <cell r="C277" t="str">
            <v>RPRO-260203-0849</v>
          </cell>
          <cell r="D277" t="str">
            <v>Pro.sche.report 02.02</v>
          </cell>
          <cell r="E277" t="str">
            <v>BDB-000336</v>
          </cell>
          <cell r="F277" t="str">
            <v>PVN-004168</v>
          </cell>
          <cell r="G277" t="str">
            <v>OrthoLite X-40-Nike SEEDPEARL/12-0703TPX Flat Sheet 0.16D 35+/-4 Asker C 1.1M 2M 4.5mm</v>
          </cell>
          <cell r="H277">
            <v>155</v>
          </cell>
          <cell r="I277">
            <v>155</v>
          </cell>
          <cell r="J277">
            <v>155</v>
          </cell>
          <cell r="K277">
            <v>0</v>
          </cell>
          <cell r="L277" t="str">
            <v>NIKE</v>
          </cell>
          <cell r="M277" t="str">
            <v>Pr.Sch.R</v>
          </cell>
          <cell r="N277" t="str">
            <v>MOLDED</v>
          </cell>
          <cell r="O277">
            <v>1</v>
          </cell>
          <cell r="P277">
            <v>46057</v>
          </cell>
          <cell r="Q277">
            <v>46090</v>
          </cell>
          <cell r="R277">
            <v>46087</v>
          </cell>
          <cell r="S277">
            <v>33</v>
          </cell>
          <cell r="T277">
            <v>4.5</v>
          </cell>
          <cell r="U277">
            <v>31</v>
          </cell>
          <cell r="V277">
            <v>6</v>
          </cell>
          <cell r="W277" t="e">
            <v>#N/A</v>
          </cell>
          <cell r="X277" t="str">
            <v>3-2026</v>
          </cell>
          <cell r="Y277" t="str">
            <v>Week 10</v>
          </cell>
          <cell r="Z277">
            <v>46083</v>
          </cell>
          <cell r="AA277">
            <v>103</v>
          </cell>
          <cell r="AB277">
            <v>3.3329999999999999E-2</v>
          </cell>
        </row>
        <row r="278">
          <cell r="A278" t="str">
            <v>F-2026-02-41</v>
          </cell>
          <cell r="B278"/>
          <cell r="C278" t="str">
            <v>RPRO-260203-0850</v>
          </cell>
          <cell r="D278" t="str">
            <v>Pro.sche.report 02.02</v>
          </cell>
          <cell r="E278" t="str">
            <v>BDB-000209</v>
          </cell>
          <cell r="F278" t="str">
            <v>PVN-003462</v>
          </cell>
          <cell r="G278" t="str">
            <v>OrthoLite HybridPlus-Recycled MINT GREEN/11-4805TPX Hybrid Flat Sheet 0.12D 25+/-4 Asker C 1.1M 2M 12mm</v>
          </cell>
          <cell r="H278">
            <v>44</v>
          </cell>
          <cell r="I278">
            <v>44</v>
          </cell>
          <cell r="J278">
            <v>44</v>
          </cell>
          <cell r="K278">
            <v>0</v>
          </cell>
          <cell r="L278" t="str">
            <v>BROOKS</v>
          </cell>
          <cell r="M278" t="str">
            <v>Pr.Sch.R</v>
          </cell>
          <cell r="N278" t="str">
            <v>MOLDED</v>
          </cell>
          <cell r="O278">
            <v>1</v>
          </cell>
          <cell r="P278">
            <v>46057</v>
          </cell>
          <cell r="Q278">
            <v>46084</v>
          </cell>
          <cell r="R278">
            <v>46081</v>
          </cell>
          <cell r="S278">
            <v>27</v>
          </cell>
          <cell r="T278">
            <v>12</v>
          </cell>
          <cell r="U278">
            <v>11</v>
          </cell>
          <cell r="V278">
            <v>5</v>
          </cell>
          <cell r="W278" t="str">
            <v>0.12D</v>
          </cell>
          <cell r="X278" t="str">
            <v>3-2026</v>
          </cell>
          <cell r="Y278" t="str">
            <v>Week 9</v>
          </cell>
          <cell r="Z278">
            <v>46076</v>
          </cell>
          <cell r="AA278">
            <v>103</v>
          </cell>
          <cell r="AB278">
            <v>9.0910000000000005E-2</v>
          </cell>
        </row>
        <row r="279">
          <cell r="A279" t="str">
            <v>F-2026-02-42</v>
          </cell>
          <cell r="B279"/>
          <cell r="C279" t="str">
            <v>RPRO-260203-0851</v>
          </cell>
          <cell r="D279" t="str">
            <v>Pro.sche.report 02.02</v>
          </cell>
          <cell r="E279" t="str">
            <v>BDB-000209</v>
          </cell>
          <cell r="F279" t="str">
            <v>PVN-003537</v>
          </cell>
          <cell r="G279" t="str">
            <v>OrthoLite HybridPlus-Recycled MINT GREEN/11-4805TPX Hybrid Flat Sheet 0.12D 25+/-4 Asker C 1.1M 2M 4.5mm</v>
          </cell>
          <cell r="H279">
            <v>279</v>
          </cell>
          <cell r="I279">
            <v>279</v>
          </cell>
          <cell r="J279">
            <v>279</v>
          </cell>
          <cell r="K279">
            <v>0</v>
          </cell>
          <cell r="L279" t="str">
            <v>ON RUNNING</v>
          </cell>
          <cell r="M279" t="str">
            <v>Pr.Sch.R</v>
          </cell>
          <cell r="N279" t="str">
            <v>MOLDED</v>
          </cell>
          <cell r="O279">
            <v>1</v>
          </cell>
          <cell r="P279">
            <v>46057</v>
          </cell>
          <cell r="Q279">
            <v>46094</v>
          </cell>
          <cell r="R279">
            <v>46091</v>
          </cell>
          <cell r="S279">
            <v>37</v>
          </cell>
          <cell r="T279">
            <v>4.5</v>
          </cell>
          <cell r="U279">
            <v>31</v>
          </cell>
          <cell r="V279">
            <v>10</v>
          </cell>
          <cell r="W279" t="str">
            <v>0.12D</v>
          </cell>
          <cell r="X279" t="str">
            <v>3-2026</v>
          </cell>
          <cell r="Y279" t="str">
            <v>Week 10</v>
          </cell>
          <cell r="Z279">
            <v>46083</v>
          </cell>
          <cell r="AA279">
            <v>103</v>
          </cell>
          <cell r="AB279">
            <v>3.2259999999999997E-2</v>
          </cell>
        </row>
        <row r="280">
          <cell r="A280" t="str">
            <v>F-2026-02-43</v>
          </cell>
          <cell r="B280"/>
          <cell r="C280" t="str">
            <v>RPRO-260203-0852</v>
          </cell>
          <cell r="D280" t="str">
            <v>Pro.sche.report 02.02</v>
          </cell>
          <cell r="E280" t="str">
            <v>BDB-000123</v>
          </cell>
          <cell r="F280" t="str">
            <v>PVN-002539</v>
          </cell>
          <cell r="G280" t="str">
            <v>OrthoLite Ultra-Hybrid SEEDPEARL/12-0703TPX Hybrid Flat Sheet 0.085D 25+/-4 Asker C 1.1M 2M 5mm</v>
          </cell>
          <cell r="H280">
            <v>448</v>
          </cell>
          <cell r="I280">
            <v>448</v>
          </cell>
          <cell r="J280">
            <v>448</v>
          </cell>
          <cell r="K280">
            <v>0</v>
          </cell>
          <cell r="L280" t="str">
            <v>BROOKS</v>
          </cell>
          <cell r="M280" t="str">
            <v>Pr.Sch.R</v>
          </cell>
          <cell r="N280" t="str">
            <v>DIE CUT</v>
          </cell>
          <cell r="O280">
            <v>1</v>
          </cell>
          <cell r="P280">
            <v>46057</v>
          </cell>
          <cell r="Q280">
            <v>46095</v>
          </cell>
          <cell r="R280">
            <v>46092</v>
          </cell>
          <cell r="S280">
            <v>38</v>
          </cell>
          <cell r="T280">
            <v>5</v>
          </cell>
          <cell r="U280">
            <v>28</v>
          </cell>
          <cell r="V280">
            <v>16</v>
          </cell>
          <cell r="W280" t="str">
            <v>0.085D</v>
          </cell>
          <cell r="X280" t="str">
            <v>3-2026</v>
          </cell>
          <cell r="Y280" t="str">
            <v>Week 11</v>
          </cell>
          <cell r="Z280">
            <v>46090</v>
          </cell>
          <cell r="AA280">
            <v>103</v>
          </cell>
          <cell r="AB280">
            <v>3.5709999999999999E-2</v>
          </cell>
        </row>
        <row r="281">
          <cell r="A281" t="str">
            <v>F-2026-02-44</v>
          </cell>
          <cell r="B281"/>
          <cell r="C281" t="str">
            <v>RPRO-260203-0853</v>
          </cell>
          <cell r="D281" t="str">
            <v>Pro.sche.report 02.02</v>
          </cell>
          <cell r="E281" t="str">
            <v>BDB-000332</v>
          </cell>
          <cell r="F281" t="str">
            <v>PVN-004146</v>
          </cell>
          <cell r="G281" t="str">
            <v>OrthoLite X-25 CASTLEROCK/18-0201TPX Flat Sheet 0.12D 20+/-4 Asker C 1.1M 2M 5.5mm</v>
          </cell>
          <cell r="H281">
            <v>1450</v>
          </cell>
          <cell r="I281">
            <v>1450</v>
          </cell>
          <cell r="J281">
            <v>1450</v>
          </cell>
          <cell r="K281">
            <v>0</v>
          </cell>
          <cell r="L281" t="str">
            <v>ON RUNNING</v>
          </cell>
          <cell r="M281" t="str">
            <v>Pr.Sch.R</v>
          </cell>
          <cell r="N281" t="str">
            <v>MOLDED</v>
          </cell>
          <cell r="O281">
            <v>1</v>
          </cell>
          <cell r="P281">
            <v>46057</v>
          </cell>
          <cell r="Q281">
            <v>46090</v>
          </cell>
          <cell r="R281">
            <v>46087</v>
          </cell>
          <cell r="S281">
            <v>33</v>
          </cell>
          <cell r="T281">
            <v>5.5</v>
          </cell>
          <cell r="U281">
            <v>25</v>
          </cell>
          <cell r="V281">
            <v>58</v>
          </cell>
          <cell r="W281" t="e">
            <v>#N/A</v>
          </cell>
          <cell r="X281" t="str">
            <v>3-2026</v>
          </cell>
          <cell r="Y281" t="str">
            <v>Week 10</v>
          </cell>
          <cell r="Z281">
            <v>46083</v>
          </cell>
          <cell r="AA281">
            <v>0</v>
          </cell>
          <cell r="AB281">
            <v>0.04</v>
          </cell>
        </row>
        <row r="282">
          <cell r="A282" t="str">
            <v>F-2026-02-45</v>
          </cell>
          <cell r="B282"/>
          <cell r="C282" t="str">
            <v>RPRO-260203-0854</v>
          </cell>
          <cell r="D282" t="str">
            <v>Pro.sche.report 02.02</v>
          </cell>
          <cell r="E282" t="str">
            <v>BDB-000339</v>
          </cell>
          <cell r="F282" t="str">
            <v>PVN-004178</v>
          </cell>
          <cell r="G282" t="str">
            <v>OrthoLite Float NEUTRAL GRAY/17-4402TPX Flat Sheet 0.12D 21+/-4 Asker C 1.1M 2M 5.5mm</v>
          </cell>
          <cell r="H282">
            <v>550</v>
          </cell>
          <cell r="I282">
            <v>550</v>
          </cell>
          <cell r="J282">
            <v>550</v>
          </cell>
          <cell r="K282">
            <v>0</v>
          </cell>
          <cell r="L282" t="str">
            <v>PUMA</v>
          </cell>
          <cell r="M282" t="str">
            <v>Pr.Sch.R</v>
          </cell>
          <cell r="N282" t="str">
            <v>MOLDED</v>
          </cell>
          <cell r="O282">
            <v>1</v>
          </cell>
          <cell r="P282">
            <v>46057</v>
          </cell>
          <cell r="Q282">
            <v>46089</v>
          </cell>
          <cell r="R282">
            <v>46086</v>
          </cell>
          <cell r="S282">
            <v>32</v>
          </cell>
          <cell r="T282">
            <v>5.5</v>
          </cell>
          <cell r="U282">
            <v>25</v>
          </cell>
          <cell r="V282">
            <v>22</v>
          </cell>
          <cell r="W282" t="e">
            <v>#N/A</v>
          </cell>
          <cell r="X282" t="str">
            <v>3-2026</v>
          </cell>
          <cell r="Y282" t="str">
            <v>Week 10</v>
          </cell>
          <cell r="Z282">
            <v>46083</v>
          </cell>
          <cell r="AA282">
            <v>65</v>
          </cell>
          <cell r="AB282">
            <v>0.04</v>
          </cell>
        </row>
        <row r="283">
          <cell r="A283" t="str">
            <v>F-2026-02-46</v>
          </cell>
          <cell r="B283"/>
          <cell r="C283" t="str">
            <v>RPRO-260203-0855</v>
          </cell>
          <cell r="D283" t="str">
            <v>Pro.sche.report 02.02</v>
          </cell>
          <cell r="E283" t="str">
            <v>BDB-000319</v>
          </cell>
          <cell r="F283" t="str">
            <v>PVN-004247</v>
          </cell>
          <cell r="G283" t="str">
            <v>OrthoLite X-40-Hybrid-Nike SEEDPEARL/12-0703TPX Hybrid Flat Sheet 0.16D 25+/-4 Asker C 1.1M 2M 4.2mm</v>
          </cell>
          <cell r="H283">
            <v>99</v>
          </cell>
          <cell r="I283">
            <v>99</v>
          </cell>
          <cell r="J283">
            <v>99</v>
          </cell>
          <cell r="K283">
            <v>0</v>
          </cell>
          <cell r="L283" t="str">
            <v>NIKE</v>
          </cell>
          <cell r="M283" t="str">
            <v>Pr.Sch.R</v>
          </cell>
          <cell r="N283" t="str">
            <v>MOLDED</v>
          </cell>
          <cell r="O283">
            <v>1</v>
          </cell>
          <cell r="P283">
            <v>46057</v>
          </cell>
          <cell r="Q283">
            <v>46086</v>
          </cell>
          <cell r="R283">
            <v>46083</v>
          </cell>
          <cell r="S283">
            <v>29</v>
          </cell>
          <cell r="T283">
            <v>4.2</v>
          </cell>
          <cell r="U283">
            <v>33</v>
          </cell>
          <cell r="V283">
            <v>3</v>
          </cell>
          <cell r="W283" t="e">
            <v>#N/A</v>
          </cell>
          <cell r="X283" t="str">
            <v>3-2026</v>
          </cell>
          <cell r="Y283" t="str">
            <v>Week 9</v>
          </cell>
          <cell r="Z283">
            <v>46076</v>
          </cell>
          <cell r="AA283">
            <v>36</v>
          </cell>
          <cell r="AB283">
            <v>3.0300000000000001E-2</v>
          </cell>
        </row>
        <row r="284">
          <cell r="A284" t="str">
            <v>F-2026-02-47</v>
          </cell>
          <cell r="B284"/>
          <cell r="C284" t="str">
            <v>RPRO-260203-0856</v>
          </cell>
          <cell r="D284" t="str">
            <v>Pro.sche.report 02.02</v>
          </cell>
          <cell r="E284" t="str">
            <v>BDB-000157</v>
          </cell>
          <cell r="F284" t="str">
            <v>PVN-003642</v>
          </cell>
          <cell r="G284" t="str">
            <v>OrthoLite X-35-Hybrid-Nike SEEDPEARL/12-0703TPX Hybrid Flat Sheet 0.145D 25+/-4 Asker C 1.1M 2M 6.2mm</v>
          </cell>
          <cell r="H284">
            <v>286</v>
          </cell>
          <cell r="I284">
            <v>286</v>
          </cell>
          <cell r="J284">
            <v>286</v>
          </cell>
          <cell r="K284">
            <v>0</v>
          </cell>
          <cell r="L284" t="str">
            <v>NIKE</v>
          </cell>
          <cell r="M284" t="str">
            <v>Pr.Sch.R</v>
          </cell>
          <cell r="N284" t="str">
            <v>MOLDED</v>
          </cell>
          <cell r="O284">
            <v>1</v>
          </cell>
          <cell r="P284">
            <v>46057</v>
          </cell>
          <cell r="Q284">
            <v>46090</v>
          </cell>
          <cell r="R284">
            <v>46087</v>
          </cell>
          <cell r="S284">
            <v>33</v>
          </cell>
          <cell r="T284">
            <v>6.2</v>
          </cell>
          <cell r="U284">
            <v>22</v>
          </cell>
          <cell r="V284">
            <v>13</v>
          </cell>
          <cell r="W284" t="str">
            <v>0.145D</v>
          </cell>
          <cell r="X284" t="str">
            <v>3-2026</v>
          </cell>
          <cell r="Y284" t="str">
            <v>Week 10</v>
          </cell>
          <cell r="Z284">
            <v>46083</v>
          </cell>
          <cell r="AA284">
            <v>0</v>
          </cell>
          <cell r="AB284">
            <v>4.5449999999999997E-2</v>
          </cell>
        </row>
        <row r="285">
          <cell r="A285" t="str">
            <v>F-2026-02-48</v>
          </cell>
          <cell r="B285"/>
          <cell r="C285" t="str">
            <v>RPRO-260203-0857</v>
          </cell>
          <cell r="D285" t="str">
            <v>Pro.sche.report 02.02</v>
          </cell>
          <cell r="E285" t="str">
            <v>BDB-000321</v>
          </cell>
          <cell r="F285" t="str">
            <v>PVN-004092</v>
          </cell>
          <cell r="G285" t="str">
            <v>OrthoLite Float BLUE ATOLL/16-4535TPX Flat Sheet 0.12D 21+/-4 Asker C 1.1M 2M 14.5mm</v>
          </cell>
          <cell r="H285">
            <v>45</v>
          </cell>
          <cell r="I285">
            <v>45</v>
          </cell>
          <cell r="J285">
            <v>45</v>
          </cell>
          <cell r="K285">
            <v>0</v>
          </cell>
          <cell r="L285" t="str">
            <v>LOWA</v>
          </cell>
          <cell r="M285" t="str">
            <v>Pr.Sch.R</v>
          </cell>
          <cell r="N285" t="str">
            <v>MOLDED</v>
          </cell>
          <cell r="O285">
            <v>1</v>
          </cell>
          <cell r="P285">
            <v>46057</v>
          </cell>
          <cell r="Q285">
            <v>46090</v>
          </cell>
          <cell r="R285">
            <v>46087</v>
          </cell>
          <cell r="S285">
            <v>33</v>
          </cell>
          <cell r="T285">
            <v>14.5</v>
          </cell>
          <cell r="U285">
            <v>9</v>
          </cell>
          <cell r="V285">
            <v>5</v>
          </cell>
          <cell r="W285" t="e">
            <v>#N/A</v>
          </cell>
          <cell r="X285" t="str">
            <v>3-2026</v>
          </cell>
          <cell r="Y285" t="str">
            <v>Week 10</v>
          </cell>
          <cell r="Z285">
            <v>46083</v>
          </cell>
          <cell r="AA285">
            <v>0</v>
          </cell>
          <cell r="AB285">
            <v>0.11111</v>
          </cell>
        </row>
        <row r="286">
          <cell r="A286" t="str">
            <v>F-2026-02-49</v>
          </cell>
          <cell r="B286"/>
          <cell r="C286" t="str">
            <v>RPRO-260203-0858</v>
          </cell>
          <cell r="D286" t="str">
            <v>Pro.sche.report 02.02</v>
          </cell>
          <cell r="E286" t="str">
            <v>BDB-000212</v>
          </cell>
          <cell r="F286" t="str">
            <v>PVN-003764</v>
          </cell>
          <cell r="G286" t="str">
            <v>OrthoLite X-25-Hybrid SEEDPEARL/12-0703TPX Hybrid Flat Sheet 0.12D 20+/-4 Asker C 1.1M 2M 5mm</v>
          </cell>
          <cell r="H286">
            <v>56</v>
          </cell>
          <cell r="I286">
            <v>56</v>
          </cell>
          <cell r="J286">
            <v>56</v>
          </cell>
          <cell r="K286">
            <v>0</v>
          </cell>
          <cell r="L286" t="str">
            <v>FOOTJOY</v>
          </cell>
          <cell r="M286" t="str">
            <v>Pr.Sch.R</v>
          </cell>
          <cell r="N286" t="str">
            <v>OTHERS</v>
          </cell>
          <cell r="O286">
            <v>1</v>
          </cell>
          <cell r="P286">
            <v>46057</v>
          </cell>
          <cell r="Q286">
            <v>46083</v>
          </cell>
          <cell r="R286">
            <v>46080</v>
          </cell>
          <cell r="S286">
            <v>26</v>
          </cell>
          <cell r="T286">
            <v>5</v>
          </cell>
          <cell r="U286">
            <v>28</v>
          </cell>
          <cell r="V286">
            <v>2</v>
          </cell>
          <cell r="W286" t="str">
            <v>0.12D</v>
          </cell>
          <cell r="X286" t="str">
            <v>3-2026</v>
          </cell>
          <cell r="Y286" t="str">
            <v>Week 9</v>
          </cell>
          <cell r="Z286">
            <v>46076</v>
          </cell>
          <cell r="AA286">
            <v>36</v>
          </cell>
          <cell r="AB286">
            <v>3.5709999999999999E-2</v>
          </cell>
        </row>
        <row r="287">
          <cell r="A287" t="str">
            <v>F-2026-02-50</v>
          </cell>
          <cell r="B287"/>
          <cell r="C287" t="str">
            <v>RPRO-260203-0859</v>
          </cell>
          <cell r="D287" t="str">
            <v>Pro.sche.report 02.02</v>
          </cell>
          <cell r="E287" t="str">
            <v>BDB-000077</v>
          </cell>
          <cell r="F287" t="str">
            <v>PVN-004147</v>
          </cell>
          <cell r="G287" t="str">
            <v>OrthoLite X-25 SEEDPEARL/12-0703TPX Flat Sheet 0.12D 20+/-4 Asker C 1.1M 2M 5.5mm</v>
          </cell>
          <cell r="H287">
            <v>275</v>
          </cell>
          <cell r="I287">
            <v>275</v>
          </cell>
          <cell r="J287">
            <v>275</v>
          </cell>
          <cell r="K287">
            <v>0</v>
          </cell>
          <cell r="L287" t="str">
            <v>ON RUNNING</v>
          </cell>
          <cell r="M287" t="str">
            <v>Pr.Sch.R</v>
          </cell>
          <cell r="N287" t="str">
            <v>MOLDED</v>
          </cell>
          <cell r="O287">
            <v>1</v>
          </cell>
          <cell r="P287">
            <v>46057</v>
          </cell>
          <cell r="Q287">
            <v>46086</v>
          </cell>
          <cell r="R287">
            <v>46083</v>
          </cell>
          <cell r="S287">
            <v>29</v>
          </cell>
          <cell r="T287">
            <v>5.5</v>
          </cell>
          <cell r="U287">
            <v>25</v>
          </cell>
          <cell r="V287">
            <v>11</v>
          </cell>
          <cell r="W287" t="str">
            <v>0.12D</v>
          </cell>
          <cell r="X287" t="str">
            <v>3-2026</v>
          </cell>
          <cell r="Y287" t="str">
            <v>Week 9</v>
          </cell>
          <cell r="Z287">
            <v>46076</v>
          </cell>
          <cell r="AA287">
            <v>11</v>
          </cell>
          <cell r="AB287">
            <v>0.04</v>
          </cell>
        </row>
        <row r="288">
          <cell r="A288" t="str">
            <v>F-2026-02-51</v>
          </cell>
          <cell r="B288"/>
          <cell r="C288" t="str">
            <v>RPRO-260203-0860</v>
          </cell>
          <cell r="D288" t="str">
            <v>Pro.sche.report 02.02</v>
          </cell>
          <cell r="E288" t="str">
            <v>BDB-000149</v>
          </cell>
          <cell r="F288" t="str">
            <v>PVN-002827</v>
          </cell>
          <cell r="G288" t="str">
            <v>OrthoLite Regular-Hybrid-Nike SEEDPEARL/12-0703TPX Hybrid Flat Sheet 0.11D 25+/-4 Asker C 1.1M 2M 5mm</v>
          </cell>
          <cell r="H288">
            <v>1148</v>
          </cell>
          <cell r="I288">
            <v>1148</v>
          </cell>
          <cell r="J288">
            <v>1148</v>
          </cell>
          <cell r="K288">
            <v>0</v>
          </cell>
          <cell r="L288" t="str">
            <v>NIKE</v>
          </cell>
          <cell r="M288" t="str">
            <v>Pr.Sch.R</v>
          </cell>
          <cell r="N288" t="str">
            <v>MOLDED</v>
          </cell>
          <cell r="O288">
            <v>1</v>
          </cell>
          <cell r="P288">
            <v>46057</v>
          </cell>
          <cell r="Q288">
            <v>46086</v>
          </cell>
          <cell r="R288">
            <v>46083</v>
          </cell>
          <cell r="S288">
            <v>29</v>
          </cell>
          <cell r="T288">
            <v>5</v>
          </cell>
          <cell r="U288">
            <v>28</v>
          </cell>
          <cell r="V288">
            <v>41</v>
          </cell>
          <cell r="W288" t="str">
            <v>0.11D</v>
          </cell>
          <cell r="X288" t="str">
            <v>3-2026</v>
          </cell>
          <cell r="Y288" t="str">
            <v>Week 9</v>
          </cell>
          <cell r="Z288">
            <v>46076</v>
          </cell>
          <cell r="AA288">
            <v>114</v>
          </cell>
          <cell r="AB288">
            <v>3.5709999999999999E-2</v>
          </cell>
        </row>
        <row r="289">
          <cell r="A289" t="str">
            <v>F-2026-02-52</v>
          </cell>
          <cell r="B289"/>
          <cell r="C289" t="str">
            <v>RPRO-260203-0861</v>
          </cell>
          <cell r="D289" t="str">
            <v>Pro.sche.report 02.02</v>
          </cell>
          <cell r="E289" t="str">
            <v>BDB-000248</v>
          </cell>
          <cell r="F289" t="str">
            <v>PVN-003931</v>
          </cell>
          <cell r="G289" t="str">
            <v>OrthoLite X-40-Hybrid RED/19-1764TPX Hybrid Flat Sheet 0.16D 25+/-4 Asker C 1.1M 1.7M 6.5mm</v>
          </cell>
          <cell r="H289">
            <v>987</v>
          </cell>
          <cell r="I289">
            <v>987</v>
          </cell>
          <cell r="J289">
            <v>987</v>
          </cell>
          <cell r="K289">
            <v>0</v>
          </cell>
          <cell r="L289" t="str">
            <v>REDWING</v>
          </cell>
          <cell r="M289" t="str">
            <v>Pr.Sch.R</v>
          </cell>
          <cell r="N289" t="str">
            <v>MOLDED</v>
          </cell>
          <cell r="O289">
            <v>1</v>
          </cell>
          <cell r="P289">
            <v>46057</v>
          </cell>
          <cell r="Q289">
            <v>46090</v>
          </cell>
          <cell r="R289">
            <v>46087</v>
          </cell>
          <cell r="S289">
            <v>33</v>
          </cell>
          <cell r="T289">
            <v>6.5</v>
          </cell>
          <cell r="U289">
            <v>21</v>
          </cell>
          <cell r="V289">
            <v>48</v>
          </cell>
          <cell r="W289" t="str">
            <v>0.16D</v>
          </cell>
          <cell r="X289" t="str">
            <v>3-2026</v>
          </cell>
          <cell r="Y289" t="str">
            <v>Week 10</v>
          </cell>
          <cell r="Z289">
            <v>46083</v>
          </cell>
          <cell r="AA289">
            <v>89</v>
          </cell>
          <cell r="AB289">
            <v>4.7620000000000003E-2</v>
          </cell>
        </row>
        <row r="290">
          <cell r="A290" t="str">
            <v>F-2026-02-53</v>
          </cell>
          <cell r="B290"/>
          <cell r="C290" t="str">
            <v>RPRO-260203-0862</v>
          </cell>
          <cell r="D290" t="str">
            <v>Pro.sche.report 02.02</v>
          </cell>
          <cell r="E290" t="str">
            <v>BDB-000309</v>
          </cell>
          <cell r="F290" t="str">
            <v>PVN-004033</v>
          </cell>
          <cell r="G290" t="str">
            <v>OrthoLite X-40-Hybrid NEUTRAL GRAY/17-4402TPX Hybrid Flat Sheet 0.16D 35+/-4 Asker C 1.1M 2M 2mm</v>
          </cell>
          <cell r="H290">
            <v>630</v>
          </cell>
          <cell r="I290">
            <v>630</v>
          </cell>
          <cell r="J290">
            <v>630</v>
          </cell>
          <cell r="K290">
            <v>0</v>
          </cell>
          <cell r="L290" t="str">
            <v>REDWING</v>
          </cell>
          <cell r="M290" t="str">
            <v>Pr.Sch.R</v>
          </cell>
          <cell r="N290" t="str">
            <v>MOLDED</v>
          </cell>
          <cell r="O290">
            <v>1</v>
          </cell>
          <cell r="P290">
            <v>46057</v>
          </cell>
          <cell r="Q290">
            <v>46090</v>
          </cell>
          <cell r="R290">
            <v>46087</v>
          </cell>
          <cell r="S290">
            <v>33</v>
          </cell>
          <cell r="T290">
            <v>2</v>
          </cell>
          <cell r="U290">
            <v>70</v>
          </cell>
          <cell r="V290">
            <v>10</v>
          </cell>
          <cell r="W290" t="e">
            <v>#N/A</v>
          </cell>
          <cell r="X290" t="str">
            <v>3-2026</v>
          </cell>
          <cell r="Y290" t="str">
            <v>Week 10</v>
          </cell>
          <cell r="Z290">
            <v>46083</v>
          </cell>
          <cell r="AA290">
            <v>78</v>
          </cell>
          <cell r="AB290">
            <v>1.4290000000000001E-2</v>
          </cell>
        </row>
        <row r="291">
          <cell r="A291" t="str">
            <v>F-2026-02-54</v>
          </cell>
          <cell r="B291"/>
          <cell r="C291" t="str">
            <v>RPRO-260203-0863</v>
          </cell>
          <cell r="D291" t="str">
            <v>Pro.sche.report 02.02</v>
          </cell>
          <cell r="E291" t="str">
            <v>BDB-000321</v>
          </cell>
          <cell r="F291" t="str">
            <v>PVN-004104</v>
          </cell>
          <cell r="G291" t="str">
            <v>OrthoLite Float BLUE ATOLL/16-4535TPX Flat Sheet 0.12D 21+/-4 Asker C 1.1M 2M 5mm</v>
          </cell>
          <cell r="H291">
            <v>28</v>
          </cell>
          <cell r="I291">
            <v>28</v>
          </cell>
          <cell r="J291">
            <v>28</v>
          </cell>
          <cell r="K291">
            <v>0</v>
          </cell>
          <cell r="L291" t="str">
            <v>LOWA</v>
          </cell>
          <cell r="M291" t="str">
            <v>Pr.Sch.R</v>
          </cell>
          <cell r="N291" t="str">
            <v>MOLDED</v>
          </cell>
          <cell r="O291">
            <v>1</v>
          </cell>
          <cell r="P291">
            <v>46057</v>
          </cell>
          <cell r="Q291">
            <v>46083</v>
          </cell>
          <cell r="R291">
            <v>46080</v>
          </cell>
          <cell r="S291">
            <v>26</v>
          </cell>
          <cell r="T291">
            <v>5</v>
          </cell>
          <cell r="U291">
            <v>28</v>
          </cell>
          <cell r="V291">
            <v>1</v>
          </cell>
          <cell r="W291" t="e">
            <v>#N/A</v>
          </cell>
          <cell r="X291" t="str">
            <v>3-2026</v>
          </cell>
          <cell r="Y291" t="str">
            <v>Week 9</v>
          </cell>
          <cell r="Z291">
            <v>46076</v>
          </cell>
          <cell r="AA291">
            <v>136</v>
          </cell>
          <cell r="AB291">
            <v>3.5709999999999999E-2</v>
          </cell>
        </row>
        <row r="292">
          <cell r="A292" t="str">
            <v>F-2026-02-56</v>
          </cell>
          <cell r="B292"/>
          <cell r="C292" t="str">
            <v>RPRO-260203-0865</v>
          </cell>
          <cell r="D292" t="str">
            <v>Pro.sche.report 02.02</v>
          </cell>
          <cell r="E292" t="str">
            <v>BDB-000339</v>
          </cell>
          <cell r="F292" t="str">
            <v>PVN-004223</v>
          </cell>
          <cell r="G292" t="str">
            <v>OrthoLite Float NEUTRAL GRAY/17-4402TPX Flat Sheet 0.12D 21+/-4 Asker C 1.1M 2M 5mm</v>
          </cell>
          <cell r="H292">
            <v>56</v>
          </cell>
          <cell r="I292">
            <v>56</v>
          </cell>
          <cell r="J292">
            <v>56</v>
          </cell>
          <cell r="K292">
            <v>0</v>
          </cell>
          <cell r="L292" t="str">
            <v>PUMA</v>
          </cell>
          <cell r="M292" t="str">
            <v>Pr.Sch.R</v>
          </cell>
          <cell r="N292" t="str">
            <v>DIE CUT</v>
          </cell>
          <cell r="O292">
            <v>1</v>
          </cell>
          <cell r="P292">
            <v>46057</v>
          </cell>
          <cell r="Q292">
            <v>46086</v>
          </cell>
          <cell r="R292">
            <v>46083</v>
          </cell>
          <cell r="S292">
            <v>29</v>
          </cell>
          <cell r="T292">
            <v>5</v>
          </cell>
          <cell r="U292">
            <v>28</v>
          </cell>
          <cell r="V292">
            <v>2</v>
          </cell>
          <cell r="W292" t="e">
            <v>#N/A</v>
          </cell>
          <cell r="X292" t="str">
            <v>3-2026</v>
          </cell>
          <cell r="Y292" t="str">
            <v>Week 9</v>
          </cell>
          <cell r="Z292">
            <v>46076</v>
          </cell>
          <cell r="AA292">
            <v>138</v>
          </cell>
          <cell r="AB292">
            <v>3.5709999999999999E-2</v>
          </cell>
        </row>
        <row r="293">
          <cell r="A293" t="str">
            <v>F-2026-02-57</v>
          </cell>
          <cell r="B293"/>
          <cell r="C293" t="str">
            <v>RPRO-260203-0866</v>
          </cell>
          <cell r="D293" t="str">
            <v>Pro.sche.report 02.02</v>
          </cell>
          <cell r="E293" t="str">
            <v>BDB-000076</v>
          </cell>
          <cell r="F293" t="str">
            <v>PVN-004091</v>
          </cell>
          <cell r="G293" t="str">
            <v>OrthoLite X-25 BILLIARD/16-5427TPX Flat Sheet 0.12D 20+/-4 Asker C 1.1M 2M 3.5mm</v>
          </cell>
          <cell r="H293">
            <v>40</v>
          </cell>
          <cell r="I293">
            <v>40</v>
          </cell>
          <cell r="J293">
            <v>40</v>
          </cell>
          <cell r="K293">
            <v>0</v>
          </cell>
          <cell r="L293" t="str">
            <v>BROOKS</v>
          </cell>
          <cell r="M293" t="str">
            <v>Pr.Sch.R</v>
          </cell>
          <cell r="N293" t="str">
            <v>MOLDED</v>
          </cell>
          <cell r="O293">
            <v>1</v>
          </cell>
          <cell r="P293">
            <v>46057</v>
          </cell>
          <cell r="Q293">
            <v>46090</v>
          </cell>
          <cell r="R293">
            <v>46087</v>
          </cell>
          <cell r="S293">
            <v>33</v>
          </cell>
          <cell r="T293">
            <v>3.5</v>
          </cell>
          <cell r="U293">
            <v>40</v>
          </cell>
          <cell r="V293">
            <v>1</v>
          </cell>
          <cell r="W293" t="str">
            <v>0.12D</v>
          </cell>
          <cell r="X293" t="str">
            <v>3-2026</v>
          </cell>
          <cell r="Y293" t="str">
            <v>Week 10</v>
          </cell>
          <cell r="Z293">
            <v>46083</v>
          </cell>
          <cell r="AA293">
            <v>168</v>
          </cell>
          <cell r="AB293">
            <v>2.5000000000000001E-2</v>
          </cell>
        </row>
        <row r="294">
          <cell r="A294" t="str">
            <v>F-2026-02-59</v>
          </cell>
          <cell r="B294"/>
          <cell r="C294" t="str">
            <v>FPRO-260202-0001</v>
          </cell>
          <cell r="D294" t="str">
            <v>Firm plan 02.02</v>
          </cell>
          <cell r="E294" t="str">
            <v>BDB-000321</v>
          </cell>
          <cell r="F294" t="str">
            <v>PVN-004239</v>
          </cell>
          <cell r="G294" t="str">
            <v>OrthoLite Float BLUE ATOLL/16-4535TPX Flat Sheet 0.12D 21+/-4 Asker C 1.1M 2M 9.5mm</v>
          </cell>
          <cell r="H294">
            <v>47</v>
          </cell>
          <cell r="I294">
            <v>47</v>
          </cell>
          <cell r="J294">
            <v>47</v>
          </cell>
          <cell r="K294">
            <v>0</v>
          </cell>
          <cell r="L294" t="str">
            <v>GARMONT</v>
          </cell>
          <cell r="M294" t="str">
            <v>Forecast</v>
          </cell>
          <cell r="N294" t="str">
            <v>SPLITTING</v>
          </cell>
          <cell r="O294">
            <v>2</v>
          </cell>
          <cell r="P294">
            <v>46055</v>
          </cell>
          <cell r="Q294">
            <v>46088</v>
          </cell>
          <cell r="R294">
            <v>46085</v>
          </cell>
          <cell r="S294">
            <v>33</v>
          </cell>
          <cell r="T294">
            <v>9.5</v>
          </cell>
          <cell r="U294">
            <v>14</v>
          </cell>
          <cell r="V294">
            <v>4</v>
          </cell>
          <cell r="W294" t="e">
            <v>#N/A</v>
          </cell>
          <cell r="X294" t="str">
            <v>3-2026</v>
          </cell>
          <cell r="Y294" t="str">
            <v>Week 9</v>
          </cell>
          <cell r="Z294">
            <v>46076</v>
          </cell>
          <cell r="AA294">
            <v>141</v>
          </cell>
          <cell r="AB294">
            <v>7.1429999999999993E-2</v>
          </cell>
        </row>
        <row r="295">
          <cell r="A295" t="str">
            <v>F-2026-02-60</v>
          </cell>
          <cell r="B295"/>
          <cell r="C295" t="str">
            <v>FPRO-260202-0002-KHO SLT</v>
          </cell>
          <cell r="D295" t="str">
            <v>Firm plan 03.02</v>
          </cell>
          <cell r="E295" t="str">
            <v>BDB-000180</v>
          </cell>
          <cell r="F295" t="str">
            <v>PVN-003236</v>
          </cell>
          <cell r="G295" t="str">
            <v>OrthoLite Eco LT-Hybrid-Converse SEEDPEARL/12-0703TPX Hybrid 0.13D 25+/-4 Asker C 1.1M 2M 5mm</v>
          </cell>
          <cell r="H295">
            <v>1410</v>
          </cell>
          <cell r="I295">
            <v>1410</v>
          </cell>
          <cell r="J295">
            <v>1410</v>
          </cell>
          <cell r="K295">
            <v>0</v>
          </cell>
          <cell r="L295" t="str">
            <v>CONVERSE</v>
          </cell>
          <cell r="M295" t="str">
            <v>Forecast</v>
          </cell>
          <cell r="N295" t="str">
            <v>DIE CUT</v>
          </cell>
          <cell r="O295">
            <v>1</v>
          </cell>
          <cell r="P295">
            <v>46056</v>
          </cell>
          <cell r="Q295">
            <v>46081</v>
          </cell>
          <cell r="R295">
            <v>46078</v>
          </cell>
          <cell r="S295">
            <v>25</v>
          </cell>
          <cell r="T295">
            <v>5</v>
          </cell>
          <cell r="U295">
            <v>28</v>
          </cell>
          <cell r="V295">
            <v>51</v>
          </cell>
          <cell r="W295" t="str">
            <v>0.13D</v>
          </cell>
          <cell r="X295" t="str">
            <v>2-2026</v>
          </cell>
          <cell r="Y295" t="str">
            <v>Week 9</v>
          </cell>
          <cell r="Z295">
            <v>46076</v>
          </cell>
          <cell r="AA295">
            <v>51</v>
          </cell>
          <cell r="AB295">
            <v>3.5709999999999999E-2</v>
          </cell>
        </row>
        <row r="296">
          <cell r="A296" t="str">
            <v>F-2026-02-61</v>
          </cell>
          <cell r="B296"/>
          <cell r="C296" t="str">
            <v>RPRO-260204-0429</v>
          </cell>
          <cell r="D296" t="str">
            <v>MPS 03.02</v>
          </cell>
          <cell r="E296" t="str">
            <v>BDB-000224</v>
          </cell>
          <cell r="F296" t="str">
            <v>PVN-004258</v>
          </cell>
          <cell r="G296" t="str">
            <v>OrthoLite R&amp;R CASTLEROCK/18-0201TPX Flat Sheet 0.16D 15+/-4 Asker C 1.1M 1.7M 3mm</v>
          </cell>
          <cell r="H296">
            <v>276</v>
          </cell>
          <cell r="I296">
            <v>276</v>
          </cell>
          <cell r="J296">
            <v>276</v>
          </cell>
          <cell r="K296">
            <v>0</v>
          </cell>
          <cell r="L296"/>
          <cell r="M296" t="str">
            <v>MPS</v>
          </cell>
          <cell r="N296" t="str">
            <v>SPLITTING</v>
          </cell>
          <cell r="O296">
            <v>2</v>
          </cell>
          <cell r="P296">
            <v>46057</v>
          </cell>
          <cell r="Q296">
            <v>46084</v>
          </cell>
          <cell r="R296">
            <v>46081</v>
          </cell>
          <cell r="S296">
            <v>27</v>
          </cell>
          <cell r="T296">
            <v>3</v>
          </cell>
          <cell r="U296">
            <v>46</v>
          </cell>
          <cell r="V296">
            <v>7</v>
          </cell>
          <cell r="W296" t="str">
            <v>0.16D</v>
          </cell>
          <cell r="X296" t="str">
            <v>3-2026</v>
          </cell>
          <cell r="Y296" t="str">
            <v>Week 9</v>
          </cell>
          <cell r="Z296">
            <v>46076</v>
          </cell>
          <cell r="AA296">
            <v>26</v>
          </cell>
          <cell r="AB296">
            <v>2.1739999999999999E-2</v>
          </cell>
        </row>
        <row r="297">
          <cell r="A297" t="str">
            <v>F-2026-02-62</v>
          </cell>
          <cell r="B297"/>
          <cell r="C297" t="str">
            <v>RPRO-260204-0430</v>
          </cell>
          <cell r="D297" t="str">
            <v>Pro.sche.report 03.02</v>
          </cell>
          <cell r="E297" t="str">
            <v>BDB-000209</v>
          </cell>
          <cell r="F297" t="str">
            <v>PVN-003537</v>
          </cell>
          <cell r="G297" t="str">
            <v>OrthoLite HybridPlus-Recycled MINT GREEN/11-4805TPX Hybrid Flat Sheet 0.12D 25+/-4 Asker C 1.1M 2M 4.5mm</v>
          </cell>
          <cell r="H297">
            <v>1395</v>
          </cell>
          <cell r="I297">
            <v>1395</v>
          </cell>
          <cell r="J297">
            <v>1395</v>
          </cell>
          <cell r="K297">
            <v>0</v>
          </cell>
          <cell r="L297" t="str">
            <v>ON RUNNING</v>
          </cell>
          <cell r="M297" t="str">
            <v>Pr.Sch.R</v>
          </cell>
          <cell r="N297" t="str">
            <v>MOLDED</v>
          </cell>
          <cell r="O297">
            <v>1</v>
          </cell>
          <cell r="P297">
            <v>46057</v>
          </cell>
          <cell r="Q297">
            <v>46094</v>
          </cell>
          <cell r="R297">
            <v>46091</v>
          </cell>
          <cell r="S297">
            <v>37</v>
          </cell>
          <cell r="T297">
            <v>4.5</v>
          </cell>
          <cell r="U297">
            <v>31</v>
          </cell>
          <cell r="V297">
            <v>46</v>
          </cell>
          <cell r="W297" t="str">
            <v>0.12D</v>
          </cell>
          <cell r="X297" t="str">
            <v>3-2026</v>
          </cell>
          <cell r="Y297" t="str">
            <v>Week 10</v>
          </cell>
          <cell r="Z297">
            <v>46083</v>
          </cell>
          <cell r="AA297">
            <v>27</v>
          </cell>
          <cell r="AB297">
            <v>3.2259999999999997E-2</v>
          </cell>
        </row>
        <row r="298">
          <cell r="A298" t="str">
            <v>F-2026-02-63</v>
          </cell>
          <cell r="B298"/>
          <cell r="C298" t="str">
            <v>RPRO-260204-0431</v>
          </cell>
          <cell r="D298" t="str">
            <v>Pro.sche.report 03.02</v>
          </cell>
          <cell r="E298" t="str">
            <v>BDB-000123</v>
          </cell>
          <cell r="F298" t="str">
            <v>PVN-003743</v>
          </cell>
          <cell r="G298" t="str">
            <v>OrthoLite Ultra-Hybrid SEEDPEARL/12-0703TPX Hybrid Flat Sheet 0.085D 25+/-4 Asker C 1.1M 2M 5.5mm</v>
          </cell>
          <cell r="H298">
            <v>75</v>
          </cell>
          <cell r="I298">
            <v>75</v>
          </cell>
          <cell r="J298">
            <v>75</v>
          </cell>
          <cell r="K298">
            <v>0</v>
          </cell>
          <cell r="L298" t="str">
            <v>LOWA</v>
          </cell>
          <cell r="M298" t="str">
            <v>Pr.Sch.R</v>
          </cell>
          <cell r="N298" t="str">
            <v>MOLDED</v>
          </cell>
          <cell r="O298">
            <v>1</v>
          </cell>
          <cell r="P298">
            <v>46057</v>
          </cell>
          <cell r="Q298">
            <v>46091</v>
          </cell>
          <cell r="R298">
            <v>46088</v>
          </cell>
          <cell r="S298">
            <v>34</v>
          </cell>
          <cell r="T298">
            <v>5.5</v>
          </cell>
          <cell r="U298">
            <v>25</v>
          </cell>
          <cell r="V298">
            <v>3</v>
          </cell>
          <cell r="W298" t="str">
            <v>0.085D</v>
          </cell>
          <cell r="X298" t="str">
            <v>3-2026</v>
          </cell>
          <cell r="Y298" t="str">
            <v>Week 10</v>
          </cell>
          <cell r="Z298">
            <v>46083</v>
          </cell>
          <cell r="AA298">
            <v>15</v>
          </cell>
          <cell r="AB298">
            <v>0.04</v>
          </cell>
        </row>
        <row r="299">
          <cell r="A299" t="str">
            <v>F-2026-02-64</v>
          </cell>
          <cell r="B299"/>
          <cell r="C299" t="str">
            <v>RPRO-260204-0432</v>
          </cell>
          <cell r="D299" t="str">
            <v>Pro.sche.report 03.02</v>
          </cell>
          <cell r="E299" t="str">
            <v>BDB-000123</v>
          </cell>
          <cell r="F299" t="str">
            <v>PVN-002884</v>
          </cell>
          <cell r="G299" t="str">
            <v>OrthoLite Ultra-Hybrid SEEDPEARL/12-0703TPX Hybrid Flat Sheet 0.085D 25+/-4 Asker C 1.1M 2M 10mm</v>
          </cell>
          <cell r="H299">
            <v>13</v>
          </cell>
          <cell r="I299">
            <v>13</v>
          </cell>
          <cell r="J299">
            <v>13</v>
          </cell>
          <cell r="K299">
            <v>0</v>
          </cell>
          <cell r="L299" t="str">
            <v>ADIDAS</v>
          </cell>
          <cell r="M299" t="str">
            <v>Pr.Sch.R</v>
          </cell>
          <cell r="N299" t="str">
            <v>MOLDED</v>
          </cell>
          <cell r="O299">
            <v>1</v>
          </cell>
          <cell r="P299">
            <v>46057</v>
          </cell>
          <cell r="Q299">
            <v>46084</v>
          </cell>
          <cell r="R299">
            <v>46081</v>
          </cell>
          <cell r="S299">
            <v>27</v>
          </cell>
          <cell r="T299">
            <v>10</v>
          </cell>
          <cell r="U299">
            <v>13</v>
          </cell>
          <cell r="V299">
            <v>1</v>
          </cell>
          <cell r="W299" t="str">
            <v>0.085D</v>
          </cell>
          <cell r="X299" t="str">
            <v>3-2026</v>
          </cell>
          <cell r="Y299" t="str">
            <v>Week 9</v>
          </cell>
          <cell r="Z299">
            <v>46076</v>
          </cell>
          <cell r="AA299">
            <v>5</v>
          </cell>
          <cell r="AB299">
            <v>7.6920000000000002E-2</v>
          </cell>
        </row>
        <row r="300">
          <cell r="A300" t="str">
            <v>F-2026-02-65</v>
          </cell>
          <cell r="B300"/>
          <cell r="C300" t="str">
            <v>RPRO-260204-0433</v>
          </cell>
          <cell r="D300" t="str">
            <v>Pro.sche.report 03.02</v>
          </cell>
          <cell r="E300" t="str">
            <v>BDB-000209</v>
          </cell>
          <cell r="F300" t="str">
            <v>PVN-003461</v>
          </cell>
          <cell r="G300" t="str">
            <v>OrthoLite HybridPlus-Recycled MINT GREEN/11-4805TPX Hybrid Flat Sheet 0.12D 25+/-4 Asker C 1.1M 2M 11mm</v>
          </cell>
          <cell r="H300">
            <v>24</v>
          </cell>
          <cell r="I300">
            <v>24</v>
          </cell>
          <cell r="J300">
            <v>24</v>
          </cell>
          <cell r="K300">
            <v>0</v>
          </cell>
          <cell r="L300" t="str">
            <v>AKU</v>
          </cell>
          <cell r="M300" t="str">
            <v>Pr.Sch.R</v>
          </cell>
          <cell r="N300" t="str">
            <v>MOLDED</v>
          </cell>
          <cell r="O300">
            <v>1</v>
          </cell>
          <cell r="P300">
            <v>46057</v>
          </cell>
          <cell r="Q300">
            <v>46091</v>
          </cell>
          <cell r="R300">
            <v>46088</v>
          </cell>
          <cell r="S300">
            <v>34</v>
          </cell>
          <cell r="T300">
            <v>11</v>
          </cell>
          <cell r="U300">
            <v>12</v>
          </cell>
          <cell r="V300">
            <v>2</v>
          </cell>
          <cell r="W300" t="str">
            <v>0.12D</v>
          </cell>
          <cell r="X300" t="str">
            <v>3-2026</v>
          </cell>
          <cell r="Y300" t="str">
            <v>Week 10</v>
          </cell>
          <cell r="Z300">
            <v>46083</v>
          </cell>
          <cell r="AA300">
            <v>18</v>
          </cell>
          <cell r="AB300">
            <v>8.3330000000000001E-2</v>
          </cell>
        </row>
        <row r="301">
          <cell r="A301" t="str">
            <v>F-2026-02-67</v>
          </cell>
          <cell r="B301"/>
          <cell r="C301" t="str">
            <v>RPRO-260204-0435</v>
          </cell>
          <cell r="D301" t="str">
            <v>Pro.sche.report 03.02</v>
          </cell>
          <cell r="E301" t="str">
            <v>BDB-000149</v>
          </cell>
          <cell r="F301" t="str">
            <v>PVN-002827</v>
          </cell>
          <cell r="G301" t="str">
            <v>OrthoLite Regular-Hybrid-Nike SEEDPEARL/12-0703TPX Hybrid Flat Sheet 0.11D 25+/-4 Asker C 1.1M 2M 5mm</v>
          </cell>
          <cell r="H301">
            <v>504</v>
          </cell>
          <cell r="I301">
            <v>504</v>
          </cell>
          <cell r="J301">
            <v>504</v>
          </cell>
          <cell r="K301">
            <v>0</v>
          </cell>
          <cell r="L301" t="str">
            <v>NIKE</v>
          </cell>
          <cell r="M301" t="str">
            <v>Pr.Sch.R</v>
          </cell>
          <cell r="N301" t="str">
            <v>MOLDED</v>
          </cell>
          <cell r="O301">
            <v>1</v>
          </cell>
          <cell r="P301">
            <v>46057</v>
          </cell>
          <cell r="Q301">
            <v>46086</v>
          </cell>
          <cell r="R301">
            <v>46083</v>
          </cell>
          <cell r="S301">
            <v>29</v>
          </cell>
          <cell r="T301">
            <v>5</v>
          </cell>
          <cell r="U301">
            <v>28</v>
          </cell>
          <cell r="V301">
            <v>18</v>
          </cell>
          <cell r="W301" t="str">
            <v>0.11D</v>
          </cell>
          <cell r="X301" t="str">
            <v>3-2026</v>
          </cell>
          <cell r="Y301" t="str">
            <v>Week 9</v>
          </cell>
          <cell r="Z301">
            <v>46076</v>
          </cell>
          <cell r="AA301">
            <v>3</v>
          </cell>
          <cell r="AB301">
            <v>3.5709999999999999E-2</v>
          </cell>
        </row>
        <row r="302">
          <cell r="A302" t="str">
            <v>F-2026-02-68</v>
          </cell>
          <cell r="B302"/>
          <cell r="C302" t="str">
            <v>RPRO-260204-0436</v>
          </cell>
          <cell r="D302" t="str">
            <v>Pro.sche.report 03.02</v>
          </cell>
          <cell r="E302" t="str">
            <v>BDB-000145</v>
          </cell>
          <cell r="F302" t="str">
            <v>PVN-002811</v>
          </cell>
          <cell r="G302" t="str">
            <v>OrthoLite Regular-Hybrid-Nike YELLOW/13-0858TPX Hybrid Flat Sheet 0.11D 25+/-4 Asker C 1.1M 1.7M 2mm</v>
          </cell>
          <cell r="H302">
            <v>280</v>
          </cell>
          <cell r="I302">
            <v>280</v>
          </cell>
          <cell r="J302">
            <v>280</v>
          </cell>
          <cell r="K302">
            <v>0</v>
          </cell>
          <cell r="L302" t="str">
            <v>NIKE</v>
          </cell>
          <cell r="M302" t="str">
            <v>Pr.Sch.R</v>
          </cell>
          <cell r="N302" t="str">
            <v>DIE CUT</v>
          </cell>
          <cell r="O302">
            <v>1</v>
          </cell>
          <cell r="P302">
            <v>46057</v>
          </cell>
          <cell r="Q302">
            <v>46083</v>
          </cell>
          <cell r="R302">
            <v>46080</v>
          </cell>
          <cell r="S302">
            <v>26</v>
          </cell>
          <cell r="T302">
            <v>2</v>
          </cell>
          <cell r="U302">
            <v>70</v>
          </cell>
          <cell r="V302">
            <v>5</v>
          </cell>
          <cell r="W302" t="str">
            <v>0.11D</v>
          </cell>
          <cell r="X302" t="str">
            <v>3-2026</v>
          </cell>
          <cell r="Y302" t="str">
            <v>Week 9</v>
          </cell>
          <cell r="Z302">
            <v>46076</v>
          </cell>
          <cell r="AA302">
            <v>0</v>
          </cell>
          <cell r="AB302">
            <v>1.4290000000000001E-2</v>
          </cell>
        </row>
        <row r="303">
          <cell r="A303" t="str">
            <v>F-2026-02-69-1</v>
          </cell>
          <cell r="B303"/>
          <cell r="C303" t="str">
            <v>RPRO-260204-0437 * kho SLT</v>
          </cell>
          <cell r="D303" t="str">
            <v>Pro.sche.report 03.02</v>
          </cell>
          <cell r="E303" t="str">
            <v>BDB-000180</v>
          </cell>
          <cell r="F303" t="str">
            <v>PVN-003236</v>
          </cell>
          <cell r="G303" t="str">
            <v>OrthoLite Eco LT-Hybrid-Converse SEEDPEARL/12-0703TPX Hybrid Flat Sheet 0.13D 25+/-4 Asker C 1.1M 2M 5mm</v>
          </cell>
          <cell r="H303">
            <v>252</v>
          </cell>
          <cell r="I303">
            <v>252</v>
          </cell>
          <cell r="J303">
            <v>252</v>
          </cell>
          <cell r="K303">
            <v>0</v>
          </cell>
          <cell r="L303" t="str">
            <v>CONVERSE</v>
          </cell>
          <cell r="M303" t="str">
            <v>Pr.Sch.R</v>
          </cell>
          <cell r="N303" t="str">
            <v>DIE CUT</v>
          </cell>
          <cell r="O303">
            <v>1</v>
          </cell>
          <cell r="P303">
            <v>46057</v>
          </cell>
          <cell r="Q303">
            <v>46086</v>
          </cell>
          <cell r="R303">
            <v>46083</v>
          </cell>
          <cell r="S303">
            <v>29</v>
          </cell>
          <cell r="T303">
            <v>5</v>
          </cell>
          <cell r="U303">
            <v>28</v>
          </cell>
          <cell r="V303">
            <v>9</v>
          </cell>
          <cell r="W303" t="str">
            <v>0.13D</v>
          </cell>
          <cell r="X303" t="str">
            <v>3-2026</v>
          </cell>
          <cell r="Y303" t="str">
            <v>Week 9</v>
          </cell>
          <cell r="Z303">
            <v>46076</v>
          </cell>
          <cell r="AA303">
            <v>50</v>
          </cell>
          <cell r="AB303">
            <v>3.5709999999999999E-2</v>
          </cell>
        </row>
        <row r="304">
          <cell r="A304" t="str">
            <v>F-2026-02-69-2</v>
          </cell>
          <cell r="B304"/>
          <cell r="C304" t="str">
            <v>RPRO-260206-0236</v>
          </cell>
          <cell r="D304" t="str">
            <v>Pro.sche.report 03.02</v>
          </cell>
          <cell r="E304" t="str">
            <v>BDB-000180</v>
          </cell>
          <cell r="F304" t="str">
            <v>PVN-003236</v>
          </cell>
          <cell r="G304" t="str">
            <v>OrthoLite Eco LT-Hybrid-Converse SEEDPEARL/12-0703TPX Hybrid Flat Sheet 0.13D 25+/-4 Asker C 1.1M 2M 5mm</v>
          </cell>
          <cell r="H304">
            <v>2255</v>
          </cell>
          <cell r="I304">
            <v>2255</v>
          </cell>
          <cell r="J304">
            <v>2255</v>
          </cell>
          <cell r="K304">
            <v>0</v>
          </cell>
          <cell r="L304" t="str">
            <v>CONVERSE</v>
          </cell>
          <cell r="M304" t="str">
            <v>Pr.Sch.R</v>
          </cell>
          <cell r="N304" t="str">
            <v>DIE CUT</v>
          </cell>
          <cell r="O304">
            <v>1</v>
          </cell>
          <cell r="P304">
            <v>46057</v>
          </cell>
          <cell r="Q304">
            <v>46086</v>
          </cell>
          <cell r="R304">
            <v>46083</v>
          </cell>
          <cell r="S304">
            <v>29</v>
          </cell>
          <cell r="T304">
            <v>5</v>
          </cell>
          <cell r="U304">
            <v>28</v>
          </cell>
          <cell r="V304">
            <v>81</v>
          </cell>
          <cell r="W304" t="str">
            <v>0.13D</v>
          </cell>
          <cell r="X304" t="str">
            <v>3-2026</v>
          </cell>
          <cell r="Y304" t="str">
            <v>Week 9</v>
          </cell>
          <cell r="Z304">
            <v>46076</v>
          </cell>
          <cell r="AA304">
            <v>16</v>
          </cell>
          <cell r="AB304">
            <v>3.5709999999999999E-2</v>
          </cell>
        </row>
        <row r="305">
          <cell r="A305" t="str">
            <v>F-2026-02-70</v>
          </cell>
          <cell r="B305"/>
          <cell r="C305" t="str">
            <v>RPRO-260204-0438</v>
          </cell>
          <cell r="D305" t="str">
            <v>Pro.sche.report 03.02</v>
          </cell>
          <cell r="E305" t="str">
            <v>BDB-000181</v>
          </cell>
          <cell r="F305" t="str">
            <v>PVN-003238</v>
          </cell>
          <cell r="G305" t="str">
            <v>OrthoLite Eco LT-Hybrid-Converse SEEDPEARL/12-0703TPX Hybrid Flat Sheet 0.11D 25+/-4 Asker C 1.1M 2M 5mm</v>
          </cell>
          <cell r="H305">
            <v>112</v>
          </cell>
          <cell r="I305">
            <v>112</v>
          </cell>
          <cell r="J305">
            <v>112</v>
          </cell>
          <cell r="K305">
            <v>0</v>
          </cell>
          <cell r="L305" t="str">
            <v>CONVERSE</v>
          </cell>
          <cell r="M305" t="str">
            <v>Pr.Sch.R</v>
          </cell>
          <cell r="N305" t="str">
            <v>DIE CUT</v>
          </cell>
          <cell r="O305">
            <v>1</v>
          </cell>
          <cell r="P305">
            <v>46057</v>
          </cell>
          <cell r="Q305">
            <v>46091</v>
          </cell>
          <cell r="R305">
            <v>46088</v>
          </cell>
          <cell r="S305">
            <v>34</v>
          </cell>
          <cell r="T305">
            <v>5</v>
          </cell>
          <cell r="U305">
            <v>28</v>
          </cell>
          <cell r="V305">
            <v>4</v>
          </cell>
          <cell r="W305" t="str">
            <v>0.11D</v>
          </cell>
          <cell r="X305" t="str">
            <v>3-2026</v>
          </cell>
          <cell r="Y305" t="str">
            <v>Week 10</v>
          </cell>
          <cell r="Z305">
            <v>46083</v>
          </cell>
          <cell r="AA305">
            <v>16</v>
          </cell>
          <cell r="AB305">
            <v>3.5709999999999999E-2</v>
          </cell>
        </row>
        <row r="306">
          <cell r="A306" t="str">
            <v>OIN-2026.02.03-01</v>
          </cell>
          <cell r="B306" t="str">
            <v>Urgent/FCL</v>
          </cell>
          <cell r="C306" t="str">
            <v>RPRO-260205-0866</v>
          </cell>
          <cell r="D306" t="str">
            <v>OIN</v>
          </cell>
          <cell r="E306" t="str">
            <v>BDB-000076</v>
          </cell>
          <cell r="F306" t="str">
            <v>PVN-003911</v>
          </cell>
          <cell r="G306" t="str">
            <v>[116-1516] X 25 20+/-4 Asker C 0.12D Billiard 1.10M X 2.00M 47mm</v>
          </cell>
          <cell r="H306">
            <v>160</v>
          </cell>
          <cell r="I306">
            <v>160</v>
          </cell>
          <cell r="J306">
            <v>160</v>
          </cell>
          <cell r="K306">
            <v>0</v>
          </cell>
          <cell r="L306" t="str">
            <v>NIVEA</v>
          </cell>
          <cell r="M306" t="str">
            <v>PO-6606-SO-260204-0301</v>
          </cell>
          <cell r="N306" t="str">
            <v>FLAT SHEET</v>
          </cell>
          <cell r="O306">
            <v>2</v>
          </cell>
          <cell r="P306">
            <v>46056</v>
          </cell>
          <cell r="Q306">
            <v>46088</v>
          </cell>
          <cell r="R306">
            <v>46085</v>
          </cell>
          <cell r="S306">
            <v>32</v>
          </cell>
          <cell r="T306">
            <v>47</v>
          </cell>
          <cell r="U306">
            <v>3</v>
          </cell>
          <cell r="V306">
            <v>54</v>
          </cell>
          <cell r="W306" t="str">
            <v>0.12D</v>
          </cell>
          <cell r="X306" t="str">
            <v>3-2026</v>
          </cell>
          <cell r="Y306" t="str">
            <v>Week 9</v>
          </cell>
          <cell r="Z306">
            <v>46076</v>
          </cell>
          <cell r="AA306">
            <v>37</v>
          </cell>
          <cell r="AB306">
            <v>0.33333000000000002</v>
          </cell>
        </row>
        <row r="307">
          <cell r="A307" t="str">
            <v>OIN-2026.02.03-02</v>
          </cell>
          <cell r="B307" t="str">
            <v>Urgent/FCL</v>
          </cell>
          <cell r="C307" t="str">
            <v>RPRO-260205-0867</v>
          </cell>
          <cell r="D307" t="str">
            <v>OIN</v>
          </cell>
          <cell r="E307" t="str">
            <v>BDB-000058</v>
          </cell>
          <cell r="F307" t="str">
            <v>PVN-003780</v>
          </cell>
          <cell r="G307" t="str">
            <v>[116-361] Ultra 25+/-4 Asker C 0.085D Green 16-5932 Tpx 1.10M X 2.00M 47mm</v>
          </cell>
          <cell r="H307">
            <v>165</v>
          </cell>
          <cell r="I307">
            <v>165</v>
          </cell>
          <cell r="J307">
            <v>165</v>
          </cell>
          <cell r="K307">
            <v>0</v>
          </cell>
          <cell r="L307" t="str">
            <v>CLARKS</v>
          </cell>
          <cell r="M307" t="str">
            <v>PO-6606-SO-260204-0302</v>
          </cell>
          <cell r="N307" t="str">
            <v>FLAT SHEET</v>
          </cell>
          <cell r="O307">
            <v>2</v>
          </cell>
          <cell r="P307">
            <v>46056</v>
          </cell>
          <cell r="Q307">
            <v>46088</v>
          </cell>
          <cell r="R307">
            <v>46085</v>
          </cell>
          <cell r="S307">
            <v>32</v>
          </cell>
          <cell r="T307">
            <v>47</v>
          </cell>
          <cell r="U307">
            <v>3</v>
          </cell>
          <cell r="V307">
            <v>55</v>
          </cell>
          <cell r="W307" t="str">
            <v>0.085D</v>
          </cell>
          <cell r="X307" t="str">
            <v>3-2026</v>
          </cell>
          <cell r="Y307" t="str">
            <v>Week 9</v>
          </cell>
          <cell r="Z307">
            <v>46076</v>
          </cell>
          <cell r="AA307">
            <v>23</v>
          </cell>
          <cell r="AB307">
            <v>0.33333000000000002</v>
          </cell>
        </row>
        <row r="308">
          <cell r="A308" t="str">
            <v>OIN-2026.02.03-03</v>
          </cell>
          <cell r="B308" t="str">
            <v>Urgent/FCL</v>
          </cell>
          <cell r="C308" t="str">
            <v>RPRO-260205-0868</v>
          </cell>
          <cell r="D308" t="str">
            <v>OIN</v>
          </cell>
          <cell r="E308" t="str">
            <v>BDB-000123</v>
          </cell>
          <cell r="F308" t="str">
            <v>PVN-003784</v>
          </cell>
          <cell r="G308" t="str">
            <v>[116-311] Ultra Hybrid 25+/-4 Asker C 0.085D Seedpearl 12-0703 Tpx 1.10M X 2.00M 47mm</v>
          </cell>
          <cell r="H308">
            <v>1277</v>
          </cell>
          <cell r="I308">
            <v>1277</v>
          </cell>
          <cell r="J308">
            <v>1277</v>
          </cell>
          <cell r="K308">
            <v>0</v>
          </cell>
          <cell r="L308" t="str">
            <v>ADIDAS</v>
          </cell>
          <cell r="M308" t="str">
            <v>PO-6606-SO-260204-0303</v>
          </cell>
          <cell r="N308" t="str">
            <v>FLAT SHEET</v>
          </cell>
          <cell r="O308">
            <v>2</v>
          </cell>
          <cell r="P308">
            <v>46056</v>
          </cell>
          <cell r="Q308">
            <v>46088</v>
          </cell>
          <cell r="R308">
            <v>46085</v>
          </cell>
          <cell r="S308">
            <v>32</v>
          </cell>
          <cell r="T308">
            <v>47</v>
          </cell>
          <cell r="U308">
            <v>3</v>
          </cell>
          <cell r="V308">
            <v>426</v>
          </cell>
          <cell r="W308" t="str">
            <v>0.085D</v>
          </cell>
          <cell r="X308" t="str">
            <v>3-2026</v>
          </cell>
          <cell r="Y308" t="str">
            <v>Week 10</v>
          </cell>
          <cell r="Z308">
            <v>46083</v>
          </cell>
          <cell r="AA308">
            <v>19</v>
          </cell>
          <cell r="AB308">
            <v>0.33333000000000002</v>
          </cell>
        </row>
        <row r="309">
          <cell r="A309" t="str">
            <v>OIN-2026.02.03-04</v>
          </cell>
          <cell r="B309" t="str">
            <v>Urgent/FCL</v>
          </cell>
          <cell r="C309" t="str">
            <v>RPRO-260205-0878</v>
          </cell>
          <cell r="D309" t="str">
            <v>OIN</v>
          </cell>
          <cell r="E309" t="str">
            <v>BDB-000200</v>
          </cell>
          <cell r="F309" t="str">
            <v>PVN-003418</v>
          </cell>
          <cell r="G309" t="str">
            <v>[116-470] Ultra 78 - 90 Asker F 0.085D Seedpearl 12-0703 Tpx 1.10M X 2.00M 5mm</v>
          </cell>
          <cell r="H309">
            <v>1500</v>
          </cell>
          <cell r="I309">
            <v>1500</v>
          </cell>
          <cell r="J309">
            <v>1500</v>
          </cell>
          <cell r="K309">
            <v>0</v>
          </cell>
          <cell r="L309" t="str">
            <v>ADIDAS</v>
          </cell>
          <cell r="M309" t="str">
            <v>PO-6606-SO-260204-0304</v>
          </cell>
          <cell r="N309" t="str">
            <v>FLAT SHEET</v>
          </cell>
          <cell r="O309">
            <v>2</v>
          </cell>
          <cell r="P309">
            <v>46056</v>
          </cell>
          <cell r="Q309">
            <v>46088</v>
          </cell>
          <cell r="R309">
            <v>46085</v>
          </cell>
          <cell r="S309">
            <v>32</v>
          </cell>
          <cell r="T309">
            <v>5</v>
          </cell>
          <cell r="U309">
            <v>28</v>
          </cell>
          <cell r="V309">
            <v>54</v>
          </cell>
          <cell r="W309" t="str">
            <v>0.085D</v>
          </cell>
          <cell r="X309" t="str">
            <v>3-2026</v>
          </cell>
          <cell r="Y309" t="str">
            <v>Week 9</v>
          </cell>
          <cell r="Z309">
            <v>46076</v>
          </cell>
          <cell r="AA309">
            <v>7</v>
          </cell>
          <cell r="AB309">
            <v>3.5709999999999999E-2</v>
          </cell>
        </row>
        <row r="310">
          <cell r="A310" t="str">
            <v>OIN-2026.02.03-05</v>
          </cell>
          <cell r="B310" t="str">
            <v>Urgent/FCL</v>
          </cell>
          <cell r="C310" t="str">
            <v>RPRO-260205-0879</v>
          </cell>
          <cell r="D310" t="str">
            <v>OIN</v>
          </cell>
          <cell r="E310" t="str">
            <v>BDB-000200</v>
          </cell>
          <cell r="F310" t="str">
            <v>PVN-003420</v>
          </cell>
          <cell r="G310" t="str">
            <v>[116-471] Ultra 78 - 90 Asker F 0.085D Seedpearl 12-0703 Tpx 1.10M X 2.00M 6mm</v>
          </cell>
          <cell r="H310">
            <v>500</v>
          </cell>
          <cell r="I310">
            <v>500</v>
          </cell>
          <cell r="J310">
            <v>500</v>
          </cell>
          <cell r="K310">
            <v>0</v>
          </cell>
          <cell r="L310" t="str">
            <v>ADIDAS</v>
          </cell>
          <cell r="M310" t="str">
            <v>PO-6606-SO-260204-0305</v>
          </cell>
          <cell r="N310" t="str">
            <v>FLAT SHEET</v>
          </cell>
          <cell r="O310">
            <v>2</v>
          </cell>
          <cell r="P310">
            <v>46056</v>
          </cell>
          <cell r="Q310">
            <v>46088</v>
          </cell>
          <cell r="R310">
            <v>46085</v>
          </cell>
          <cell r="S310">
            <v>32</v>
          </cell>
          <cell r="T310">
            <v>6</v>
          </cell>
          <cell r="U310">
            <v>23</v>
          </cell>
          <cell r="V310">
            <v>22</v>
          </cell>
          <cell r="W310" t="str">
            <v>0.085D</v>
          </cell>
          <cell r="X310" t="str">
            <v>3-2026</v>
          </cell>
          <cell r="Y310" t="str">
            <v>Week 9</v>
          </cell>
          <cell r="Z310">
            <v>46076</v>
          </cell>
          <cell r="AA310">
            <v>3</v>
          </cell>
          <cell r="AB310">
            <v>4.3479999999999998E-2</v>
          </cell>
        </row>
        <row r="311">
          <cell r="A311" t="str">
            <v>F-2026-02-71</v>
          </cell>
          <cell r="B311"/>
          <cell r="C311" t="str">
            <v>RPRO-260205-1033</v>
          </cell>
          <cell r="D311" t="str">
            <v>MPS 04.02</v>
          </cell>
          <cell r="E311" t="str">
            <v>BDB-000117</v>
          </cell>
          <cell r="F311" t="str">
            <v>PVN-002899</v>
          </cell>
          <cell r="G311" t="str">
            <v>OrthoLite X-35-Hybrid SEEDPEARL/12-0703TPX Hybrid 0.145D 25+/-4 Asker C 1.1M 2M 4mm</v>
          </cell>
          <cell r="H311">
            <v>420</v>
          </cell>
          <cell r="I311">
            <v>420</v>
          </cell>
          <cell r="J311">
            <v>420</v>
          </cell>
          <cell r="K311">
            <v>0</v>
          </cell>
          <cell r="L311"/>
          <cell r="M311" t="str">
            <v>MPS</v>
          </cell>
          <cell r="N311" t="str">
            <v>SPLITTING</v>
          </cell>
          <cell r="O311">
            <v>2</v>
          </cell>
          <cell r="P311">
            <v>46058</v>
          </cell>
          <cell r="Q311">
            <v>46091</v>
          </cell>
          <cell r="R311">
            <v>46088</v>
          </cell>
          <cell r="S311">
            <v>33</v>
          </cell>
          <cell r="T311">
            <v>4</v>
          </cell>
          <cell r="U311">
            <v>35</v>
          </cell>
          <cell r="V311">
            <v>12</v>
          </cell>
          <cell r="W311" t="str">
            <v>0.145D</v>
          </cell>
          <cell r="X311" t="str">
            <v>3-2026</v>
          </cell>
          <cell r="Y311" t="str">
            <v>Week 10</v>
          </cell>
          <cell r="Z311">
            <v>46083</v>
          </cell>
          <cell r="AA311">
            <v>8</v>
          </cell>
          <cell r="AB311">
            <v>2.8570000000000002E-2</v>
          </cell>
        </row>
        <row r="312">
          <cell r="A312" t="str">
            <v>F-2026-02-72</v>
          </cell>
          <cell r="B312"/>
          <cell r="C312" t="str">
            <v>RPRO-260205-1034</v>
          </cell>
          <cell r="D312" t="str">
            <v>MPS 04.02</v>
          </cell>
          <cell r="E312" t="str">
            <v>BDB-000105</v>
          </cell>
          <cell r="F312" t="str">
            <v>PVN-003127</v>
          </cell>
          <cell r="G312" t="str">
            <v>OrthoLite Eco LT-Hybrid AIR BLUE/16-4134TPX Hybrid Flat Sheet 0.13D 35+/-4 Asker C 1.1M 2M 3mm</v>
          </cell>
          <cell r="H312">
            <v>184</v>
          </cell>
          <cell r="I312">
            <v>184</v>
          </cell>
          <cell r="J312">
            <v>184</v>
          </cell>
          <cell r="K312">
            <v>0</v>
          </cell>
          <cell r="L312"/>
          <cell r="M312" t="str">
            <v>MPS</v>
          </cell>
          <cell r="N312" t="str">
            <v>SPLITTING</v>
          </cell>
          <cell r="O312">
            <v>2</v>
          </cell>
          <cell r="P312">
            <v>46058</v>
          </cell>
          <cell r="Q312">
            <v>46091</v>
          </cell>
          <cell r="R312">
            <v>46088</v>
          </cell>
          <cell r="S312">
            <v>33</v>
          </cell>
          <cell r="T312">
            <v>3</v>
          </cell>
          <cell r="U312">
            <v>46</v>
          </cell>
          <cell r="V312">
            <v>5</v>
          </cell>
          <cell r="W312" t="str">
            <v>0.13D</v>
          </cell>
          <cell r="X312" t="str">
            <v>3-2026</v>
          </cell>
          <cell r="Y312" t="str">
            <v>Week 10</v>
          </cell>
          <cell r="Z312">
            <v>46083</v>
          </cell>
          <cell r="AA312">
            <v>0</v>
          </cell>
          <cell r="AB312">
            <v>2.1739999999999999E-2</v>
          </cell>
        </row>
        <row r="313">
          <cell r="A313" t="str">
            <v>F-2026-02-73</v>
          </cell>
          <cell r="B313"/>
          <cell r="C313" t="str">
            <v>RPRO-260205-1035</v>
          </cell>
          <cell r="D313" t="str">
            <v>MPS 04.02</v>
          </cell>
          <cell r="E313" t="str">
            <v>BDB-000117</v>
          </cell>
          <cell r="F313" t="str">
            <v>PVN-003588</v>
          </cell>
          <cell r="G313" t="str">
            <v>OrthoLite X-35-Hybrid SEEDPEARL/12-0703TPX Hybrid 0.145D 25+/-4 Asker C 1.1M 2M 5mm</v>
          </cell>
          <cell r="H313">
            <v>1820</v>
          </cell>
          <cell r="I313">
            <v>1820</v>
          </cell>
          <cell r="J313">
            <v>1820</v>
          </cell>
          <cell r="K313">
            <v>0</v>
          </cell>
          <cell r="L313"/>
          <cell r="M313" t="str">
            <v>MPS</v>
          </cell>
          <cell r="N313" t="str">
            <v>SPLITTING</v>
          </cell>
          <cell r="O313">
            <v>2</v>
          </cell>
          <cell r="P313">
            <v>46058</v>
          </cell>
          <cell r="Q313">
            <v>46091</v>
          </cell>
          <cell r="R313">
            <v>46088</v>
          </cell>
          <cell r="S313">
            <v>33</v>
          </cell>
          <cell r="T313">
            <v>5</v>
          </cell>
          <cell r="U313">
            <v>28</v>
          </cell>
          <cell r="V313">
            <v>65</v>
          </cell>
          <cell r="W313" t="str">
            <v>0.145D</v>
          </cell>
          <cell r="X313" t="str">
            <v>3-2026</v>
          </cell>
          <cell r="Y313" t="str">
            <v>Week 10</v>
          </cell>
          <cell r="Z313">
            <v>46083</v>
          </cell>
          <cell r="AA313">
            <v>12</v>
          </cell>
          <cell r="AB313">
            <v>3.5709999999999999E-2</v>
          </cell>
        </row>
        <row r="314">
          <cell r="A314" t="str">
            <v>F-2026-02-74</v>
          </cell>
          <cell r="B314"/>
          <cell r="C314" t="str">
            <v>RPRO-260205-1036</v>
          </cell>
          <cell r="D314" t="str">
            <v>Pro.sche.report 04.02</v>
          </cell>
          <cell r="E314" t="str">
            <v>BDB-000076</v>
          </cell>
          <cell r="F314" t="str">
            <v>PVN-003448</v>
          </cell>
          <cell r="G314" t="str">
            <v>OrthoLite X-25 BILLIARD/16-5427TPX Flat Sheet 0.12D 20+/-4 Asker C 1.1M 2M 6.2mm</v>
          </cell>
          <cell r="H314">
            <v>22</v>
          </cell>
          <cell r="I314">
            <v>22</v>
          </cell>
          <cell r="J314">
            <v>22</v>
          </cell>
          <cell r="K314">
            <v>0</v>
          </cell>
          <cell r="L314" t="str">
            <v>ADIDAS</v>
          </cell>
          <cell r="M314" t="str">
            <v>Pr.Sch.R</v>
          </cell>
          <cell r="N314" t="str">
            <v>MOLDED</v>
          </cell>
          <cell r="O314">
            <v>1</v>
          </cell>
          <cell r="P314">
            <v>46058</v>
          </cell>
          <cell r="Q314">
            <v>46086</v>
          </cell>
          <cell r="R314">
            <v>46083</v>
          </cell>
          <cell r="S314">
            <v>28</v>
          </cell>
          <cell r="T314">
            <v>6.2</v>
          </cell>
          <cell r="U314">
            <v>22</v>
          </cell>
          <cell r="V314">
            <v>1</v>
          </cell>
          <cell r="W314" t="str">
            <v>0.12D</v>
          </cell>
          <cell r="X314" t="str">
            <v>3-2026</v>
          </cell>
          <cell r="Y314" t="str">
            <v>Week 9</v>
          </cell>
          <cell r="Z314">
            <v>46076</v>
          </cell>
          <cell r="AA314">
            <v>8</v>
          </cell>
          <cell r="AB314">
            <v>4.5449999999999997E-2</v>
          </cell>
        </row>
        <row r="315">
          <cell r="A315" t="str">
            <v>F-2026-02-75</v>
          </cell>
          <cell r="B315"/>
          <cell r="C315" t="str">
            <v>RPRO-260205-1037</v>
          </cell>
          <cell r="D315" t="str">
            <v>Pro.sche.report 04.02</v>
          </cell>
          <cell r="E315" t="str">
            <v>BDB-000273</v>
          </cell>
          <cell r="F315" t="str">
            <v>PVN-004138</v>
          </cell>
          <cell r="G315" t="str">
            <v>OrthoLite X-40-Hybrid SEEDPEARL/12-0703TPX Hybrid Flat Sheet 0.16D 25+/-4 Asker C 1.1M 2M 5.5mm</v>
          </cell>
          <cell r="H315">
            <v>1375</v>
          </cell>
          <cell r="I315">
            <v>1375</v>
          </cell>
          <cell r="J315">
            <v>1375</v>
          </cell>
          <cell r="K315">
            <v>0</v>
          </cell>
          <cell r="L315" t="str">
            <v>ON RUNNING</v>
          </cell>
          <cell r="M315" t="str">
            <v>Pr.Sch.R</v>
          </cell>
          <cell r="N315" t="str">
            <v>MOLDED</v>
          </cell>
          <cell r="O315">
            <v>1</v>
          </cell>
          <cell r="P315">
            <v>46058</v>
          </cell>
          <cell r="Q315">
            <v>46094</v>
          </cell>
          <cell r="R315">
            <v>46091</v>
          </cell>
          <cell r="S315">
            <v>36</v>
          </cell>
          <cell r="T315">
            <v>5.5</v>
          </cell>
          <cell r="U315">
            <v>25</v>
          </cell>
          <cell r="V315">
            <v>55</v>
          </cell>
          <cell r="W315" t="str">
            <v>0.16D</v>
          </cell>
          <cell r="X315" t="str">
            <v>3-2026</v>
          </cell>
          <cell r="Y315" t="str">
            <v>Week 11</v>
          </cell>
          <cell r="Z315">
            <v>46090</v>
          </cell>
          <cell r="AA315">
            <v>18</v>
          </cell>
          <cell r="AB315">
            <v>0.04</v>
          </cell>
        </row>
        <row r="316">
          <cell r="A316" t="str">
            <v>F-2026-02-76</v>
          </cell>
          <cell r="B316"/>
          <cell r="C316" t="str">
            <v>RPRO-260205-1038</v>
          </cell>
          <cell r="D316" t="str">
            <v>Pro.sche.report 04.02</v>
          </cell>
          <cell r="E316" t="str">
            <v>BDB-000052</v>
          </cell>
          <cell r="F316" t="str">
            <v>PVN-003603</v>
          </cell>
          <cell r="G316" t="str">
            <v>OrthoLite X-40 TRUE BLUE/19-4057TPX Flat Sheet 0.16D 25+/-4 Asker C 1.1M 1.47M 12mm</v>
          </cell>
          <cell r="H316">
            <v>198</v>
          </cell>
          <cell r="I316">
            <v>198</v>
          </cell>
          <cell r="J316">
            <v>198</v>
          </cell>
          <cell r="K316">
            <v>0</v>
          </cell>
          <cell r="L316" t="str">
            <v>ASICS</v>
          </cell>
          <cell r="M316" t="str">
            <v>Pr.Sch.R</v>
          </cell>
          <cell r="N316" t="str">
            <v>MOLDED</v>
          </cell>
          <cell r="O316">
            <v>1</v>
          </cell>
          <cell r="P316">
            <v>46058</v>
          </cell>
          <cell r="Q316">
            <v>46092</v>
          </cell>
          <cell r="R316">
            <v>46089</v>
          </cell>
          <cell r="S316">
            <v>34</v>
          </cell>
          <cell r="T316">
            <v>12</v>
          </cell>
          <cell r="U316">
            <v>11.5</v>
          </cell>
          <cell r="V316">
            <v>18</v>
          </cell>
          <cell r="W316" t="str">
            <v>0.16D</v>
          </cell>
          <cell r="X316" t="str">
            <v>3-2026</v>
          </cell>
          <cell r="Y316" t="str">
            <v>Week 10</v>
          </cell>
          <cell r="Z316">
            <v>46083</v>
          </cell>
          <cell r="AA316">
            <v>47</v>
          </cell>
          <cell r="AB316">
            <v>8.6959999999999996E-2</v>
          </cell>
        </row>
        <row r="317">
          <cell r="A317" t="str">
            <v>F-2026-02-77</v>
          </cell>
          <cell r="B317"/>
          <cell r="C317" t="str">
            <v>RPRO-260205-1039</v>
          </cell>
          <cell r="D317" t="str">
            <v>Pro.sche.report 04.02</v>
          </cell>
          <cell r="E317" t="str">
            <v>BDB-000209</v>
          </cell>
          <cell r="F317" t="str">
            <v>PVN-003537</v>
          </cell>
          <cell r="G317" t="str">
            <v>OrthoLite HybridPlus-Recycled MINT GREEN/11-4805TPX Hybrid Flat Sheet 0.12D 25+/-4 Asker C 1.1M 2M 4.5mm</v>
          </cell>
          <cell r="H317">
            <v>186</v>
          </cell>
          <cell r="I317">
            <v>186</v>
          </cell>
          <cell r="J317">
            <v>186</v>
          </cell>
          <cell r="K317">
            <v>0</v>
          </cell>
          <cell r="L317" t="str">
            <v>ON RUNNING</v>
          </cell>
          <cell r="M317" t="str">
            <v>Pr.Sch.R</v>
          </cell>
          <cell r="N317" t="str">
            <v>MOLDED</v>
          </cell>
          <cell r="O317">
            <v>1</v>
          </cell>
          <cell r="P317">
            <v>46058</v>
          </cell>
          <cell r="Q317">
            <v>46091</v>
          </cell>
          <cell r="R317">
            <v>46088</v>
          </cell>
          <cell r="S317">
            <v>33</v>
          </cell>
          <cell r="T317">
            <v>4.5</v>
          </cell>
          <cell r="U317">
            <v>31</v>
          </cell>
          <cell r="V317">
            <v>7</v>
          </cell>
          <cell r="W317" t="str">
            <v>0.12D</v>
          </cell>
          <cell r="X317" t="str">
            <v>3-2026</v>
          </cell>
          <cell r="Y317" t="str">
            <v>Week 10</v>
          </cell>
          <cell r="Z317">
            <v>46083</v>
          </cell>
          <cell r="AA317">
            <v>56</v>
          </cell>
          <cell r="AB317">
            <v>3.2259999999999997E-2</v>
          </cell>
        </row>
        <row r="318">
          <cell r="A318" t="str">
            <v>F-2026-02-78</v>
          </cell>
          <cell r="B318"/>
          <cell r="C318" t="str">
            <v>RPRO-260205-1040</v>
          </cell>
          <cell r="D318" t="str">
            <v>Pro.sche.report 04.02</v>
          </cell>
          <cell r="E318" t="str">
            <v>BDB-000332</v>
          </cell>
          <cell r="F318" t="str">
            <v>PVN-004146</v>
          </cell>
          <cell r="G318" t="str">
            <v>OrthoLite X-25 CASTLEROCK/18-0201TPX Flat Sheet 0.12D 20+/-4 Asker C 1.1M 2M 5.5mm</v>
          </cell>
          <cell r="H318">
            <v>800</v>
          </cell>
          <cell r="I318">
            <v>800</v>
          </cell>
          <cell r="J318">
            <v>800</v>
          </cell>
          <cell r="K318">
            <v>0</v>
          </cell>
          <cell r="L318" t="str">
            <v>ON RUNNING</v>
          </cell>
          <cell r="M318" t="str">
            <v>Pr.Sch.R</v>
          </cell>
          <cell r="N318" t="str">
            <v>MOLDED</v>
          </cell>
          <cell r="O318">
            <v>1</v>
          </cell>
          <cell r="P318">
            <v>46058</v>
          </cell>
          <cell r="Q318">
            <v>46093</v>
          </cell>
          <cell r="R318">
            <v>46090</v>
          </cell>
          <cell r="S318">
            <v>35</v>
          </cell>
          <cell r="T318">
            <v>5.5</v>
          </cell>
          <cell r="U318">
            <v>25</v>
          </cell>
          <cell r="V318">
            <v>32</v>
          </cell>
          <cell r="W318" t="e">
            <v>#N/A</v>
          </cell>
          <cell r="X318" t="str">
            <v>3-2026</v>
          </cell>
          <cell r="Y318" t="str">
            <v>Week 10</v>
          </cell>
          <cell r="Z318">
            <v>46083</v>
          </cell>
          <cell r="AA318">
            <v>13</v>
          </cell>
          <cell r="AB318">
            <v>0.04</v>
          </cell>
        </row>
        <row r="319">
          <cell r="A319" t="str">
            <v>F-2026-02-79</v>
          </cell>
          <cell r="B319"/>
          <cell r="C319" t="str">
            <v>RPRO-260205-1041</v>
          </cell>
          <cell r="D319" t="str">
            <v>Pro.sche.report 04.02</v>
          </cell>
          <cell r="E319" t="str">
            <v>BDB-000339</v>
          </cell>
          <cell r="F319" t="str">
            <v>PVN-004178</v>
          </cell>
          <cell r="G319" t="str">
            <v>OrthoLite Float NEUTRAL GRAY/17-4402TPX Flat Sheet 0.12D 21+/-4 Asker C 1.1M 2M 5.5mm</v>
          </cell>
          <cell r="H319">
            <v>275</v>
          </cell>
          <cell r="I319">
            <v>275</v>
          </cell>
          <cell r="J319">
            <v>275</v>
          </cell>
          <cell r="K319">
            <v>0</v>
          </cell>
          <cell r="L319" t="str">
            <v>PUMA</v>
          </cell>
          <cell r="M319" t="str">
            <v>Pr.Sch.R</v>
          </cell>
          <cell r="N319" t="str">
            <v>MOLDED</v>
          </cell>
          <cell r="O319">
            <v>1</v>
          </cell>
          <cell r="P319">
            <v>46058</v>
          </cell>
          <cell r="Q319">
            <v>46091</v>
          </cell>
          <cell r="R319">
            <v>46088</v>
          </cell>
          <cell r="S319">
            <v>33</v>
          </cell>
          <cell r="T319">
            <v>5.5</v>
          </cell>
          <cell r="U319">
            <v>25</v>
          </cell>
          <cell r="V319">
            <v>11</v>
          </cell>
          <cell r="W319" t="e">
            <v>#N/A</v>
          </cell>
          <cell r="X319" t="str">
            <v>3-2026</v>
          </cell>
          <cell r="Y319" t="str">
            <v>Week 10</v>
          </cell>
          <cell r="Z319">
            <v>46083</v>
          </cell>
          <cell r="AA319">
            <v>57</v>
          </cell>
          <cell r="AB319">
            <v>0.04</v>
          </cell>
        </row>
        <row r="320">
          <cell r="A320" t="str">
            <v>F-2026-02-80</v>
          </cell>
          <cell r="B320"/>
          <cell r="C320" t="str">
            <v>RPRO-260205-1042</v>
          </cell>
          <cell r="D320" t="str">
            <v>Pro.sche.report 04.02</v>
          </cell>
          <cell r="E320" t="str">
            <v>BDB-000157</v>
          </cell>
          <cell r="F320" t="str">
            <v>PVN-003642</v>
          </cell>
          <cell r="G320" t="str">
            <v>OrthoLite X-35-Hybrid-Nike SEEDPEARL/12-0703TPX Hybrid Flat Sheet 0.145D 25+/-4 Asker C 1.1M 2M 6.2mm</v>
          </cell>
          <cell r="H320">
            <v>462</v>
          </cell>
          <cell r="I320">
            <v>462</v>
          </cell>
          <cell r="J320">
            <v>462</v>
          </cell>
          <cell r="K320">
            <v>0</v>
          </cell>
          <cell r="L320" t="str">
            <v>NIKE</v>
          </cell>
          <cell r="M320" t="str">
            <v>Pr.Sch.R</v>
          </cell>
          <cell r="N320" t="str">
            <v>MOLDED</v>
          </cell>
          <cell r="O320">
            <v>1</v>
          </cell>
          <cell r="P320">
            <v>46058</v>
          </cell>
          <cell r="Q320">
            <v>46092</v>
          </cell>
          <cell r="R320">
            <v>46089</v>
          </cell>
          <cell r="S320">
            <v>34</v>
          </cell>
          <cell r="T320">
            <v>6.2</v>
          </cell>
          <cell r="U320">
            <v>22</v>
          </cell>
          <cell r="V320">
            <v>21</v>
          </cell>
          <cell r="W320" t="str">
            <v>0.145D</v>
          </cell>
          <cell r="X320" t="str">
            <v>3-2026</v>
          </cell>
          <cell r="Y320" t="str">
            <v>Week 10</v>
          </cell>
          <cell r="Z320">
            <v>46083</v>
          </cell>
          <cell r="AA320">
            <v>37</v>
          </cell>
          <cell r="AB320">
            <v>4.5449999999999997E-2</v>
          </cell>
        </row>
        <row r="321">
          <cell r="A321" t="str">
            <v>F-2026-02-81</v>
          </cell>
          <cell r="B321"/>
          <cell r="C321" t="str">
            <v>RPRO-260205-1043</v>
          </cell>
          <cell r="D321" t="str">
            <v>Pro.sche.report 04.02</v>
          </cell>
          <cell r="E321" t="str">
            <v>BDB-000077</v>
          </cell>
          <cell r="F321" t="str">
            <v>PVN-004147</v>
          </cell>
          <cell r="G321" t="str">
            <v>OrthoLite X-25 SEEDPEARL/12-0703TPX Flat Sheet 0.12D 20+/-4 Asker C 1.1M 2M 5.5mm</v>
          </cell>
          <cell r="H321">
            <v>525</v>
          </cell>
          <cell r="I321">
            <v>525</v>
          </cell>
          <cell r="J321">
            <v>525</v>
          </cell>
          <cell r="K321">
            <v>0</v>
          </cell>
          <cell r="L321" t="str">
            <v>ON RUNNING</v>
          </cell>
          <cell r="M321" t="str">
            <v>Pr.Sch.R</v>
          </cell>
          <cell r="N321" t="str">
            <v>MOLDED</v>
          </cell>
          <cell r="O321">
            <v>1</v>
          </cell>
          <cell r="P321">
            <v>46058</v>
          </cell>
          <cell r="Q321">
            <v>46092</v>
          </cell>
          <cell r="R321">
            <v>46089</v>
          </cell>
          <cell r="S321">
            <v>34</v>
          </cell>
          <cell r="T321">
            <v>5.5</v>
          </cell>
          <cell r="U321">
            <v>25</v>
          </cell>
          <cell r="V321">
            <v>21</v>
          </cell>
          <cell r="W321" t="str">
            <v>0.12D</v>
          </cell>
          <cell r="X321" t="str">
            <v>3-2026</v>
          </cell>
          <cell r="Y321" t="str">
            <v>Week 10</v>
          </cell>
          <cell r="Z321">
            <v>46083</v>
          </cell>
          <cell r="AA321">
            <v>10</v>
          </cell>
          <cell r="AB321">
            <v>0.04</v>
          </cell>
        </row>
        <row r="322">
          <cell r="A322" t="str">
            <v>F-2026-02-82</v>
          </cell>
          <cell r="B322"/>
          <cell r="C322" t="str">
            <v>RPRO-260205-1044</v>
          </cell>
          <cell r="D322" t="str">
            <v>Pro.sche.report 04.02</v>
          </cell>
          <cell r="E322" t="str">
            <v>BDB-000156</v>
          </cell>
          <cell r="F322" t="str">
            <v>PVN-003243</v>
          </cell>
          <cell r="G322" t="str">
            <v>OrthoLite X-35-Hybrid-Nike AMAZON/18-6024TPX Hybrid Flat Sheet 0.145D 25+/-4 Asker C 1.1M 2M 5.2mm</v>
          </cell>
          <cell r="H322">
            <v>234</v>
          </cell>
          <cell r="I322">
            <v>234</v>
          </cell>
          <cell r="J322">
            <v>234</v>
          </cell>
          <cell r="K322">
            <v>0</v>
          </cell>
          <cell r="L322" t="str">
            <v>NIKE</v>
          </cell>
          <cell r="M322" t="str">
            <v>Pr.Sch.R</v>
          </cell>
          <cell r="N322" t="str">
            <v>MOLDED</v>
          </cell>
          <cell r="O322">
            <v>1</v>
          </cell>
          <cell r="P322">
            <v>46058</v>
          </cell>
          <cell r="Q322">
            <v>46085</v>
          </cell>
          <cell r="R322">
            <v>46082</v>
          </cell>
          <cell r="S322">
            <v>27</v>
          </cell>
          <cell r="T322">
            <v>5.2</v>
          </cell>
          <cell r="U322">
            <v>26</v>
          </cell>
          <cell r="V322">
            <v>9</v>
          </cell>
          <cell r="W322" t="str">
            <v>0.145D</v>
          </cell>
          <cell r="X322" t="str">
            <v>3-2026</v>
          </cell>
          <cell r="Y322" t="str">
            <v>Week 9</v>
          </cell>
          <cell r="Z322">
            <v>46076</v>
          </cell>
          <cell r="AA322">
            <v>34</v>
          </cell>
          <cell r="AB322">
            <v>3.8460000000000001E-2</v>
          </cell>
        </row>
        <row r="323">
          <cell r="A323" t="str">
            <v>F-2026-02-83</v>
          </cell>
          <cell r="B323"/>
          <cell r="C323" t="str">
            <v>RPRO-260205-1045</v>
          </cell>
          <cell r="D323" t="str">
            <v>Pro.sche.report 04.02</v>
          </cell>
          <cell r="E323" t="str">
            <v>BDB-000067</v>
          </cell>
          <cell r="F323" t="str">
            <v>PVN-003691</v>
          </cell>
          <cell r="G323" t="str">
            <v>OrthoLite Ultra SEEDPEARL/12-0703TPX Flat Sheet 0.085D 25+/-4 Asker C 1.1M 2M 5.2mm</v>
          </cell>
          <cell r="H323">
            <v>26</v>
          </cell>
          <cell r="I323">
            <v>26</v>
          </cell>
          <cell r="J323">
            <v>26</v>
          </cell>
          <cell r="K323">
            <v>0</v>
          </cell>
          <cell r="L323" t="str">
            <v>PUMA</v>
          </cell>
          <cell r="M323" t="str">
            <v>Pr.Sch.R</v>
          </cell>
          <cell r="N323" t="str">
            <v>MOLDED</v>
          </cell>
          <cell r="O323">
            <v>1</v>
          </cell>
          <cell r="P323">
            <v>46058</v>
          </cell>
          <cell r="Q323">
            <v>46091</v>
          </cell>
          <cell r="R323">
            <v>46088</v>
          </cell>
          <cell r="S323">
            <v>33</v>
          </cell>
          <cell r="T323">
            <v>5.2</v>
          </cell>
          <cell r="U323">
            <v>26</v>
          </cell>
          <cell r="V323">
            <v>1</v>
          </cell>
          <cell r="W323" t="str">
            <v>0.085D</v>
          </cell>
          <cell r="X323" t="str">
            <v>3-2026</v>
          </cell>
          <cell r="Y323" t="str">
            <v>Week 10</v>
          </cell>
          <cell r="Z323">
            <v>46083</v>
          </cell>
          <cell r="AA323">
            <v>21</v>
          </cell>
          <cell r="AB323">
            <v>3.8460000000000001E-2</v>
          </cell>
        </row>
        <row r="324">
          <cell r="A324" t="str">
            <v>F-2026-02-84</v>
          </cell>
          <cell r="B324"/>
          <cell r="C324" t="str">
            <v>RPRO-260205-1046</v>
          </cell>
          <cell r="D324" t="str">
            <v>Pro.sche.report 04.02</v>
          </cell>
          <cell r="E324" t="str">
            <v>BDB-000123</v>
          </cell>
          <cell r="F324" t="str">
            <v>PVN-002973</v>
          </cell>
          <cell r="G324" t="str">
            <v>OrthoLite Ultra-Hybrid SEEDPEARL/12-0703TPX Hybrid Flat Sheet 0.085D 25+/-4 Asker C 1.1M 2M 4.5mm</v>
          </cell>
          <cell r="H324">
            <v>1457</v>
          </cell>
          <cell r="I324">
            <v>1457</v>
          </cell>
          <cell r="J324">
            <v>1457</v>
          </cell>
          <cell r="K324">
            <v>0</v>
          </cell>
          <cell r="L324" t="str">
            <v>SALOMON</v>
          </cell>
          <cell r="M324" t="str">
            <v>Pr.Sch.R</v>
          </cell>
          <cell r="N324" t="str">
            <v>MOLDED</v>
          </cell>
          <cell r="O324">
            <v>1</v>
          </cell>
          <cell r="P324">
            <v>46058</v>
          </cell>
          <cell r="Q324">
            <v>46085</v>
          </cell>
          <cell r="R324">
            <v>46082</v>
          </cell>
          <cell r="S324">
            <v>27</v>
          </cell>
          <cell r="T324">
            <v>4.5</v>
          </cell>
          <cell r="U324">
            <v>31</v>
          </cell>
          <cell r="V324">
            <v>48</v>
          </cell>
          <cell r="W324" t="str">
            <v>0.085D</v>
          </cell>
          <cell r="X324" t="str">
            <v>3-2026</v>
          </cell>
          <cell r="Y324" t="str">
            <v>Week 9</v>
          </cell>
          <cell r="Z324">
            <v>46076</v>
          </cell>
          <cell r="AA324">
            <v>168</v>
          </cell>
          <cell r="AB324">
            <v>3.2259999999999997E-2</v>
          </cell>
        </row>
        <row r="325">
          <cell r="A325" t="str">
            <v>F-2026-02-86</v>
          </cell>
          <cell r="B325"/>
          <cell r="C325" t="str">
            <v>RPRO-260205-1048</v>
          </cell>
          <cell r="D325" t="str">
            <v>Pro.sche.report 04.02</v>
          </cell>
          <cell r="E325" t="str">
            <v>BDB-000126</v>
          </cell>
          <cell r="F325" t="str">
            <v>PVN-002325</v>
          </cell>
          <cell r="G325" t="str">
            <v>OrthoLite Regular-Nike RED/19-1764TPX Flat Sheet 0.11D 25+/-4 Asker C 1.1M 2M 5.2mm</v>
          </cell>
          <cell r="H325">
            <v>52</v>
          </cell>
          <cell r="I325">
            <v>52</v>
          </cell>
          <cell r="J325">
            <v>52</v>
          </cell>
          <cell r="K325">
            <v>0</v>
          </cell>
          <cell r="L325" t="str">
            <v>NIKE</v>
          </cell>
          <cell r="M325" t="str">
            <v>Pr.Sch.R</v>
          </cell>
          <cell r="N325" t="str">
            <v>MOLDED</v>
          </cell>
          <cell r="O325">
            <v>1</v>
          </cell>
          <cell r="P325">
            <v>46058</v>
          </cell>
          <cell r="Q325">
            <v>46091</v>
          </cell>
          <cell r="R325">
            <v>46088</v>
          </cell>
          <cell r="S325">
            <v>33</v>
          </cell>
          <cell r="T325">
            <v>5.2</v>
          </cell>
          <cell r="U325">
            <v>26</v>
          </cell>
          <cell r="V325">
            <v>2</v>
          </cell>
          <cell r="W325" t="str">
            <v>0.11D</v>
          </cell>
          <cell r="X325" t="str">
            <v>3-2026</v>
          </cell>
          <cell r="Y325" t="str">
            <v>Week 10</v>
          </cell>
          <cell r="Z325">
            <v>46083</v>
          </cell>
          <cell r="AA325">
            <v>141</v>
          </cell>
          <cell r="AB325">
            <v>3.8460000000000001E-2</v>
          </cell>
        </row>
        <row r="326">
          <cell r="A326" t="str">
            <v>F-2026-02-87</v>
          </cell>
          <cell r="B326"/>
          <cell r="C326" t="str">
            <v>RPRO-260205-1049</v>
          </cell>
          <cell r="D326" t="str">
            <v>Pro.sche.report 04.02</v>
          </cell>
          <cell r="E326" t="str">
            <v>BDB-000229</v>
          </cell>
          <cell r="F326" t="str">
            <v>PVN-003878</v>
          </cell>
          <cell r="G326" t="str">
            <v>OrthoLite Ultra-Hybrid SEEDPEARL/12-0703TPX Hybrid Flat Sheet 0.095D 33+/-4 Asker C 1.1M 2M 4mm</v>
          </cell>
          <cell r="H326">
            <v>140</v>
          </cell>
          <cell r="I326">
            <v>140</v>
          </cell>
          <cell r="J326">
            <v>140</v>
          </cell>
          <cell r="K326">
            <v>0</v>
          </cell>
          <cell r="L326" t="str">
            <v>ON RUNNING</v>
          </cell>
          <cell r="M326" t="str">
            <v>Pr.Sch.R</v>
          </cell>
          <cell r="N326" t="str">
            <v>DIE CUT</v>
          </cell>
          <cell r="O326">
            <v>1</v>
          </cell>
          <cell r="P326">
            <v>46058</v>
          </cell>
          <cell r="Q326">
            <v>46091</v>
          </cell>
          <cell r="R326">
            <v>46088</v>
          </cell>
          <cell r="S326">
            <v>33</v>
          </cell>
          <cell r="T326">
            <v>4</v>
          </cell>
          <cell r="U326">
            <v>35</v>
          </cell>
          <cell r="V326">
            <v>4</v>
          </cell>
          <cell r="W326" t="str">
            <v>0.095D</v>
          </cell>
          <cell r="X326" t="str">
            <v>3-2026</v>
          </cell>
          <cell r="Y326" t="str">
            <v>Week 10</v>
          </cell>
          <cell r="Z326">
            <v>46083</v>
          </cell>
          <cell r="AA326">
            <v>26</v>
          </cell>
          <cell r="AB326">
            <v>2.8570000000000002E-2</v>
          </cell>
        </row>
        <row r="327">
          <cell r="A327" t="str">
            <v>F-2026-02-88-1</v>
          </cell>
          <cell r="B327" t="str">
            <v>color</v>
          </cell>
          <cell r="C327" t="str">
            <v>RPRO-260205-1050</v>
          </cell>
          <cell r="D327" t="str">
            <v>Pro.sche.report 04.02</v>
          </cell>
          <cell r="E327" t="str">
            <v>BDB-000355</v>
          </cell>
          <cell r="F327" t="str">
            <v>PVN-004231</v>
          </cell>
          <cell r="G327" t="str">
            <v>OrthoLite HybridPlus-Recycled CASTLEROCK/18-0201TPX Hybrid Flat Sheet 0.12D 25+/-4 Asker C 1.1M 2M 4.5mm</v>
          </cell>
          <cell r="H327">
            <v>1736</v>
          </cell>
          <cell r="I327">
            <v>1180</v>
          </cell>
          <cell r="J327">
            <v>1180</v>
          </cell>
          <cell r="K327">
            <v>0</v>
          </cell>
          <cell r="L327" t="str">
            <v>ON RUNNING</v>
          </cell>
          <cell r="M327" t="str">
            <v>Pr.Sch.R</v>
          </cell>
          <cell r="N327" t="str">
            <v>MOLDED</v>
          </cell>
          <cell r="O327">
            <v>1</v>
          </cell>
          <cell r="P327">
            <v>46058</v>
          </cell>
          <cell r="Q327">
            <v>46093</v>
          </cell>
          <cell r="R327">
            <v>46090</v>
          </cell>
          <cell r="S327">
            <v>35</v>
          </cell>
          <cell r="T327">
            <v>4.5</v>
          </cell>
          <cell r="U327">
            <v>31</v>
          </cell>
          <cell r="V327">
            <v>39</v>
          </cell>
          <cell r="W327" t="e">
            <v>#N/A</v>
          </cell>
          <cell r="X327" t="str">
            <v>3-2026</v>
          </cell>
          <cell r="Y327" t="str">
            <v>Week 10</v>
          </cell>
          <cell r="Z327">
            <v>46083</v>
          </cell>
          <cell r="AA327">
            <v>27</v>
          </cell>
          <cell r="AB327">
            <v>3.2259999999999997E-2</v>
          </cell>
        </row>
        <row r="328">
          <cell r="A328" t="str">
            <v>F-2026-02-88-2</v>
          </cell>
          <cell r="B328" t="str">
            <v>color</v>
          </cell>
          <cell r="C328" t="str">
            <v>RPRO-260205-1050</v>
          </cell>
          <cell r="D328" t="str">
            <v>Pro.sche.report 04.02</v>
          </cell>
          <cell r="E328" t="str">
            <v>BDB-000355</v>
          </cell>
          <cell r="F328" t="str">
            <v>PVN-004231</v>
          </cell>
          <cell r="G328" t="str">
            <v>OrthoLite HybridPlus-Recycled CASTLEROCK/18-0201TPX Hybrid Flat Sheet 0.12D 25+/-4 Asker C 1.1M 2M 4.5mm</v>
          </cell>
          <cell r="H328">
            <v>1736</v>
          </cell>
          <cell r="I328">
            <v>556</v>
          </cell>
          <cell r="J328">
            <v>556</v>
          </cell>
          <cell r="K328">
            <v>0</v>
          </cell>
          <cell r="L328" t="str">
            <v>ON RUNNING</v>
          </cell>
          <cell r="M328" t="str">
            <v>Pr.Sch.R</v>
          </cell>
          <cell r="N328" t="str">
            <v>MOLDED</v>
          </cell>
          <cell r="O328">
            <v>1</v>
          </cell>
          <cell r="P328">
            <v>46058</v>
          </cell>
          <cell r="Q328">
            <v>46093</v>
          </cell>
          <cell r="R328">
            <v>46090</v>
          </cell>
          <cell r="S328">
            <v>35</v>
          </cell>
          <cell r="T328">
            <v>4.5</v>
          </cell>
          <cell r="U328">
            <v>31</v>
          </cell>
          <cell r="V328">
            <v>18</v>
          </cell>
          <cell r="W328" t="e">
            <v>#N/A</v>
          </cell>
          <cell r="X328" t="str">
            <v>3-2026</v>
          </cell>
          <cell r="Y328" t="str">
            <v>Week 10</v>
          </cell>
          <cell r="Z328">
            <v>46083</v>
          </cell>
          <cell r="AA328">
            <v>15</v>
          </cell>
          <cell r="AB328">
            <v>3.2259999999999997E-2</v>
          </cell>
        </row>
        <row r="329">
          <cell r="A329" t="str">
            <v>F-2026-02-89</v>
          </cell>
          <cell r="B329"/>
          <cell r="C329" t="str">
            <v>RPRO-260205-1051</v>
          </cell>
          <cell r="D329" t="str">
            <v>Pro.sche.report 04.02</v>
          </cell>
          <cell r="E329" t="str">
            <v>BDB-000125</v>
          </cell>
          <cell r="F329" t="str">
            <v>PVN-001412</v>
          </cell>
          <cell r="G329" t="str">
            <v>OrthoLite Regular-Nike AIR BLUE/16-4134TPX Flat Sheet 0.11D 25+/-4 Asker C 1.1M 2M 5mm</v>
          </cell>
          <cell r="H329">
            <v>112</v>
          </cell>
          <cell r="I329">
            <v>112</v>
          </cell>
          <cell r="J329">
            <v>112</v>
          </cell>
          <cell r="K329">
            <v>0</v>
          </cell>
          <cell r="L329" t="str">
            <v>NIKE</v>
          </cell>
          <cell r="M329" t="str">
            <v>Pr.Sch.R</v>
          </cell>
          <cell r="N329" t="str">
            <v>DIE CUT</v>
          </cell>
          <cell r="O329">
            <v>1</v>
          </cell>
          <cell r="P329">
            <v>46058</v>
          </cell>
          <cell r="Q329">
            <v>46084</v>
          </cell>
          <cell r="R329">
            <v>46081</v>
          </cell>
          <cell r="S329">
            <v>26</v>
          </cell>
          <cell r="T329">
            <v>5</v>
          </cell>
          <cell r="U329">
            <v>28</v>
          </cell>
          <cell r="V329">
            <v>4</v>
          </cell>
          <cell r="W329" t="str">
            <v>0.11D</v>
          </cell>
          <cell r="X329" t="str">
            <v>3-2026</v>
          </cell>
          <cell r="Y329" t="str">
            <v>Week 9</v>
          </cell>
          <cell r="Z329">
            <v>46076</v>
          </cell>
          <cell r="AA329">
            <v>15</v>
          </cell>
          <cell r="AB329">
            <v>3.5709999999999999E-2</v>
          </cell>
        </row>
        <row r="330">
          <cell r="A330" t="str">
            <v>F-2026-02-90</v>
          </cell>
          <cell r="B330"/>
          <cell r="C330" t="str">
            <v>RPRO-260206-0374</v>
          </cell>
          <cell r="D330" t="str">
            <v>MPS 05.02</v>
          </cell>
          <cell r="E330" t="str">
            <v>BDB-000200</v>
          </cell>
          <cell r="F330" t="str">
            <v>PVN-003420</v>
          </cell>
          <cell r="G330" t="str">
            <v>OrthoLite Ultra SEEDPEARL/12-0703TPX Flat Sheet 0.085D 78-90 Asker F 1.1M 2M 6mm</v>
          </cell>
          <cell r="H330">
            <v>46</v>
          </cell>
          <cell r="I330">
            <v>46</v>
          </cell>
          <cell r="J330">
            <v>46</v>
          </cell>
          <cell r="K330">
            <v>0</v>
          </cell>
          <cell r="L330"/>
          <cell r="M330" t="str">
            <v>MPS</v>
          </cell>
          <cell r="N330" t="str">
            <v>SPLITTING</v>
          </cell>
          <cell r="O330">
            <v>2</v>
          </cell>
          <cell r="P330">
            <v>46059</v>
          </cell>
          <cell r="Q330">
            <v>46083</v>
          </cell>
          <cell r="R330">
            <v>46080</v>
          </cell>
          <cell r="S330">
            <v>24</v>
          </cell>
          <cell r="T330">
            <v>6</v>
          </cell>
          <cell r="U330">
            <v>23</v>
          </cell>
          <cell r="V330">
            <v>3</v>
          </cell>
          <cell r="W330" t="str">
            <v>0.085D</v>
          </cell>
          <cell r="X330" t="str">
            <v>3-2026</v>
          </cell>
          <cell r="Y330" t="str">
            <v>Week 9</v>
          </cell>
          <cell r="Z330">
            <v>46076</v>
          </cell>
          <cell r="AA330">
            <v>70</v>
          </cell>
          <cell r="AB330">
            <v>4.3479999999999998E-2</v>
          </cell>
        </row>
        <row r="331">
          <cell r="A331" t="str">
            <v>F-2026-02-91</v>
          </cell>
          <cell r="B331"/>
          <cell r="C331" t="str">
            <v>RPRO-260206-0375</v>
          </cell>
          <cell r="D331" t="str">
            <v>MPS 05.02</v>
          </cell>
          <cell r="E331" t="str">
            <v>BDB-000348</v>
          </cell>
          <cell r="F331" t="str">
            <v>PVN-004210</v>
          </cell>
          <cell r="G331" t="str">
            <v>OrthoLite IMPERIAL SEEDPEARL/12-0703TPX Flat Sheet 0.22D 25+/-4 Asker C 1.1M 1.47M 5mm</v>
          </cell>
          <cell r="H331">
            <v>112</v>
          </cell>
          <cell r="I331">
            <v>112</v>
          </cell>
          <cell r="J331">
            <v>112</v>
          </cell>
          <cell r="K331">
            <v>0</v>
          </cell>
          <cell r="L331"/>
          <cell r="M331" t="str">
            <v>MPS</v>
          </cell>
          <cell r="N331" t="str">
            <v>SPLITTING</v>
          </cell>
          <cell r="O331">
            <v>2</v>
          </cell>
          <cell r="P331">
            <v>46059</v>
          </cell>
          <cell r="Q331">
            <v>46090</v>
          </cell>
          <cell r="R331">
            <v>46087</v>
          </cell>
          <cell r="S331">
            <v>31</v>
          </cell>
          <cell r="T331">
            <v>5</v>
          </cell>
          <cell r="U331">
            <v>28</v>
          </cell>
          <cell r="V331">
            <v>4</v>
          </cell>
          <cell r="W331" t="e">
            <v>#N/A</v>
          </cell>
          <cell r="X331" t="str">
            <v>3-2026</v>
          </cell>
          <cell r="Y331" t="str">
            <v>Week 10</v>
          </cell>
          <cell r="Z331">
            <v>46083</v>
          </cell>
          <cell r="AA331">
            <v>4</v>
          </cell>
          <cell r="AB331">
            <v>3.5709999999999999E-2</v>
          </cell>
        </row>
        <row r="332">
          <cell r="A332" t="str">
            <v>F-2026-02-92</v>
          </cell>
          <cell r="B332"/>
          <cell r="C332" t="str">
            <v>RPRO-260206-0376</v>
          </cell>
          <cell r="D332" t="str">
            <v>Pro.sche.report 05.02</v>
          </cell>
          <cell r="E332" t="str">
            <v>BDB-000336</v>
          </cell>
          <cell r="F332" t="str">
            <v>PVN-004168</v>
          </cell>
          <cell r="G332" t="str">
            <v>OrthoLite X-40-Nike SEEDPEARL/12-0703TPX Flat Sheet 0.16D 35+/-4 Asker C 1.1M 2M 4.5mm</v>
          </cell>
          <cell r="H332">
            <v>31</v>
          </cell>
          <cell r="I332">
            <v>31</v>
          </cell>
          <cell r="J332">
            <v>31</v>
          </cell>
          <cell r="K332">
            <v>0</v>
          </cell>
          <cell r="L332" t="str">
            <v>NIKE</v>
          </cell>
          <cell r="M332" t="str">
            <v>Pr.Sch.R</v>
          </cell>
          <cell r="N332" t="str">
            <v>MOLDED</v>
          </cell>
          <cell r="O332">
            <v>1</v>
          </cell>
          <cell r="P332">
            <v>46059</v>
          </cell>
          <cell r="Q332">
            <v>46090</v>
          </cell>
          <cell r="R332">
            <v>46087</v>
          </cell>
          <cell r="S332">
            <v>31</v>
          </cell>
          <cell r="T332">
            <v>4.5</v>
          </cell>
          <cell r="U332">
            <v>31</v>
          </cell>
          <cell r="V332">
            <v>2</v>
          </cell>
          <cell r="W332" t="e">
            <v>#N/A</v>
          </cell>
          <cell r="X332" t="str">
            <v>3-2026</v>
          </cell>
          <cell r="Y332" t="str">
            <v>Week 10</v>
          </cell>
          <cell r="Z332">
            <v>46083</v>
          </cell>
          <cell r="AA332">
            <v>8</v>
          </cell>
          <cell r="AB332">
            <v>3.3329999999999999E-2</v>
          </cell>
        </row>
        <row r="333">
          <cell r="A333" t="str">
            <v>F-2026-02-93</v>
          </cell>
          <cell r="B333"/>
          <cell r="C333" t="str">
            <v>RPRO-260206-0377</v>
          </cell>
          <cell r="D333" t="str">
            <v>Pro.sche.report 05.02</v>
          </cell>
          <cell r="E333" t="str">
            <v>BDB-000052</v>
          </cell>
          <cell r="F333" t="str">
            <v>PVN-003603</v>
          </cell>
          <cell r="G333" t="str">
            <v>OrthoLite X-40 TRUE BLUE/19-4057TPX Flat Sheet 0.16D 25+/-4 Asker C 1.1M 1.47M 12mm</v>
          </cell>
          <cell r="H333">
            <v>33</v>
          </cell>
          <cell r="I333">
            <v>33</v>
          </cell>
          <cell r="J333">
            <v>33</v>
          </cell>
          <cell r="K333">
            <v>0</v>
          </cell>
          <cell r="L333" t="str">
            <v>ASICS</v>
          </cell>
          <cell r="M333" t="str">
            <v>Pr.Sch.R</v>
          </cell>
          <cell r="N333" t="str">
            <v>MOLDED</v>
          </cell>
          <cell r="O333">
            <v>1</v>
          </cell>
          <cell r="P333">
            <v>46059</v>
          </cell>
          <cell r="Q333">
            <v>46092</v>
          </cell>
          <cell r="R333">
            <v>46089</v>
          </cell>
          <cell r="S333">
            <v>33</v>
          </cell>
          <cell r="T333">
            <v>12</v>
          </cell>
          <cell r="U333">
            <v>11.5</v>
          </cell>
          <cell r="V333">
            <v>3</v>
          </cell>
          <cell r="W333" t="str">
            <v>0.16D</v>
          </cell>
          <cell r="X333" t="str">
            <v>3-2026</v>
          </cell>
          <cell r="Y333" t="str">
            <v>Week 10</v>
          </cell>
          <cell r="Z333">
            <v>46083</v>
          </cell>
          <cell r="AA333">
            <v>24</v>
          </cell>
          <cell r="AB333">
            <v>8.6959999999999996E-2</v>
          </cell>
        </row>
        <row r="334">
          <cell r="A334" t="str">
            <v>F-2026-02-94</v>
          </cell>
          <cell r="B334"/>
          <cell r="C334" t="str">
            <v>RPRO-260206-0378</v>
          </cell>
          <cell r="D334" t="str">
            <v>Pro.sche.report 05.02</v>
          </cell>
          <cell r="E334" t="str">
            <v>BDB-000209</v>
          </cell>
          <cell r="F334" t="str">
            <v>PVN-003537</v>
          </cell>
          <cell r="G334" t="str">
            <v>OrthoLite HybridPlus-Recycled MINT GREEN/11-4805TPX Hybrid Flat Sheet 0.12D 25+/-4 Asker C 1.1M 2M 4.5mm</v>
          </cell>
          <cell r="H334">
            <v>31</v>
          </cell>
          <cell r="I334">
            <v>31</v>
          </cell>
          <cell r="J334">
            <v>31</v>
          </cell>
          <cell r="K334">
            <v>0</v>
          </cell>
          <cell r="L334" t="str">
            <v>ON RUNNING</v>
          </cell>
          <cell r="M334" t="str">
            <v>Pr.Sch.R</v>
          </cell>
          <cell r="N334" t="str">
            <v>MOLDED</v>
          </cell>
          <cell r="O334">
            <v>1</v>
          </cell>
          <cell r="P334">
            <v>46059</v>
          </cell>
          <cell r="Q334">
            <v>46091</v>
          </cell>
          <cell r="R334">
            <v>46088</v>
          </cell>
          <cell r="S334">
            <v>32</v>
          </cell>
          <cell r="T334">
            <v>4.5</v>
          </cell>
          <cell r="U334">
            <v>31</v>
          </cell>
          <cell r="V334">
            <v>2</v>
          </cell>
          <cell r="W334" t="str">
            <v>0.12D</v>
          </cell>
          <cell r="X334" t="str">
            <v>3-2026</v>
          </cell>
          <cell r="Y334" t="str">
            <v>Week 10</v>
          </cell>
          <cell r="Z334">
            <v>46083</v>
          </cell>
          <cell r="AA334">
            <v>237</v>
          </cell>
          <cell r="AB334">
            <v>3.2259999999999997E-2</v>
          </cell>
        </row>
        <row r="335">
          <cell r="A335" t="str">
            <v>F-2026-02-95</v>
          </cell>
          <cell r="B335"/>
          <cell r="C335" t="str">
            <v>RPRO-260206-0379</v>
          </cell>
          <cell r="D335" t="str">
            <v>Pro.sche.report 05.02</v>
          </cell>
          <cell r="E335" t="str">
            <v>BDB-000229</v>
          </cell>
          <cell r="F335" t="str">
            <v>PVN-003692</v>
          </cell>
          <cell r="G335" t="str">
            <v>OrthoLite Ultra-Hybrid SEEDPEARL/12-0703TPX Hybrid Flat Sheet 0.095D 33+/-4 Asker C 1.1M 2M 15.5mm</v>
          </cell>
          <cell r="H335">
            <v>48</v>
          </cell>
          <cell r="I335">
            <v>48</v>
          </cell>
          <cell r="J335">
            <v>48</v>
          </cell>
          <cell r="K335">
            <v>0</v>
          </cell>
          <cell r="L335" t="str">
            <v>GARMONT</v>
          </cell>
          <cell r="M335" t="str">
            <v>Pr.Sch.R</v>
          </cell>
          <cell r="N335" t="str">
            <v>MOLDED</v>
          </cell>
          <cell r="O335">
            <v>1</v>
          </cell>
          <cell r="P335">
            <v>46059</v>
          </cell>
          <cell r="Q335">
            <v>46091</v>
          </cell>
          <cell r="R335">
            <v>46088</v>
          </cell>
          <cell r="S335">
            <v>32</v>
          </cell>
          <cell r="T335">
            <v>15.5</v>
          </cell>
          <cell r="U335">
            <v>8</v>
          </cell>
          <cell r="V335">
            <v>6</v>
          </cell>
          <cell r="W335" t="str">
            <v>0.095D</v>
          </cell>
          <cell r="X335" t="str">
            <v>3-2026</v>
          </cell>
          <cell r="Y335" t="str">
            <v>Week 10</v>
          </cell>
          <cell r="Z335">
            <v>46083</v>
          </cell>
          <cell r="AA335">
            <v>11</v>
          </cell>
          <cell r="AB335">
            <v>0.125</v>
          </cell>
        </row>
        <row r="336">
          <cell r="A336" t="str">
            <v>F-2026-02-96</v>
          </cell>
          <cell r="B336"/>
          <cell r="C336" t="str">
            <v>RPRO-260206-0380</v>
          </cell>
          <cell r="D336" t="str">
            <v>Pro.sche.report 05.02</v>
          </cell>
          <cell r="E336" t="str">
            <v>BDB-000212</v>
          </cell>
          <cell r="F336" t="str">
            <v>PVN-003764</v>
          </cell>
          <cell r="G336" t="str">
            <v>OrthoLite X-25-Hybrid SEEDPEARL/12-0703TPX Hybrid Flat Sheet 0.12D 20+/-4 Asker C 1.1M 2M 5mm</v>
          </cell>
          <cell r="H336">
            <v>28</v>
          </cell>
          <cell r="I336">
            <v>28</v>
          </cell>
          <cell r="J336">
            <v>28</v>
          </cell>
          <cell r="K336">
            <v>0</v>
          </cell>
          <cell r="L336" t="str">
            <v>FOOTJOY</v>
          </cell>
          <cell r="M336" t="str">
            <v>Pr.Sch.R</v>
          </cell>
          <cell r="N336" t="str">
            <v>OTHERS</v>
          </cell>
          <cell r="O336">
            <v>1</v>
          </cell>
          <cell r="P336">
            <v>46059</v>
          </cell>
          <cell r="Q336">
            <v>46081</v>
          </cell>
          <cell r="R336">
            <v>46078</v>
          </cell>
          <cell r="S336">
            <v>22</v>
          </cell>
          <cell r="T336">
            <v>5</v>
          </cell>
          <cell r="U336">
            <v>28</v>
          </cell>
          <cell r="V336">
            <v>1</v>
          </cell>
          <cell r="W336" t="str">
            <v>0.12D</v>
          </cell>
          <cell r="X336" t="str">
            <v>2-2026</v>
          </cell>
          <cell r="Y336" t="str">
            <v>Week 9</v>
          </cell>
          <cell r="Z336">
            <v>46076</v>
          </cell>
          <cell r="AA336">
            <v>7</v>
          </cell>
          <cell r="AB336">
            <v>3.5709999999999999E-2</v>
          </cell>
        </row>
        <row r="337">
          <cell r="A337" t="str">
            <v>F-2026-02-97</v>
          </cell>
          <cell r="B337"/>
          <cell r="C337" t="str">
            <v>RPRO-260206-0381</v>
          </cell>
          <cell r="D337" t="str">
            <v>Pro.sche.report 05.02</v>
          </cell>
          <cell r="E337" t="str">
            <v>BDB-000314</v>
          </cell>
          <cell r="F337" t="str">
            <v>PVN-004066</v>
          </cell>
          <cell r="G337" t="str">
            <v>OrthoLite Regular NEUTRAL GRAY/17-4402TPX Flat Sheet 0.16D 51+/-4 Asker C 1.1M 1.7M 9.5mm</v>
          </cell>
          <cell r="H337">
            <v>14</v>
          </cell>
          <cell r="I337">
            <v>14</v>
          </cell>
          <cell r="J337">
            <v>14</v>
          </cell>
          <cell r="K337">
            <v>0</v>
          </cell>
          <cell r="L337" t="str">
            <v>FOOTJOY</v>
          </cell>
          <cell r="M337" t="str">
            <v>Pr.Sch.R</v>
          </cell>
          <cell r="N337" t="str">
            <v>MOLDED</v>
          </cell>
          <cell r="O337">
            <v>1</v>
          </cell>
          <cell r="P337">
            <v>46059</v>
          </cell>
          <cell r="Q337">
            <v>46083</v>
          </cell>
          <cell r="R337">
            <v>46080</v>
          </cell>
          <cell r="S337">
            <v>24</v>
          </cell>
          <cell r="T337">
            <v>9.5</v>
          </cell>
          <cell r="U337">
            <v>14</v>
          </cell>
          <cell r="V337">
            <v>2</v>
          </cell>
          <cell r="W337" t="e">
            <v>#N/A</v>
          </cell>
          <cell r="X337" t="str">
            <v>3-2026</v>
          </cell>
          <cell r="Y337" t="str">
            <v>Week 9</v>
          </cell>
          <cell r="Z337">
            <v>46076</v>
          </cell>
          <cell r="AA337">
            <v>4</v>
          </cell>
          <cell r="AB337">
            <v>7.1429999999999993E-2</v>
          </cell>
        </row>
        <row r="338">
          <cell r="A338" t="str">
            <v>F-2026-02-98</v>
          </cell>
          <cell r="B338"/>
          <cell r="C338" t="str">
            <v>RPRO-260206-0382</v>
          </cell>
          <cell r="D338" t="str">
            <v>Pro.sche.report 05.02</v>
          </cell>
          <cell r="E338" t="str">
            <v>BDB-000262</v>
          </cell>
          <cell r="F338" t="str">
            <v>PVN-003816</v>
          </cell>
          <cell r="G338" t="str">
            <v>OrthoLite Ultra-Hybrid SEEDPEARL/12-0703TPX Hybrid Flat Sheet 0.085D 78-90 Asker F 1.1M 2M 2.5mm</v>
          </cell>
          <cell r="H338">
            <v>56</v>
          </cell>
          <cell r="I338">
            <v>56</v>
          </cell>
          <cell r="J338">
            <v>56</v>
          </cell>
          <cell r="K338">
            <v>0</v>
          </cell>
          <cell r="L338" t="str">
            <v>FOOTJOY</v>
          </cell>
          <cell r="M338" t="str">
            <v>Pr.Sch.R</v>
          </cell>
          <cell r="N338" t="str">
            <v>DIE CUT</v>
          </cell>
          <cell r="O338">
            <v>1</v>
          </cell>
          <cell r="P338">
            <v>46059</v>
          </cell>
          <cell r="Q338">
            <v>46088</v>
          </cell>
          <cell r="R338">
            <v>46085</v>
          </cell>
          <cell r="S338">
            <v>29</v>
          </cell>
          <cell r="T338">
            <v>2.5</v>
          </cell>
          <cell r="U338">
            <v>56</v>
          </cell>
          <cell r="V338">
            <v>2</v>
          </cell>
          <cell r="W338" t="str">
            <v>0.085D</v>
          </cell>
          <cell r="X338" t="str">
            <v>3-2026</v>
          </cell>
          <cell r="Y338" t="str">
            <v>Week 10</v>
          </cell>
          <cell r="Z338">
            <v>46083</v>
          </cell>
          <cell r="AA338">
            <v>0</v>
          </cell>
          <cell r="AB338">
            <v>1.7860000000000001E-2</v>
          </cell>
        </row>
        <row r="339">
          <cell r="A339" t="str">
            <v>F-2026-02-99</v>
          </cell>
          <cell r="B339"/>
          <cell r="C339" t="str">
            <v>RPRO-260206-0383</v>
          </cell>
          <cell r="D339" t="str">
            <v>Pro.sche.report 05.02</v>
          </cell>
          <cell r="E339" t="str">
            <v>BDB-000355</v>
          </cell>
          <cell r="F339" t="str">
            <v>PVN-004231</v>
          </cell>
          <cell r="G339" t="str">
            <v>OrthoLite HybridPlus-Recycled CASTLEROCK/18-0201TPX Hybrid Flat Sheet 0.12D 25+/-4 Asker C 1.1M 2M 4.5mm</v>
          </cell>
          <cell r="H339">
            <v>93</v>
          </cell>
          <cell r="I339">
            <v>93</v>
          </cell>
          <cell r="J339">
            <v>93</v>
          </cell>
          <cell r="K339">
            <v>0</v>
          </cell>
          <cell r="L339" t="str">
            <v>ON RUNNING</v>
          </cell>
          <cell r="M339" t="str">
            <v>Pr.Sch.R</v>
          </cell>
          <cell r="N339" t="str">
            <v>MOLDED</v>
          </cell>
          <cell r="O339">
            <v>1</v>
          </cell>
          <cell r="P339">
            <v>46059</v>
          </cell>
          <cell r="Q339">
            <v>46093</v>
          </cell>
          <cell r="R339">
            <v>46090</v>
          </cell>
          <cell r="S339">
            <v>34</v>
          </cell>
          <cell r="T339">
            <v>4.5</v>
          </cell>
          <cell r="U339">
            <v>31</v>
          </cell>
          <cell r="V339">
            <v>4</v>
          </cell>
          <cell r="W339" t="e">
            <v>#N/A</v>
          </cell>
          <cell r="X339" t="str">
            <v>3-2026</v>
          </cell>
          <cell r="Y339" t="str">
            <v>Week 10</v>
          </cell>
          <cell r="Z339">
            <v>46083</v>
          </cell>
          <cell r="AA339">
            <v>9</v>
          </cell>
          <cell r="AB339">
            <v>3.2259999999999997E-2</v>
          </cell>
        </row>
        <row r="340">
          <cell r="A340" t="str">
            <v>F-2026-02-100</v>
          </cell>
          <cell r="B340"/>
          <cell r="C340" t="str">
            <v>RPRO-260206-0384</v>
          </cell>
          <cell r="D340" t="str">
            <v>Pro.sche.report 05.02</v>
          </cell>
          <cell r="E340" t="str">
            <v>BDB-000125</v>
          </cell>
          <cell r="F340" t="str">
            <v>PVN-001412</v>
          </cell>
          <cell r="G340" t="str">
            <v>OrthoLite Regular-Nike AIR BLUE/16-4134TPX Flat Sheet 0.11D 25+/-4 Asker C 1.1M 2M 5mm</v>
          </cell>
          <cell r="H340">
            <v>28</v>
          </cell>
          <cell r="I340">
            <v>28</v>
          </cell>
          <cell r="J340">
            <v>28</v>
          </cell>
          <cell r="K340">
            <v>0</v>
          </cell>
          <cell r="L340" t="str">
            <v>NIKE</v>
          </cell>
          <cell r="M340" t="str">
            <v>Pr.Sch.R</v>
          </cell>
          <cell r="N340" t="str">
            <v>DIE CUT</v>
          </cell>
          <cell r="O340">
            <v>1</v>
          </cell>
          <cell r="P340">
            <v>46059</v>
          </cell>
          <cell r="Q340">
            <v>46084</v>
          </cell>
          <cell r="R340">
            <v>46081</v>
          </cell>
          <cell r="S340">
            <v>25</v>
          </cell>
          <cell r="T340">
            <v>5</v>
          </cell>
          <cell r="U340">
            <v>28</v>
          </cell>
          <cell r="V340">
            <v>1</v>
          </cell>
          <cell r="W340" t="str">
            <v>0.11D</v>
          </cell>
          <cell r="X340" t="str">
            <v>3-2026</v>
          </cell>
          <cell r="Y340" t="str">
            <v>Week 9</v>
          </cell>
          <cell r="Z340">
            <v>46076</v>
          </cell>
          <cell r="AA340">
            <v>8</v>
          </cell>
          <cell r="AB340">
            <v>3.5709999999999999E-2</v>
          </cell>
        </row>
        <row r="341">
          <cell r="A341" t="str">
            <v>F-2026-02-101</v>
          </cell>
          <cell r="B341"/>
          <cell r="C341" t="str">
            <v>RPRO-260206-0385</v>
          </cell>
          <cell r="D341" t="str">
            <v>Pro.sche.report 05.02</v>
          </cell>
          <cell r="E341" t="str">
            <v>BDB-000175</v>
          </cell>
          <cell r="F341" t="str">
            <v>PVN-003018</v>
          </cell>
          <cell r="G341" t="str">
            <v>OrthoLite Ultra-Hybrid-Nike SEEDPEARL/12-0703TPX Hybrid Flat Sheet 0.085D 25+/-4 Asker C 1.1M 2M 2mm</v>
          </cell>
          <cell r="H341">
            <v>140</v>
          </cell>
          <cell r="I341">
            <v>140</v>
          </cell>
          <cell r="J341">
            <v>140</v>
          </cell>
          <cell r="K341">
            <v>0</v>
          </cell>
          <cell r="L341" t="str">
            <v>NIKE</v>
          </cell>
          <cell r="M341" t="str">
            <v>Pr.Sch.R</v>
          </cell>
          <cell r="N341" t="str">
            <v>DIE CUT</v>
          </cell>
          <cell r="O341">
            <v>1</v>
          </cell>
          <cell r="P341">
            <v>46059</v>
          </cell>
          <cell r="Q341">
            <v>46081</v>
          </cell>
          <cell r="R341">
            <v>46078</v>
          </cell>
          <cell r="S341">
            <v>22</v>
          </cell>
          <cell r="T341">
            <v>2</v>
          </cell>
          <cell r="U341">
            <v>70</v>
          </cell>
          <cell r="V341">
            <v>3</v>
          </cell>
          <cell r="W341" t="str">
            <v>0.085D</v>
          </cell>
          <cell r="X341" t="str">
            <v>2-2026</v>
          </cell>
          <cell r="Y341" t="str">
            <v>Week 9</v>
          </cell>
          <cell r="Z341">
            <v>46076</v>
          </cell>
          <cell r="AA341">
            <v>0</v>
          </cell>
          <cell r="AB341">
            <v>1.4290000000000001E-2</v>
          </cell>
        </row>
        <row r="342">
          <cell r="A342" t="str">
            <v>F-2026-02-102</v>
          </cell>
          <cell r="B342"/>
          <cell r="C342" t="str">
            <v>RPRO-260206-0386</v>
          </cell>
          <cell r="D342" t="str">
            <v>Pro.sche.report 05.02</v>
          </cell>
          <cell r="E342" t="str">
            <v>BDB-000113</v>
          </cell>
          <cell r="F342" t="str">
            <v>PVN-003601</v>
          </cell>
          <cell r="G342" t="str">
            <v>OrthoLite Regular-Hybrid SEEDPEARL/12-0703TPX Hybrid Flat Sheet 0.11D 25+/-4 Asker C 1.1M 2M 20mm</v>
          </cell>
          <cell r="H342">
            <v>84</v>
          </cell>
          <cell r="I342">
            <v>84</v>
          </cell>
          <cell r="J342">
            <v>84</v>
          </cell>
          <cell r="K342">
            <v>0</v>
          </cell>
          <cell r="L342" t="str">
            <v>ASICS</v>
          </cell>
          <cell r="M342" t="str">
            <v>Pr.Sch.R</v>
          </cell>
          <cell r="N342" t="str">
            <v>MOLDED</v>
          </cell>
          <cell r="O342">
            <v>1</v>
          </cell>
          <cell r="P342">
            <v>46059</v>
          </cell>
          <cell r="Q342">
            <v>46081</v>
          </cell>
          <cell r="R342">
            <v>46078</v>
          </cell>
          <cell r="S342">
            <v>22</v>
          </cell>
          <cell r="T342">
            <v>20</v>
          </cell>
          <cell r="U342">
            <v>6</v>
          </cell>
          <cell r="V342">
            <v>15</v>
          </cell>
          <cell r="W342" t="str">
            <v>0.11D</v>
          </cell>
          <cell r="X342" t="str">
            <v>2-2026</v>
          </cell>
          <cell r="Y342" t="str">
            <v>Week 7</v>
          </cell>
          <cell r="Z342">
            <v>46062</v>
          </cell>
          <cell r="AA342">
            <v>2</v>
          </cell>
          <cell r="AB342">
            <v>0.16667000000000001</v>
          </cell>
        </row>
        <row r="343">
          <cell r="A343" t="str">
            <v>F-2026-02-103</v>
          </cell>
          <cell r="B343"/>
          <cell r="C343" t="str">
            <v>RPRO-260206-0387</v>
          </cell>
          <cell r="D343" t="str">
            <v>Pro.sche.report 05.02</v>
          </cell>
          <cell r="E343" t="str">
            <v>BDB-000346</v>
          </cell>
          <cell r="F343" t="str">
            <v>PVN-004226</v>
          </cell>
          <cell r="G343" t="str">
            <v>OrthoLite Float NEUTRAL GRAY/17-4402TPX Flat Sheet 0.12D 21+/-4 Asker C 1.1M 1.47M 5mm</v>
          </cell>
          <cell r="H343">
            <v>112</v>
          </cell>
          <cell r="I343">
            <v>112</v>
          </cell>
          <cell r="J343">
            <v>112</v>
          </cell>
          <cell r="K343">
            <v>0</v>
          </cell>
          <cell r="L343" t="str">
            <v>PUMA</v>
          </cell>
          <cell r="M343" t="str">
            <v>Pr.Sch.R</v>
          </cell>
          <cell r="N343" t="str">
            <v>DIE CUT</v>
          </cell>
          <cell r="O343">
            <v>1</v>
          </cell>
          <cell r="P343">
            <v>46059</v>
          </cell>
          <cell r="Q343">
            <v>46092</v>
          </cell>
          <cell r="R343">
            <v>46089</v>
          </cell>
          <cell r="S343">
            <v>33</v>
          </cell>
          <cell r="T343">
            <v>5</v>
          </cell>
          <cell r="U343">
            <v>28</v>
          </cell>
          <cell r="V343">
            <v>4</v>
          </cell>
          <cell r="W343" t="e">
            <v>#N/A</v>
          </cell>
          <cell r="X343" t="str">
            <v>3-2026</v>
          </cell>
          <cell r="Y343" t="str">
            <v>Week 10</v>
          </cell>
          <cell r="Z343">
            <v>46083</v>
          </cell>
          <cell r="AA343">
            <v>270</v>
          </cell>
          <cell r="AB343">
            <v>3.5709999999999999E-2</v>
          </cell>
        </row>
        <row r="344">
          <cell r="A344" t="str">
            <v>F-2026-02-104</v>
          </cell>
          <cell r="B344"/>
          <cell r="C344" t="str">
            <v>RPRO-260206-0388</v>
          </cell>
          <cell r="D344" t="str">
            <v>Pro.sche.report 05.02</v>
          </cell>
          <cell r="E344" t="str">
            <v>BDB-000052</v>
          </cell>
          <cell r="F344" t="str">
            <v>PVN-004308</v>
          </cell>
          <cell r="G344" t="str">
            <v>OrthoLite X-40 TRUE BLUE/19-4057TPX Flat Sheet 0.16D 25+/-4 Asker C 1.1M 1.47M 3mm</v>
          </cell>
          <cell r="H344">
            <v>46</v>
          </cell>
          <cell r="I344">
            <v>46</v>
          </cell>
          <cell r="J344">
            <v>46</v>
          </cell>
          <cell r="K344">
            <v>0</v>
          </cell>
          <cell r="L344" t="str">
            <v>ASICS</v>
          </cell>
          <cell r="M344" t="str">
            <v>Pr.Sch.R</v>
          </cell>
          <cell r="N344" t="str">
            <v>DIE CUT</v>
          </cell>
          <cell r="O344">
            <v>1</v>
          </cell>
          <cell r="P344">
            <v>46059</v>
          </cell>
          <cell r="Q344">
            <v>46093</v>
          </cell>
          <cell r="R344">
            <v>46090</v>
          </cell>
          <cell r="S344">
            <v>34</v>
          </cell>
          <cell r="T344">
            <v>3</v>
          </cell>
          <cell r="U344">
            <v>46</v>
          </cell>
          <cell r="V344">
            <v>2</v>
          </cell>
          <cell r="W344" t="str">
            <v>0.16D</v>
          </cell>
          <cell r="X344" t="str">
            <v>3-2026</v>
          </cell>
          <cell r="Y344" t="str">
            <v>Week 10</v>
          </cell>
          <cell r="Z344">
            <v>46083</v>
          </cell>
          <cell r="AA344">
            <v>4</v>
          </cell>
          <cell r="AB344">
            <v>2.1739999999999999E-2</v>
          </cell>
        </row>
        <row r="345">
          <cell r="A345" t="str">
            <v>OIN-2026.02.05-01</v>
          </cell>
          <cell r="B345" t="str">
            <v>Urgent/LCL</v>
          </cell>
          <cell r="C345" t="str">
            <v>RPRO-260207-0159</v>
          </cell>
          <cell r="D345" t="str">
            <v>OIN</v>
          </cell>
          <cell r="E345" t="str">
            <v>BDB-000361</v>
          </cell>
          <cell r="F345" t="str">
            <v>PVN-004246</v>
          </cell>
          <cell r="G345" t="str">
            <v>[116-12625] X 40 25+/-4 Asker C 0.16D Air Blue 16-4134 Tpx 1.10M X 1.70M 47mm</v>
          </cell>
          <cell r="H345">
            <v>3</v>
          </cell>
          <cell r="I345">
            <v>3</v>
          </cell>
          <cell r="J345">
            <v>3</v>
          </cell>
          <cell r="K345">
            <v>0</v>
          </cell>
          <cell r="L345" t="str">
            <v>CLARKS</v>
          </cell>
          <cell r="M345" t="str">
            <v>PO-6631-SO-260206-0036</v>
          </cell>
          <cell r="N345" t="str">
            <v>FLAT SHEET</v>
          </cell>
          <cell r="O345">
            <v>2</v>
          </cell>
          <cell r="P345">
            <v>46058</v>
          </cell>
          <cell r="Q345">
            <v>46081</v>
          </cell>
          <cell r="R345">
            <v>46078</v>
          </cell>
          <cell r="S345">
            <v>23</v>
          </cell>
          <cell r="T345">
            <v>47</v>
          </cell>
          <cell r="U345">
            <v>3</v>
          </cell>
          <cell r="V345">
            <v>1</v>
          </cell>
          <cell r="W345" t="e">
            <v>#N/A</v>
          </cell>
          <cell r="X345" t="str">
            <v>2-2026</v>
          </cell>
          <cell r="Y345" t="str">
            <v>Week 9</v>
          </cell>
          <cell r="Z345">
            <v>46076</v>
          </cell>
          <cell r="AA345">
            <v>238</v>
          </cell>
          <cell r="AB345">
            <v>0.33333000000000002</v>
          </cell>
        </row>
        <row r="346">
          <cell r="A346" t="str">
            <v>F-2026-02-105</v>
          </cell>
          <cell r="B346"/>
          <cell r="C346" t="str">
            <v>FPRO-260206-0002</v>
          </cell>
          <cell r="D346" t="str">
            <v>Firm plan 06.2</v>
          </cell>
          <cell r="E346" t="str">
            <v>BDB-000123</v>
          </cell>
          <cell r="F346" t="str">
            <v>PVN-002973</v>
          </cell>
          <cell r="G346" t="str">
            <v>OrthoLite Ultra-Hybrid SEEDPEARL/12-0703TPX Hybrid 0.085D 25+/-4 Asker C 1.1M 2M 4.5mm</v>
          </cell>
          <cell r="H346">
            <v>850</v>
          </cell>
          <cell r="I346">
            <v>850</v>
          </cell>
          <cell r="J346">
            <v>850</v>
          </cell>
          <cell r="K346">
            <v>0</v>
          </cell>
          <cell r="L346" t="str">
            <v>SALOMON</v>
          </cell>
          <cell r="M346" t="str">
            <v>Forecast</v>
          </cell>
          <cell r="N346" t="str">
            <v>MOLDED</v>
          </cell>
          <cell r="O346">
            <v>1</v>
          </cell>
          <cell r="P346">
            <v>46059</v>
          </cell>
          <cell r="Q346">
            <v>46086</v>
          </cell>
          <cell r="R346">
            <v>46083</v>
          </cell>
          <cell r="S346">
            <v>27</v>
          </cell>
          <cell r="T346">
            <v>4.5</v>
          </cell>
          <cell r="U346">
            <v>31</v>
          </cell>
          <cell r="V346">
            <v>28</v>
          </cell>
          <cell r="W346" t="str">
            <v>0.085D</v>
          </cell>
          <cell r="X346" t="str">
            <v>3-2026</v>
          </cell>
          <cell r="Y346" t="str">
            <v>Week 9</v>
          </cell>
          <cell r="Z346">
            <v>46076</v>
          </cell>
          <cell r="AA346">
            <v>11</v>
          </cell>
          <cell r="AB346">
            <v>3.2259999999999997E-2</v>
          </cell>
        </row>
        <row r="347">
          <cell r="A347" t="str">
            <v>F-2026-02-106</v>
          </cell>
          <cell r="B347"/>
          <cell r="C347" t="str">
            <v>FPRO-260206-0003 6115PCS+FPRO-260330-0027 785PCS</v>
          </cell>
          <cell r="D347" t="str">
            <v>Firm plan 06.2</v>
          </cell>
          <cell r="E347" t="str">
            <v>BDB-000123</v>
          </cell>
          <cell r="F347" t="str">
            <v>PVN-003298</v>
          </cell>
          <cell r="G347" t="str">
            <v>OrthoLite Ultra-Hybrid SEEDPEARL/12-0703TPX Hybrid 0.085D 25+/-4 Asker C 1.1M 2M 4mm</v>
          </cell>
          <cell r="H347">
            <v>6900</v>
          </cell>
          <cell r="I347">
            <v>6900</v>
          </cell>
          <cell r="J347">
            <v>6900</v>
          </cell>
          <cell r="K347">
            <v>0</v>
          </cell>
          <cell r="L347" t="str">
            <v>SALOMON</v>
          </cell>
          <cell r="M347" t="str">
            <v>Forecast</v>
          </cell>
          <cell r="N347" t="str">
            <v>LAMINATING</v>
          </cell>
          <cell r="O347">
            <v>1</v>
          </cell>
          <cell r="P347">
            <v>46059</v>
          </cell>
          <cell r="Q347">
            <v>46114</v>
          </cell>
          <cell r="R347">
            <v>46111</v>
          </cell>
          <cell r="S347">
            <v>55</v>
          </cell>
          <cell r="T347">
            <v>4</v>
          </cell>
          <cell r="U347">
            <v>35</v>
          </cell>
          <cell r="V347">
            <v>198</v>
          </cell>
          <cell r="W347" t="str">
            <v>0.085D</v>
          </cell>
          <cell r="X347" t="str">
            <v>4-2026</v>
          </cell>
          <cell r="Y347" t="str">
            <v>Week 13</v>
          </cell>
          <cell r="Z347">
            <v>46104</v>
          </cell>
          <cell r="AA347">
            <v>16</v>
          </cell>
          <cell r="AB347">
            <v>2.8570000000000002E-2</v>
          </cell>
        </row>
        <row r="348">
          <cell r="A348" t="str">
            <v>F-2026-02-107</v>
          </cell>
          <cell r="B348"/>
          <cell r="C348" t="str">
            <v>FPRO-260206-0004</v>
          </cell>
          <cell r="D348" t="str">
            <v>Firm plan 06.2</v>
          </cell>
          <cell r="E348" t="str">
            <v>BDB-000188</v>
          </cell>
          <cell r="F348" t="str">
            <v>PVN-003479</v>
          </cell>
          <cell r="G348" t="str">
            <v>OrthoLite Ultra-Hybrid SEEDPEARL/12-0703TPX Hybrid Flat Sheet 0.085D 25+/-4 Asker C 1.1M 1.47M 4mm</v>
          </cell>
          <cell r="H348">
            <v>600</v>
          </cell>
          <cell r="I348">
            <v>600</v>
          </cell>
          <cell r="J348">
            <v>600</v>
          </cell>
          <cell r="K348">
            <v>0</v>
          </cell>
          <cell r="L348" t="str">
            <v>SALOMON</v>
          </cell>
          <cell r="M348" t="str">
            <v>Forecast</v>
          </cell>
          <cell r="N348" t="str">
            <v>LAMINATING</v>
          </cell>
          <cell r="O348">
            <v>1</v>
          </cell>
          <cell r="P348">
            <v>46059</v>
          </cell>
          <cell r="Q348">
            <v>46091</v>
          </cell>
          <cell r="R348">
            <v>46088</v>
          </cell>
          <cell r="S348">
            <v>32</v>
          </cell>
          <cell r="T348">
            <v>4</v>
          </cell>
          <cell r="U348">
            <v>35</v>
          </cell>
          <cell r="V348">
            <v>18</v>
          </cell>
          <cell r="W348" t="str">
            <v>0.085D</v>
          </cell>
          <cell r="X348" t="str">
            <v>3-2026</v>
          </cell>
          <cell r="Y348" t="str">
            <v>Week 10</v>
          </cell>
          <cell r="Z348">
            <v>46083</v>
          </cell>
          <cell r="AA348">
            <v>50</v>
          </cell>
          <cell r="AB348">
            <v>2.8570000000000002E-2</v>
          </cell>
        </row>
        <row r="349">
          <cell r="A349" t="str">
            <v>F-2026-02-108</v>
          </cell>
          <cell r="B349"/>
          <cell r="C349" t="str">
            <v>FPRO-260206-0005</v>
          </cell>
          <cell r="D349" t="str">
            <v>Firm plan 06.2</v>
          </cell>
          <cell r="E349" t="str">
            <v>BDB-000097</v>
          </cell>
          <cell r="F349" t="str">
            <v>PVN-003671</v>
          </cell>
          <cell r="G349" t="str">
            <v>OrthoLite Eco LT-Hybrid SEEDPEARL/12-0703TPX Hybrid 0.11D 25+/-4 Asker C 1.1M 2M 13mm</v>
          </cell>
          <cell r="H349">
            <v>303</v>
          </cell>
          <cell r="I349">
            <v>303</v>
          </cell>
          <cell r="J349">
            <v>0</v>
          </cell>
          <cell r="K349">
            <v>303</v>
          </cell>
          <cell r="L349" t="str">
            <v>NEW BALANCE</v>
          </cell>
          <cell r="M349" t="str">
            <v>Forecast</v>
          </cell>
          <cell r="N349" t="str">
            <v>MOLDED</v>
          </cell>
          <cell r="O349">
            <v>1</v>
          </cell>
          <cell r="P349">
            <v>46059</v>
          </cell>
          <cell r="Q349">
            <v>46128</v>
          </cell>
          <cell r="R349">
            <v>46125</v>
          </cell>
          <cell r="S349">
            <v>69</v>
          </cell>
          <cell r="T349">
            <v>13</v>
          </cell>
          <cell r="U349">
            <v>10</v>
          </cell>
          <cell r="V349">
            <v>31</v>
          </cell>
          <cell r="W349" t="str">
            <v>0.11D</v>
          </cell>
          <cell r="X349" t="str">
            <v>4-2026</v>
          </cell>
          <cell r="Y349" t="str">
            <v>Week 15</v>
          </cell>
          <cell r="Z349">
            <v>46118</v>
          </cell>
          <cell r="AA349">
            <v>0</v>
          </cell>
          <cell r="AB349">
            <v>0.1</v>
          </cell>
        </row>
        <row r="350">
          <cell r="A350" t="str">
            <v>F-2026-02-109</v>
          </cell>
          <cell r="B350"/>
          <cell r="C350" t="str">
            <v>FPRO-260206-0006</v>
          </cell>
          <cell r="D350" t="str">
            <v>Firm plan 06.2</v>
          </cell>
          <cell r="E350" t="str">
            <v>BDB-000097</v>
          </cell>
          <cell r="F350" t="str">
            <v>PVN-002478</v>
          </cell>
          <cell r="G350" t="str">
            <v>OrthoLite Eco LT-Hybrid SEEDPEARL/12-0703TPX Hybrid 0.11D 25+/-4 Asker C 1.1M 2M 4mm</v>
          </cell>
          <cell r="H350">
            <v>3600</v>
          </cell>
          <cell r="I350">
            <v>3600</v>
          </cell>
          <cell r="J350">
            <v>0</v>
          </cell>
          <cell r="K350">
            <v>3600</v>
          </cell>
          <cell r="L350" t="str">
            <v>NEW BALANCE</v>
          </cell>
          <cell r="M350" t="str">
            <v>Forecast</v>
          </cell>
          <cell r="N350" t="str">
            <v>DIE CUT</v>
          </cell>
          <cell r="O350">
            <v>1</v>
          </cell>
          <cell r="P350">
            <v>46059</v>
          </cell>
          <cell r="Q350">
            <v>46114</v>
          </cell>
          <cell r="R350">
            <v>46111</v>
          </cell>
          <cell r="S350">
            <v>55</v>
          </cell>
          <cell r="T350">
            <v>4</v>
          </cell>
          <cell r="U350">
            <v>35</v>
          </cell>
          <cell r="V350">
            <v>103</v>
          </cell>
          <cell r="W350" t="str">
            <v>0.11D</v>
          </cell>
          <cell r="X350" t="str">
            <v>4-2026</v>
          </cell>
          <cell r="Y350" t="str">
            <v>Week 13</v>
          </cell>
          <cell r="Z350">
            <v>46104</v>
          </cell>
          <cell r="AA350">
            <v>237</v>
          </cell>
          <cell r="AB350">
            <v>2.8570000000000002E-2</v>
          </cell>
        </row>
        <row r="351">
          <cell r="A351" t="str">
            <v>F-2026-02-110</v>
          </cell>
          <cell r="B351"/>
          <cell r="C351" t="str">
            <v>FPRO-260206-0007</v>
          </cell>
          <cell r="D351" t="str">
            <v>Firm plan 06.2</v>
          </cell>
          <cell r="E351" t="str">
            <v>BDB-000097</v>
          </cell>
          <cell r="F351" t="str">
            <v>PVN-002478</v>
          </cell>
          <cell r="G351" t="str">
            <v>OrthoLite Eco LT-Hybrid SEEDPEARL/12-0703TPX Hybrid 0.11D 25+/-4 Asker C 1.1M 2M 4mm</v>
          </cell>
          <cell r="H351">
            <v>3500</v>
          </cell>
          <cell r="I351">
            <v>3500</v>
          </cell>
          <cell r="J351">
            <v>0</v>
          </cell>
          <cell r="K351">
            <v>3500</v>
          </cell>
          <cell r="L351" t="str">
            <v>NEW BALANCE</v>
          </cell>
          <cell r="M351" t="str">
            <v>Forecast</v>
          </cell>
          <cell r="N351" t="str">
            <v>DIE CUT</v>
          </cell>
          <cell r="O351">
            <v>1</v>
          </cell>
          <cell r="P351">
            <v>46059</v>
          </cell>
          <cell r="Q351">
            <v>46126</v>
          </cell>
          <cell r="R351">
            <v>46123</v>
          </cell>
          <cell r="S351">
            <v>67</v>
          </cell>
          <cell r="T351">
            <v>4</v>
          </cell>
          <cell r="U351">
            <v>35</v>
          </cell>
          <cell r="V351">
            <v>100</v>
          </cell>
          <cell r="W351" t="str">
            <v>0.11D</v>
          </cell>
          <cell r="X351" t="str">
            <v>4-2026</v>
          </cell>
          <cell r="Y351" t="str">
            <v>Week 15</v>
          </cell>
          <cell r="Z351">
            <v>46118</v>
          </cell>
          <cell r="AA351">
            <v>114</v>
          </cell>
          <cell r="AB351">
            <v>2.8570000000000002E-2</v>
          </cell>
        </row>
        <row r="352">
          <cell r="A352" t="str">
            <v>F-2026-02-111</v>
          </cell>
          <cell r="B352"/>
          <cell r="C352" t="str">
            <v>FPRO-260206-0008</v>
          </cell>
          <cell r="D352" t="str">
            <v>Firm plan 06.2</v>
          </cell>
          <cell r="E352" t="str">
            <v>BDB-000097</v>
          </cell>
          <cell r="F352" t="str">
            <v>PVN-002478</v>
          </cell>
          <cell r="G352" t="str">
            <v>OrthoLite Eco LT-Hybrid SEEDPEARL/12-0703TPX Hybrid 0.11D 25+/-4 Asker C 1.1M 2M 4mm</v>
          </cell>
          <cell r="H352">
            <v>3500</v>
          </cell>
          <cell r="I352">
            <v>3500</v>
          </cell>
          <cell r="J352">
            <v>0</v>
          </cell>
          <cell r="K352">
            <v>3500</v>
          </cell>
          <cell r="L352" t="str">
            <v>NEW BALANCE</v>
          </cell>
          <cell r="M352" t="str">
            <v>Forecast</v>
          </cell>
          <cell r="N352" t="str">
            <v>DIE CUT</v>
          </cell>
          <cell r="O352">
            <v>1</v>
          </cell>
          <cell r="P352">
            <v>46059</v>
          </cell>
          <cell r="Q352">
            <v>46129</v>
          </cell>
          <cell r="R352">
            <v>46126</v>
          </cell>
          <cell r="S352">
            <v>70</v>
          </cell>
          <cell r="T352">
            <v>4</v>
          </cell>
          <cell r="U352">
            <v>35</v>
          </cell>
          <cell r="V352">
            <v>100</v>
          </cell>
          <cell r="W352" t="str">
            <v>0.11D</v>
          </cell>
          <cell r="X352" t="str">
            <v>4-2026</v>
          </cell>
          <cell r="Y352" t="str">
            <v>Week 16</v>
          </cell>
          <cell r="Z352">
            <v>46125</v>
          </cell>
          <cell r="AA352">
            <v>270</v>
          </cell>
          <cell r="AB352">
            <v>2.8570000000000002E-2</v>
          </cell>
        </row>
        <row r="353">
          <cell r="A353" t="str">
            <v>F-2026-02-112</v>
          </cell>
          <cell r="B353"/>
          <cell r="C353" t="str">
            <v>FPRO-260206-0009</v>
          </cell>
          <cell r="D353" t="str">
            <v>Firm plan 06.2</v>
          </cell>
          <cell r="E353" t="str">
            <v>BDB-000097</v>
          </cell>
          <cell r="F353" t="str">
            <v>PVN-002478</v>
          </cell>
          <cell r="G353" t="str">
            <v>OrthoLite Eco LT-Hybrid SEEDPEARL/12-0703TPX Hybrid 0.11D 25+/-4 Asker C 1.1M 2M 4mm</v>
          </cell>
          <cell r="H353">
            <v>3500</v>
          </cell>
          <cell r="I353">
            <v>3500</v>
          </cell>
          <cell r="J353">
            <v>0</v>
          </cell>
          <cell r="K353">
            <v>3500</v>
          </cell>
          <cell r="L353" t="str">
            <v>NEW BALANCE</v>
          </cell>
          <cell r="M353" t="str">
            <v>Forecast</v>
          </cell>
          <cell r="N353" t="str">
            <v>DIE CUT</v>
          </cell>
          <cell r="O353">
            <v>1</v>
          </cell>
          <cell r="P353">
            <v>46059</v>
          </cell>
          <cell r="Q353">
            <v>46133</v>
          </cell>
          <cell r="R353">
            <v>46130</v>
          </cell>
          <cell r="S353">
            <v>74</v>
          </cell>
          <cell r="T353">
            <v>4</v>
          </cell>
          <cell r="U353">
            <v>35</v>
          </cell>
          <cell r="V353">
            <v>100</v>
          </cell>
          <cell r="W353" t="str">
            <v>0.11D</v>
          </cell>
          <cell r="X353" t="str">
            <v>4-2026</v>
          </cell>
          <cell r="Y353" t="str">
            <v>Week 16</v>
          </cell>
          <cell r="Z353">
            <v>46125</v>
          </cell>
          <cell r="AA353">
            <v>270</v>
          </cell>
          <cell r="AB353">
            <v>2.8570000000000002E-2</v>
          </cell>
        </row>
        <row r="354">
          <cell r="A354" t="str">
            <v>F-2026-02-114</v>
          </cell>
          <cell r="B354"/>
          <cell r="C354" t="str">
            <v>RPRO-260209-0657</v>
          </cell>
          <cell r="D354" t="str">
            <v>MPS 6.2+7.2+8.2</v>
          </cell>
          <cell r="E354" t="str">
            <v>BDB-000348</v>
          </cell>
          <cell r="F354" t="str">
            <v>PVN-004195</v>
          </cell>
          <cell r="G354" t="str">
            <v>OrthoLite IMPERIAL SEEDPEARL/12-0703TPX Flat Sheet 0.22D 25+/-4 Asker C 1.1M 1.47M 4mm</v>
          </cell>
          <cell r="H354">
            <v>840</v>
          </cell>
          <cell r="I354">
            <v>840</v>
          </cell>
          <cell r="J354">
            <v>840</v>
          </cell>
          <cell r="K354">
            <v>0</v>
          </cell>
          <cell r="L354"/>
          <cell r="M354" t="str">
            <v>MPS</v>
          </cell>
          <cell r="N354" t="str">
            <v>SPLITTING</v>
          </cell>
          <cell r="O354">
            <v>2</v>
          </cell>
          <cell r="P354">
            <v>46062</v>
          </cell>
          <cell r="Q354">
            <v>46085</v>
          </cell>
          <cell r="R354">
            <v>46082</v>
          </cell>
          <cell r="S354">
            <v>23</v>
          </cell>
          <cell r="T354">
            <v>4</v>
          </cell>
          <cell r="U354">
            <v>35</v>
          </cell>
          <cell r="V354">
            <v>24</v>
          </cell>
          <cell r="W354" t="e">
            <v>#N/A</v>
          </cell>
          <cell r="X354" t="str">
            <v>3-2026</v>
          </cell>
          <cell r="Y354" t="str">
            <v>Week 9</v>
          </cell>
          <cell r="Z354">
            <v>46076</v>
          </cell>
          <cell r="AA354">
            <v>2</v>
          </cell>
          <cell r="AB354">
            <v>2.8570000000000002E-2</v>
          </cell>
        </row>
        <row r="355">
          <cell r="A355" t="str">
            <v>F-2026-02-115</v>
          </cell>
          <cell r="B355"/>
          <cell r="C355" t="str">
            <v>RPRO-260209-0658</v>
          </cell>
          <cell r="D355" t="str">
            <v>MPS 6.2+7.2+8.2</v>
          </cell>
          <cell r="E355" t="str">
            <v>BDB-000057</v>
          </cell>
          <cell r="F355" t="str">
            <v>PVN-000925</v>
          </cell>
          <cell r="G355" t="str">
            <v>OrthoLite Ultra YELLOW/13-0858TPX Flat Sheet 0.085D 25+/-4 Asker C 1.1M 2M 5mm</v>
          </cell>
          <cell r="H355">
            <v>28</v>
          </cell>
          <cell r="I355">
            <v>28</v>
          </cell>
          <cell r="J355">
            <v>28</v>
          </cell>
          <cell r="K355">
            <v>0</v>
          </cell>
          <cell r="L355"/>
          <cell r="M355" t="str">
            <v>MPS</v>
          </cell>
          <cell r="N355" t="str">
            <v>SPLITTING</v>
          </cell>
          <cell r="O355">
            <v>2</v>
          </cell>
          <cell r="P355">
            <v>46062</v>
          </cell>
          <cell r="Q355">
            <v>46092</v>
          </cell>
          <cell r="R355">
            <v>46089</v>
          </cell>
          <cell r="S355">
            <v>30</v>
          </cell>
          <cell r="T355">
            <v>5</v>
          </cell>
          <cell r="U355">
            <v>28</v>
          </cell>
          <cell r="V355">
            <v>1</v>
          </cell>
          <cell r="W355" t="str">
            <v>0.085D</v>
          </cell>
          <cell r="X355" t="str">
            <v>3-2026</v>
          </cell>
          <cell r="Y355" t="str">
            <v>Week 10</v>
          </cell>
          <cell r="Z355">
            <v>46083</v>
          </cell>
          <cell r="AA355">
            <v>11</v>
          </cell>
          <cell r="AB355">
            <v>3.5709999999999999E-2</v>
          </cell>
        </row>
        <row r="356">
          <cell r="A356" t="str">
            <v>F-2026-02-116</v>
          </cell>
          <cell r="B356"/>
          <cell r="C356" t="str">
            <v>RPRO-260209-0659</v>
          </cell>
          <cell r="D356" t="str">
            <v>MPS 6.2+7.2+8.2</v>
          </cell>
          <cell r="E356" t="str">
            <v>BDB-000085</v>
          </cell>
          <cell r="F356" t="str">
            <v>PVN-001091</v>
          </cell>
          <cell r="G356" t="str">
            <v>OrthoLite Eco LT GREY/17-1501TPX Flat Sheet 0.11D 25+/-4 Asker C 1.1M 2M 4mm</v>
          </cell>
          <cell r="H356">
            <v>280</v>
          </cell>
          <cell r="I356">
            <v>280</v>
          </cell>
          <cell r="J356">
            <v>280</v>
          </cell>
          <cell r="K356">
            <v>0</v>
          </cell>
          <cell r="L356"/>
          <cell r="M356" t="str">
            <v>MPS</v>
          </cell>
          <cell r="N356" t="str">
            <v>SPLITTING</v>
          </cell>
          <cell r="O356">
            <v>2</v>
          </cell>
          <cell r="P356">
            <v>46062</v>
          </cell>
          <cell r="Q356">
            <v>46092</v>
          </cell>
          <cell r="R356">
            <v>46089</v>
          </cell>
          <cell r="S356">
            <v>30</v>
          </cell>
          <cell r="T356">
            <v>4</v>
          </cell>
          <cell r="U356">
            <v>35</v>
          </cell>
          <cell r="V356">
            <v>8</v>
          </cell>
          <cell r="W356" t="str">
            <v>0.11D</v>
          </cell>
          <cell r="X356" t="str">
            <v>3-2026</v>
          </cell>
          <cell r="Y356" t="str">
            <v>Week 10</v>
          </cell>
          <cell r="Z356">
            <v>46083</v>
          </cell>
          <cell r="AA356">
            <v>36</v>
          </cell>
          <cell r="AB356">
            <v>2.8570000000000002E-2</v>
          </cell>
        </row>
        <row r="357">
          <cell r="A357" t="str">
            <v>F-2026-02-117</v>
          </cell>
          <cell r="B357"/>
          <cell r="C357" t="str">
            <v>RPRO-260209-0660</v>
          </cell>
          <cell r="D357" t="str">
            <v>MPS 6.2+7.2+8.2</v>
          </cell>
          <cell r="E357" t="str">
            <v>BDB-000084</v>
          </cell>
          <cell r="F357" t="str">
            <v>PVN-001111</v>
          </cell>
          <cell r="G357" t="str">
            <v>OrthoLite Eco LT YELLOW/13-0858TPX 0.11D 25+/-4 Asker C 1.1M 2M 4mm</v>
          </cell>
          <cell r="H357">
            <v>105</v>
          </cell>
          <cell r="I357">
            <v>105</v>
          </cell>
          <cell r="J357">
            <v>105</v>
          </cell>
          <cell r="K357">
            <v>0</v>
          </cell>
          <cell r="L357"/>
          <cell r="M357" t="str">
            <v>MPS</v>
          </cell>
          <cell r="N357" t="str">
            <v>SPLITTING</v>
          </cell>
          <cell r="O357">
            <v>2</v>
          </cell>
          <cell r="P357">
            <v>46062</v>
          </cell>
          <cell r="Q357">
            <v>46092</v>
          </cell>
          <cell r="R357">
            <v>46089</v>
          </cell>
          <cell r="S357">
            <v>30</v>
          </cell>
          <cell r="T357">
            <v>4</v>
          </cell>
          <cell r="U357">
            <v>35</v>
          </cell>
          <cell r="V357">
            <v>3</v>
          </cell>
          <cell r="W357" t="str">
            <v>0.11D</v>
          </cell>
          <cell r="X357" t="str">
            <v>3-2026</v>
          </cell>
          <cell r="Y357" t="str">
            <v>Week 10</v>
          </cell>
          <cell r="Z357">
            <v>46083</v>
          </cell>
          <cell r="AA357">
            <v>78</v>
          </cell>
          <cell r="AB357">
            <v>2.8570000000000002E-2</v>
          </cell>
        </row>
        <row r="358">
          <cell r="A358" t="str">
            <v>F-2026-02-118</v>
          </cell>
          <cell r="B358"/>
          <cell r="C358" t="str">
            <v>RPRO-260209-0661</v>
          </cell>
          <cell r="D358" t="str">
            <v>MPS 6.2+7.2+8.2</v>
          </cell>
          <cell r="E358" t="str">
            <v>BDB-000154</v>
          </cell>
          <cell r="F358" t="str">
            <v>PVN-003347</v>
          </cell>
          <cell r="G358" t="str">
            <v>OrthoLite X-40-Nike TRUE BLUE/19-4057TPX Flat Sheet 0.16D 35+/-4 Asker C 1.1M 1.7M 4mm</v>
          </cell>
          <cell r="H358">
            <v>2000</v>
          </cell>
          <cell r="I358">
            <v>2000</v>
          </cell>
          <cell r="J358">
            <v>2000</v>
          </cell>
          <cell r="K358">
            <v>0</v>
          </cell>
          <cell r="L358"/>
          <cell r="M358" t="str">
            <v>MPS</v>
          </cell>
          <cell r="N358" t="str">
            <v>SPLITTING</v>
          </cell>
          <cell r="O358">
            <v>2</v>
          </cell>
          <cell r="P358">
            <v>46062</v>
          </cell>
          <cell r="Q358">
            <v>46092</v>
          </cell>
          <cell r="R358">
            <v>46089</v>
          </cell>
          <cell r="S358">
            <v>30</v>
          </cell>
          <cell r="T358">
            <v>4</v>
          </cell>
          <cell r="U358">
            <v>35</v>
          </cell>
          <cell r="V358">
            <v>58</v>
          </cell>
          <cell r="W358" t="str">
            <v>0.16D</v>
          </cell>
          <cell r="X358" t="str">
            <v>3-2026</v>
          </cell>
          <cell r="Y358" t="str">
            <v>Week 10</v>
          </cell>
          <cell r="Z358">
            <v>46083</v>
          </cell>
          <cell r="AA358">
            <v>87</v>
          </cell>
          <cell r="AB358">
            <v>2.8570000000000002E-2</v>
          </cell>
        </row>
        <row r="359">
          <cell r="A359" t="str">
            <v>F-2026-02-119</v>
          </cell>
          <cell r="B359"/>
          <cell r="C359" t="str">
            <v>RPRO-260209-0662</v>
          </cell>
          <cell r="D359" t="str">
            <v>MPS 6.2+7.2+8.2</v>
          </cell>
          <cell r="E359" t="str">
            <v>BDB-000154</v>
          </cell>
          <cell r="F359" t="str">
            <v>PVN-003347</v>
          </cell>
          <cell r="G359" t="str">
            <v>OrthoLite X-40-Nike TRUE BLUE/19-4057TPX Flat Sheet 0.16D 35+/-4 Asker C 1.1M 1.7M 4mm</v>
          </cell>
          <cell r="H359">
            <v>1325</v>
          </cell>
          <cell r="I359">
            <v>1325</v>
          </cell>
          <cell r="J359">
            <v>1325</v>
          </cell>
          <cell r="K359">
            <v>0</v>
          </cell>
          <cell r="L359"/>
          <cell r="M359" t="str">
            <v>MPS</v>
          </cell>
          <cell r="N359" t="str">
            <v>SPLITTING</v>
          </cell>
          <cell r="O359">
            <v>2</v>
          </cell>
          <cell r="P359">
            <v>46062</v>
          </cell>
          <cell r="Q359">
            <v>46093</v>
          </cell>
          <cell r="R359">
            <v>46090</v>
          </cell>
          <cell r="S359">
            <v>31</v>
          </cell>
          <cell r="T359">
            <v>4</v>
          </cell>
          <cell r="U359">
            <v>35</v>
          </cell>
          <cell r="V359">
            <v>38</v>
          </cell>
          <cell r="W359" t="str">
            <v>0.16D</v>
          </cell>
          <cell r="X359" t="str">
            <v>3-2026</v>
          </cell>
          <cell r="Y359" t="str">
            <v>Week 10</v>
          </cell>
          <cell r="Z359">
            <v>46083</v>
          </cell>
          <cell r="AA359">
            <v>18</v>
          </cell>
          <cell r="AB359">
            <v>2.8570000000000002E-2</v>
          </cell>
        </row>
        <row r="360">
          <cell r="A360" t="str">
            <v>F-2026-02-120</v>
          </cell>
          <cell r="B360"/>
          <cell r="C360" t="str">
            <v>RPRO-260209-0663</v>
          </cell>
          <cell r="D360" t="str">
            <v>MPS 6.2+7.2+8.2</v>
          </cell>
          <cell r="E360" t="str">
            <v>BDB-000077</v>
          </cell>
          <cell r="F360" t="str">
            <v>PVN-003478</v>
          </cell>
          <cell r="G360" t="str">
            <v>Ortholite X-25 SEEDPEARL/12-0703TPX Flat Sheet 0.12D 20+/-4 Asker C 1.1M 2M 4mm</v>
          </cell>
          <cell r="H360">
            <v>210</v>
          </cell>
          <cell r="I360">
            <v>210</v>
          </cell>
          <cell r="J360">
            <v>210</v>
          </cell>
          <cell r="K360">
            <v>0</v>
          </cell>
          <cell r="L360"/>
          <cell r="M360" t="str">
            <v>MPS</v>
          </cell>
          <cell r="N360" t="str">
            <v>SPLITTING</v>
          </cell>
          <cell r="O360">
            <v>2</v>
          </cell>
          <cell r="P360">
            <v>46062</v>
          </cell>
          <cell r="Q360">
            <v>46085</v>
          </cell>
          <cell r="R360">
            <v>46082</v>
          </cell>
          <cell r="S360">
            <v>23</v>
          </cell>
          <cell r="T360">
            <v>4</v>
          </cell>
          <cell r="U360">
            <v>35</v>
          </cell>
          <cell r="V360">
            <v>6</v>
          </cell>
          <cell r="W360" t="str">
            <v>0.12D</v>
          </cell>
          <cell r="X360" t="str">
            <v>3-2026</v>
          </cell>
          <cell r="Y360" t="str">
            <v>Week 9</v>
          </cell>
          <cell r="Z360">
            <v>46076</v>
          </cell>
          <cell r="AA360">
            <v>14</v>
          </cell>
          <cell r="AB360">
            <v>2.8570000000000002E-2</v>
          </cell>
        </row>
        <row r="361">
          <cell r="A361" t="str">
            <v>F-2026-02-121</v>
          </cell>
          <cell r="B361"/>
          <cell r="C361" t="str">
            <v>RPRO-260209-0664</v>
          </cell>
          <cell r="D361" t="str">
            <v>MPS 6.2+7.2+8.2</v>
          </cell>
          <cell r="E361" t="str">
            <v>BDB-000002</v>
          </cell>
          <cell r="F361" t="str">
            <v>PVN-003875</v>
          </cell>
          <cell r="G361" t="str">
            <v>OrthoLite Regular YELLOW/13-0858TPX Flat Sheet 0.11D 15+/-4 Asker C 1.1M 2M 2mm</v>
          </cell>
          <cell r="H361">
            <v>140</v>
          </cell>
          <cell r="I361">
            <v>140</v>
          </cell>
          <cell r="J361">
            <v>140</v>
          </cell>
          <cell r="K361">
            <v>0</v>
          </cell>
          <cell r="L361"/>
          <cell r="M361" t="str">
            <v>MPS</v>
          </cell>
          <cell r="N361" t="str">
            <v>SPLITTING</v>
          </cell>
          <cell r="O361">
            <v>2</v>
          </cell>
          <cell r="P361">
            <v>46062</v>
          </cell>
          <cell r="Q361">
            <v>46091</v>
          </cell>
          <cell r="R361">
            <v>46088</v>
          </cell>
          <cell r="S361">
            <v>29</v>
          </cell>
          <cell r="T361">
            <v>2</v>
          </cell>
          <cell r="U361">
            <v>70</v>
          </cell>
          <cell r="V361">
            <v>3</v>
          </cell>
          <cell r="W361" t="str">
            <v>0.11D</v>
          </cell>
          <cell r="X361" t="str">
            <v>3-2026</v>
          </cell>
          <cell r="Y361" t="str">
            <v>Week 10</v>
          </cell>
          <cell r="Z361">
            <v>46083</v>
          </cell>
          <cell r="AA361">
            <v>6</v>
          </cell>
          <cell r="AB361">
            <v>1.4290000000000001E-2</v>
          </cell>
        </row>
        <row r="362">
          <cell r="A362" t="str">
            <v>F-2026-02-122</v>
          </cell>
          <cell r="B362"/>
          <cell r="C362" t="str">
            <v>RPRO-260209-0665</v>
          </cell>
          <cell r="D362" t="str">
            <v>MPS 6.2+7.2+8.2</v>
          </cell>
          <cell r="E362" t="str">
            <v>BDB-000305</v>
          </cell>
          <cell r="F362" t="str">
            <v>PVN-004000</v>
          </cell>
          <cell r="G362" t="str">
            <v>OrthoLite X-35-Nike YELLOW/13-0858TPX Flat Sheet 0.145D 25+/-4 Asker C 1.1M 2M 5.5mm</v>
          </cell>
          <cell r="H362">
            <v>25</v>
          </cell>
          <cell r="I362">
            <v>25</v>
          </cell>
          <cell r="J362">
            <v>25</v>
          </cell>
          <cell r="K362">
            <v>0</v>
          </cell>
          <cell r="L362"/>
          <cell r="M362" t="str">
            <v>MPS</v>
          </cell>
          <cell r="N362" t="str">
            <v>SPLITTING</v>
          </cell>
          <cell r="O362">
            <v>2</v>
          </cell>
          <cell r="P362">
            <v>46062</v>
          </cell>
          <cell r="Q362">
            <v>46092</v>
          </cell>
          <cell r="R362">
            <v>46089</v>
          </cell>
          <cell r="S362">
            <v>30</v>
          </cell>
          <cell r="T362">
            <v>5.5</v>
          </cell>
          <cell r="U362">
            <v>25</v>
          </cell>
          <cell r="V362">
            <v>1</v>
          </cell>
          <cell r="W362" t="str">
            <v>0.145D</v>
          </cell>
          <cell r="X362" t="str">
            <v>3-2026</v>
          </cell>
          <cell r="Y362" t="str">
            <v>Week 10</v>
          </cell>
          <cell r="Z362">
            <v>46083</v>
          </cell>
          <cell r="AA362">
            <v>111</v>
          </cell>
          <cell r="AB362">
            <v>0.04</v>
          </cell>
        </row>
        <row r="363">
          <cell r="A363" t="str">
            <v>F-2026-02-123</v>
          </cell>
          <cell r="B363"/>
          <cell r="C363" t="str">
            <v>RPRO-260209-0666</v>
          </cell>
          <cell r="D363" t="str">
            <v>MPS 6.2+7.2+8.2</v>
          </cell>
          <cell r="E363" t="str">
            <v>BDB-000348</v>
          </cell>
          <cell r="F363" t="str">
            <v>PVN-004210</v>
          </cell>
          <cell r="G363" t="str">
            <v>OrthoLite IMPERIAL SEEDPEARL/12-0703TPX Flat Sheet 0.22D 25+/-4 Asker C 1.1M 1.47M 5mm</v>
          </cell>
          <cell r="H363">
            <v>252</v>
          </cell>
          <cell r="I363">
            <v>252</v>
          </cell>
          <cell r="J363">
            <v>252</v>
          </cell>
          <cell r="K363">
            <v>0</v>
          </cell>
          <cell r="L363"/>
          <cell r="M363" t="str">
            <v>MPS</v>
          </cell>
          <cell r="N363" t="str">
            <v>SPLITTING</v>
          </cell>
          <cell r="O363">
            <v>2</v>
          </cell>
          <cell r="P363">
            <v>46062</v>
          </cell>
          <cell r="Q363">
            <v>46094</v>
          </cell>
          <cell r="R363">
            <v>46091</v>
          </cell>
          <cell r="S363">
            <v>32</v>
          </cell>
          <cell r="T363">
            <v>5</v>
          </cell>
          <cell r="U363">
            <v>28</v>
          </cell>
          <cell r="V363">
            <v>9</v>
          </cell>
          <cell r="W363" t="e">
            <v>#N/A</v>
          </cell>
          <cell r="X363" t="str">
            <v>3-2026</v>
          </cell>
          <cell r="Y363" t="str">
            <v>Week 10</v>
          </cell>
          <cell r="Z363">
            <v>46083</v>
          </cell>
          <cell r="AA363">
            <v>11</v>
          </cell>
          <cell r="AB363">
            <v>3.5709999999999999E-2</v>
          </cell>
        </row>
        <row r="364">
          <cell r="A364" t="str">
            <v>F-2026-02-124</v>
          </cell>
          <cell r="B364"/>
          <cell r="C364" t="str">
            <v>RPRO-260209-0667</v>
          </cell>
          <cell r="D364" t="str">
            <v>Pro.sche.report 6.2+7.2</v>
          </cell>
          <cell r="E364" t="str">
            <v>BDB-000209</v>
          </cell>
          <cell r="F364" t="str">
            <v>PVN-003462</v>
          </cell>
          <cell r="G364" t="str">
            <v>OrthoLite HybridPlus-Recycled MINT GREEN/11-4805TPX Hybrid Flat Sheet 0.12D 25+/-4 Asker C 1.1M 2M 12mm</v>
          </cell>
          <cell r="H364">
            <v>209</v>
          </cell>
          <cell r="I364">
            <v>209</v>
          </cell>
          <cell r="J364">
            <v>209</v>
          </cell>
          <cell r="K364">
            <v>0</v>
          </cell>
          <cell r="L364" t="str">
            <v>BROOKS</v>
          </cell>
          <cell r="M364" t="str">
            <v>Pr.Sch.R</v>
          </cell>
          <cell r="N364" t="str">
            <v>MOLDED</v>
          </cell>
          <cell r="O364">
            <v>1</v>
          </cell>
          <cell r="P364">
            <v>46062</v>
          </cell>
          <cell r="Q364">
            <v>46084</v>
          </cell>
          <cell r="R364">
            <v>46081</v>
          </cell>
          <cell r="S364">
            <v>22</v>
          </cell>
          <cell r="T364">
            <v>12</v>
          </cell>
          <cell r="U364">
            <v>11</v>
          </cell>
          <cell r="V364">
            <v>20</v>
          </cell>
          <cell r="W364" t="str">
            <v>0.12D</v>
          </cell>
          <cell r="X364" t="str">
            <v>3-2026</v>
          </cell>
          <cell r="Y364" t="str">
            <v>Week 9</v>
          </cell>
          <cell r="Z364">
            <v>46076</v>
          </cell>
          <cell r="AA364">
            <v>65</v>
          </cell>
          <cell r="AB364">
            <v>9.0910000000000005E-2</v>
          </cell>
        </row>
        <row r="365">
          <cell r="A365" t="str">
            <v>F-2026-02-125</v>
          </cell>
          <cell r="B365"/>
          <cell r="C365" t="str">
            <v>RPRO-260209-0668</v>
          </cell>
          <cell r="D365" t="str">
            <v>Pro.sche.report 6.2+7.2</v>
          </cell>
          <cell r="E365" t="str">
            <v>BDB-000052</v>
          </cell>
          <cell r="F365" t="str">
            <v>PVN-003603</v>
          </cell>
          <cell r="G365" t="str">
            <v>OrthoLite X-40 TRUE BLUE/19-4057TPX Flat Sheet 0.16D 25+/-4 Asker C 1.1M 1.47M 12mm</v>
          </cell>
          <cell r="H365">
            <v>22</v>
          </cell>
          <cell r="I365">
            <v>22</v>
          </cell>
          <cell r="J365">
            <v>22</v>
          </cell>
          <cell r="K365">
            <v>0</v>
          </cell>
          <cell r="L365" t="str">
            <v>ASICS</v>
          </cell>
          <cell r="M365" t="str">
            <v>Pr.Sch.R</v>
          </cell>
          <cell r="N365" t="str">
            <v>MOLDED</v>
          </cell>
          <cell r="O365">
            <v>1</v>
          </cell>
          <cell r="P365">
            <v>46062</v>
          </cell>
          <cell r="Q365">
            <v>46092</v>
          </cell>
          <cell r="R365">
            <v>46089</v>
          </cell>
          <cell r="S365">
            <v>30</v>
          </cell>
          <cell r="T365">
            <v>12</v>
          </cell>
          <cell r="U365">
            <v>11.5</v>
          </cell>
          <cell r="V365">
            <v>2</v>
          </cell>
          <cell r="W365" t="str">
            <v>0.16D</v>
          </cell>
          <cell r="X365" t="str">
            <v>3-2026</v>
          </cell>
          <cell r="Y365" t="str">
            <v>Week 10</v>
          </cell>
          <cell r="Z365">
            <v>46083</v>
          </cell>
          <cell r="AA365">
            <v>238</v>
          </cell>
          <cell r="AB365">
            <v>8.6959999999999996E-2</v>
          </cell>
        </row>
        <row r="366">
          <cell r="A366" t="str">
            <v>F-2026-02-126</v>
          </cell>
          <cell r="B366"/>
          <cell r="C366" t="str">
            <v>RPRO-260209-0669</v>
          </cell>
          <cell r="D366" t="str">
            <v>Pro.sche.report 6.2+7.2</v>
          </cell>
          <cell r="E366" t="str">
            <v>BDB-000212</v>
          </cell>
          <cell r="F366" t="str">
            <v>PVN-003460</v>
          </cell>
          <cell r="G366" t="str">
            <v>OrthoLite X-25-Hybrid SEEDPEARL/12-0703TPX Hybrid Flat Sheet 0.12D 20+/-4 Asker C 1.1M 2M 5.5mm</v>
          </cell>
          <cell r="H366">
            <v>25</v>
          </cell>
          <cell r="I366">
            <v>25</v>
          </cell>
          <cell r="J366">
            <v>25</v>
          </cell>
          <cell r="K366">
            <v>0</v>
          </cell>
          <cell r="L366" t="str">
            <v>ON RUNNING</v>
          </cell>
          <cell r="M366" t="str">
            <v>Pr.Sch.R</v>
          </cell>
          <cell r="N366" t="str">
            <v>MOLDED</v>
          </cell>
          <cell r="O366">
            <v>1</v>
          </cell>
          <cell r="P366">
            <v>46062</v>
          </cell>
          <cell r="Q366">
            <v>46083</v>
          </cell>
          <cell r="R366">
            <v>46080</v>
          </cell>
          <cell r="S366">
            <v>21</v>
          </cell>
          <cell r="T366">
            <v>5.5</v>
          </cell>
          <cell r="U366">
            <v>25</v>
          </cell>
          <cell r="V366">
            <v>1</v>
          </cell>
          <cell r="W366" t="str">
            <v>0.12D</v>
          </cell>
          <cell r="X366" t="str">
            <v>3-2026</v>
          </cell>
          <cell r="Y366" t="str">
            <v>Week 9</v>
          </cell>
          <cell r="Z366">
            <v>46076</v>
          </cell>
          <cell r="AA366">
            <v>26</v>
          </cell>
          <cell r="AB366">
            <v>0.04</v>
          </cell>
        </row>
        <row r="367">
          <cell r="A367" t="str">
            <v>F-2026-02-127</v>
          </cell>
          <cell r="B367"/>
          <cell r="C367" t="str">
            <v>RPRO-260209-0670</v>
          </cell>
          <cell r="D367" t="str">
            <v>Pro.sche.report 6.2+7.2</v>
          </cell>
          <cell r="E367" t="str">
            <v>BDB-000209</v>
          </cell>
          <cell r="F367" t="str">
            <v>PVN-003537</v>
          </cell>
          <cell r="G367" t="str">
            <v>OrthoLite HybridPlus-Recycled MINT GREEN/11-4805TPX Hybrid Flat Sheet 0.12D 25+/-4 Asker C 1.1M 2M 4.5mm</v>
          </cell>
          <cell r="H367">
            <v>1426</v>
          </cell>
          <cell r="I367">
            <v>1426</v>
          </cell>
          <cell r="J367">
            <v>1426</v>
          </cell>
          <cell r="K367">
            <v>0</v>
          </cell>
          <cell r="L367" t="str">
            <v>ON RUNNING</v>
          </cell>
          <cell r="M367" t="str">
            <v>Pr.Sch.R</v>
          </cell>
          <cell r="N367" t="str">
            <v>MOLDED</v>
          </cell>
          <cell r="O367">
            <v>1</v>
          </cell>
          <cell r="P367">
            <v>46062</v>
          </cell>
          <cell r="Q367">
            <v>46094</v>
          </cell>
          <cell r="R367">
            <v>46091</v>
          </cell>
          <cell r="S367">
            <v>32</v>
          </cell>
          <cell r="T367">
            <v>4.5</v>
          </cell>
          <cell r="U367">
            <v>31</v>
          </cell>
          <cell r="V367">
            <v>47</v>
          </cell>
          <cell r="W367" t="str">
            <v>0.12D</v>
          </cell>
          <cell r="X367" t="str">
            <v>3-2026</v>
          </cell>
          <cell r="Y367" t="str">
            <v>Week 10</v>
          </cell>
          <cell r="Z367">
            <v>46083</v>
          </cell>
          <cell r="AA367">
            <v>27</v>
          </cell>
          <cell r="AB367">
            <v>3.2259999999999997E-2</v>
          </cell>
        </row>
        <row r="368">
          <cell r="A368" t="str">
            <v>F-2026-02-128</v>
          </cell>
          <cell r="B368"/>
          <cell r="C368" t="str">
            <v>RPRO-260209-0671</v>
          </cell>
          <cell r="D368" t="str">
            <v>Pro.sche.report 6.2+7.2</v>
          </cell>
          <cell r="E368" t="str">
            <v>BDB-000319</v>
          </cell>
          <cell r="F368" t="str">
            <v>PVN-004081</v>
          </cell>
          <cell r="G368" t="str">
            <v>OrthoLite X-40-Hybrid-Nike SEEDPEARL/12-0703TPX Hybrid Flat Sheet 0.16D 25+/-4 Asker C 1.1M 2M 6mm</v>
          </cell>
          <cell r="H368">
            <v>1495</v>
          </cell>
          <cell r="I368">
            <v>1495</v>
          </cell>
          <cell r="J368">
            <v>1495</v>
          </cell>
          <cell r="K368">
            <v>0</v>
          </cell>
          <cell r="L368" t="str">
            <v>NIKE</v>
          </cell>
          <cell r="M368" t="str">
            <v>Pr.Sch.R</v>
          </cell>
          <cell r="N368" t="str">
            <v>MOLDED</v>
          </cell>
          <cell r="O368">
            <v>1</v>
          </cell>
          <cell r="P368">
            <v>46062</v>
          </cell>
          <cell r="Q368">
            <v>46092</v>
          </cell>
          <cell r="R368">
            <v>46089</v>
          </cell>
          <cell r="S368">
            <v>30</v>
          </cell>
          <cell r="T368">
            <v>6</v>
          </cell>
          <cell r="U368">
            <v>23</v>
          </cell>
          <cell r="V368">
            <v>66</v>
          </cell>
          <cell r="W368" t="e">
            <v>#N/A</v>
          </cell>
          <cell r="X368" t="str">
            <v>3-2026</v>
          </cell>
          <cell r="Y368" t="str">
            <v>Week 10</v>
          </cell>
          <cell r="Z368">
            <v>46083</v>
          </cell>
          <cell r="AA368">
            <v>70</v>
          </cell>
          <cell r="AB368">
            <v>4.3479999999999998E-2</v>
          </cell>
        </row>
        <row r="369">
          <cell r="A369" t="str">
            <v>F-2026-02-129</v>
          </cell>
          <cell r="B369"/>
          <cell r="C369" t="str">
            <v>RPRO-260209-0672</v>
          </cell>
          <cell r="D369" t="str">
            <v>Pro.sche.report 6.2+7.2</v>
          </cell>
          <cell r="E369" t="str">
            <v>BDB-000123</v>
          </cell>
          <cell r="F369" t="str">
            <v>PVN-002539</v>
          </cell>
          <cell r="G369" t="str">
            <v>OrthoLite Ultra-Hybrid SEEDPEARL/12-0703TPX Hybrid Flat Sheet 0.085D 25+/-4 Asker C 1.1M 2M 5mm</v>
          </cell>
          <cell r="H369">
            <v>252</v>
          </cell>
          <cell r="I369">
            <v>252</v>
          </cell>
          <cell r="J369">
            <v>252</v>
          </cell>
          <cell r="K369">
            <v>0</v>
          </cell>
          <cell r="L369" t="str">
            <v>BROOKS</v>
          </cell>
          <cell r="M369" t="str">
            <v>Pr.Sch.R</v>
          </cell>
          <cell r="N369" t="str">
            <v>DIE CUT</v>
          </cell>
          <cell r="O369">
            <v>1</v>
          </cell>
          <cell r="P369">
            <v>46062</v>
          </cell>
          <cell r="Q369">
            <v>46095</v>
          </cell>
          <cell r="R369">
            <v>46092</v>
          </cell>
          <cell r="S369">
            <v>33</v>
          </cell>
          <cell r="T369">
            <v>5</v>
          </cell>
          <cell r="U369">
            <v>28</v>
          </cell>
          <cell r="V369">
            <v>9</v>
          </cell>
          <cell r="W369" t="str">
            <v>0.085D</v>
          </cell>
          <cell r="X369" t="str">
            <v>3-2026</v>
          </cell>
          <cell r="Y369" t="str">
            <v>Week 11</v>
          </cell>
          <cell r="Z369">
            <v>46090</v>
          </cell>
          <cell r="AA369">
            <v>24</v>
          </cell>
          <cell r="AB369">
            <v>3.5709999999999999E-2</v>
          </cell>
        </row>
        <row r="370">
          <cell r="A370" t="str">
            <v>F-2026-02-130</v>
          </cell>
          <cell r="B370"/>
          <cell r="C370" t="str">
            <v>RPRO-260209-0673</v>
          </cell>
          <cell r="D370" t="str">
            <v>Pro.sche.report 6.2+7.2</v>
          </cell>
          <cell r="E370" t="str">
            <v>BDB-000157</v>
          </cell>
          <cell r="F370" t="str">
            <v>PVN-003642</v>
          </cell>
          <cell r="G370" t="str">
            <v>OrthoLite X-35-Hybrid-Nike SEEDPEARL/12-0703TPX Hybrid Flat Sheet 0.145D 25+/-4 Asker C 1.1M 2M 6.2mm</v>
          </cell>
          <cell r="H370">
            <v>22</v>
          </cell>
          <cell r="I370">
            <v>22</v>
          </cell>
          <cell r="J370">
            <v>22</v>
          </cell>
          <cell r="K370">
            <v>0</v>
          </cell>
          <cell r="L370" t="str">
            <v>NIKE</v>
          </cell>
          <cell r="M370" t="str">
            <v>Pr.Sch.R</v>
          </cell>
          <cell r="N370" t="str">
            <v>MOLDED</v>
          </cell>
          <cell r="O370">
            <v>1</v>
          </cell>
          <cell r="P370">
            <v>46062</v>
          </cell>
          <cell r="Q370">
            <v>46085</v>
          </cell>
          <cell r="R370">
            <v>46082</v>
          </cell>
          <cell r="S370">
            <v>23</v>
          </cell>
          <cell r="T370">
            <v>6.2</v>
          </cell>
          <cell r="U370">
            <v>22</v>
          </cell>
          <cell r="V370">
            <v>1</v>
          </cell>
          <cell r="W370" t="str">
            <v>0.145D</v>
          </cell>
          <cell r="X370" t="str">
            <v>3-2026</v>
          </cell>
          <cell r="Y370" t="str">
            <v>Week 9</v>
          </cell>
          <cell r="Z370">
            <v>46076</v>
          </cell>
          <cell r="AA370">
            <v>163</v>
          </cell>
          <cell r="AB370">
            <v>4.5449999999999997E-2</v>
          </cell>
        </row>
        <row r="371">
          <cell r="A371" t="str">
            <v>F-2026-02-131</v>
          </cell>
          <cell r="B371"/>
          <cell r="C371" t="str">
            <v>RPRO-260209-0674</v>
          </cell>
          <cell r="D371" t="str">
            <v>Pro.sche.report 6.2+7.2</v>
          </cell>
          <cell r="E371" t="str">
            <v>BDB-000076</v>
          </cell>
          <cell r="F371" t="str">
            <v>PVN-003745</v>
          </cell>
          <cell r="G371" t="str">
            <v>OrthoLite X-25 BILLIARD/16-5427TPX Flat Sheet 0.12D 20+/-4 Asker C 1.1M 2M 16mm</v>
          </cell>
          <cell r="H371">
            <v>8</v>
          </cell>
          <cell r="I371">
            <v>8</v>
          </cell>
          <cell r="J371">
            <v>8</v>
          </cell>
          <cell r="K371">
            <v>0</v>
          </cell>
          <cell r="L371" t="str">
            <v>FOOTJOY</v>
          </cell>
          <cell r="M371" t="str">
            <v>Pr.Sch.R</v>
          </cell>
          <cell r="N371" t="str">
            <v>MOLDED</v>
          </cell>
          <cell r="O371">
            <v>1</v>
          </cell>
          <cell r="P371">
            <v>46062</v>
          </cell>
          <cell r="Q371">
            <v>46088</v>
          </cell>
          <cell r="R371">
            <v>46085</v>
          </cell>
          <cell r="S371">
            <v>26</v>
          </cell>
          <cell r="T371">
            <v>16</v>
          </cell>
          <cell r="U371">
            <v>8</v>
          </cell>
          <cell r="V371">
            <v>1</v>
          </cell>
          <cell r="W371" t="str">
            <v>0.12D</v>
          </cell>
          <cell r="X371" t="str">
            <v>3-2026</v>
          </cell>
          <cell r="Y371" t="str">
            <v>Week 10</v>
          </cell>
          <cell r="Z371">
            <v>46083</v>
          </cell>
          <cell r="AA371">
            <v>32</v>
          </cell>
          <cell r="AB371">
            <v>0.125</v>
          </cell>
        </row>
        <row r="372">
          <cell r="A372" t="str">
            <v>F-2026-02-132</v>
          </cell>
          <cell r="B372"/>
          <cell r="C372" t="str">
            <v>RPRO-260209-0675</v>
          </cell>
          <cell r="D372" t="str">
            <v>Pro.sche.report 6.2+7.2</v>
          </cell>
          <cell r="E372" t="str">
            <v>BDB-000212</v>
          </cell>
          <cell r="F372" t="str">
            <v>PVN-003458</v>
          </cell>
          <cell r="G372" t="str">
            <v>OrthoLite X-25-Hybrid SEEDPEARL/12-0703TPX Hybrid Flat Sheet 0.12D 20+/-4 Asker C 1.1M 2M 4mm</v>
          </cell>
          <cell r="H372">
            <v>70</v>
          </cell>
          <cell r="I372">
            <v>70</v>
          </cell>
          <cell r="J372">
            <v>70</v>
          </cell>
          <cell r="K372">
            <v>0</v>
          </cell>
          <cell r="L372" t="str">
            <v>ON RUNNING</v>
          </cell>
          <cell r="M372" t="str">
            <v>Pr.Sch.R</v>
          </cell>
          <cell r="N372" t="str">
            <v>DIE CUT</v>
          </cell>
          <cell r="O372">
            <v>1</v>
          </cell>
          <cell r="P372">
            <v>46062</v>
          </cell>
          <cell r="Q372">
            <v>46094</v>
          </cell>
          <cell r="R372">
            <v>46091</v>
          </cell>
          <cell r="S372">
            <v>32</v>
          </cell>
          <cell r="T372">
            <v>4</v>
          </cell>
          <cell r="U372">
            <v>35</v>
          </cell>
          <cell r="V372">
            <v>2</v>
          </cell>
          <cell r="W372" t="str">
            <v>0.12D</v>
          </cell>
          <cell r="X372" t="str">
            <v>3-2026</v>
          </cell>
          <cell r="Y372" t="str">
            <v>Week 10</v>
          </cell>
          <cell r="Z372">
            <v>46083</v>
          </cell>
          <cell r="AA372">
            <v>149</v>
          </cell>
          <cell r="AB372">
            <v>2.8570000000000002E-2</v>
          </cell>
        </row>
        <row r="373">
          <cell r="A373" t="str">
            <v>F-2026-02-133</v>
          </cell>
          <cell r="B373"/>
          <cell r="C373" t="str">
            <v>RPRO-260209-0676</v>
          </cell>
          <cell r="D373" t="str">
            <v>Pro.sche.report 6.2+7.2</v>
          </cell>
          <cell r="E373" t="str">
            <v>BDB-000213</v>
          </cell>
          <cell r="F373" t="str">
            <v>PVN-003752</v>
          </cell>
          <cell r="G373" t="str">
            <v>OrthoLite X-25-Hybrid SEEDPEARL/12-0703TPX Hybrid Flat Sheet 0.12D 20+/-4 Asker C 1.1M 1.47M 4.5mm</v>
          </cell>
          <cell r="H373">
            <v>248</v>
          </cell>
          <cell r="I373">
            <v>248</v>
          </cell>
          <cell r="J373">
            <v>248</v>
          </cell>
          <cell r="K373">
            <v>0</v>
          </cell>
          <cell r="L373" t="str">
            <v>ON RUNNING</v>
          </cell>
          <cell r="M373" t="str">
            <v>Pr.Sch.R</v>
          </cell>
          <cell r="N373" t="str">
            <v>MOLDED</v>
          </cell>
          <cell r="O373">
            <v>1</v>
          </cell>
          <cell r="P373">
            <v>46062</v>
          </cell>
          <cell r="Q373">
            <v>46086</v>
          </cell>
          <cell r="R373">
            <v>46083</v>
          </cell>
          <cell r="S373">
            <v>24</v>
          </cell>
          <cell r="T373">
            <v>4.5</v>
          </cell>
          <cell r="U373">
            <v>31</v>
          </cell>
          <cell r="V373">
            <v>9</v>
          </cell>
          <cell r="W373" t="str">
            <v>0.12D</v>
          </cell>
          <cell r="X373" t="str">
            <v>3-2026</v>
          </cell>
          <cell r="Y373" t="str">
            <v>Week 9</v>
          </cell>
          <cell r="Z373">
            <v>46076</v>
          </cell>
          <cell r="AA373">
            <v>0</v>
          </cell>
          <cell r="AB373">
            <v>3.2259999999999997E-2</v>
          </cell>
        </row>
        <row r="374">
          <cell r="A374" t="str">
            <v>F-2026-02-134</v>
          </cell>
          <cell r="B374"/>
          <cell r="C374" t="str">
            <v>RPRO-260209-0677</v>
          </cell>
          <cell r="D374" t="str">
            <v>Pro.sche.report 6.2+7.2</v>
          </cell>
          <cell r="E374" t="str">
            <v>BDB-000217</v>
          </cell>
          <cell r="F374" t="str">
            <v>PVN-003483</v>
          </cell>
          <cell r="G374" t="str">
            <v>OrthoLite X-40-Hybrid SEEDPEARL/12-0703TPX Hybrid Flat Sheet 0.16D 35+/-4 Asker C 1.1M 1.7M 12mm</v>
          </cell>
          <cell r="H374">
            <v>132</v>
          </cell>
          <cell r="I374">
            <v>132</v>
          </cell>
          <cell r="J374">
            <v>132</v>
          </cell>
          <cell r="K374">
            <v>0</v>
          </cell>
          <cell r="L374" t="str">
            <v>BROOKS</v>
          </cell>
          <cell r="M374" t="str">
            <v>Pr.Sch.R</v>
          </cell>
          <cell r="N374" t="str">
            <v>MOLDED</v>
          </cell>
          <cell r="O374">
            <v>1</v>
          </cell>
          <cell r="P374">
            <v>46062</v>
          </cell>
          <cell r="Q374">
            <v>46094</v>
          </cell>
          <cell r="R374">
            <v>46091</v>
          </cell>
          <cell r="S374">
            <v>32</v>
          </cell>
          <cell r="T374">
            <v>12</v>
          </cell>
          <cell r="U374">
            <v>11</v>
          </cell>
          <cell r="V374">
            <v>13</v>
          </cell>
          <cell r="W374" t="str">
            <v>0.16D</v>
          </cell>
          <cell r="X374" t="str">
            <v>3-2026</v>
          </cell>
          <cell r="Y374" t="str">
            <v>Week 10</v>
          </cell>
          <cell r="Z374">
            <v>46083</v>
          </cell>
          <cell r="AA374">
            <v>100</v>
          </cell>
          <cell r="AB374">
            <v>9.0910000000000005E-2</v>
          </cell>
        </row>
        <row r="375">
          <cell r="A375" t="str">
            <v>F-2026-02-135</v>
          </cell>
          <cell r="B375"/>
          <cell r="C375" t="str">
            <v>RPRO-260209-0678</v>
          </cell>
          <cell r="D375" t="str">
            <v>Pro.sche.report 6.2+7.2</v>
          </cell>
          <cell r="E375" t="str">
            <v>BDB-000076</v>
          </cell>
          <cell r="F375" t="str">
            <v>PVN-003494</v>
          </cell>
          <cell r="G375" t="str">
            <v>OrthoLite X-25 BILLIARD/16-5427TPX Flat Sheet 0.12D 20+/-4 Asker C 1.1M 2M 5.5mm</v>
          </cell>
          <cell r="H375">
            <v>25</v>
          </cell>
          <cell r="I375">
            <v>25</v>
          </cell>
          <cell r="J375">
            <v>25</v>
          </cell>
          <cell r="K375">
            <v>0</v>
          </cell>
          <cell r="L375" t="str">
            <v>LOTTO</v>
          </cell>
          <cell r="M375" t="str">
            <v>Pr.Sch.R</v>
          </cell>
          <cell r="N375" t="str">
            <v>MOLDED</v>
          </cell>
          <cell r="O375">
            <v>1</v>
          </cell>
          <cell r="P375">
            <v>46062</v>
          </cell>
          <cell r="Q375">
            <v>46088</v>
          </cell>
          <cell r="R375">
            <v>46085</v>
          </cell>
          <cell r="S375">
            <v>26</v>
          </cell>
          <cell r="T375">
            <v>5.5</v>
          </cell>
          <cell r="U375">
            <v>25</v>
          </cell>
          <cell r="V375">
            <v>1</v>
          </cell>
          <cell r="W375" t="str">
            <v>0.12D</v>
          </cell>
          <cell r="X375" t="str">
            <v>3-2026</v>
          </cell>
          <cell r="Y375" t="str">
            <v>Week 10</v>
          </cell>
          <cell r="Z375">
            <v>46083</v>
          </cell>
          <cell r="AA375">
            <v>33</v>
          </cell>
          <cell r="AB375">
            <v>0.04</v>
          </cell>
        </row>
        <row r="376">
          <cell r="A376" t="str">
            <v>F-2026-02-136</v>
          </cell>
          <cell r="B376"/>
          <cell r="C376" t="str">
            <v>RPRO-260209-0679</v>
          </cell>
          <cell r="D376" t="str">
            <v>Pro.sche.report 6.2+7.2</v>
          </cell>
          <cell r="E376" t="str">
            <v>BDB-000340</v>
          </cell>
          <cell r="F376" t="str">
            <v>PVN-004177</v>
          </cell>
          <cell r="G376" t="str">
            <v>OrthoLite Float SEEDPEARL/12-0703TPX Flat Sheet 0.12D 21+/-4 Asker C 1.1M 2M 5.5mm</v>
          </cell>
          <cell r="H376">
            <v>100</v>
          </cell>
          <cell r="I376">
            <v>100</v>
          </cell>
          <cell r="J376">
            <v>100</v>
          </cell>
          <cell r="K376">
            <v>0</v>
          </cell>
          <cell r="L376" t="str">
            <v>ON RUNNING</v>
          </cell>
          <cell r="M376" t="str">
            <v>Pr.Sch.R</v>
          </cell>
          <cell r="N376" t="str">
            <v>MOLDED</v>
          </cell>
          <cell r="O376">
            <v>1</v>
          </cell>
          <cell r="P376">
            <v>46062</v>
          </cell>
          <cell r="Q376">
            <v>46093</v>
          </cell>
          <cell r="R376">
            <v>46090</v>
          </cell>
          <cell r="S376">
            <v>31</v>
          </cell>
          <cell r="T376">
            <v>5.5</v>
          </cell>
          <cell r="U376">
            <v>25</v>
          </cell>
          <cell r="V376">
            <v>4</v>
          </cell>
          <cell r="W376" t="e">
            <v>#N/A</v>
          </cell>
          <cell r="X376" t="str">
            <v>3-2026</v>
          </cell>
          <cell r="Y376" t="str">
            <v>Week 10</v>
          </cell>
          <cell r="Z376">
            <v>46083</v>
          </cell>
          <cell r="AA376">
            <v>7</v>
          </cell>
          <cell r="AB376">
            <v>0.04</v>
          </cell>
        </row>
        <row r="377">
          <cell r="A377" t="str">
            <v>F-2026-02-137</v>
          </cell>
          <cell r="B377"/>
          <cell r="C377" t="str">
            <v>RPRO-260209-0680</v>
          </cell>
          <cell r="D377" t="str">
            <v>Pro.sche.report 6.2+7.2</v>
          </cell>
          <cell r="E377" t="str">
            <v>BDB-000076</v>
          </cell>
          <cell r="F377" t="str">
            <v>PVN-004091</v>
          </cell>
          <cell r="G377" t="str">
            <v>OrthoLite X-25 BILLIARD/16-5427TPX Flat Sheet 0.12D 20+/-4 Asker C 1.1M 2M 3.5mm</v>
          </cell>
          <cell r="H377">
            <v>400</v>
          </cell>
          <cell r="I377">
            <v>400</v>
          </cell>
          <cell r="J377">
            <v>400</v>
          </cell>
          <cell r="K377">
            <v>0</v>
          </cell>
          <cell r="L377" t="str">
            <v>BROOKS</v>
          </cell>
          <cell r="M377" t="str">
            <v>Pr.Sch.R</v>
          </cell>
          <cell r="N377" t="str">
            <v>MOLDED</v>
          </cell>
          <cell r="O377">
            <v>1</v>
          </cell>
          <cell r="P377">
            <v>46062</v>
          </cell>
          <cell r="Q377">
            <v>46094</v>
          </cell>
          <cell r="R377">
            <v>46091</v>
          </cell>
          <cell r="S377">
            <v>32</v>
          </cell>
          <cell r="T377">
            <v>3.5</v>
          </cell>
          <cell r="U377">
            <v>40</v>
          </cell>
          <cell r="V377">
            <v>10</v>
          </cell>
          <cell r="W377" t="str">
            <v>0.12D</v>
          </cell>
          <cell r="X377" t="str">
            <v>3-2026</v>
          </cell>
          <cell r="Y377" t="str">
            <v>Week 10</v>
          </cell>
          <cell r="Z377">
            <v>46083</v>
          </cell>
          <cell r="AA377">
            <v>209</v>
          </cell>
          <cell r="AB377">
            <v>2.5000000000000001E-2</v>
          </cell>
        </row>
        <row r="378">
          <cell r="A378" t="str">
            <v>F-2026-02-138</v>
          </cell>
          <cell r="B378"/>
          <cell r="C378" t="str">
            <v>RPRO-260209-0681</v>
          </cell>
          <cell r="D378" t="str">
            <v>Pro.sche.report 6.2+7.2</v>
          </cell>
          <cell r="E378" t="str">
            <v>BDB-000149</v>
          </cell>
          <cell r="F378" t="str">
            <v>PVN-002773</v>
          </cell>
          <cell r="G378" t="str">
            <v>OrthoLite Regular-Hybrid-Nike SEEDPEARL/12-0703TPX Hybrid Flat Sheet 0.11D 25+/-4 Asker C 1.1M 2M 4mm</v>
          </cell>
          <cell r="H378">
            <v>70</v>
          </cell>
          <cell r="I378">
            <v>70</v>
          </cell>
          <cell r="J378">
            <v>70</v>
          </cell>
          <cell r="K378">
            <v>0</v>
          </cell>
          <cell r="L378" t="str">
            <v>NIKE</v>
          </cell>
          <cell r="M378" t="str">
            <v>Pr.Sch.R</v>
          </cell>
          <cell r="N378" t="str">
            <v>DIE CUT</v>
          </cell>
          <cell r="O378">
            <v>1</v>
          </cell>
          <cell r="P378">
            <v>46062</v>
          </cell>
          <cell r="Q378">
            <v>46086</v>
          </cell>
          <cell r="R378">
            <v>46083</v>
          </cell>
          <cell r="S378">
            <v>24</v>
          </cell>
          <cell r="T378">
            <v>4</v>
          </cell>
          <cell r="U378">
            <v>35</v>
          </cell>
          <cell r="V378">
            <v>2</v>
          </cell>
          <cell r="W378" t="str">
            <v>0.11D</v>
          </cell>
          <cell r="X378" t="str">
            <v>3-2026</v>
          </cell>
          <cell r="Y378" t="str">
            <v>Week 9</v>
          </cell>
          <cell r="Z378">
            <v>46076</v>
          </cell>
          <cell r="AA378">
            <v>87</v>
          </cell>
          <cell r="AB378">
            <v>2.8570000000000002E-2</v>
          </cell>
        </row>
        <row r="379">
          <cell r="A379" t="str">
            <v>F-2026-02-139</v>
          </cell>
          <cell r="B379"/>
          <cell r="C379" t="str">
            <v>RPRO-260210-0617</v>
          </cell>
          <cell r="D379" t="str">
            <v>MPS 09.2</v>
          </cell>
          <cell r="E379" t="str">
            <v>BDB-000348</v>
          </cell>
          <cell r="F379" t="str">
            <v>PVN-004195</v>
          </cell>
          <cell r="G379" t="str">
            <v>OrthoLite IMPERIAL SEEDPEARL/12-0703TPX Flat Sheet 0.22D 25+/-4 Asker C 1.1M 1.47M 4mm</v>
          </cell>
          <cell r="H379">
            <v>3605</v>
          </cell>
          <cell r="I379">
            <v>3605</v>
          </cell>
          <cell r="J379">
            <v>3605</v>
          </cell>
          <cell r="K379">
            <v>0</v>
          </cell>
          <cell r="L379"/>
          <cell r="M379" t="str">
            <v>MPS</v>
          </cell>
          <cell r="N379" t="str">
            <v>SPLITTING</v>
          </cell>
          <cell r="O379">
            <v>2</v>
          </cell>
          <cell r="P379">
            <v>46063</v>
          </cell>
          <cell r="Q379">
            <v>46091</v>
          </cell>
          <cell r="R379">
            <v>46088</v>
          </cell>
          <cell r="S379">
            <v>28</v>
          </cell>
          <cell r="T379">
            <v>4</v>
          </cell>
          <cell r="U379">
            <v>35</v>
          </cell>
          <cell r="V379">
            <v>103</v>
          </cell>
          <cell r="W379" t="e">
            <v>#N/A</v>
          </cell>
          <cell r="X379" t="str">
            <v>3-2026</v>
          </cell>
          <cell r="Y379" t="str">
            <v>Week 10</v>
          </cell>
          <cell r="Z379">
            <v>46083</v>
          </cell>
          <cell r="AA379">
            <v>34</v>
          </cell>
          <cell r="AB379">
            <v>2.8570000000000002E-2</v>
          </cell>
        </row>
        <row r="380">
          <cell r="A380" t="str">
            <v>F-2026-02-140</v>
          </cell>
          <cell r="B380"/>
          <cell r="C380" t="str">
            <v>RPRO-260210-0618</v>
          </cell>
          <cell r="D380" t="str">
            <v>MPS 09.2</v>
          </cell>
          <cell r="E380" t="str">
            <v>BDB-000224</v>
          </cell>
          <cell r="F380" t="str">
            <v>PVN-004258</v>
          </cell>
          <cell r="G380" t="str">
            <v>OrthoLite R&amp;R CASTLEROCK/18-0201TPX Flat Sheet 0.16D 15+/-4 Asker C 1.1M 1.7M 3mm</v>
          </cell>
          <cell r="H380">
            <v>138</v>
          </cell>
          <cell r="I380">
            <v>138</v>
          </cell>
          <cell r="J380">
            <v>138</v>
          </cell>
          <cell r="K380">
            <v>0</v>
          </cell>
          <cell r="L380"/>
          <cell r="M380" t="str">
            <v>MPS</v>
          </cell>
          <cell r="N380" t="str">
            <v>SPLITTING</v>
          </cell>
          <cell r="O380">
            <v>2</v>
          </cell>
          <cell r="P380">
            <v>46063</v>
          </cell>
          <cell r="Q380">
            <v>46095</v>
          </cell>
          <cell r="R380">
            <v>46092</v>
          </cell>
          <cell r="S380">
            <v>32</v>
          </cell>
          <cell r="T380">
            <v>3</v>
          </cell>
          <cell r="U380">
            <v>46</v>
          </cell>
          <cell r="V380">
            <v>4</v>
          </cell>
          <cell r="W380" t="str">
            <v>0.16D</v>
          </cell>
          <cell r="X380" t="str">
            <v>3-2026</v>
          </cell>
          <cell r="Y380" t="str">
            <v>Week 11</v>
          </cell>
          <cell r="Z380">
            <v>46090</v>
          </cell>
          <cell r="AA380">
            <v>21</v>
          </cell>
          <cell r="AB380">
            <v>2.1739999999999999E-2</v>
          </cell>
        </row>
        <row r="381">
          <cell r="A381" t="str">
            <v>F-2026-02-142</v>
          </cell>
          <cell r="B381"/>
          <cell r="C381" t="str">
            <v>RPRO-260210-0620</v>
          </cell>
          <cell r="D381" t="str">
            <v>MPS 09.2</v>
          </cell>
          <cell r="E381" t="str">
            <v>BDB-000083</v>
          </cell>
          <cell r="F381" t="str">
            <v>PVN-000930</v>
          </cell>
          <cell r="G381" t="str">
            <v>OrthoLite Eco LT 300C(ADIDAS BLUEBIRD) Flat Sheet 0.11D 25+/-4 Asker C 1.1M 2M 3mm</v>
          </cell>
          <cell r="H381">
            <v>322</v>
          </cell>
          <cell r="I381">
            <v>322</v>
          </cell>
          <cell r="J381">
            <v>322</v>
          </cell>
          <cell r="K381">
            <v>0</v>
          </cell>
          <cell r="L381"/>
          <cell r="M381" t="str">
            <v>MPS</v>
          </cell>
          <cell r="N381" t="str">
            <v>SPLITTING</v>
          </cell>
          <cell r="O381">
            <v>2</v>
          </cell>
          <cell r="P381">
            <v>46063</v>
          </cell>
          <cell r="Q381">
            <v>46092</v>
          </cell>
          <cell r="R381">
            <v>46089</v>
          </cell>
          <cell r="S381">
            <v>29</v>
          </cell>
          <cell r="T381">
            <v>3</v>
          </cell>
          <cell r="U381">
            <v>46</v>
          </cell>
          <cell r="V381">
            <v>8</v>
          </cell>
          <cell r="W381" t="str">
            <v>0.11D</v>
          </cell>
          <cell r="X381" t="str">
            <v>3-2026</v>
          </cell>
          <cell r="Y381" t="str">
            <v>Week 10</v>
          </cell>
          <cell r="Z381">
            <v>46083</v>
          </cell>
          <cell r="AA381">
            <v>238</v>
          </cell>
          <cell r="AB381">
            <v>2.1739999999999999E-2</v>
          </cell>
        </row>
        <row r="382">
          <cell r="A382" t="str">
            <v>F-2026-02-143</v>
          </cell>
          <cell r="B382"/>
          <cell r="C382" t="str">
            <v>RPRO-260210-0621</v>
          </cell>
          <cell r="D382" t="str">
            <v>MPS 09.2</v>
          </cell>
          <cell r="E382" t="str">
            <v>BDB-000083</v>
          </cell>
          <cell r="F382" t="str">
            <v>PVN-000935</v>
          </cell>
          <cell r="G382" t="str">
            <v>OrthoLite Eco LT 300C(ADIDAS BLUEBIRD) Flat Sheet 0.11D 25+/-4 Asker C 1.1M 2M 4mm</v>
          </cell>
          <cell r="H382">
            <v>1645</v>
          </cell>
          <cell r="I382">
            <v>1645</v>
          </cell>
          <cell r="J382">
            <v>1645</v>
          </cell>
          <cell r="K382">
            <v>0</v>
          </cell>
          <cell r="L382"/>
          <cell r="M382" t="str">
            <v>MPS</v>
          </cell>
          <cell r="N382" t="str">
            <v>SPLITTING</v>
          </cell>
          <cell r="O382">
            <v>2</v>
          </cell>
          <cell r="P382">
            <v>46063</v>
          </cell>
          <cell r="Q382">
            <v>46086</v>
          </cell>
          <cell r="R382">
            <v>46083</v>
          </cell>
          <cell r="S382">
            <v>23</v>
          </cell>
          <cell r="T382">
            <v>4</v>
          </cell>
          <cell r="U382">
            <v>35</v>
          </cell>
          <cell r="V382">
            <v>47</v>
          </cell>
          <cell r="W382" t="str">
            <v>0.11D</v>
          </cell>
          <cell r="X382" t="str">
            <v>3-2026</v>
          </cell>
          <cell r="Y382" t="str">
            <v>Week 9</v>
          </cell>
          <cell r="Z382">
            <v>46076</v>
          </cell>
          <cell r="AA382">
            <v>45</v>
          </cell>
          <cell r="AB382">
            <v>2.8570000000000002E-2</v>
          </cell>
        </row>
        <row r="383">
          <cell r="A383" t="str">
            <v>F-2026-02-144</v>
          </cell>
          <cell r="B383"/>
          <cell r="C383" t="str">
            <v>RPRO-260210-0622</v>
          </cell>
          <cell r="D383" t="str">
            <v>MPS 09.2</v>
          </cell>
          <cell r="E383" t="str">
            <v>BDB-000033</v>
          </cell>
          <cell r="F383" t="str">
            <v>PVN-001471</v>
          </cell>
          <cell r="G383" t="str">
            <v>OrthoLite Regular SEEDPEARL/12-0703TPX 0.13D 35+/-4 Asker C 1.1M 2M 4mm</v>
          </cell>
          <cell r="H383">
            <v>35</v>
          </cell>
          <cell r="I383">
            <v>35</v>
          </cell>
          <cell r="J383">
            <v>35</v>
          </cell>
          <cell r="K383">
            <v>0</v>
          </cell>
          <cell r="L383"/>
          <cell r="M383" t="str">
            <v>MPS</v>
          </cell>
          <cell r="N383" t="str">
            <v>SPLITTING</v>
          </cell>
          <cell r="O383">
            <v>2</v>
          </cell>
          <cell r="P383">
            <v>46063</v>
          </cell>
          <cell r="Q383">
            <v>46092</v>
          </cell>
          <cell r="R383">
            <v>46089</v>
          </cell>
          <cell r="S383">
            <v>29</v>
          </cell>
          <cell r="T383">
            <v>4</v>
          </cell>
          <cell r="U383">
            <v>35</v>
          </cell>
          <cell r="V383">
            <v>1</v>
          </cell>
          <cell r="W383" t="str">
            <v>0.13D</v>
          </cell>
          <cell r="X383" t="str">
            <v>3-2026</v>
          </cell>
          <cell r="Y383" t="str">
            <v>Week 10</v>
          </cell>
          <cell r="Z383">
            <v>46083</v>
          </cell>
          <cell r="AA383">
            <v>8</v>
          </cell>
          <cell r="AB383">
            <v>2.8570000000000002E-2</v>
          </cell>
        </row>
        <row r="384">
          <cell r="A384" t="str">
            <v>F-2026-02-145</v>
          </cell>
          <cell r="B384"/>
          <cell r="C384" t="str">
            <v>RPRO-260210-0623</v>
          </cell>
          <cell r="D384" t="str">
            <v>MPS 09.2</v>
          </cell>
          <cell r="E384" t="str">
            <v>BDB-000123</v>
          </cell>
          <cell r="F384" t="str">
            <v>PVN-003315</v>
          </cell>
          <cell r="G384" t="str">
            <v>OrthoLite Ultra-Hybrid SEEDPEARL/12-0703TPX Hybrid 0.085D 25+/-4 Asker C 1.1M 2M 3.5mm</v>
          </cell>
          <cell r="H384">
            <v>320</v>
          </cell>
          <cell r="I384">
            <v>320</v>
          </cell>
          <cell r="J384">
            <v>320</v>
          </cell>
          <cell r="K384">
            <v>0</v>
          </cell>
          <cell r="L384"/>
          <cell r="M384" t="str">
            <v>MPS</v>
          </cell>
          <cell r="N384" t="str">
            <v>SPLITTING</v>
          </cell>
          <cell r="O384">
            <v>2</v>
          </cell>
          <cell r="P384">
            <v>46063</v>
          </cell>
          <cell r="Q384">
            <v>46093</v>
          </cell>
          <cell r="R384">
            <v>46090</v>
          </cell>
          <cell r="S384">
            <v>30</v>
          </cell>
          <cell r="T384">
            <v>3.5</v>
          </cell>
          <cell r="U384">
            <v>40</v>
          </cell>
          <cell r="V384">
            <v>8</v>
          </cell>
          <cell r="W384" t="str">
            <v>0.085D</v>
          </cell>
          <cell r="X384" t="str">
            <v>3-2026</v>
          </cell>
          <cell r="Y384" t="str">
            <v>Week 10</v>
          </cell>
          <cell r="Z384">
            <v>46083</v>
          </cell>
          <cell r="AA384">
            <v>16</v>
          </cell>
          <cell r="AB384">
            <v>2.5000000000000001E-2</v>
          </cell>
        </row>
        <row r="385">
          <cell r="A385" t="str">
            <v>F-2026-02-146</v>
          </cell>
          <cell r="B385"/>
          <cell r="C385" t="str">
            <v>RPRO-260210-0624</v>
          </cell>
          <cell r="D385" t="str">
            <v>MPS 09.2</v>
          </cell>
          <cell r="E385" t="str">
            <v>BDB-000200</v>
          </cell>
          <cell r="F385" t="str">
            <v>PVN-003425</v>
          </cell>
          <cell r="G385" t="str">
            <v>OrthoLite Ultra SEEDPEARL/12-0703TPX Flat Sheet 0.085D 78-90 Asker F 1.1M 2M 4mm</v>
          </cell>
          <cell r="H385">
            <v>455</v>
          </cell>
          <cell r="I385">
            <v>455</v>
          </cell>
          <cell r="J385">
            <v>455</v>
          </cell>
          <cell r="K385">
            <v>0</v>
          </cell>
          <cell r="L385"/>
          <cell r="M385" t="str">
            <v>MPS</v>
          </cell>
          <cell r="N385" t="str">
            <v>SPLITTING</v>
          </cell>
          <cell r="O385">
            <v>2</v>
          </cell>
          <cell r="P385">
            <v>46063</v>
          </cell>
          <cell r="Q385">
            <v>46088</v>
          </cell>
          <cell r="R385">
            <v>46085</v>
          </cell>
          <cell r="S385">
            <v>25</v>
          </cell>
          <cell r="T385">
            <v>4</v>
          </cell>
          <cell r="U385">
            <v>35</v>
          </cell>
          <cell r="V385">
            <v>13</v>
          </cell>
          <cell r="W385" t="str">
            <v>0.085D</v>
          </cell>
          <cell r="X385" t="str">
            <v>3-2026</v>
          </cell>
          <cell r="Y385" t="str">
            <v>Week 10</v>
          </cell>
          <cell r="Z385">
            <v>46083</v>
          </cell>
          <cell r="AA385">
            <v>10</v>
          </cell>
          <cell r="AB385">
            <v>2.8570000000000002E-2</v>
          </cell>
        </row>
        <row r="386">
          <cell r="A386" t="str">
            <v>F-2026-02-147</v>
          </cell>
          <cell r="B386"/>
          <cell r="C386" t="str">
            <v>RPRO-260210-0625</v>
          </cell>
          <cell r="D386" t="str">
            <v>MPS 09.2</v>
          </cell>
          <cell r="E386" t="str">
            <v>BDB-000348</v>
          </cell>
          <cell r="F386" t="str">
            <v>PVN-004210</v>
          </cell>
          <cell r="G386" t="str">
            <v>OrthoLite IMPERIAL SEEDPEARL/12-0703TPX Flat Sheet 0.22D 25+/-4 Asker C 1.1M 1.47M 5mm</v>
          </cell>
          <cell r="H386">
            <v>56</v>
          </cell>
          <cell r="I386">
            <v>56</v>
          </cell>
          <cell r="J386">
            <v>56</v>
          </cell>
          <cell r="K386">
            <v>0</v>
          </cell>
          <cell r="L386"/>
          <cell r="M386" t="str">
            <v>MPS</v>
          </cell>
          <cell r="N386" t="str">
            <v>SPLITTING</v>
          </cell>
          <cell r="O386">
            <v>2</v>
          </cell>
          <cell r="P386">
            <v>46063</v>
          </cell>
          <cell r="Q386">
            <v>46102</v>
          </cell>
          <cell r="R386">
            <v>46099</v>
          </cell>
          <cell r="S386">
            <v>39</v>
          </cell>
          <cell r="T386">
            <v>5</v>
          </cell>
          <cell r="U386">
            <v>28</v>
          </cell>
          <cell r="V386">
            <v>2</v>
          </cell>
          <cell r="W386" t="e">
            <v>#N/A</v>
          </cell>
          <cell r="X386" t="str">
            <v>3-2026</v>
          </cell>
          <cell r="Y386" t="str">
            <v>Week 11</v>
          </cell>
          <cell r="Z386">
            <v>46090</v>
          </cell>
          <cell r="AA386">
            <v>7</v>
          </cell>
          <cell r="AB386">
            <v>3.5709999999999999E-2</v>
          </cell>
        </row>
        <row r="387">
          <cell r="A387" t="str">
            <v>F-2026-02-148</v>
          </cell>
          <cell r="B387"/>
          <cell r="C387" t="str">
            <v>RPRO-260210-0626</v>
          </cell>
          <cell r="D387" t="str">
            <v>Pro.sche.report 09.2</v>
          </cell>
          <cell r="E387" t="str">
            <v>BDB-000209</v>
          </cell>
          <cell r="F387" t="str">
            <v>PVN-003462</v>
          </cell>
          <cell r="G387" t="str">
            <v>OrthoLite HybridPlus-Recycled MINT GREEN/11-4805TPX Hybrid Flat Sheet 0.12D 25+/-4 Asker C 1.1M 2M 12mm</v>
          </cell>
          <cell r="H387">
            <v>11</v>
          </cell>
          <cell r="I387">
            <v>11</v>
          </cell>
          <cell r="J387">
            <v>11</v>
          </cell>
          <cell r="K387">
            <v>0</v>
          </cell>
          <cell r="L387" t="str">
            <v>BROOKS</v>
          </cell>
          <cell r="M387" t="str">
            <v>Pr.Sch.R</v>
          </cell>
          <cell r="N387" t="str">
            <v>MOLDED</v>
          </cell>
          <cell r="O387">
            <v>1</v>
          </cell>
          <cell r="P387">
            <v>46063</v>
          </cell>
          <cell r="Q387">
            <v>46084</v>
          </cell>
          <cell r="R387">
            <v>46081</v>
          </cell>
          <cell r="S387">
            <v>21</v>
          </cell>
          <cell r="T387">
            <v>12</v>
          </cell>
          <cell r="U387">
            <v>11</v>
          </cell>
          <cell r="V387">
            <v>2</v>
          </cell>
          <cell r="W387" t="str">
            <v>0.12D</v>
          </cell>
          <cell r="X387" t="str">
            <v>3-2026</v>
          </cell>
          <cell r="Y387" t="str">
            <v>Week 9</v>
          </cell>
          <cell r="Z387">
            <v>46076</v>
          </cell>
          <cell r="AA387">
            <v>209</v>
          </cell>
          <cell r="AB387">
            <v>9.0910000000000005E-2</v>
          </cell>
        </row>
        <row r="388">
          <cell r="A388" t="str">
            <v>F-2026-02-149</v>
          </cell>
          <cell r="B388"/>
          <cell r="C388" t="str">
            <v>RPRO-260210-0627</v>
          </cell>
          <cell r="D388" t="str">
            <v>Pro.sche.report 09.2</v>
          </cell>
          <cell r="E388" t="str">
            <v>BDB-000052</v>
          </cell>
          <cell r="F388" t="str">
            <v>PVN-003603</v>
          </cell>
          <cell r="G388" t="str">
            <v>OrthoLite X-40 TRUE BLUE/19-4057TPX Flat Sheet 0.16D 25+/-4 Asker C 1.1M 1.47M 12mm</v>
          </cell>
          <cell r="H388">
            <v>22</v>
          </cell>
          <cell r="I388">
            <v>22</v>
          </cell>
          <cell r="J388">
            <v>22</v>
          </cell>
          <cell r="K388">
            <v>0</v>
          </cell>
          <cell r="L388" t="str">
            <v>ASICS</v>
          </cell>
          <cell r="M388" t="str">
            <v>Pr.Sch.R</v>
          </cell>
          <cell r="N388" t="str">
            <v>MOLDED</v>
          </cell>
          <cell r="O388">
            <v>1</v>
          </cell>
          <cell r="P388">
            <v>46063</v>
          </cell>
          <cell r="Q388">
            <v>46092</v>
          </cell>
          <cell r="R388">
            <v>46089</v>
          </cell>
          <cell r="S388">
            <v>29</v>
          </cell>
          <cell r="T388">
            <v>12</v>
          </cell>
          <cell r="U388">
            <v>11.5</v>
          </cell>
          <cell r="V388">
            <v>2</v>
          </cell>
          <cell r="W388" t="str">
            <v>0.16D</v>
          </cell>
          <cell r="X388" t="str">
            <v>3-2026</v>
          </cell>
          <cell r="Y388" t="str">
            <v>Week 10</v>
          </cell>
          <cell r="Z388">
            <v>46083</v>
          </cell>
          <cell r="AA388">
            <v>43</v>
          </cell>
          <cell r="AB388">
            <v>8.6959999999999996E-2</v>
          </cell>
        </row>
        <row r="389">
          <cell r="A389" t="str">
            <v>F-2026-02-150</v>
          </cell>
          <cell r="B389"/>
          <cell r="C389" t="str">
            <v>RPRO-260210-0628</v>
          </cell>
          <cell r="D389" t="str">
            <v>Pro.sche.report 09.2</v>
          </cell>
          <cell r="E389" t="str">
            <v>BDB-000209</v>
          </cell>
          <cell r="F389" t="str">
            <v>PVN-003537</v>
          </cell>
          <cell r="G389" t="str">
            <v>OrthoLite HybridPlus-Recycled MINT GREEN/11-4805TPX Hybrid Flat Sheet 0.12D 25+/-4 Asker C 1.1M 2M 4.5mm</v>
          </cell>
          <cell r="H389">
            <v>124</v>
          </cell>
          <cell r="I389">
            <v>124</v>
          </cell>
          <cell r="J389">
            <v>124</v>
          </cell>
          <cell r="K389">
            <v>0</v>
          </cell>
          <cell r="L389" t="str">
            <v>ON RUNNING</v>
          </cell>
          <cell r="M389" t="str">
            <v>Pr.Sch.R</v>
          </cell>
          <cell r="N389" t="str">
            <v>MOLDED</v>
          </cell>
          <cell r="O389">
            <v>1</v>
          </cell>
          <cell r="P389">
            <v>46063</v>
          </cell>
          <cell r="Q389">
            <v>46097</v>
          </cell>
          <cell r="R389">
            <v>46094</v>
          </cell>
          <cell r="S389">
            <v>34</v>
          </cell>
          <cell r="T389">
            <v>4.5</v>
          </cell>
          <cell r="U389">
            <v>31</v>
          </cell>
          <cell r="V389">
            <v>5</v>
          </cell>
          <cell r="W389" t="str">
            <v>0.12D</v>
          </cell>
          <cell r="X389" t="str">
            <v>3-2026</v>
          </cell>
          <cell r="Y389" t="str">
            <v>Week 11</v>
          </cell>
          <cell r="Z389">
            <v>46090</v>
          </cell>
          <cell r="AA389">
            <v>14</v>
          </cell>
          <cell r="AB389">
            <v>3.2259999999999997E-2</v>
          </cell>
        </row>
        <row r="390">
          <cell r="A390" t="str">
            <v>F-2026-02-151</v>
          </cell>
          <cell r="B390"/>
          <cell r="C390" t="str">
            <v>RPRO-260210-0629</v>
          </cell>
          <cell r="D390" t="str">
            <v>Pro.sche.report 09.2</v>
          </cell>
          <cell r="E390" t="str">
            <v>BDB-000339</v>
          </cell>
          <cell r="F390" t="str">
            <v>PVN-004178</v>
          </cell>
          <cell r="G390" t="str">
            <v>OrthoLite Float NEUTRAL GRAY/17-4402TPX Flat Sheet 0.12D 21+/-4 Asker C 1.1M 2M 5.5mm</v>
          </cell>
          <cell r="H390">
            <v>25</v>
          </cell>
          <cell r="I390">
            <v>25</v>
          </cell>
          <cell r="J390">
            <v>25</v>
          </cell>
          <cell r="K390">
            <v>0</v>
          </cell>
          <cell r="L390" t="str">
            <v>PUMA</v>
          </cell>
          <cell r="M390" t="str">
            <v>Pr.Sch.R</v>
          </cell>
          <cell r="N390" t="str">
            <v>MOLDED</v>
          </cell>
          <cell r="O390">
            <v>1</v>
          </cell>
          <cell r="P390">
            <v>46063</v>
          </cell>
          <cell r="Q390">
            <v>46091</v>
          </cell>
          <cell r="R390">
            <v>46088</v>
          </cell>
          <cell r="S390">
            <v>28</v>
          </cell>
          <cell r="T390">
            <v>5.5</v>
          </cell>
          <cell r="U390">
            <v>25</v>
          </cell>
          <cell r="V390">
            <v>1</v>
          </cell>
          <cell r="W390" t="e">
            <v>#N/A</v>
          </cell>
          <cell r="X390" t="str">
            <v>3-2026</v>
          </cell>
          <cell r="Y390" t="str">
            <v>Week 10</v>
          </cell>
          <cell r="Z390">
            <v>46083</v>
          </cell>
          <cell r="AA390">
            <v>4</v>
          </cell>
          <cell r="AB390">
            <v>0.04</v>
          </cell>
        </row>
        <row r="391">
          <cell r="A391" t="str">
            <v>F-2026-02-152</v>
          </cell>
          <cell r="B391"/>
          <cell r="C391" t="str">
            <v>RPRO-260210-0630</v>
          </cell>
          <cell r="D391" t="str">
            <v>Pro.sche.report 09.2</v>
          </cell>
          <cell r="E391" t="str">
            <v>BDB-000055</v>
          </cell>
          <cell r="F391" t="str">
            <v>PVN-003387</v>
          </cell>
          <cell r="G391" t="str">
            <v>OrthoLite X-40 TRUE BLUE/19-4057TPX Flat Sheet 0.16D 35+/-4 Asker C 1.1M 1.7M 13.5mm</v>
          </cell>
          <cell r="H391">
            <v>108</v>
          </cell>
          <cell r="I391">
            <v>108</v>
          </cell>
          <cell r="J391">
            <v>108</v>
          </cell>
          <cell r="K391">
            <v>0</v>
          </cell>
          <cell r="L391" t="str">
            <v>ADIDAS</v>
          </cell>
          <cell r="M391" t="str">
            <v>Pr.Sch.R</v>
          </cell>
          <cell r="N391" t="str">
            <v>MOLDED</v>
          </cell>
          <cell r="O391">
            <v>1</v>
          </cell>
          <cell r="P391">
            <v>46063</v>
          </cell>
          <cell r="Q391">
            <v>46091</v>
          </cell>
          <cell r="R391">
            <v>46088</v>
          </cell>
          <cell r="S391">
            <v>28</v>
          </cell>
          <cell r="T391">
            <v>13.5</v>
          </cell>
          <cell r="U391">
            <v>9</v>
          </cell>
          <cell r="V391">
            <v>12</v>
          </cell>
          <cell r="W391" t="str">
            <v>0.16D</v>
          </cell>
          <cell r="X391" t="str">
            <v>3-2026</v>
          </cell>
          <cell r="Y391" t="str">
            <v>Week 10</v>
          </cell>
          <cell r="Z391">
            <v>46083</v>
          </cell>
          <cell r="AA391">
            <v>4</v>
          </cell>
          <cell r="AB391">
            <v>0.11111</v>
          </cell>
        </row>
        <row r="392">
          <cell r="A392" t="str">
            <v>F-2026-02-153</v>
          </cell>
          <cell r="B392"/>
          <cell r="C392" t="str">
            <v>RPRO-260210-0631</v>
          </cell>
          <cell r="D392" t="str">
            <v>Pro.sche.report 09.2</v>
          </cell>
          <cell r="E392" t="str">
            <v>BDB-000055</v>
          </cell>
          <cell r="F392" t="str">
            <v>PVN-004155</v>
          </cell>
          <cell r="G392" t="str">
            <v>OrthoLite X-40 TRUE BLUE/19-4057TPX Flat Sheet 0.16D 35+/-4 Asker C 1.1M 1.7M 3.2mm</v>
          </cell>
          <cell r="H392">
            <v>258</v>
          </cell>
          <cell r="I392">
            <v>258</v>
          </cell>
          <cell r="J392">
            <v>258</v>
          </cell>
          <cell r="K392">
            <v>0</v>
          </cell>
          <cell r="L392" t="str">
            <v>ADIDAS</v>
          </cell>
          <cell r="M392" t="str">
            <v>Pr.Sch.R</v>
          </cell>
          <cell r="N392" t="str">
            <v>MOLDED</v>
          </cell>
          <cell r="O392">
            <v>1</v>
          </cell>
          <cell r="P392">
            <v>46063</v>
          </cell>
          <cell r="Q392">
            <v>46093</v>
          </cell>
          <cell r="R392">
            <v>46090</v>
          </cell>
          <cell r="S392">
            <v>30</v>
          </cell>
          <cell r="T392">
            <v>3.2</v>
          </cell>
          <cell r="U392">
            <v>43</v>
          </cell>
          <cell r="V392">
            <v>7</v>
          </cell>
          <cell r="W392" t="str">
            <v>0.16D</v>
          </cell>
          <cell r="X392" t="str">
            <v>3-2026</v>
          </cell>
          <cell r="Y392" t="str">
            <v>Week 10</v>
          </cell>
          <cell r="Z392">
            <v>46083</v>
          </cell>
          <cell r="AA392">
            <v>2</v>
          </cell>
          <cell r="AB392">
            <v>2.3259999999999999E-2</v>
          </cell>
        </row>
        <row r="393">
          <cell r="A393" t="str">
            <v>F-2026-02-154</v>
          </cell>
          <cell r="B393"/>
          <cell r="C393" t="str">
            <v>RPRO-260210-0632</v>
          </cell>
          <cell r="D393" t="str">
            <v>Pro.sche.report 09.2</v>
          </cell>
          <cell r="E393" t="str">
            <v>BDB-000319</v>
          </cell>
          <cell r="F393" t="str">
            <v>PVN-004247</v>
          </cell>
          <cell r="G393" t="str">
            <v>OrthoLite X-40-Hybrid-Nike SEEDPEARL/12-0703TPX Hybrid Flat Sheet 0.16D 25+/-4 Asker C 1.1M 2M 4.2mm</v>
          </cell>
          <cell r="H393">
            <v>33</v>
          </cell>
          <cell r="I393">
            <v>33</v>
          </cell>
          <cell r="J393">
            <v>33</v>
          </cell>
          <cell r="K393">
            <v>0</v>
          </cell>
          <cell r="L393" t="str">
            <v>NIKE</v>
          </cell>
          <cell r="M393" t="str">
            <v>Pr.Sch.R</v>
          </cell>
          <cell r="N393" t="str">
            <v>MOLDED</v>
          </cell>
          <cell r="O393">
            <v>1</v>
          </cell>
          <cell r="P393">
            <v>46063</v>
          </cell>
          <cell r="Q393">
            <v>46086</v>
          </cell>
          <cell r="R393">
            <v>46083</v>
          </cell>
          <cell r="S393">
            <v>23</v>
          </cell>
          <cell r="T393">
            <v>4.2</v>
          </cell>
          <cell r="U393">
            <v>33</v>
          </cell>
          <cell r="V393">
            <v>1</v>
          </cell>
          <cell r="W393" t="e">
            <v>#N/A</v>
          </cell>
          <cell r="X393" t="str">
            <v>3-2026</v>
          </cell>
          <cell r="Y393" t="str">
            <v>Week 9</v>
          </cell>
          <cell r="Z393">
            <v>46076</v>
          </cell>
          <cell r="AA393">
            <v>149</v>
          </cell>
          <cell r="AB393">
            <v>3.0300000000000001E-2</v>
          </cell>
        </row>
        <row r="394">
          <cell r="A394" t="str">
            <v>F-2026-02-155</v>
          </cell>
          <cell r="B394"/>
          <cell r="C394" t="str">
            <v>RPRO-260210-0633</v>
          </cell>
          <cell r="D394" t="str">
            <v>Pro.sche.report 09.2</v>
          </cell>
          <cell r="E394" t="str">
            <v>BDB-000123</v>
          </cell>
          <cell r="F394" t="str">
            <v>PVN-002884</v>
          </cell>
          <cell r="G394" t="str">
            <v>OrthoLite Ultra-Hybrid SEEDPEARL/12-0703TPX Hybrid Flat Sheet 0.085D 25+/-4 Asker C 1.1M 2M 10mm</v>
          </cell>
          <cell r="H394">
            <v>325</v>
          </cell>
          <cell r="I394">
            <v>325</v>
          </cell>
          <cell r="J394">
            <v>325</v>
          </cell>
          <cell r="K394">
            <v>0</v>
          </cell>
          <cell r="L394" t="str">
            <v>ADIDAS</v>
          </cell>
          <cell r="M394" t="str">
            <v>Pr.Sch.R</v>
          </cell>
          <cell r="N394" t="str">
            <v>MOLDED</v>
          </cell>
          <cell r="O394">
            <v>1</v>
          </cell>
          <cell r="P394">
            <v>46063</v>
          </cell>
          <cell r="Q394">
            <v>46086</v>
          </cell>
          <cell r="R394">
            <v>46083</v>
          </cell>
          <cell r="S394">
            <v>23</v>
          </cell>
          <cell r="T394">
            <v>10</v>
          </cell>
          <cell r="U394">
            <v>13</v>
          </cell>
          <cell r="V394">
            <v>25</v>
          </cell>
          <cell r="W394" t="str">
            <v>0.085D</v>
          </cell>
          <cell r="X394" t="str">
            <v>3-2026</v>
          </cell>
          <cell r="Y394" t="str">
            <v>Week 9</v>
          </cell>
          <cell r="Z394">
            <v>46076</v>
          </cell>
          <cell r="AA394">
            <v>438</v>
          </cell>
          <cell r="AB394">
            <v>7.6920000000000002E-2</v>
          </cell>
        </row>
        <row r="395">
          <cell r="A395" t="str">
            <v>F-2026-02-156</v>
          </cell>
          <cell r="B395"/>
          <cell r="C395" t="str">
            <v>RPRO-260210-0634</v>
          </cell>
          <cell r="D395" t="str">
            <v>Pro.sche.report 09.2</v>
          </cell>
          <cell r="E395" t="str">
            <v>BDB-000055</v>
          </cell>
          <cell r="F395" t="str">
            <v>PVN-003326</v>
          </cell>
          <cell r="G395" t="str">
            <v>OrthoLite X-40 TRUE BLUE/19-4057TPX Flat Sheet 0.16D 35+/-4 Asker C 1.1M 1.7M 14mm</v>
          </cell>
          <cell r="H395">
            <v>981</v>
          </cell>
          <cell r="I395">
            <v>981</v>
          </cell>
          <cell r="J395">
            <v>981</v>
          </cell>
          <cell r="K395">
            <v>0</v>
          </cell>
          <cell r="L395" t="str">
            <v>ADIDAS</v>
          </cell>
          <cell r="M395" t="str">
            <v>Pr.Sch.R</v>
          </cell>
          <cell r="N395" t="str">
            <v>MOLDED</v>
          </cell>
          <cell r="O395">
            <v>1</v>
          </cell>
          <cell r="P395">
            <v>46063</v>
          </cell>
          <cell r="Q395">
            <v>46091</v>
          </cell>
          <cell r="R395">
            <v>46088</v>
          </cell>
          <cell r="S395">
            <v>28</v>
          </cell>
          <cell r="T395">
            <v>14</v>
          </cell>
          <cell r="U395">
            <v>9</v>
          </cell>
          <cell r="V395">
            <v>109</v>
          </cell>
          <cell r="W395" t="str">
            <v>0.16D</v>
          </cell>
          <cell r="X395" t="str">
            <v>3-2026</v>
          </cell>
          <cell r="Y395" t="str">
            <v>Week 10</v>
          </cell>
          <cell r="Z395">
            <v>46083</v>
          </cell>
          <cell r="AA395">
            <v>26</v>
          </cell>
          <cell r="AB395">
            <v>0.11111</v>
          </cell>
        </row>
        <row r="396">
          <cell r="A396" t="str">
            <v>F-2026-02-157</v>
          </cell>
          <cell r="B396"/>
          <cell r="C396" t="str">
            <v>RPRO-260210-0635</v>
          </cell>
          <cell r="D396" t="str">
            <v>Pro.sche.report 09.2</v>
          </cell>
          <cell r="E396" t="str">
            <v>BDB-000011</v>
          </cell>
          <cell r="F396" t="str">
            <v>PVN-000184</v>
          </cell>
          <cell r="G396" t="str">
            <v>OrthoLite Regular AIR BLUE/16-4134TPX Flat Sheet 0.13D 35+/-4 Asker C 1.1M 2M 14mm</v>
          </cell>
          <cell r="H396">
            <v>90</v>
          </cell>
          <cell r="I396">
            <v>90</v>
          </cell>
          <cell r="J396">
            <v>90</v>
          </cell>
          <cell r="K396">
            <v>0</v>
          </cell>
          <cell r="L396" t="str">
            <v>ADIDAS</v>
          </cell>
          <cell r="M396" t="str">
            <v>Pr.Sch.R</v>
          </cell>
          <cell r="N396" t="str">
            <v>MOLDED</v>
          </cell>
          <cell r="O396">
            <v>1</v>
          </cell>
          <cell r="P396">
            <v>46063</v>
          </cell>
          <cell r="Q396">
            <v>46088</v>
          </cell>
          <cell r="R396">
            <v>46085</v>
          </cell>
          <cell r="S396">
            <v>25</v>
          </cell>
          <cell r="T396">
            <v>14</v>
          </cell>
          <cell r="U396">
            <v>9</v>
          </cell>
          <cell r="V396">
            <v>10</v>
          </cell>
          <cell r="W396" t="str">
            <v>0.13D</v>
          </cell>
          <cell r="X396" t="str">
            <v>3-2026</v>
          </cell>
          <cell r="Y396" t="str">
            <v>Week 10</v>
          </cell>
          <cell r="Z396">
            <v>46083</v>
          </cell>
          <cell r="AA396">
            <v>41</v>
          </cell>
          <cell r="AB396">
            <v>0.11111</v>
          </cell>
        </row>
        <row r="397">
          <cell r="A397" t="str">
            <v>F-2026-02-158</v>
          </cell>
          <cell r="B397"/>
          <cell r="C397" t="str">
            <v>RPRO-260210-0636</v>
          </cell>
          <cell r="D397" t="str">
            <v>Pro.sche.report 09.2</v>
          </cell>
          <cell r="E397" t="str">
            <v>BDB-000076</v>
          </cell>
          <cell r="F397" t="str">
            <v>PVN-003745</v>
          </cell>
          <cell r="G397" t="str">
            <v>OrthoLite X-25 BILLIARD/16-5427TPX Flat Sheet 0.12D 20+/-4 Asker C 1.1M 2M 16mm</v>
          </cell>
          <cell r="H397">
            <v>224</v>
          </cell>
          <cell r="I397">
            <v>224</v>
          </cell>
          <cell r="J397">
            <v>224</v>
          </cell>
          <cell r="K397">
            <v>0</v>
          </cell>
          <cell r="L397" t="str">
            <v>FOOTJOY</v>
          </cell>
          <cell r="M397" t="str">
            <v>Pr.Sch.R</v>
          </cell>
          <cell r="N397" t="str">
            <v>MOLDED</v>
          </cell>
          <cell r="O397">
            <v>1</v>
          </cell>
          <cell r="P397">
            <v>46063</v>
          </cell>
          <cell r="Q397">
            <v>46093</v>
          </cell>
          <cell r="R397">
            <v>46090</v>
          </cell>
          <cell r="S397">
            <v>30</v>
          </cell>
          <cell r="T397">
            <v>16</v>
          </cell>
          <cell r="U397">
            <v>8</v>
          </cell>
          <cell r="V397">
            <v>28</v>
          </cell>
          <cell r="W397" t="str">
            <v>0.12D</v>
          </cell>
          <cell r="X397" t="str">
            <v>3-2026</v>
          </cell>
          <cell r="Y397" t="str">
            <v>Week 10</v>
          </cell>
          <cell r="Z397">
            <v>46083</v>
          </cell>
          <cell r="AA397">
            <v>151</v>
          </cell>
          <cell r="AB397">
            <v>0.125</v>
          </cell>
        </row>
        <row r="398">
          <cell r="A398" t="str">
            <v>F-2026-02-159</v>
          </cell>
          <cell r="B398"/>
          <cell r="C398" t="str">
            <v>RPRO-260210-0637</v>
          </cell>
          <cell r="D398" t="str">
            <v>Pro.sche.report 09.2</v>
          </cell>
          <cell r="E398" t="str">
            <v>BDB-000077</v>
          </cell>
          <cell r="F398" t="str">
            <v>PVN-004147</v>
          </cell>
          <cell r="G398" t="str">
            <v>OrthoLite X-25 SEEDPEARL/12-0703TPX Flat Sheet 0.12D 20+/-4 Asker C 1.1M 2M 5.5mm</v>
          </cell>
          <cell r="H398">
            <v>575</v>
          </cell>
          <cell r="I398">
            <v>575</v>
          </cell>
          <cell r="J398">
            <v>575</v>
          </cell>
          <cell r="K398">
            <v>0</v>
          </cell>
          <cell r="L398" t="str">
            <v>ON RUNNING</v>
          </cell>
          <cell r="M398" t="str">
            <v>Pr.Sch.R</v>
          </cell>
          <cell r="N398" t="str">
            <v>MOLDED</v>
          </cell>
          <cell r="O398">
            <v>1</v>
          </cell>
          <cell r="P398">
            <v>46063</v>
          </cell>
          <cell r="Q398">
            <v>46099</v>
          </cell>
          <cell r="R398">
            <v>46096</v>
          </cell>
          <cell r="S398">
            <v>36</v>
          </cell>
          <cell r="T398">
            <v>5.5</v>
          </cell>
          <cell r="U398">
            <v>25</v>
          </cell>
          <cell r="V398">
            <v>23</v>
          </cell>
          <cell r="W398" t="str">
            <v>0.12D</v>
          </cell>
          <cell r="X398" t="str">
            <v>3-2026</v>
          </cell>
          <cell r="Y398" t="str">
            <v>Week 11</v>
          </cell>
          <cell r="Z398">
            <v>46090</v>
          </cell>
          <cell r="AA398">
            <v>151</v>
          </cell>
          <cell r="AB398">
            <v>0.04</v>
          </cell>
        </row>
        <row r="399">
          <cell r="A399" t="str">
            <v>F-2026-02-160</v>
          </cell>
          <cell r="B399"/>
          <cell r="C399" t="str">
            <v>RPRO-260210-0638</v>
          </cell>
          <cell r="D399" t="str">
            <v>Pro.sche.report 09.2</v>
          </cell>
          <cell r="E399" t="str">
            <v>BDB-000213</v>
          </cell>
          <cell r="F399" t="str">
            <v>PVN-003752</v>
          </cell>
          <cell r="G399" t="str">
            <v>OrthoLite X-25-Hybrid SEEDPEARL/12-0703TPX Hybrid Flat Sheet 0.12D 20+/-4 Asker C 1.1M 1.47M 4.5mm</v>
          </cell>
          <cell r="H399">
            <v>31</v>
          </cell>
          <cell r="I399">
            <v>31</v>
          </cell>
          <cell r="J399">
            <v>31</v>
          </cell>
          <cell r="K399">
            <v>0</v>
          </cell>
          <cell r="L399" t="str">
            <v>ON RUNNING</v>
          </cell>
          <cell r="M399" t="str">
            <v>Pr.Sch.R</v>
          </cell>
          <cell r="N399" t="str">
            <v>MOLDED</v>
          </cell>
          <cell r="O399">
            <v>1</v>
          </cell>
          <cell r="P399">
            <v>46063</v>
          </cell>
          <cell r="Q399">
            <v>46094</v>
          </cell>
          <cell r="R399">
            <v>46091</v>
          </cell>
          <cell r="S399">
            <v>31</v>
          </cell>
          <cell r="T399">
            <v>4.5</v>
          </cell>
          <cell r="U399">
            <v>31</v>
          </cell>
          <cell r="V399">
            <v>2</v>
          </cell>
          <cell r="W399" t="str">
            <v>0.12D</v>
          </cell>
          <cell r="X399" t="str">
            <v>3-2026</v>
          </cell>
          <cell r="Y399" t="str">
            <v>Week 10</v>
          </cell>
          <cell r="Z399">
            <v>46083</v>
          </cell>
          <cell r="AA399">
            <v>151</v>
          </cell>
          <cell r="AB399">
            <v>3.2259999999999997E-2</v>
          </cell>
        </row>
        <row r="400">
          <cell r="A400" t="str">
            <v>F-2026-02-161</v>
          </cell>
          <cell r="B400"/>
          <cell r="C400" t="str">
            <v>RPRO-260210-0639</v>
          </cell>
          <cell r="D400" t="str">
            <v>Pro.sche.report 09.2</v>
          </cell>
          <cell r="E400" t="str">
            <v>BDB-000026</v>
          </cell>
          <cell r="F400" t="str">
            <v>PVN-000369</v>
          </cell>
          <cell r="G400" t="str">
            <v>OrthoLite Regular YELLOW/13-0858TPX Flat Sheet 0.13D 35+/-4 Asker C 1.1M 2M 2mm</v>
          </cell>
          <cell r="H400">
            <v>70</v>
          </cell>
          <cell r="I400">
            <v>70</v>
          </cell>
          <cell r="J400">
            <v>70</v>
          </cell>
          <cell r="K400">
            <v>0</v>
          </cell>
          <cell r="L400" t="str">
            <v>SALOMON</v>
          </cell>
          <cell r="M400" t="str">
            <v>Pr.Sch.R</v>
          </cell>
          <cell r="N400" t="str">
            <v>MOLDED</v>
          </cell>
          <cell r="O400">
            <v>1</v>
          </cell>
          <cell r="P400">
            <v>46063</v>
          </cell>
          <cell r="Q400">
            <v>46095</v>
          </cell>
          <cell r="R400">
            <v>46092</v>
          </cell>
          <cell r="S400">
            <v>32</v>
          </cell>
          <cell r="T400">
            <v>2</v>
          </cell>
          <cell r="U400">
            <v>70</v>
          </cell>
          <cell r="V400">
            <v>2</v>
          </cell>
          <cell r="W400" t="str">
            <v>0.13D</v>
          </cell>
          <cell r="X400" t="str">
            <v>3-2026</v>
          </cell>
          <cell r="Y400" t="str">
            <v>Week 11</v>
          </cell>
          <cell r="Z400">
            <v>46090</v>
          </cell>
          <cell r="AA400">
            <v>151</v>
          </cell>
          <cell r="AB400">
            <v>1.4290000000000001E-2</v>
          </cell>
        </row>
        <row r="401">
          <cell r="A401" t="str">
            <v>F-2026-02-162</v>
          </cell>
          <cell r="B401"/>
          <cell r="C401" t="str">
            <v>RPRO-260210-0640</v>
          </cell>
          <cell r="D401" t="str">
            <v>Pro.sche.report 09.2</v>
          </cell>
          <cell r="E401" t="str">
            <v>BDB-000123</v>
          </cell>
          <cell r="F401" t="str">
            <v>PVN-004024</v>
          </cell>
          <cell r="G401" t="str">
            <v>OrthoLite Ultra-Hybrid SEEDPEARL/12-0703TPX Hybrid Flat Sheet 0.085D 25+/-4 Asker C 1.1M 2M 5.2mm</v>
          </cell>
          <cell r="H401">
            <v>104</v>
          </cell>
          <cell r="I401">
            <v>104</v>
          </cell>
          <cell r="J401">
            <v>104</v>
          </cell>
          <cell r="K401">
            <v>0</v>
          </cell>
          <cell r="L401" t="str">
            <v>SALOMON</v>
          </cell>
          <cell r="M401" t="str">
            <v>Pr.Sch.R</v>
          </cell>
          <cell r="N401" t="str">
            <v>MOLDED</v>
          </cell>
          <cell r="O401">
            <v>1</v>
          </cell>
          <cell r="P401">
            <v>46063</v>
          </cell>
          <cell r="Q401">
            <v>46095</v>
          </cell>
          <cell r="R401">
            <v>46092</v>
          </cell>
          <cell r="S401">
            <v>32</v>
          </cell>
          <cell r="T401">
            <v>5.2</v>
          </cell>
          <cell r="U401">
            <v>26</v>
          </cell>
          <cell r="V401">
            <v>4</v>
          </cell>
          <cell r="W401" t="str">
            <v>0.085D</v>
          </cell>
          <cell r="X401" t="str">
            <v>3-2026</v>
          </cell>
          <cell r="Y401" t="str">
            <v>Week 11</v>
          </cell>
          <cell r="Z401">
            <v>46090</v>
          </cell>
          <cell r="AA401">
            <v>0</v>
          </cell>
          <cell r="AB401">
            <v>3.8460000000000001E-2</v>
          </cell>
        </row>
        <row r="402">
          <cell r="A402" t="str">
            <v>F-2026-02-163</v>
          </cell>
          <cell r="B402"/>
          <cell r="C402" t="str">
            <v>RPRO-260210-0641</v>
          </cell>
          <cell r="D402" t="str">
            <v>Pro.sche.report 09.2</v>
          </cell>
          <cell r="E402" t="str">
            <v>BDB-000313</v>
          </cell>
          <cell r="F402" t="str">
            <v>PVN-004061</v>
          </cell>
          <cell r="G402" t="str">
            <v>OrthoLite X-55 RED/19-1764TPX Flat Sheet 0.16D 25+/-4 Asker C 1.1M 1.47M 18mm</v>
          </cell>
          <cell r="H402">
            <v>14</v>
          </cell>
          <cell r="I402">
            <v>14</v>
          </cell>
          <cell r="J402">
            <v>14</v>
          </cell>
          <cell r="K402">
            <v>0</v>
          </cell>
          <cell r="L402" t="str">
            <v>WILSON</v>
          </cell>
          <cell r="M402" t="str">
            <v>Pr.Sch.R</v>
          </cell>
          <cell r="N402" t="str">
            <v>MOLDED</v>
          </cell>
          <cell r="O402">
            <v>1</v>
          </cell>
          <cell r="P402">
            <v>46063</v>
          </cell>
          <cell r="Q402">
            <v>46094</v>
          </cell>
          <cell r="R402">
            <v>46091</v>
          </cell>
          <cell r="S402">
            <v>31</v>
          </cell>
          <cell r="T402">
            <v>18</v>
          </cell>
          <cell r="U402">
            <v>7</v>
          </cell>
          <cell r="V402">
            <v>3</v>
          </cell>
          <cell r="W402" t="e">
            <v>#N/A</v>
          </cell>
          <cell r="X402" t="str">
            <v>3-2026</v>
          </cell>
          <cell r="Y402" t="str">
            <v>Week 10</v>
          </cell>
          <cell r="Z402">
            <v>46083</v>
          </cell>
          <cell r="AA402">
            <v>47</v>
          </cell>
          <cell r="AB402">
            <v>0.14285999999999999</v>
          </cell>
        </row>
        <row r="403">
          <cell r="A403" t="str">
            <v>F-2026-02-164</v>
          </cell>
          <cell r="B403"/>
          <cell r="C403" t="str">
            <v>RPRO-260210-0642</v>
          </cell>
          <cell r="D403" t="str">
            <v>Pro.sche.report 09.2</v>
          </cell>
          <cell r="E403" t="str">
            <v>BDB-000317</v>
          </cell>
          <cell r="F403" t="str">
            <v>PVN-004076</v>
          </cell>
          <cell r="G403" t="str">
            <v>OrthoLite Regular NEUTRAL GRAY/17-4402TPX Flat Sheet 0.13D 15+/-4 Asker C 1.1M 2M 24mm</v>
          </cell>
          <cell r="H403">
            <v>30</v>
          </cell>
          <cell r="I403">
            <v>30</v>
          </cell>
          <cell r="J403">
            <v>30</v>
          </cell>
          <cell r="K403">
            <v>0</v>
          </cell>
          <cell r="L403" t="str">
            <v>ASICS</v>
          </cell>
          <cell r="M403" t="str">
            <v>Pr.Sch.R</v>
          </cell>
          <cell r="N403" t="str">
            <v>MOLDED</v>
          </cell>
          <cell r="O403">
            <v>1</v>
          </cell>
          <cell r="P403">
            <v>46063</v>
          </cell>
          <cell r="Q403">
            <v>46086</v>
          </cell>
          <cell r="R403">
            <v>46083</v>
          </cell>
          <cell r="S403">
            <v>23</v>
          </cell>
          <cell r="T403">
            <v>24</v>
          </cell>
          <cell r="U403">
            <v>5</v>
          </cell>
          <cell r="V403">
            <v>6</v>
          </cell>
          <cell r="W403" t="e">
            <v>#N/A</v>
          </cell>
          <cell r="X403" t="str">
            <v>3-2026</v>
          </cell>
          <cell r="Y403" t="str">
            <v>Week 9</v>
          </cell>
          <cell r="Z403">
            <v>46076</v>
          </cell>
          <cell r="AA403">
            <v>57</v>
          </cell>
          <cell r="AB403">
            <v>0.2</v>
          </cell>
        </row>
        <row r="404">
          <cell r="A404" t="str">
            <v>F-2026-02-165</v>
          </cell>
          <cell r="B404"/>
          <cell r="C404" t="str">
            <v>RPRO-260210-0643</v>
          </cell>
          <cell r="D404" t="str">
            <v>Pro.sche.report 09.2</v>
          </cell>
          <cell r="E404" t="str">
            <v>BDB-000325</v>
          </cell>
          <cell r="F404" t="str">
            <v>PVN-004115</v>
          </cell>
          <cell r="G404" t="str">
            <v>OrthoLite X-40 TRUE BLUE/19-4057TPX Flat Sheet 0.16D 35+/-4 Asker C 1.1M 2M 4mm</v>
          </cell>
          <cell r="H404">
            <v>70</v>
          </cell>
          <cell r="I404">
            <v>70</v>
          </cell>
          <cell r="J404">
            <v>70</v>
          </cell>
          <cell r="K404">
            <v>0</v>
          </cell>
          <cell r="L404" t="str">
            <v>ASICS</v>
          </cell>
          <cell r="M404" t="str">
            <v>Pr.Sch.R</v>
          </cell>
          <cell r="N404" t="str">
            <v>MOLDED</v>
          </cell>
          <cell r="O404">
            <v>1</v>
          </cell>
          <cell r="P404">
            <v>46063</v>
          </cell>
          <cell r="Q404">
            <v>46085</v>
          </cell>
          <cell r="R404">
            <v>46082</v>
          </cell>
          <cell r="S404">
            <v>22</v>
          </cell>
          <cell r="T404">
            <v>4</v>
          </cell>
          <cell r="U404">
            <v>35</v>
          </cell>
          <cell r="V404">
            <v>2</v>
          </cell>
          <cell r="W404" t="e">
            <v>#N/A</v>
          </cell>
          <cell r="X404" t="str">
            <v>3-2026</v>
          </cell>
          <cell r="Y404" t="str">
            <v>Week 9</v>
          </cell>
          <cell r="Z404">
            <v>46076</v>
          </cell>
          <cell r="AA404">
            <v>52</v>
          </cell>
          <cell r="AB404">
            <v>2.8570000000000002E-2</v>
          </cell>
        </row>
        <row r="405">
          <cell r="A405" t="str">
            <v>F-2026-02-166</v>
          </cell>
          <cell r="B405"/>
          <cell r="C405" t="str">
            <v>RPRO-260210-0644</v>
          </cell>
          <cell r="D405" t="str">
            <v>Pro.sche.report 09.2</v>
          </cell>
          <cell r="E405" t="str">
            <v>BDB-000123</v>
          </cell>
          <cell r="F405" t="str">
            <v>PVN-003299</v>
          </cell>
          <cell r="G405" t="str">
            <v>OrthoLite Ultra-Hybrid SEEDPEARL/12-0703TPX Hybrid Flat Sheet 0.085D 25+/-4 Asker C 1.1M 2M 3mm</v>
          </cell>
          <cell r="H405">
            <v>230</v>
          </cell>
          <cell r="I405">
            <v>230</v>
          </cell>
          <cell r="J405">
            <v>230</v>
          </cell>
          <cell r="K405">
            <v>0</v>
          </cell>
          <cell r="L405" t="str">
            <v>ADIDAS</v>
          </cell>
          <cell r="M405" t="str">
            <v>Pr.Sch.R</v>
          </cell>
          <cell r="N405" t="str">
            <v>DIE CUT</v>
          </cell>
          <cell r="O405">
            <v>1</v>
          </cell>
          <cell r="P405">
            <v>46063</v>
          </cell>
          <cell r="Q405">
            <v>46095</v>
          </cell>
          <cell r="R405">
            <v>46092</v>
          </cell>
          <cell r="S405">
            <v>32</v>
          </cell>
          <cell r="T405">
            <v>3</v>
          </cell>
          <cell r="U405">
            <v>46</v>
          </cell>
          <cell r="V405">
            <v>6</v>
          </cell>
          <cell r="W405" t="str">
            <v>0.085D</v>
          </cell>
          <cell r="X405" t="str">
            <v>3-2026</v>
          </cell>
          <cell r="Y405" t="str">
            <v>Week 11</v>
          </cell>
          <cell r="Z405">
            <v>46090</v>
          </cell>
          <cell r="AA405">
            <v>85</v>
          </cell>
          <cell r="AB405">
            <v>2.1739999999999999E-2</v>
          </cell>
        </row>
        <row r="406">
          <cell r="A406" t="str">
            <v>F-2026-02-167</v>
          </cell>
          <cell r="B406"/>
          <cell r="C406" t="str">
            <v>RPRO-260210-0645</v>
          </cell>
          <cell r="D406" t="str">
            <v>Pro.sche.report 09.2</v>
          </cell>
          <cell r="E406" t="str">
            <v>BDB-000301</v>
          </cell>
          <cell r="F406" t="str">
            <v>PVN-004088</v>
          </cell>
          <cell r="G406" t="str">
            <v>OrthoLite Regular NEUTRAL GRAY/17-4402TPX Flat Sheet 0.13D 35+/-4 Asker C 1.1M 2M 4.5mm</v>
          </cell>
          <cell r="H406">
            <v>31</v>
          </cell>
          <cell r="I406">
            <v>31</v>
          </cell>
          <cell r="J406">
            <v>31</v>
          </cell>
          <cell r="K406">
            <v>0</v>
          </cell>
          <cell r="L406" t="str">
            <v>ADIDAS</v>
          </cell>
          <cell r="M406" t="str">
            <v>Pr.Sch.R</v>
          </cell>
          <cell r="N406" t="str">
            <v>MOLDED</v>
          </cell>
          <cell r="O406">
            <v>1</v>
          </cell>
          <cell r="P406">
            <v>46063</v>
          </cell>
          <cell r="Q406">
            <v>46093</v>
          </cell>
          <cell r="R406">
            <v>46090</v>
          </cell>
          <cell r="S406">
            <v>30</v>
          </cell>
          <cell r="T406">
            <v>4.5</v>
          </cell>
          <cell r="U406">
            <v>31</v>
          </cell>
          <cell r="V406">
            <v>2</v>
          </cell>
          <cell r="W406" t="str">
            <v>0.13D</v>
          </cell>
          <cell r="X406" t="str">
            <v>3-2026</v>
          </cell>
          <cell r="Y406" t="str">
            <v>Week 10</v>
          </cell>
          <cell r="Z406">
            <v>46083</v>
          </cell>
          <cell r="AA406">
            <v>93</v>
          </cell>
          <cell r="AB406">
            <v>3.2259999999999997E-2</v>
          </cell>
        </row>
        <row r="407">
          <cell r="A407" t="str">
            <v>F-2026-02-169</v>
          </cell>
          <cell r="B407"/>
          <cell r="C407" t="str">
            <v>RPRO-260210-0647</v>
          </cell>
          <cell r="D407" t="str">
            <v>Pro.sche.report 09.2</v>
          </cell>
          <cell r="E407" t="str">
            <v>BDB-000175</v>
          </cell>
          <cell r="F407" t="str">
            <v>PVN-002876</v>
          </cell>
          <cell r="G407" t="str">
            <v>OrthoLite Ultra-Hybrid-Nike SEEDPEARL/12-0703TPX Hybrid Flat Sheet 0.085D 25+/-4 Asker C 1.1M 2M 5mm</v>
          </cell>
          <cell r="H407">
            <v>28</v>
          </cell>
          <cell r="I407">
            <v>28</v>
          </cell>
          <cell r="J407">
            <v>28</v>
          </cell>
          <cell r="K407">
            <v>0</v>
          </cell>
          <cell r="L407" t="str">
            <v>NIKE</v>
          </cell>
          <cell r="M407" t="str">
            <v>Pr.Sch.R</v>
          </cell>
          <cell r="N407" t="str">
            <v>MOLDED</v>
          </cell>
          <cell r="O407">
            <v>1</v>
          </cell>
          <cell r="P407">
            <v>46063</v>
          </cell>
          <cell r="Q407">
            <v>46084</v>
          </cell>
          <cell r="R407">
            <v>46081</v>
          </cell>
          <cell r="S407">
            <v>21</v>
          </cell>
          <cell r="T407">
            <v>5</v>
          </cell>
          <cell r="U407">
            <v>28</v>
          </cell>
          <cell r="V407">
            <v>1</v>
          </cell>
          <cell r="W407" t="str">
            <v>0.085D</v>
          </cell>
          <cell r="X407" t="str">
            <v>3-2026</v>
          </cell>
          <cell r="Y407" t="str">
            <v>Week 9</v>
          </cell>
          <cell r="Z407">
            <v>46076</v>
          </cell>
          <cell r="AA407">
            <v>134</v>
          </cell>
          <cell r="AB407">
            <v>3.5709999999999999E-2</v>
          </cell>
        </row>
        <row r="408">
          <cell r="A408" t="str">
            <v>F-2026-02-170</v>
          </cell>
          <cell r="B408"/>
          <cell r="C408" t="str">
            <v>RPRO-260210-0648</v>
          </cell>
          <cell r="D408" t="str">
            <v>Pro.sche.report 09.2</v>
          </cell>
          <cell r="E408" t="str">
            <v>BDB-000149</v>
          </cell>
          <cell r="F408" t="str">
            <v>PVN-002827</v>
          </cell>
          <cell r="G408" t="str">
            <v>OrthoLite Regular-Hybrid-Nike SEEDPEARL/12-0703TPX Hybrid Flat Sheet 0.11D 25+/-4 Asker C 1.1M 2M 5mm</v>
          </cell>
          <cell r="H408">
            <v>196</v>
          </cell>
          <cell r="I408">
            <v>196</v>
          </cell>
          <cell r="J408">
            <v>196</v>
          </cell>
          <cell r="K408">
            <v>0</v>
          </cell>
          <cell r="L408" t="str">
            <v>NIKE</v>
          </cell>
          <cell r="M408" t="str">
            <v>Pr.Sch.R</v>
          </cell>
          <cell r="N408" t="str">
            <v>MOLDED</v>
          </cell>
          <cell r="O408">
            <v>1</v>
          </cell>
          <cell r="P408">
            <v>46063</v>
          </cell>
          <cell r="Q408">
            <v>46086</v>
          </cell>
          <cell r="R408">
            <v>46083</v>
          </cell>
          <cell r="S408">
            <v>23</v>
          </cell>
          <cell r="T408">
            <v>5</v>
          </cell>
          <cell r="U408">
            <v>28</v>
          </cell>
          <cell r="V408">
            <v>7</v>
          </cell>
          <cell r="W408" t="str">
            <v>0.11D</v>
          </cell>
          <cell r="X408" t="str">
            <v>3-2026</v>
          </cell>
          <cell r="Y408" t="str">
            <v>Week 9</v>
          </cell>
          <cell r="Z408">
            <v>46076</v>
          </cell>
          <cell r="AA408">
            <v>3</v>
          </cell>
          <cell r="AB408">
            <v>3.5709999999999999E-2</v>
          </cell>
        </row>
        <row r="409">
          <cell r="A409" t="str">
            <v>F-2026-02-171</v>
          </cell>
          <cell r="B409"/>
          <cell r="C409" t="str">
            <v>RPRO-260210-0649</v>
          </cell>
          <cell r="D409" t="str">
            <v>Pro.sche.report 09.2</v>
          </cell>
          <cell r="E409" t="str">
            <v>BDB-000052</v>
          </cell>
          <cell r="F409" t="str">
            <v>PVN-004308</v>
          </cell>
          <cell r="G409" t="str">
            <v>OrthoLite X-40 TRUE BLUE/19-4057TPX Flat Sheet 0.16D 25+/-4 Asker C 1.1M 1.47M 3mm</v>
          </cell>
          <cell r="H409">
            <v>46</v>
          </cell>
          <cell r="I409">
            <v>46</v>
          </cell>
          <cell r="J409">
            <v>46</v>
          </cell>
          <cell r="K409">
            <v>0</v>
          </cell>
          <cell r="L409" t="str">
            <v>ASICS</v>
          </cell>
          <cell r="M409" t="str">
            <v>Pr.Sch.R</v>
          </cell>
          <cell r="N409" t="str">
            <v>DIE CUT</v>
          </cell>
          <cell r="O409">
            <v>1</v>
          </cell>
          <cell r="P409">
            <v>46063</v>
          </cell>
          <cell r="Q409">
            <v>46093</v>
          </cell>
          <cell r="R409">
            <v>46090</v>
          </cell>
          <cell r="S409">
            <v>30</v>
          </cell>
          <cell r="T409">
            <v>3</v>
          </cell>
          <cell r="U409">
            <v>46</v>
          </cell>
          <cell r="V409">
            <v>2</v>
          </cell>
          <cell r="W409" t="str">
            <v>0.16D</v>
          </cell>
          <cell r="X409" t="str">
            <v>3-2026</v>
          </cell>
          <cell r="Y409" t="str">
            <v>Week 10</v>
          </cell>
          <cell r="Z409">
            <v>46083</v>
          </cell>
          <cell r="AA409">
            <v>15</v>
          </cell>
          <cell r="AB409">
            <v>2.1739999999999999E-2</v>
          </cell>
        </row>
        <row r="410">
          <cell r="A410" t="str">
            <v>F-2026-02-172</v>
          </cell>
          <cell r="B410"/>
          <cell r="C410" t="str">
            <v>RPRO-260210-0650</v>
          </cell>
          <cell r="D410" t="str">
            <v>Pro.sche.report 09.2</v>
          </cell>
          <cell r="E410" t="str">
            <v>BDB-000083</v>
          </cell>
          <cell r="F410" t="str">
            <v>PVN-000933</v>
          </cell>
          <cell r="G410" t="str">
            <v>OrthoLite Eco LT 300C(ADIDAS BLUEBIRD) Flat Sheet 0.11D 25+/-4 Asker C 1.1M 2M 4.5mm</v>
          </cell>
          <cell r="H410">
            <v>527</v>
          </cell>
          <cell r="I410">
            <v>527</v>
          </cell>
          <cell r="J410">
            <v>527</v>
          </cell>
          <cell r="K410">
            <v>0</v>
          </cell>
          <cell r="L410" t="str">
            <v>ADIDAS</v>
          </cell>
          <cell r="M410" t="str">
            <v>Pr.Sch.R</v>
          </cell>
          <cell r="N410" t="str">
            <v>MOLDED</v>
          </cell>
          <cell r="O410">
            <v>1</v>
          </cell>
          <cell r="P410">
            <v>46063</v>
          </cell>
          <cell r="Q410">
            <v>46093</v>
          </cell>
          <cell r="R410">
            <v>46090</v>
          </cell>
          <cell r="S410">
            <v>30</v>
          </cell>
          <cell r="T410">
            <v>4.5</v>
          </cell>
          <cell r="U410">
            <v>31</v>
          </cell>
          <cell r="V410">
            <v>18</v>
          </cell>
          <cell r="W410" t="str">
            <v>0.11D</v>
          </cell>
          <cell r="X410" t="str">
            <v>3-2026</v>
          </cell>
          <cell r="Y410" t="str">
            <v>Week 10</v>
          </cell>
          <cell r="Z410">
            <v>46083</v>
          </cell>
          <cell r="AA410">
            <v>34</v>
          </cell>
          <cell r="AB410">
            <v>3.2259999999999997E-2</v>
          </cell>
        </row>
        <row r="411">
          <cell r="A411" t="str">
            <v>F-2026-02-174</v>
          </cell>
          <cell r="B411"/>
          <cell r="C411" t="str">
            <v>RPRO-260210-0652</v>
          </cell>
          <cell r="D411" t="str">
            <v>Pro.sche.report 09.2</v>
          </cell>
          <cell r="E411" t="str">
            <v>BDB-000347</v>
          </cell>
          <cell r="F411" t="str">
            <v>PVN-004193</v>
          </cell>
          <cell r="G411" t="str">
            <v>OrthoLite X-55-Hybrid SEEDPEARL/12-0703TPX Hybrid Flat Sheet 0.16D 25+/-4 Asker C 1.1M 2M 11mm</v>
          </cell>
          <cell r="H411">
            <v>204</v>
          </cell>
          <cell r="I411">
            <v>204</v>
          </cell>
          <cell r="J411">
            <v>204</v>
          </cell>
          <cell r="K411">
            <v>0</v>
          </cell>
          <cell r="L411" t="str">
            <v>DESCENTE</v>
          </cell>
          <cell r="M411" t="str">
            <v>Pr.Sch.R</v>
          </cell>
          <cell r="N411" t="str">
            <v>MOLDED</v>
          </cell>
          <cell r="O411">
            <v>1</v>
          </cell>
          <cell r="P411">
            <v>46063</v>
          </cell>
          <cell r="Q411">
            <v>46095</v>
          </cell>
          <cell r="R411">
            <v>46092</v>
          </cell>
          <cell r="S411">
            <v>32</v>
          </cell>
          <cell r="T411">
            <v>11</v>
          </cell>
          <cell r="U411">
            <v>12</v>
          </cell>
          <cell r="V411">
            <v>17</v>
          </cell>
          <cell r="W411" t="e">
            <v>#N/A</v>
          </cell>
          <cell r="X411" t="str">
            <v>3-2026</v>
          </cell>
          <cell r="Y411" t="str">
            <v>Week 11</v>
          </cell>
          <cell r="Z411">
            <v>46090</v>
          </cell>
          <cell r="AA411">
            <v>65</v>
          </cell>
          <cell r="AB411">
            <v>8.3330000000000001E-2</v>
          </cell>
        </row>
        <row r="412">
          <cell r="A412" t="str">
            <v>F-2026-02-175</v>
          </cell>
          <cell r="B412"/>
          <cell r="C412" t="str">
            <v>FPRO-260210-0001</v>
          </cell>
          <cell r="D412" t="str">
            <v>Firm plan 10.2</v>
          </cell>
          <cell r="E412" t="str">
            <v>BDB-000209</v>
          </cell>
          <cell r="F412" t="str">
            <v>PVN-003537</v>
          </cell>
          <cell r="G412" t="str">
            <v>OrthoLite HybridPlus-Recycled MINT GREEN/11-4805TPX Hybrid 0.12D 25+/-4 Asker C 1.1M 2M 4.5mm</v>
          </cell>
          <cell r="H412">
            <v>5000</v>
          </cell>
          <cell r="I412">
            <v>5000</v>
          </cell>
          <cell r="J412">
            <v>5000</v>
          </cell>
          <cell r="K412">
            <v>0</v>
          </cell>
          <cell r="L412" t="str">
            <v>ON RUNNING</v>
          </cell>
          <cell r="M412" t="str">
            <v>Forecast</v>
          </cell>
          <cell r="N412" t="str">
            <v>MOLDED</v>
          </cell>
          <cell r="O412">
            <v>1</v>
          </cell>
          <cell r="P412">
            <v>46063</v>
          </cell>
          <cell r="Q412">
            <v>46100</v>
          </cell>
          <cell r="R412">
            <v>46097</v>
          </cell>
          <cell r="S412">
            <v>37</v>
          </cell>
          <cell r="T412">
            <v>4.5</v>
          </cell>
          <cell r="U412">
            <v>31</v>
          </cell>
          <cell r="V412">
            <v>162</v>
          </cell>
          <cell r="W412" t="str">
            <v>0.12D</v>
          </cell>
          <cell r="X412" t="str">
            <v>3-2026</v>
          </cell>
          <cell r="Y412" t="str">
            <v>Week 11</v>
          </cell>
          <cell r="Z412">
            <v>46090</v>
          </cell>
          <cell r="AA412">
            <v>51</v>
          </cell>
          <cell r="AB412">
            <v>3.2259999999999997E-2</v>
          </cell>
        </row>
        <row r="413">
          <cell r="A413" t="str">
            <v>F-2026-02-176</v>
          </cell>
          <cell r="B413"/>
          <cell r="C413" t="str">
            <v>FPRO-260210-0002</v>
          </cell>
          <cell r="D413" t="str">
            <v>Firm plan 10.2</v>
          </cell>
          <cell r="E413" t="str">
            <v>BDB-000209</v>
          </cell>
          <cell r="F413" t="str">
            <v>PVN-003537</v>
          </cell>
          <cell r="G413" t="str">
            <v>OrthoLite HybridPlus-Recycled MINT GREEN/11-4805TPX Hybrid 0.12D 25+/-4 Asker C 1.1M 2M 4.5mm</v>
          </cell>
          <cell r="H413">
            <v>5000</v>
          </cell>
          <cell r="I413">
            <v>5000</v>
          </cell>
          <cell r="J413">
            <v>5000</v>
          </cell>
          <cell r="K413">
            <v>0</v>
          </cell>
          <cell r="L413" t="str">
            <v>ON RUNNING</v>
          </cell>
          <cell r="M413" t="str">
            <v>Forecast</v>
          </cell>
          <cell r="N413" t="str">
            <v>MOLDED</v>
          </cell>
          <cell r="O413">
            <v>1</v>
          </cell>
          <cell r="P413">
            <v>46063</v>
          </cell>
          <cell r="Q413">
            <v>46108</v>
          </cell>
          <cell r="R413">
            <v>46105</v>
          </cell>
          <cell r="S413">
            <v>45</v>
          </cell>
          <cell r="T413">
            <v>4.5</v>
          </cell>
          <cell r="U413">
            <v>31</v>
          </cell>
          <cell r="V413">
            <v>162</v>
          </cell>
          <cell r="W413" t="str">
            <v>0.12D</v>
          </cell>
          <cell r="X413" t="str">
            <v>3-2026</v>
          </cell>
          <cell r="Y413" t="str">
            <v>Week 12</v>
          </cell>
          <cell r="Z413">
            <v>46097</v>
          </cell>
          <cell r="AA413">
            <v>238</v>
          </cell>
          <cell r="AB413">
            <v>3.2259999999999997E-2</v>
          </cell>
        </row>
        <row r="414">
          <cell r="A414" t="str">
            <v>F-2026-02-177</v>
          </cell>
          <cell r="B414"/>
          <cell r="C414" t="str">
            <v>FPRO-260210-0003</v>
          </cell>
          <cell r="D414" t="str">
            <v>Firm plan 10.2</v>
          </cell>
          <cell r="E414" t="str">
            <v>BDB-000209</v>
          </cell>
          <cell r="F414" t="str">
            <v>PVN-003537</v>
          </cell>
          <cell r="G414" t="str">
            <v>OrthoLite HybridPlus-Recycled MINT GREEN/11-4805TPX Hybrid 0.12D 25+/-4 Asker C 1.1M 2M 4.5mm</v>
          </cell>
          <cell r="H414">
            <v>5000</v>
          </cell>
          <cell r="I414">
            <v>5000</v>
          </cell>
          <cell r="J414">
            <v>0</v>
          </cell>
          <cell r="K414">
            <v>5000</v>
          </cell>
          <cell r="L414" t="str">
            <v>ON RUNNING</v>
          </cell>
          <cell r="M414" t="str">
            <v>Forecast</v>
          </cell>
          <cell r="N414" t="str">
            <v>MOLDED</v>
          </cell>
          <cell r="O414">
            <v>1</v>
          </cell>
          <cell r="P414">
            <v>46063</v>
          </cell>
          <cell r="Q414">
            <v>46119</v>
          </cell>
          <cell r="R414">
            <v>46116</v>
          </cell>
          <cell r="S414">
            <v>56</v>
          </cell>
          <cell r="T414">
            <v>4.5</v>
          </cell>
          <cell r="U414">
            <v>31</v>
          </cell>
          <cell r="V414">
            <v>162</v>
          </cell>
          <cell r="W414" t="str">
            <v>0.12D</v>
          </cell>
          <cell r="X414" t="str">
            <v>4-2026</v>
          </cell>
          <cell r="Y414" t="str">
            <v>Week 14</v>
          </cell>
          <cell r="Z414">
            <v>46111</v>
          </cell>
          <cell r="AA414">
            <v>26</v>
          </cell>
          <cell r="AB414">
            <v>3.2259999999999997E-2</v>
          </cell>
        </row>
        <row r="415">
          <cell r="A415" t="str">
            <v>F-2026-02-178</v>
          </cell>
          <cell r="B415"/>
          <cell r="C415" t="str">
            <v>FPRO-260210-0004</v>
          </cell>
          <cell r="D415" t="str">
            <v>Firm plan 10.2</v>
          </cell>
          <cell r="E415" t="str">
            <v>BDB-000209</v>
          </cell>
          <cell r="F415" t="str">
            <v>PVN-003537</v>
          </cell>
          <cell r="G415" t="str">
            <v>OrthoLite HybridPlus-Recycled MINT GREEN/11-4805TPX Hybrid 0.12D 25+/-4 Asker C 1.1M 2M 4.5mm</v>
          </cell>
          <cell r="H415">
            <v>5000</v>
          </cell>
          <cell r="I415">
            <v>5000</v>
          </cell>
          <cell r="J415">
            <v>0</v>
          </cell>
          <cell r="K415">
            <v>5000</v>
          </cell>
          <cell r="L415" t="str">
            <v>ON RUNNING</v>
          </cell>
          <cell r="M415" t="str">
            <v>Forecast</v>
          </cell>
          <cell r="N415" t="str">
            <v>MOLDED</v>
          </cell>
          <cell r="O415">
            <v>1</v>
          </cell>
          <cell r="P415">
            <v>46063</v>
          </cell>
          <cell r="Q415">
            <v>46129</v>
          </cell>
          <cell r="R415">
            <v>46126</v>
          </cell>
          <cell r="S415">
            <v>66</v>
          </cell>
          <cell r="T415">
            <v>4.5</v>
          </cell>
          <cell r="U415">
            <v>31</v>
          </cell>
          <cell r="V415">
            <v>162</v>
          </cell>
          <cell r="W415" t="str">
            <v>0.12D</v>
          </cell>
          <cell r="X415" t="str">
            <v>4-2026</v>
          </cell>
          <cell r="Y415" t="str">
            <v>Week 15</v>
          </cell>
          <cell r="Z415">
            <v>46118</v>
          </cell>
          <cell r="AA415">
            <v>141</v>
          </cell>
          <cell r="AB415">
            <v>3.2259999999999997E-2</v>
          </cell>
        </row>
        <row r="416">
          <cell r="A416" t="str">
            <v>F-2026-02-179</v>
          </cell>
          <cell r="B416"/>
          <cell r="C416" t="str">
            <v>FPRO-260210-0005</v>
          </cell>
          <cell r="D416" t="str">
            <v>Firm plan 10.2</v>
          </cell>
          <cell r="E416" t="str">
            <v>BDB-000209</v>
          </cell>
          <cell r="F416" t="str">
            <v>PVN-003537</v>
          </cell>
          <cell r="G416" t="str">
            <v>OrthoLite HybridPlus-Recycled MINT GREEN/11-4805TPX Hybrid 0.12D 25+/-4 Asker C 1.1M 2M 4.5mm</v>
          </cell>
          <cell r="H416">
            <v>4000</v>
          </cell>
          <cell r="I416">
            <v>4000</v>
          </cell>
          <cell r="J416">
            <v>0</v>
          </cell>
          <cell r="K416">
            <v>4000</v>
          </cell>
          <cell r="L416" t="str">
            <v>ON RUNNING</v>
          </cell>
          <cell r="M416" t="str">
            <v>Forecast</v>
          </cell>
          <cell r="N416" t="str">
            <v>MOLDED</v>
          </cell>
          <cell r="O416">
            <v>1</v>
          </cell>
          <cell r="P416">
            <v>46063</v>
          </cell>
          <cell r="Q416">
            <v>46129</v>
          </cell>
          <cell r="R416">
            <v>46126</v>
          </cell>
          <cell r="S416">
            <v>66</v>
          </cell>
          <cell r="T416">
            <v>4.5</v>
          </cell>
          <cell r="U416">
            <v>31</v>
          </cell>
          <cell r="V416">
            <v>130</v>
          </cell>
          <cell r="W416" t="str">
            <v>0.12D</v>
          </cell>
          <cell r="X416" t="str">
            <v>4-2026</v>
          </cell>
          <cell r="Y416" t="str">
            <v>Week 15</v>
          </cell>
          <cell r="Z416">
            <v>46118</v>
          </cell>
          <cell r="AA416">
            <v>70</v>
          </cell>
          <cell r="AB416">
            <v>3.2259999999999997E-2</v>
          </cell>
        </row>
        <row r="417">
          <cell r="A417" t="str">
            <v>F-2026-02-180</v>
          </cell>
          <cell r="B417"/>
          <cell r="C417" t="str">
            <v>FPRO-260210-0006</v>
          </cell>
          <cell r="D417" t="str">
            <v>Firm plan 10.2</v>
          </cell>
          <cell r="E417" t="str">
            <v>BDB-000273</v>
          </cell>
          <cell r="F417" t="str">
            <v>PVN-004138</v>
          </cell>
          <cell r="G417" t="str">
            <v>OrthoLite X-40-Hybrid SEEDPEARL/12-0703TPX Hybrid Flat Sheet 0.16D 25+/-4 Asker C 1.1M 2M 5.5mm</v>
          </cell>
          <cell r="H417">
            <v>1000</v>
          </cell>
          <cell r="I417">
            <v>1000</v>
          </cell>
          <cell r="J417">
            <v>1000</v>
          </cell>
          <cell r="K417">
            <v>0</v>
          </cell>
          <cell r="L417" t="str">
            <v>ON RUNNING</v>
          </cell>
          <cell r="M417" t="str">
            <v>Forecast</v>
          </cell>
          <cell r="N417" t="str">
            <v>MOLDED</v>
          </cell>
          <cell r="O417">
            <v>1</v>
          </cell>
          <cell r="P417">
            <v>46063</v>
          </cell>
          <cell r="Q417">
            <v>46102</v>
          </cell>
          <cell r="R417">
            <v>46099</v>
          </cell>
          <cell r="S417">
            <v>39</v>
          </cell>
          <cell r="T417">
            <v>5.5</v>
          </cell>
          <cell r="U417">
            <v>25</v>
          </cell>
          <cell r="V417">
            <v>40</v>
          </cell>
          <cell r="W417" t="str">
            <v>0.16D</v>
          </cell>
          <cell r="X417" t="str">
            <v>3-2026</v>
          </cell>
          <cell r="Y417" t="str">
            <v>Week 11</v>
          </cell>
          <cell r="Z417">
            <v>46090</v>
          </cell>
          <cell r="AA417">
            <v>18</v>
          </cell>
          <cell r="AB417">
            <v>0.04</v>
          </cell>
        </row>
        <row r="418">
          <cell r="A418" t="str">
            <v>F-2026-02-181</v>
          </cell>
          <cell r="B418"/>
          <cell r="C418" t="str">
            <v>FPRO-260210-0007</v>
          </cell>
          <cell r="D418" t="str">
            <v>Firm plan 10.2</v>
          </cell>
          <cell r="E418" t="str">
            <v>BDB-000273</v>
          </cell>
          <cell r="F418" t="str">
            <v>PVN-004138</v>
          </cell>
          <cell r="G418" t="str">
            <v>OrthoLite X-40-Hybrid SEEDPEARL/12-0703TPX Hybrid Flat Sheet 0.16D 25+/-4 Asker C 1.1M 2M 5.5mm</v>
          </cell>
          <cell r="H418">
            <v>1000</v>
          </cell>
          <cell r="I418">
            <v>1000</v>
          </cell>
          <cell r="J418">
            <v>1000</v>
          </cell>
          <cell r="K418">
            <v>0</v>
          </cell>
          <cell r="L418" t="str">
            <v>ON RUNNING</v>
          </cell>
          <cell r="M418" t="str">
            <v>Forecast</v>
          </cell>
          <cell r="N418" t="str">
            <v>MOLDED</v>
          </cell>
          <cell r="O418">
            <v>1</v>
          </cell>
          <cell r="P418">
            <v>46063</v>
          </cell>
          <cell r="Q418">
            <v>46109</v>
          </cell>
          <cell r="R418">
            <v>46106</v>
          </cell>
          <cell r="S418">
            <v>46</v>
          </cell>
          <cell r="T418">
            <v>5.5</v>
          </cell>
          <cell r="U418">
            <v>25</v>
          </cell>
          <cell r="V418">
            <v>40</v>
          </cell>
          <cell r="W418" t="str">
            <v>0.16D</v>
          </cell>
          <cell r="X418" t="str">
            <v>3-2026</v>
          </cell>
          <cell r="Y418" t="str">
            <v>Week 13</v>
          </cell>
          <cell r="Z418">
            <v>46104</v>
          </cell>
          <cell r="AA418">
            <v>57</v>
          </cell>
          <cell r="AB418">
            <v>0.04</v>
          </cell>
        </row>
        <row r="419">
          <cell r="A419" t="str">
            <v>F-2026-02-182-1</v>
          </cell>
          <cell r="B419"/>
          <cell r="C419" t="str">
            <v>FPRO-260210-0008</v>
          </cell>
          <cell r="D419" t="str">
            <v>Firm plan 10.2</v>
          </cell>
          <cell r="E419" t="str">
            <v>BDB-000077</v>
          </cell>
          <cell r="F419" t="str">
            <v>PVN-004147</v>
          </cell>
          <cell r="G419" t="str">
            <v>OrthoLite X-25 SEEDPEARL/12-0703TPX Flat Sheet 0.12D 20+/-4 Asker C 1.1M 2M 5.5mm</v>
          </cell>
          <cell r="H419">
            <v>500</v>
          </cell>
          <cell r="I419">
            <v>500</v>
          </cell>
          <cell r="J419">
            <v>500</v>
          </cell>
          <cell r="K419">
            <v>0</v>
          </cell>
          <cell r="L419" t="str">
            <v>ON RUNNING</v>
          </cell>
          <cell r="M419" t="str">
            <v>Forecast</v>
          </cell>
          <cell r="N419" t="str">
            <v>MOLDED</v>
          </cell>
          <cell r="O419">
            <v>1</v>
          </cell>
          <cell r="P419">
            <v>46063</v>
          </cell>
          <cell r="Q419">
            <v>46101</v>
          </cell>
          <cell r="R419">
            <v>46098</v>
          </cell>
          <cell r="S419">
            <v>38</v>
          </cell>
          <cell r="T419">
            <v>5.5</v>
          </cell>
          <cell r="U419">
            <v>25</v>
          </cell>
          <cell r="V419">
            <v>20</v>
          </cell>
          <cell r="W419" t="str">
            <v>0.12D</v>
          </cell>
          <cell r="X419" t="str">
            <v>3-2026</v>
          </cell>
          <cell r="Y419" t="str">
            <v>Week 11</v>
          </cell>
          <cell r="Z419">
            <v>46090</v>
          </cell>
          <cell r="AA419">
            <v>32</v>
          </cell>
          <cell r="AB419">
            <v>0.04</v>
          </cell>
        </row>
        <row r="420">
          <cell r="A420" t="str">
            <v>F-2026-02-182-2</v>
          </cell>
          <cell r="B420"/>
          <cell r="C420" t="str">
            <v>FPRO-260303-0001</v>
          </cell>
          <cell r="D420" t="str">
            <v>Firm plan 10.2</v>
          </cell>
          <cell r="E420" t="str">
            <v>BDB-000077</v>
          </cell>
          <cell r="F420" t="str">
            <v>PVN-004147</v>
          </cell>
          <cell r="G420" t="str">
            <v>OrthoLite X-25 SEEDPEARL/12-0703TPX Flat Sheet 0.12D 20+/-4 Asker C 1.1M 2M 5.5mm</v>
          </cell>
          <cell r="H420">
            <v>500</v>
          </cell>
          <cell r="I420">
            <v>500</v>
          </cell>
          <cell r="J420">
            <v>500</v>
          </cell>
          <cell r="K420">
            <v>0</v>
          </cell>
          <cell r="L420" t="str">
            <v>ON RUNNING</v>
          </cell>
          <cell r="M420" t="str">
            <v>Forecast</v>
          </cell>
          <cell r="N420" t="str">
            <v>MOLDED</v>
          </cell>
          <cell r="O420">
            <v>1</v>
          </cell>
          <cell r="P420">
            <v>46063</v>
          </cell>
          <cell r="Q420">
            <v>46113</v>
          </cell>
          <cell r="R420">
            <v>46110</v>
          </cell>
          <cell r="S420">
            <v>50</v>
          </cell>
          <cell r="T420">
            <v>5.5</v>
          </cell>
          <cell r="U420">
            <v>25</v>
          </cell>
          <cell r="V420">
            <v>20</v>
          </cell>
          <cell r="W420" t="str">
            <v>0.12D</v>
          </cell>
          <cell r="X420" t="str">
            <v>4-2026</v>
          </cell>
          <cell r="Y420" t="str">
            <v>Week 13</v>
          </cell>
          <cell r="Z420">
            <v>46104</v>
          </cell>
          <cell r="AA420">
            <v>138</v>
          </cell>
          <cell r="AB420">
            <v>0.04</v>
          </cell>
        </row>
        <row r="421">
          <cell r="A421" t="str">
            <v>F-2026-02-183</v>
          </cell>
          <cell r="B421"/>
          <cell r="C421" t="str">
            <v>FPRO-260210-0009</v>
          </cell>
          <cell r="D421" t="str">
            <v>Firm plan 10.2</v>
          </cell>
          <cell r="E421" t="str">
            <v>BDB-000077</v>
          </cell>
          <cell r="F421" t="str">
            <v>PVN-004147</v>
          </cell>
          <cell r="G421" t="str">
            <v>OrthoLite X-25 SEEDPEARL/12-0703TPX Flat Sheet 0.12D 20+/-4 Asker C 1.1M 2M 5.5mm</v>
          </cell>
          <cell r="H421">
            <v>350</v>
          </cell>
          <cell r="I421">
            <v>350</v>
          </cell>
          <cell r="J421">
            <v>350</v>
          </cell>
          <cell r="K421">
            <v>0</v>
          </cell>
          <cell r="L421" t="str">
            <v>ON RUNNING</v>
          </cell>
          <cell r="M421" t="str">
            <v>Forecast</v>
          </cell>
          <cell r="N421" t="str">
            <v>MOLDED</v>
          </cell>
          <cell r="O421">
            <v>1</v>
          </cell>
          <cell r="P421">
            <v>46063</v>
          </cell>
          <cell r="Q421">
            <v>46106</v>
          </cell>
          <cell r="R421">
            <v>46103</v>
          </cell>
          <cell r="S421">
            <v>43</v>
          </cell>
          <cell r="T421">
            <v>5.5</v>
          </cell>
          <cell r="U421">
            <v>25</v>
          </cell>
          <cell r="V421">
            <v>14</v>
          </cell>
          <cell r="W421" t="str">
            <v>0.12D</v>
          </cell>
          <cell r="X421" t="str">
            <v>3-2026</v>
          </cell>
          <cell r="Y421" t="str">
            <v>Week 12</v>
          </cell>
          <cell r="Z421">
            <v>46097</v>
          </cell>
          <cell r="AA421">
            <v>138</v>
          </cell>
          <cell r="AB421">
            <v>0.04</v>
          </cell>
        </row>
        <row r="422">
          <cell r="A422" t="str">
            <v>F-2026-02-184</v>
          </cell>
          <cell r="B422"/>
          <cell r="C422" t="str">
            <v>FPRO-260211-0025</v>
          </cell>
          <cell r="D422" t="str">
            <v>Firm plan 11.2</v>
          </cell>
          <cell r="E422" t="str">
            <v>BDB-000076</v>
          </cell>
          <cell r="F422" t="str">
            <v>PVN-003745</v>
          </cell>
          <cell r="G422" t="str">
            <v>OrthoLite X-25 BILLIARD/16-5427TPX Flat Sheet 0.12D 20+/-4 Asker C 1.1M 2M 16mm</v>
          </cell>
          <cell r="H422">
            <v>512</v>
          </cell>
          <cell r="I422">
            <v>512</v>
          </cell>
          <cell r="J422">
            <v>512</v>
          </cell>
          <cell r="K422">
            <v>0</v>
          </cell>
          <cell r="L422" t="str">
            <v>FOOTJOY</v>
          </cell>
          <cell r="M422" t="str">
            <v>Forecast</v>
          </cell>
          <cell r="N422" t="str">
            <v>MOLDED</v>
          </cell>
          <cell r="O422">
            <v>1</v>
          </cell>
          <cell r="P422">
            <v>46064</v>
          </cell>
          <cell r="Q422">
            <v>46100</v>
          </cell>
          <cell r="R422">
            <v>46097</v>
          </cell>
          <cell r="S422">
            <v>36</v>
          </cell>
          <cell r="T422">
            <v>16</v>
          </cell>
          <cell r="U422">
            <v>8</v>
          </cell>
          <cell r="V422">
            <v>64</v>
          </cell>
          <cell r="W422" t="str">
            <v>0.12D</v>
          </cell>
          <cell r="X422" t="str">
            <v>3-2026</v>
          </cell>
          <cell r="Y422" t="str">
            <v>Week 11</v>
          </cell>
          <cell r="Z422">
            <v>46090</v>
          </cell>
          <cell r="AA422">
            <v>50</v>
          </cell>
          <cell r="AB422">
            <v>0.125</v>
          </cell>
        </row>
        <row r="423">
          <cell r="A423" t="str">
            <v>F-2026-02-185</v>
          </cell>
          <cell r="B423"/>
          <cell r="C423" t="str">
            <v>FPRO-260211-0018</v>
          </cell>
          <cell r="D423" t="str">
            <v>Firm plan 11.2</v>
          </cell>
          <cell r="E423" t="str">
            <v>BDB-000217</v>
          </cell>
          <cell r="F423" t="str">
            <v>PVN-003539</v>
          </cell>
          <cell r="G423" t="str">
            <v>OrthoLite X-40-Hybrid SEEDPEARL/12-0703TPX Hybrid Flat Sheet 0.16D 35+/-4 Asker C 1.1M 1.7M 6.2mm</v>
          </cell>
          <cell r="H423">
            <v>1250</v>
          </cell>
          <cell r="I423">
            <v>1250</v>
          </cell>
          <cell r="J423">
            <v>0</v>
          </cell>
          <cell r="K423">
            <v>1250</v>
          </cell>
          <cell r="L423" t="str">
            <v>BROOKS</v>
          </cell>
          <cell r="M423" t="str">
            <v>Forecast</v>
          </cell>
          <cell r="N423" t="str">
            <v>MOLDED</v>
          </cell>
          <cell r="O423">
            <v>1</v>
          </cell>
          <cell r="P423">
            <v>46064</v>
          </cell>
          <cell r="Q423">
            <v>46209</v>
          </cell>
          <cell r="R423">
            <v>46206</v>
          </cell>
          <cell r="S423">
            <v>145</v>
          </cell>
          <cell r="T423">
            <v>6.2</v>
          </cell>
          <cell r="U423">
            <v>22</v>
          </cell>
          <cell r="V423">
            <v>57</v>
          </cell>
          <cell r="W423" t="str">
            <v>0.16D</v>
          </cell>
          <cell r="X423" t="str">
            <v>7-2026</v>
          </cell>
          <cell r="Y423" t="str">
            <v>Week 24</v>
          </cell>
          <cell r="Z423">
            <v>46181</v>
          </cell>
          <cell r="AA423">
            <v>8</v>
          </cell>
          <cell r="AB423">
            <v>4.5449999999999997E-2</v>
          </cell>
        </row>
        <row r="424">
          <cell r="A424" t="str">
            <v>F-2026-02-186</v>
          </cell>
          <cell r="B424"/>
          <cell r="C424" t="str">
            <v>FPRO-260211-0019</v>
          </cell>
          <cell r="D424" t="str">
            <v>Firm plan 11.2</v>
          </cell>
          <cell r="E424" t="str">
            <v>BDB-000217</v>
          </cell>
          <cell r="F424" t="str">
            <v>PVN-003539</v>
          </cell>
          <cell r="G424" t="str">
            <v>OrthoLite X-40-Hybrid SEEDPEARL/12-0703TPX Hybrid Flat Sheet 0.16D 35+/-4 Asker C 1.1M 1.7M 6.2mm</v>
          </cell>
          <cell r="H424">
            <v>1000</v>
          </cell>
          <cell r="I424">
            <v>1000</v>
          </cell>
          <cell r="J424">
            <v>0</v>
          </cell>
          <cell r="K424">
            <v>1000</v>
          </cell>
          <cell r="L424" t="str">
            <v>BROOKS</v>
          </cell>
          <cell r="M424" t="str">
            <v>Forecast</v>
          </cell>
          <cell r="N424" t="str">
            <v>MOLDED</v>
          </cell>
          <cell r="O424">
            <v>1</v>
          </cell>
          <cell r="P424">
            <v>46064</v>
          </cell>
          <cell r="Q424">
            <v>46181</v>
          </cell>
          <cell r="R424">
            <v>46178</v>
          </cell>
          <cell r="S424">
            <v>117</v>
          </cell>
          <cell r="T424">
            <v>6.2</v>
          </cell>
          <cell r="U424">
            <v>22</v>
          </cell>
          <cell r="V424">
            <v>46</v>
          </cell>
          <cell r="W424" t="str">
            <v>0.16D</v>
          </cell>
          <cell r="X424" t="str">
            <v>6-2026</v>
          </cell>
          <cell r="Y424" t="str">
            <v>Week 23</v>
          </cell>
          <cell r="Z424">
            <v>46174</v>
          </cell>
          <cell r="AA424">
            <v>8</v>
          </cell>
          <cell r="AB424">
            <v>4.5449999999999997E-2</v>
          </cell>
        </row>
        <row r="425">
          <cell r="A425" t="str">
            <v>F-2026-02-187</v>
          </cell>
          <cell r="B425"/>
          <cell r="C425" t="str">
            <v>FPRO-260211-0020</v>
          </cell>
          <cell r="D425" t="str">
            <v>Firm plan 11.2</v>
          </cell>
          <cell r="E425" t="str">
            <v>BDB-000217</v>
          </cell>
          <cell r="F425" t="str">
            <v>PVN-003539</v>
          </cell>
          <cell r="G425" t="str">
            <v>OrthoLite X-40-Hybrid SEEDPEARL/12-0703TPX Hybrid Flat Sheet 0.16D 35+/-4 Asker C 1.1M 1.7M 6.2mm</v>
          </cell>
          <cell r="H425">
            <v>1000</v>
          </cell>
          <cell r="I425">
            <v>1000</v>
          </cell>
          <cell r="J425">
            <v>0</v>
          </cell>
          <cell r="K425">
            <v>1000</v>
          </cell>
          <cell r="L425" t="str">
            <v>BROOKS</v>
          </cell>
          <cell r="M425" t="str">
            <v>Forecast</v>
          </cell>
          <cell r="N425" t="str">
            <v>MOLDED</v>
          </cell>
          <cell r="O425">
            <v>1</v>
          </cell>
          <cell r="P425">
            <v>46064</v>
          </cell>
          <cell r="Q425">
            <v>46188</v>
          </cell>
          <cell r="R425">
            <v>46185</v>
          </cell>
          <cell r="S425">
            <v>124</v>
          </cell>
          <cell r="T425">
            <v>6.2</v>
          </cell>
          <cell r="U425">
            <v>22</v>
          </cell>
          <cell r="V425">
            <v>46</v>
          </cell>
          <cell r="W425" t="str">
            <v>0.16D</v>
          </cell>
          <cell r="X425" t="str">
            <v>6-2026</v>
          </cell>
          <cell r="Y425" t="str">
            <v>Week 24</v>
          </cell>
          <cell r="Z425">
            <v>46181</v>
          </cell>
          <cell r="AA425">
            <v>127</v>
          </cell>
          <cell r="AB425">
            <v>4.5449999999999997E-2</v>
          </cell>
        </row>
        <row r="426">
          <cell r="A426" t="str">
            <v>F-2026-02-188</v>
          </cell>
          <cell r="B426"/>
          <cell r="C426" t="str">
            <v>FPRO-260211-0021</v>
          </cell>
          <cell r="D426" t="str">
            <v>Firm plan 11.2</v>
          </cell>
          <cell r="E426" t="str">
            <v>BDB-000217</v>
          </cell>
          <cell r="F426" t="str">
            <v>PVN-003539</v>
          </cell>
          <cell r="G426" t="str">
            <v>OrthoLite X-40-Hybrid SEEDPEARL/12-0703TPX Hybrid Flat Sheet 0.16D 35+/-4 Asker C 1.1M 1.7M 6.2mm</v>
          </cell>
          <cell r="H426">
            <v>1000</v>
          </cell>
          <cell r="I426">
            <v>1000</v>
          </cell>
          <cell r="J426">
            <v>0</v>
          </cell>
          <cell r="K426">
            <v>1000</v>
          </cell>
          <cell r="L426" t="str">
            <v>BROOKS</v>
          </cell>
          <cell r="M426" t="str">
            <v>Forecast</v>
          </cell>
          <cell r="N426" t="str">
            <v>MOLDED</v>
          </cell>
          <cell r="O426">
            <v>1</v>
          </cell>
          <cell r="P426">
            <v>46064</v>
          </cell>
          <cell r="Q426">
            <v>46195</v>
          </cell>
          <cell r="R426">
            <v>46192</v>
          </cell>
          <cell r="S426">
            <v>131</v>
          </cell>
          <cell r="T426">
            <v>6.2</v>
          </cell>
          <cell r="U426">
            <v>22</v>
          </cell>
          <cell r="V426">
            <v>46</v>
          </cell>
          <cell r="W426" t="str">
            <v>0.16D</v>
          </cell>
          <cell r="X426" t="str">
            <v>6-2026</v>
          </cell>
          <cell r="Y426" t="str">
            <v>Week 24</v>
          </cell>
          <cell r="Z426">
            <v>46181</v>
          </cell>
          <cell r="AA426">
            <v>47</v>
          </cell>
          <cell r="AB426">
            <v>4.5449999999999997E-2</v>
          </cell>
        </row>
        <row r="427">
          <cell r="A427" t="str">
            <v>F-2026-02-189</v>
          </cell>
          <cell r="B427"/>
          <cell r="C427" t="str">
            <v>FPRO-260211-0022</v>
          </cell>
          <cell r="D427" t="str">
            <v>Firm plan 11.2</v>
          </cell>
          <cell r="E427" t="str">
            <v>BDB-000217</v>
          </cell>
          <cell r="F427" t="str">
            <v>PVN-003539</v>
          </cell>
          <cell r="G427" t="str">
            <v>OrthoLite X-40-Hybrid SEEDPEARL/12-0703TPX Hybrid Flat Sheet 0.16D 35+/-4 Asker C 1.1M 1.7M 6.2mm</v>
          </cell>
          <cell r="H427">
            <v>1000</v>
          </cell>
          <cell r="I427">
            <v>1000</v>
          </cell>
          <cell r="J427">
            <v>0</v>
          </cell>
          <cell r="K427">
            <v>1000</v>
          </cell>
          <cell r="L427" t="str">
            <v>BROOKS</v>
          </cell>
          <cell r="M427" t="str">
            <v>Forecast</v>
          </cell>
          <cell r="N427" t="str">
            <v>MOLDED</v>
          </cell>
          <cell r="O427">
            <v>1</v>
          </cell>
          <cell r="P427">
            <v>46064</v>
          </cell>
          <cell r="Q427">
            <v>46202</v>
          </cell>
          <cell r="R427">
            <v>46199</v>
          </cell>
          <cell r="S427">
            <v>138</v>
          </cell>
          <cell r="T427">
            <v>6.2</v>
          </cell>
          <cell r="U427">
            <v>22</v>
          </cell>
          <cell r="V427">
            <v>46</v>
          </cell>
          <cell r="W427" t="str">
            <v>0.16D</v>
          </cell>
          <cell r="X427" t="str">
            <v>6-2026</v>
          </cell>
          <cell r="Y427" t="str">
            <v>Week 24</v>
          </cell>
          <cell r="Z427">
            <v>46181</v>
          </cell>
          <cell r="AA427">
            <v>4</v>
          </cell>
          <cell r="AB427">
            <v>4.5449999999999997E-2</v>
          </cell>
        </row>
        <row r="428">
          <cell r="A428" t="str">
            <v>F-2026-02-190</v>
          </cell>
          <cell r="B428"/>
          <cell r="C428" t="str">
            <v>FPRO-260211-0010</v>
          </cell>
          <cell r="D428" t="str">
            <v>Firm plan 11.2</v>
          </cell>
          <cell r="E428" t="str">
            <v>BDB-000123</v>
          </cell>
          <cell r="F428" t="str">
            <v>PVN-002973</v>
          </cell>
          <cell r="G428" t="str">
            <v>OrthoLite Ultra-Hybrid SEEDPEARL/12-0703TPX Hybrid 0.085D 25+/-4 Asker C 1.1M 2M 4.5mm</v>
          </cell>
          <cell r="H428">
            <v>1500</v>
          </cell>
          <cell r="I428">
            <v>1500</v>
          </cell>
          <cell r="J428">
            <v>0</v>
          </cell>
          <cell r="K428">
            <v>1500</v>
          </cell>
          <cell r="L428" t="str">
            <v>SALOMON</v>
          </cell>
          <cell r="M428" t="str">
            <v>Forecast</v>
          </cell>
          <cell r="N428" t="str">
            <v>MOLDED</v>
          </cell>
          <cell r="O428">
            <v>1</v>
          </cell>
          <cell r="P428">
            <v>46064</v>
          </cell>
          <cell r="Q428">
            <v>46116</v>
          </cell>
          <cell r="R428">
            <v>46113</v>
          </cell>
          <cell r="S428">
            <v>52</v>
          </cell>
          <cell r="T428">
            <v>4.5</v>
          </cell>
          <cell r="U428">
            <v>31</v>
          </cell>
          <cell r="V428">
            <v>49</v>
          </cell>
          <cell r="W428" t="str">
            <v>0.085D</v>
          </cell>
          <cell r="X428" t="str">
            <v>4-2026</v>
          </cell>
          <cell r="Y428" t="str">
            <v>Week 13</v>
          </cell>
          <cell r="Z428">
            <v>46104</v>
          </cell>
          <cell r="AA428">
            <v>0</v>
          </cell>
          <cell r="AB428">
            <v>3.2259999999999997E-2</v>
          </cell>
        </row>
        <row r="429">
          <cell r="A429" t="str">
            <v>F-2026-02-191</v>
          </cell>
          <cell r="B429"/>
          <cell r="C429" t="str">
            <v>FPRO-260211-0011</v>
          </cell>
          <cell r="D429" t="str">
            <v>Firm plan 11.2</v>
          </cell>
          <cell r="E429" t="str">
            <v>BDB-000123</v>
          </cell>
          <cell r="F429" t="str">
            <v>PVN-002973</v>
          </cell>
          <cell r="G429" t="str">
            <v>OrthoLite Ultra-Hybrid SEEDPEARL/12-0703TPX Hybrid 0.085D 25+/-4 Asker C 1.1M 2M 4.5mm</v>
          </cell>
          <cell r="H429">
            <v>1500</v>
          </cell>
          <cell r="I429">
            <v>1500</v>
          </cell>
          <cell r="J429">
            <v>0</v>
          </cell>
          <cell r="K429">
            <v>1500</v>
          </cell>
          <cell r="L429" t="str">
            <v>SALOMON</v>
          </cell>
          <cell r="M429" t="str">
            <v>Forecast</v>
          </cell>
          <cell r="N429" t="str">
            <v>MOLDED</v>
          </cell>
          <cell r="O429">
            <v>1</v>
          </cell>
          <cell r="P429">
            <v>46064</v>
          </cell>
          <cell r="Q429">
            <v>46123</v>
          </cell>
          <cell r="R429">
            <v>46120</v>
          </cell>
          <cell r="S429">
            <v>59</v>
          </cell>
          <cell r="T429">
            <v>4.5</v>
          </cell>
          <cell r="U429">
            <v>31</v>
          </cell>
          <cell r="V429">
            <v>49</v>
          </cell>
          <cell r="W429" t="str">
            <v>0.085D</v>
          </cell>
          <cell r="X429" t="str">
            <v>4-2026</v>
          </cell>
          <cell r="Y429" t="str">
            <v>Week 14</v>
          </cell>
          <cell r="Z429">
            <v>46111</v>
          </cell>
          <cell r="AA429">
            <v>284</v>
          </cell>
          <cell r="AB429">
            <v>3.2259999999999997E-2</v>
          </cell>
        </row>
        <row r="430">
          <cell r="A430" t="str">
            <v>F-2026-02-192</v>
          </cell>
          <cell r="B430"/>
          <cell r="C430" t="str">
            <v>FPRO-260211-0012</v>
          </cell>
          <cell r="D430" t="str">
            <v>Firm plan 11.2</v>
          </cell>
          <cell r="E430" t="str">
            <v>BDB-000123</v>
          </cell>
          <cell r="F430" t="str">
            <v>PVN-002973</v>
          </cell>
          <cell r="G430" t="str">
            <v>OrthoLite Ultra-Hybrid SEEDPEARL/12-0703TPX Hybrid 0.085D 25+/-4 Asker C 1.1M 2M 4.5mm</v>
          </cell>
          <cell r="H430">
            <v>300</v>
          </cell>
          <cell r="I430">
            <v>300</v>
          </cell>
          <cell r="J430">
            <v>0</v>
          </cell>
          <cell r="K430">
            <v>300</v>
          </cell>
          <cell r="L430" t="str">
            <v>SALOMON</v>
          </cell>
          <cell r="M430" t="str">
            <v>Forecast</v>
          </cell>
          <cell r="N430" t="str">
            <v>MOLDED</v>
          </cell>
          <cell r="O430">
            <v>1</v>
          </cell>
          <cell r="P430">
            <v>46064</v>
          </cell>
          <cell r="Q430">
            <v>46134</v>
          </cell>
          <cell r="R430">
            <v>46131</v>
          </cell>
          <cell r="S430">
            <v>70</v>
          </cell>
          <cell r="T430">
            <v>4.5</v>
          </cell>
          <cell r="U430">
            <v>31</v>
          </cell>
          <cell r="V430">
            <v>10</v>
          </cell>
          <cell r="W430" t="str">
            <v>0.085D</v>
          </cell>
          <cell r="X430" t="str">
            <v>4-2026</v>
          </cell>
          <cell r="Y430" t="str">
            <v>Week 16</v>
          </cell>
          <cell r="Z430">
            <v>46125</v>
          </cell>
          <cell r="AA430">
            <v>310</v>
          </cell>
          <cell r="AB430">
            <v>3.2259999999999997E-2</v>
          </cell>
        </row>
        <row r="431">
          <cell r="A431" t="str">
            <v>F-2026-02-193</v>
          </cell>
          <cell r="B431"/>
          <cell r="C431" t="str">
            <v>FPRO-260211-0013</v>
          </cell>
          <cell r="D431" t="str">
            <v>Firm plan 11.2</v>
          </cell>
          <cell r="E431" t="str">
            <v>BDB-000123</v>
          </cell>
          <cell r="F431" t="str">
            <v>PVN-003298</v>
          </cell>
          <cell r="G431" t="str">
            <v>OrthoLite Ultra-Hybrid SEEDPEARL/12-0703TPX Hybrid 0.085D 25+/-4 Asker C 1.1M 2M 4mm</v>
          </cell>
          <cell r="H431">
            <v>7000</v>
          </cell>
          <cell r="I431">
            <v>7000</v>
          </cell>
          <cell r="J431">
            <v>0</v>
          </cell>
          <cell r="K431">
            <v>7000</v>
          </cell>
          <cell r="L431" t="str">
            <v>SALOMON</v>
          </cell>
          <cell r="M431" t="str">
            <v>Forecast</v>
          </cell>
          <cell r="N431" t="str">
            <v>LAMINATING</v>
          </cell>
          <cell r="O431">
            <v>1</v>
          </cell>
          <cell r="P431">
            <v>46064</v>
          </cell>
          <cell r="Q431">
            <v>46114</v>
          </cell>
          <cell r="R431">
            <v>46111</v>
          </cell>
          <cell r="S431">
            <v>50</v>
          </cell>
          <cell r="T431">
            <v>4</v>
          </cell>
          <cell r="U431">
            <v>35</v>
          </cell>
          <cell r="V431">
            <v>200</v>
          </cell>
          <cell r="W431" t="str">
            <v>0.085D</v>
          </cell>
          <cell r="X431" t="str">
            <v>4-2026</v>
          </cell>
          <cell r="Y431" t="str">
            <v>Week 13</v>
          </cell>
          <cell r="Z431">
            <v>46104</v>
          </cell>
          <cell r="AA431">
            <v>41</v>
          </cell>
          <cell r="AB431">
            <v>2.8570000000000002E-2</v>
          </cell>
        </row>
        <row r="432">
          <cell r="A432" t="str">
            <v>F-2026-02-194</v>
          </cell>
          <cell r="B432"/>
          <cell r="C432" t="str">
            <v>FPRO-260211-0014</v>
          </cell>
          <cell r="D432" t="str">
            <v>Firm plan 11.2</v>
          </cell>
          <cell r="E432" t="str">
            <v>BDB-000123</v>
          </cell>
          <cell r="F432" t="str">
            <v>PVN-003298</v>
          </cell>
          <cell r="G432" t="str">
            <v>OrthoLite Ultra-Hybrid SEEDPEARL/12-0703TPX Hybrid 0.085D 25+/-4 Asker C 1.1M 2M 4mm</v>
          </cell>
          <cell r="H432">
            <v>7000</v>
          </cell>
          <cell r="I432">
            <v>7000</v>
          </cell>
          <cell r="J432">
            <v>0</v>
          </cell>
          <cell r="K432">
            <v>7000</v>
          </cell>
          <cell r="L432" t="str">
            <v>SALOMON</v>
          </cell>
          <cell r="M432" t="str">
            <v>Forecast</v>
          </cell>
          <cell r="N432" t="str">
            <v>LAMINATING</v>
          </cell>
          <cell r="O432">
            <v>1</v>
          </cell>
          <cell r="P432">
            <v>46064</v>
          </cell>
          <cell r="Q432">
            <v>46116</v>
          </cell>
          <cell r="R432">
            <v>46113</v>
          </cell>
          <cell r="S432">
            <v>52</v>
          </cell>
          <cell r="T432">
            <v>4</v>
          </cell>
          <cell r="U432">
            <v>35</v>
          </cell>
          <cell r="V432">
            <v>200</v>
          </cell>
          <cell r="W432" t="str">
            <v>0.085D</v>
          </cell>
          <cell r="X432" t="str">
            <v>4-2026</v>
          </cell>
          <cell r="Y432" t="str">
            <v>Week 14</v>
          </cell>
          <cell r="Z432">
            <v>46111</v>
          </cell>
          <cell r="AA432">
            <v>60</v>
          </cell>
          <cell r="AB432">
            <v>2.8570000000000002E-2</v>
          </cell>
        </row>
        <row r="433">
          <cell r="A433" t="str">
            <v>F-2026-02-195</v>
          </cell>
          <cell r="B433"/>
          <cell r="C433" t="str">
            <v>FPRO-260211-0015</v>
          </cell>
          <cell r="D433" t="str">
            <v>Firm plan 11.2</v>
          </cell>
          <cell r="E433" t="str">
            <v>BDB-000123</v>
          </cell>
          <cell r="F433" t="str">
            <v>PVN-003298</v>
          </cell>
          <cell r="G433" t="str">
            <v>OrthoLite Ultra-Hybrid SEEDPEARL/12-0703TPX Hybrid 0.085D 25+/-4 Asker C 1.1M 2M 4mm</v>
          </cell>
          <cell r="H433">
            <v>7000</v>
          </cell>
          <cell r="I433">
            <v>7000</v>
          </cell>
          <cell r="J433">
            <v>0</v>
          </cell>
          <cell r="K433">
            <v>7000</v>
          </cell>
          <cell r="L433" t="str">
            <v>SALOMON</v>
          </cell>
          <cell r="M433" t="str">
            <v>Forecast</v>
          </cell>
          <cell r="N433" t="str">
            <v>LAMINATING</v>
          </cell>
          <cell r="O433">
            <v>1</v>
          </cell>
          <cell r="P433">
            <v>46064</v>
          </cell>
          <cell r="Q433">
            <v>46119</v>
          </cell>
          <cell r="R433">
            <v>46116</v>
          </cell>
          <cell r="S433">
            <v>55</v>
          </cell>
          <cell r="T433">
            <v>4</v>
          </cell>
          <cell r="U433">
            <v>35</v>
          </cell>
          <cell r="V433">
            <v>200</v>
          </cell>
          <cell r="W433" t="str">
            <v>0.085D</v>
          </cell>
          <cell r="X433" t="str">
            <v>4-2026</v>
          </cell>
          <cell r="Y433" t="str">
            <v>Week 14</v>
          </cell>
          <cell r="Z433">
            <v>46111</v>
          </cell>
          <cell r="AA433">
            <v>136</v>
          </cell>
          <cell r="AB433">
            <v>2.8570000000000002E-2</v>
          </cell>
        </row>
        <row r="434">
          <cell r="A434" t="str">
            <v>F-2026-02-196</v>
          </cell>
          <cell r="B434"/>
          <cell r="C434" t="str">
            <v>FPRO-260211-0016</v>
          </cell>
          <cell r="D434" t="str">
            <v>Firm plan 11.2</v>
          </cell>
          <cell r="E434" t="str">
            <v>BDB-000123</v>
          </cell>
          <cell r="F434" t="str">
            <v>PVN-003298</v>
          </cell>
          <cell r="G434" t="str">
            <v>OrthoLite Ultra-Hybrid SEEDPEARL/12-0703TPX Hybrid 0.085D 25+/-4 Asker C 1.1M 2M 4mm</v>
          </cell>
          <cell r="H434">
            <v>1700</v>
          </cell>
          <cell r="I434">
            <v>1700</v>
          </cell>
          <cell r="J434">
            <v>0</v>
          </cell>
          <cell r="K434">
            <v>1700</v>
          </cell>
          <cell r="L434" t="str">
            <v>SALOMON</v>
          </cell>
          <cell r="M434" t="str">
            <v>Forecast</v>
          </cell>
          <cell r="N434" t="str">
            <v>LAMINATING</v>
          </cell>
          <cell r="O434">
            <v>1</v>
          </cell>
          <cell r="P434">
            <v>46064</v>
          </cell>
          <cell r="Q434">
            <v>46122</v>
          </cell>
          <cell r="R434">
            <v>46119</v>
          </cell>
          <cell r="S434">
            <v>58</v>
          </cell>
          <cell r="T434">
            <v>4</v>
          </cell>
          <cell r="U434">
            <v>35</v>
          </cell>
          <cell r="V434">
            <v>49</v>
          </cell>
          <cell r="W434" t="str">
            <v>0.085D</v>
          </cell>
          <cell r="X434" t="str">
            <v>4-2026</v>
          </cell>
          <cell r="Y434" t="str">
            <v>Week 14</v>
          </cell>
          <cell r="Z434">
            <v>46111</v>
          </cell>
          <cell r="AA434">
            <v>34</v>
          </cell>
          <cell r="AB434">
            <v>2.8570000000000002E-2</v>
          </cell>
        </row>
        <row r="435">
          <cell r="A435" t="str">
            <v>F-2026-02-197</v>
          </cell>
          <cell r="B435"/>
          <cell r="C435" t="str">
            <v>FPRO-260211-0007</v>
          </cell>
          <cell r="D435" t="str">
            <v>Firm plan 11.2</v>
          </cell>
          <cell r="E435" t="str">
            <v>BDB-000123</v>
          </cell>
          <cell r="F435" t="str">
            <v>PVN-002973</v>
          </cell>
          <cell r="G435" t="str">
            <v>OrthoLite Ultra-Hybrid SEEDPEARL/12-0703TPX Hybrid 0.085D 25+/-4 Asker C 1.1M 2M 4.5mm</v>
          </cell>
          <cell r="H435">
            <v>900</v>
          </cell>
          <cell r="I435">
            <v>900</v>
          </cell>
          <cell r="J435">
            <v>900</v>
          </cell>
          <cell r="K435">
            <v>0</v>
          </cell>
          <cell r="L435" t="str">
            <v>SALOMON</v>
          </cell>
          <cell r="M435" t="str">
            <v>Forecast</v>
          </cell>
          <cell r="N435" t="str">
            <v>MOLDED</v>
          </cell>
          <cell r="O435">
            <v>1</v>
          </cell>
          <cell r="P435">
            <v>46064</v>
          </cell>
          <cell r="Q435">
            <v>46098</v>
          </cell>
          <cell r="R435">
            <v>46095</v>
          </cell>
          <cell r="S435">
            <v>34</v>
          </cell>
          <cell r="T435">
            <v>4.5</v>
          </cell>
          <cell r="U435">
            <v>31</v>
          </cell>
          <cell r="V435">
            <v>30</v>
          </cell>
          <cell r="W435" t="str">
            <v>0.085D</v>
          </cell>
          <cell r="X435" t="str">
            <v>3-2026</v>
          </cell>
          <cell r="Y435" t="str">
            <v>Week 11</v>
          </cell>
          <cell r="Z435">
            <v>46090</v>
          </cell>
          <cell r="AA435">
            <v>168</v>
          </cell>
          <cell r="AB435">
            <v>3.2259999999999997E-2</v>
          </cell>
        </row>
        <row r="436">
          <cell r="A436" t="str">
            <v>F-2026-02-198</v>
          </cell>
          <cell r="B436"/>
          <cell r="C436" t="str">
            <v>FPRO-260211-0008</v>
          </cell>
          <cell r="D436" t="str">
            <v>Firm plan 11.2</v>
          </cell>
          <cell r="E436" t="str">
            <v>BDB-000123</v>
          </cell>
          <cell r="F436" t="str">
            <v>PVN-002973</v>
          </cell>
          <cell r="G436" t="str">
            <v>OrthoLite Ultra-Hybrid SEEDPEARL/12-0703TPX Hybrid 0.085D 25+/-4 Asker C 1.1M 2M 4.5mm</v>
          </cell>
          <cell r="H436">
            <v>1500</v>
          </cell>
          <cell r="I436">
            <v>1500</v>
          </cell>
          <cell r="J436">
            <v>1500</v>
          </cell>
          <cell r="K436">
            <v>0</v>
          </cell>
          <cell r="L436" t="str">
            <v>SALOMON</v>
          </cell>
          <cell r="M436" t="str">
            <v>Forecast</v>
          </cell>
          <cell r="N436" t="str">
            <v>MOLDED</v>
          </cell>
          <cell r="O436">
            <v>1</v>
          </cell>
          <cell r="P436">
            <v>46064</v>
          </cell>
          <cell r="Q436">
            <v>46090</v>
          </cell>
          <cell r="R436">
            <v>46087</v>
          </cell>
          <cell r="S436">
            <v>26</v>
          </cell>
          <cell r="T436">
            <v>4.5</v>
          </cell>
          <cell r="U436">
            <v>31</v>
          </cell>
          <cell r="V436">
            <v>49</v>
          </cell>
          <cell r="W436" t="str">
            <v>0.085D</v>
          </cell>
          <cell r="X436" t="str">
            <v>3-2026</v>
          </cell>
          <cell r="Y436" t="str">
            <v>Week 10</v>
          </cell>
          <cell r="Z436">
            <v>46083</v>
          </cell>
          <cell r="AA436">
            <v>65</v>
          </cell>
          <cell r="AB436">
            <v>3.2259999999999997E-2</v>
          </cell>
        </row>
        <row r="437">
          <cell r="A437" t="str">
            <v>F-2026-02-199</v>
          </cell>
          <cell r="B437"/>
          <cell r="C437" t="str">
            <v>FPRO-260211-0009</v>
          </cell>
          <cell r="D437" t="str">
            <v>Firm plan 11.2</v>
          </cell>
          <cell r="E437" t="str">
            <v>BDB-000123</v>
          </cell>
          <cell r="F437" t="str">
            <v>PVN-002973</v>
          </cell>
          <cell r="G437" t="str">
            <v>OrthoLite Ultra-Hybrid SEEDPEARL/12-0703TPX Hybrid 0.085D 25+/-4 Asker C 1.1M 2M 4.5mm</v>
          </cell>
          <cell r="H437">
            <v>1500</v>
          </cell>
          <cell r="I437">
            <v>1500</v>
          </cell>
          <cell r="J437">
            <v>1500</v>
          </cell>
          <cell r="K437">
            <v>0</v>
          </cell>
          <cell r="L437" t="str">
            <v>SALOMON</v>
          </cell>
          <cell r="M437" t="str">
            <v>Forecast</v>
          </cell>
          <cell r="N437" t="str">
            <v>MOLDED</v>
          </cell>
          <cell r="O437">
            <v>1</v>
          </cell>
          <cell r="P437">
            <v>46064</v>
          </cell>
          <cell r="Q437">
            <v>46104</v>
          </cell>
          <cell r="R437">
            <v>46101</v>
          </cell>
          <cell r="S437">
            <v>40</v>
          </cell>
          <cell r="T437">
            <v>4.5</v>
          </cell>
          <cell r="U437">
            <v>31</v>
          </cell>
          <cell r="V437">
            <v>49</v>
          </cell>
          <cell r="W437" t="str">
            <v>0.085D</v>
          </cell>
          <cell r="X437" t="str">
            <v>3-2026</v>
          </cell>
          <cell r="Y437" t="str">
            <v>Week 12</v>
          </cell>
          <cell r="Z437">
            <v>46097</v>
          </cell>
          <cell r="AA437">
            <v>238</v>
          </cell>
          <cell r="AB437">
            <v>3.2259999999999997E-2</v>
          </cell>
        </row>
        <row r="438">
          <cell r="A438" t="str">
            <v>F-2026-02-200</v>
          </cell>
          <cell r="B438"/>
          <cell r="C438" t="str">
            <v>FPRO-260211-0002</v>
          </cell>
          <cell r="D438" t="str">
            <v>Firm plan 11.2</v>
          </cell>
          <cell r="E438" t="str">
            <v>BDB-000180</v>
          </cell>
          <cell r="F438" t="str">
            <v>PVN-003236</v>
          </cell>
          <cell r="G438" t="str">
            <v>OrthoLite Eco LT-Hybrid-Converse SEEDPEARL/12-0703TPX Hybrid 0.13D 25+/-4 Asker C 1.1M 2M 5mm</v>
          </cell>
          <cell r="H438">
            <v>1500</v>
          </cell>
          <cell r="I438">
            <v>1500</v>
          </cell>
          <cell r="J438">
            <v>1500</v>
          </cell>
          <cell r="K438">
            <v>0</v>
          </cell>
          <cell r="L438" t="str">
            <v>CONVERSE</v>
          </cell>
          <cell r="M438" t="str">
            <v>Forecast</v>
          </cell>
          <cell r="N438" t="str">
            <v>DIE CUT</v>
          </cell>
          <cell r="O438">
            <v>1</v>
          </cell>
          <cell r="P438">
            <v>46064</v>
          </cell>
          <cell r="Q438">
            <v>46094</v>
          </cell>
          <cell r="R438">
            <v>46091</v>
          </cell>
          <cell r="S438">
            <v>30</v>
          </cell>
          <cell r="T438">
            <v>5</v>
          </cell>
          <cell r="U438">
            <v>28</v>
          </cell>
          <cell r="V438">
            <v>54</v>
          </cell>
          <cell r="W438" t="str">
            <v>0.13D</v>
          </cell>
          <cell r="X438" t="str">
            <v>3-2026</v>
          </cell>
          <cell r="Y438" t="str">
            <v>Week 11</v>
          </cell>
          <cell r="Z438">
            <v>46090</v>
          </cell>
          <cell r="AA438">
            <v>27</v>
          </cell>
          <cell r="AB438">
            <v>3.5709999999999999E-2</v>
          </cell>
        </row>
        <row r="439">
          <cell r="A439" t="str">
            <v>F-2026-02-201</v>
          </cell>
          <cell r="B439"/>
          <cell r="C439" t="str">
            <v>FPRO-260211-0003</v>
          </cell>
          <cell r="D439" t="str">
            <v>Firm plan 11.2</v>
          </cell>
          <cell r="E439" t="str">
            <v>BDB-000180</v>
          </cell>
          <cell r="F439" t="str">
            <v>PVN-003236</v>
          </cell>
          <cell r="G439" t="str">
            <v>OrthoLite Eco LT-Hybrid-Converse SEEDPEARL/12-0703TPX Hybrid 0.13D 25+/-4 Asker C 1.1M 2M 5mm</v>
          </cell>
          <cell r="H439">
            <v>1000</v>
          </cell>
          <cell r="I439">
            <v>1000</v>
          </cell>
          <cell r="J439">
            <v>1000</v>
          </cell>
          <cell r="K439">
            <v>0</v>
          </cell>
          <cell r="L439" t="str">
            <v>CONVERSE</v>
          </cell>
          <cell r="M439" t="str">
            <v>Forecast</v>
          </cell>
          <cell r="N439" t="str">
            <v>DIE CUT</v>
          </cell>
          <cell r="O439">
            <v>1</v>
          </cell>
          <cell r="P439">
            <v>46064</v>
          </cell>
          <cell r="Q439">
            <v>46092</v>
          </cell>
          <cell r="R439">
            <v>46089</v>
          </cell>
          <cell r="S439">
            <v>28</v>
          </cell>
          <cell r="T439">
            <v>5</v>
          </cell>
          <cell r="U439">
            <v>28</v>
          </cell>
          <cell r="V439">
            <v>36</v>
          </cell>
          <cell r="W439" t="str">
            <v>0.13D</v>
          </cell>
          <cell r="X439" t="str">
            <v>3-2026</v>
          </cell>
          <cell r="Y439" t="str">
            <v>Week 10</v>
          </cell>
          <cell r="Z439">
            <v>46083</v>
          </cell>
          <cell r="AA439">
            <v>87</v>
          </cell>
          <cell r="AB439">
            <v>3.5709999999999999E-2</v>
          </cell>
        </row>
        <row r="440">
          <cell r="A440" t="str">
            <v>F-2026-02-202</v>
          </cell>
          <cell r="B440"/>
          <cell r="C440" t="str">
            <v>FPRO-260211-0004</v>
          </cell>
          <cell r="D440" t="str">
            <v>Firm plan 11.2</v>
          </cell>
          <cell r="E440" t="str">
            <v>BDB-000181</v>
          </cell>
          <cell r="F440" t="str">
            <v>PVN-003238</v>
          </cell>
          <cell r="G440" t="str">
            <v>OrthoLite Eco LT-Hybrid-Converse SEEDPEARL/12-0703TPX Hybrid 0.11D 25+/-4 Asker C 1.1M 2M 5mm</v>
          </cell>
          <cell r="H440">
            <v>1000</v>
          </cell>
          <cell r="I440">
            <v>1000</v>
          </cell>
          <cell r="J440">
            <v>1000</v>
          </cell>
          <cell r="K440">
            <v>0</v>
          </cell>
          <cell r="L440" t="str">
            <v>CONVERSE</v>
          </cell>
          <cell r="M440" t="str">
            <v>Forecast</v>
          </cell>
          <cell r="N440" t="str">
            <v>DIE CUT</v>
          </cell>
          <cell r="O440">
            <v>1</v>
          </cell>
          <cell r="P440">
            <v>46064</v>
          </cell>
          <cell r="Q440">
            <v>46098</v>
          </cell>
          <cell r="R440">
            <v>46095</v>
          </cell>
          <cell r="S440">
            <v>34</v>
          </cell>
          <cell r="T440">
            <v>5</v>
          </cell>
          <cell r="U440">
            <v>28</v>
          </cell>
          <cell r="V440">
            <v>36</v>
          </cell>
          <cell r="W440" t="str">
            <v>0.11D</v>
          </cell>
          <cell r="X440" t="str">
            <v>3-2026</v>
          </cell>
          <cell r="Y440" t="str">
            <v>Week 11</v>
          </cell>
          <cell r="Z440">
            <v>46090</v>
          </cell>
          <cell r="AA440">
            <v>9</v>
          </cell>
          <cell r="AB440">
            <v>3.5709999999999999E-2</v>
          </cell>
        </row>
        <row r="441">
          <cell r="A441" t="str">
            <v>F-2026-02-203</v>
          </cell>
          <cell r="B441"/>
          <cell r="C441" t="str">
            <v>FPRO-260211-0005</v>
          </cell>
          <cell r="D441" t="str">
            <v>Firm plan 11.2</v>
          </cell>
          <cell r="E441" t="str">
            <v>BDB-000012</v>
          </cell>
          <cell r="F441" t="str">
            <v>PVN-000640</v>
          </cell>
          <cell r="G441" t="str">
            <v>OrthoLite Regular SEEDPEARL/12-0703TPX 0.13D 25+/-4 Asker C 1.1M 2M 5mm</v>
          </cell>
          <cell r="H441">
            <v>70</v>
          </cell>
          <cell r="I441">
            <v>70</v>
          </cell>
          <cell r="J441">
            <v>70</v>
          </cell>
          <cell r="K441">
            <v>0</v>
          </cell>
          <cell r="L441" t="str">
            <v>CONVERSE</v>
          </cell>
          <cell r="M441" t="str">
            <v>Forecast</v>
          </cell>
          <cell r="N441" t="str">
            <v>SPLITTING</v>
          </cell>
          <cell r="O441">
            <v>2</v>
          </cell>
          <cell r="P441">
            <v>46064</v>
          </cell>
          <cell r="Q441">
            <v>46083</v>
          </cell>
          <cell r="R441">
            <v>46080</v>
          </cell>
          <cell r="S441">
            <v>19</v>
          </cell>
          <cell r="T441">
            <v>5</v>
          </cell>
          <cell r="U441">
            <v>28</v>
          </cell>
          <cell r="V441">
            <v>3</v>
          </cell>
          <cell r="W441" t="str">
            <v>0.13D</v>
          </cell>
          <cell r="X441" t="str">
            <v>3-2026</v>
          </cell>
          <cell r="Y441" t="str">
            <v>Week 9</v>
          </cell>
          <cell r="Z441">
            <v>46076</v>
          </cell>
          <cell r="AA441">
            <v>15</v>
          </cell>
          <cell r="AB441">
            <v>3.5709999999999999E-2</v>
          </cell>
        </row>
        <row r="442">
          <cell r="A442" t="str">
            <v>F-2026-02-204</v>
          </cell>
          <cell r="B442"/>
          <cell r="C442" t="str">
            <v>FPRO-260211-0006</v>
          </cell>
          <cell r="D442" t="str">
            <v>Firm plan 11.2</v>
          </cell>
          <cell r="E442" t="str">
            <v>BDB-000226</v>
          </cell>
          <cell r="F442" t="str">
            <v>PVN-003517</v>
          </cell>
          <cell r="G442" t="str">
            <v>OrthoLite Regular GREY/17-1501TPX Flat Sheet 0.16D 51+/-4 Asker C 1.1M 1.7M 12mm</v>
          </cell>
          <cell r="H442">
            <v>115</v>
          </cell>
          <cell r="I442">
            <v>115</v>
          </cell>
          <cell r="J442">
            <v>115</v>
          </cell>
          <cell r="K442">
            <v>0</v>
          </cell>
          <cell r="L442" t="str">
            <v>CONVERSE</v>
          </cell>
          <cell r="M442" t="str">
            <v>Forecast</v>
          </cell>
          <cell r="N442" t="str">
            <v>DIE CUT</v>
          </cell>
          <cell r="O442">
            <v>1</v>
          </cell>
          <cell r="P442">
            <v>46064</v>
          </cell>
          <cell r="Q442">
            <v>46095</v>
          </cell>
          <cell r="R442">
            <v>46092</v>
          </cell>
          <cell r="S442">
            <v>31</v>
          </cell>
          <cell r="T442">
            <v>12</v>
          </cell>
          <cell r="U442">
            <v>11</v>
          </cell>
          <cell r="V442">
            <v>11</v>
          </cell>
          <cell r="W442" t="str">
            <v>0.16D</v>
          </cell>
          <cell r="X442" t="str">
            <v>3-2026</v>
          </cell>
          <cell r="Y442" t="str">
            <v>Week 11</v>
          </cell>
          <cell r="Z442">
            <v>46090</v>
          </cell>
          <cell r="AA442">
            <v>16</v>
          </cell>
          <cell r="AB442">
            <v>9.0910000000000005E-2</v>
          </cell>
        </row>
        <row r="443">
          <cell r="A443" t="str">
            <v>F-2026-02-205</v>
          </cell>
          <cell r="B443"/>
          <cell r="C443" t="str">
            <v>FPRO-260211-0001-SLT LOCATION</v>
          </cell>
          <cell r="D443" t="str">
            <v>Firm plan 11.2</v>
          </cell>
          <cell r="E443" t="str">
            <v>BDB-000180</v>
          </cell>
          <cell r="F443" t="str">
            <v>PVN-003236</v>
          </cell>
          <cell r="G443" t="str">
            <v>OrthoLite Eco LT-Hybrid-Converse SEEDPEARL/12-0703TPX Hybrid 0.13D 25+/-4 Asker C 1.1M 2M 5mm</v>
          </cell>
          <cell r="H443">
            <v>300</v>
          </cell>
          <cell r="I443">
            <v>300</v>
          </cell>
          <cell r="J443">
            <v>300</v>
          </cell>
          <cell r="K443">
            <v>0</v>
          </cell>
          <cell r="L443" t="str">
            <v>CONVERSE</v>
          </cell>
          <cell r="M443" t="str">
            <v>Forecast</v>
          </cell>
          <cell r="N443" t="str">
            <v>DIE CUT</v>
          </cell>
          <cell r="O443">
            <v>1</v>
          </cell>
          <cell r="P443">
            <v>46064</v>
          </cell>
          <cell r="Q443">
            <v>46092</v>
          </cell>
          <cell r="R443">
            <v>46089</v>
          </cell>
          <cell r="S443">
            <v>28</v>
          </cell>
          <cell r="T443">
            <v>5</v>
          </cell>
          <cell r="U443">
            <v>28</v>
          </cell>
          <cell r="V443">
            <v>11</v>
          </cell>
          <cell r="W443" t="str">
            <v>0.13D</v>
          </cell>
          <cell r="X443" t="str">
            <v>3-2026</v>
          </cell>
          <cell r="Y443" t="str">
            <v>Week 10</v>
          </cell>
          <cell r="Z443">
            <v>46083</v>
          </cell>
          <cell r="AA443">
            <v>133</v>
          </cell>
          <cell r="AB443">
            <v>3.5709999999999999E-2</v>
          </cell>
        </row>
        <row r="444">
          <cell r="A444" t="str">
            <v>F-2026-02-206</v>
          </cell>
          <cell r="B444"/>
          <cell r="C444" t="str">
            <v>FPRO-260211-0026</v>
          </cell>
          <cell r="D444" t="str">
            <v>Firm plan 11.2</v>
          </cell>
          <cell r="E444" t="str">
            <v>BDB-000083</v>
          </cell>
          <cell r="F444" t="str">
            <v>PVN-000930</v>
          </cell>
          <cell r="G444" t="str">
            <v>OrthoLite Eco LT 300C(ADIDAS BLUEBIRD) Flat Sheet 0.11D 25+/-4 Asker C 1.1M 2M 3mm</v>
          </cell>
          <cell r="H444">
            <v>1000</v>
          </cell>
          <cell r="I444">
            <v>1000</v>
          </cell>
          <cell r="J444">
            <v>1000</v>
          </cell>
          <cell r="K444">
            <v>0</v>
          </cell>
          <cell r="L444" t="str">
            <v>ADIDAS</v>
          </cell>
          <cell r="M444" t="str">
            <v>Forecast</v>
          </cell>
          <cell r="N444" t="str">
            <v>SPLITTING</v>
          </cell>
          <cell r="O444">
            <v>2</v>
          </cell>
          <cell r="P444">
            <v>46064</v>
          </cell>
          <cell r="Q444">
            <v>46098</v>
          </cell>
          <cell r="R444">
            <v>46095</v>
          </cell>
          <cell r="S444">
            <v>34</v>
          </cell>
          <cell r="T444">
            <v>3</v>
          </cell>
          <cell r="U444">
            <v>46</v>
          </cell>
          <cell r="V444">
            <v>22</v>
          </cell>
          <cell r="W444" t="str">
            <v>0.11D</v>
          </cell>
          <cell r="X444" t="str">
            <v>3-2026</v>
          </cell>
          <cell r="Y444" t="str">
            <v>Week 11</v>
          </cell>
          <cell r="Z444">
            <v>46090</v>
          </cell>
          <cell r="AA444">
            <v>29</v>
          </cell>
          <cell r="AB444">
            <v>2.1739999999999999E-2</v>
          </cell>
        </row>
        <row r="445">
          <cell r="A445" t="str">
            <v>F-2026-02-209</v>
          </cell>
          <cell r="B445"/>
          <cell r="C445" t="str">
            <v>FPRO-260211-0029</v>
          </cell>
          <cell r="D445" t="str">
            <v>Firm plan 11.2</v>
          </cell>
          <cell r="E445" t="str">
            <v>BDB-000083</v>
          </cell>
          <cell r="F445" t="str">
            <v>PVN-000935</v>
          </cell>
          <cell r="G445" t="str">
            <v>OrthoLite Eco LT 300C(ADIDAS BLUEBIRD) Flat Sheet 0.11D 25+/-4 Asker C 1.1M 2M 4mm</v>
          </cell>
          <cell r="H445">
            <v>1350</v>
          </cell>
          <cell r="I445">
            <v>1350</v>
          </cell>
          <cell r="J445">
            <v>1350</v>
          </cell>
          <cell r="K445">
            <v>0</v>
          </cell>
          <cell r="L445" t="str">
            <v>ADIDAS</v>
          </cell>
          <cell r="M445" t="str">
            <v>Forecast</v>
          </cell>
          <cell r="N445" t="str">
            <v>SPLITTING</v>
          </cell>
          <cell r="O445">
            <v>2</v>
          </cell>
          <cell r="P445">
            <v>46064</v>
          </cell>
          <cell r="Q445">
            <v>46101</v>
          </cell>
          <cell r="R445">
            <v>46098</v>
          </cell>
          <cell r="S445">
            <v>37</v>
          </cell>
          <cell r="T445">
            <v>4</v>
          </cell>
          <cell r="U445">
            <v>35</v>
          </cell>
          <cell r="V445">
            <v>39</v>
          </cell>
          <cell r="W445" t="str">
            <v>0.11D</v>
          </cell>
          <cell r="X445" t="str">
            <v>3-2026</v>
          </cell>
          <cell r="Y445" t="str">
            <v>Week 11</v>
          </cell>
          <cell r="Z445">
            <v>46090</v>
          </cell>
          <cell r="AA445">
            <v>32</v>
          </cell>
          <cell r="AB445">
            <v>2.8570000000000002E-2</v>
          </cell>
        </row>
        <row r="446">
          <cell r="A446" t="str">
            <v>F-2026-02-210</v>
          </cell>
          <cell r="B446"/>
          <cell r="C446" t="str">
            <v>FPRO-260211-0030</v>
          </cell>
          <cell r="D446" t="str">
            <v>Firm plan 11.2</v>
          </cell>
          <cell r="E446" t="str">
            <v>BDB-000058</v>
          </cell>
          <cell r="F446" t="str">
            <v>PVN-001319</v>
          </cell>
          <cell r="G446" t="str">
            <v>OrthoLite Ultra GREEN/16-5932TPX 0.085D 25+/-4 Asker C 1.1M 2M 5mm</v>
          </cell>
          <cell r="H446">
            <v>2000</v>
          </cell>
          <cell r="I446">
            <v>2000</v>
          </cell>
          <cell r="J446">
            <v>2000</v>
          </cell>
          <cell r="K446">
            <v>0</v>
          </cell>
          <cell r="L446" t="str">
            <v>ADIDAS</v>
          </cell>
          <cell r="M446" t="str">
            <v>Forecast</v>
          </cell>
          <cell r="N446" t="str">
            <v>SPLITTING</v>
          </cell>
          <cell r="O446">
            <v>2</v>
          </cell>
          <cell r="P446">
            <v>46064</v>
          </cell>
          <cell r="Q446">
            <v>46088</v>
          </cell>
          <cell r="R446">
            <v>46085</v>
          </cell>
          <cell r="S446">
            <v>24</v>
          </cell>
          <cell r="T446">
            <v>5</v>
          </cell>
          <cell r="U446">
            <v>28</v>
          </cell>
          <cell r="V446">
            <v>72</v>
          </cell>
          <cell r="W446" t="str">
            <v>0.085D</v>
          </cell>
          <cell r="X446" t="str">
            <v>3-2026</v>
          </cell>
          <cell r="Y446" t="str">
            <v>Week 10</v>
          </cell>
          <cell r="Z446">
            <v>46083</v>
          </cell>
          <cell r="AA446">
            <v>21</v>
          </cell>
          <cell r="AB446">
            <v>3.5709999999999999E-2</v>
          </cell>
        </row>
        <row r="447">
          <cell r="A447" t="str">
            <v>F-2026-02-211</v>
          </cell>
          <cell r="B447"/>
          <cell r="C447" t="str">
            <v>FPRO-260211-0031</v>
          </cell>
          <cell r="D447" t="str">
            <v>Firm plan 11.2</v>
          </cell>
          <cell r="E447" t="str">
            <v>BDB-000058</v>
          </cell>
          <cell r="F447" t="str">
            <v>PVN-001319</v>
          </cell>
          <cell r="G447" t="str">
            <v>OrthoLite Ultra GREEN/16-5932TPX 0.085D 25+/-4 Asker C 1.1M 2M 5mm</v>
          </cell>
          <cell r="H447">
            <v>1500</v>
          </cell>
          <cell r="I447">
            <v>1500</v>
          </cell>
          <cell r="J447">
            <v>1500</v>
          </cell>
          <cell r="K447">
            <v>0</v>
          </cell>
          <cell r="L447" t="str">
            <v>ADIDAS</v>
          </cell>
          <cell r="M447" t="str">
            <v>Forecast</v>
          </cell>
          <cell r="N447" t="str">
            <v>SPLITTING</v>
          </cell>
          <cell r="O447">
            <v>2</v>
          </cell>
          <cell r="P447">
            <v>46064</v>
          </cell>
          <cell r="Q447">
            <v>46106</v>
          </cell>
          <cell r="R447">
            <v>46103</v>
          </cell>
          <cell r="S447">
            <v>42</v>
          </cell>
          <cell r="T447">
            <v>5</v>
          </cell>
          <cell r="U447">
            <v>28</v>
          </cell>
          <cell r="V447">
            <v>54</v>
          </cell>
          <cell r="W447" t="str">
            <v>0.085D</v>
          </cell>
          <cell r="X447" t="str">
            <v>3-2026</v>
          </cell>
          <cell r="Y447" t="str">
            <v>Week 12</v>
          </cell>
          <cell r="Z447">
            <v>46097</v>
          </cell>
          <cell r="AA447">
            <v>7</v>
          </cell>
          <cell r="AB447">
            <v>3.5709999999999999E-2</v>
          </cell>
        </row>
        <row r="448">
          <cell r="A448" t="str">
            <v>F-2026-02-212</v>
          </cell>
          <cell r="B448"/>
          <cell r="C448" t="str">
            <v>FPRO-260211-0032</v>
          </cell>
          <cell r="D448" t="str">
            <v>Firm plan 11.2</v>
          </cell>
          <cell r="E448" t="str">
            <v>BDB-000123</v>
          </cell>
          <cell r="F448" t="str">
            <v>PVN-003298</v>
          </cell>
          <cell r="G448" t="str">
            <v>OrthoLite Ultra-Hybrid SEEDPEARL/12-0703TPX Hybrid 0.085D 25+/-4 Asker C 1.1M 2M 4mm</v>
          </cell>
          <cell r="H448">
            <v>7000</v>
          </cell>
          <cell r="I448">
            <v>7000</v>
          </cell>
          <cell r="J448">
            <v>0</v>
          </cell>
          <cell r="K448">
            <v>7000</v>
          </cell>
          <cell r="L448" t="str">
            <v>ADIDAS</v>
          </cell>
          <cell r="M448" t="str">
            <v>Forecast</v>
          </cell>
          <cell r="N448" t="str">
            <v>SPLITTING</v>
          </cell>
          <cell r="O448">
            <v>2</v>
          </cell>
          <cell r="P448">
            <v>46064</v>
          </cell>
          <cell r="Q448">
            <v>46120</v>
          </cell>
          <cell r="R448">
            <v>46117</v>
          </cell>
          <cell r="S448">
            <v>56</v>
          </cell>
          <cell r="T448">
            <v>4</v>
          </cell>
          <cell r="U448">
            <v>35</v>
          </cell>
          <cell r="V448">
            <v>200</v>
          </cell>
          <cell r="W448" t="str">
            <v>0.085D</v>
          </cell>
          <cell r="X448" t="str">
            <v>4-2026</v>
          </cell>
          <cell r="Y448" t="str">
            <v>Week 14</v>
          </cell>
          <cell r="Z448">
            <v>46111</v>
          </cell>
          <cell r="AA448">
            <v>20</v>
          </cell>
          <cell r="AB448">
            <v>2.8570000000000002E-2</v>
          </cell>
        </row>
        <row r="449">
          <cell r="A449" t="str">
            <v>F-2026-02-213</v>
          </cell>
          <cell r="B449"/>
          <cell r="C449" t="str">
            <v>FPRO-260211-0033</v>
          </cell>
          <cell r="D449" t="str">
            <v>Firm plan 11.2</v>
          </cell>
          <cell r="E449" t="str">
            <v>BDB-000123</v>
          </cell>
          <cell r="F449" t="str">
            <v>PVN-003298</v>
          </cell>
          <cell r="G449" t="str">
            <v>OrthoLite Ultra-Hybrid SEEDPEARL/12-0703TPX Hybrid 0.085D 25+/-4 Asker C 1.1M 2M 4mm</v>
          </cell>
          <cell r="H449">
            <v>7000</v>
          </cell>
          <cell r="I449">
            <v>7000</v>
          </cell>
          <cell r="J449">
            <v>0</v>
          </cell>
          <cell r="K449">
            <v>7000</v>
          </cell>
          <cell r="L449" t="str">
            <v>ADIDAS</v>
          </cell>
          <cell r="M449" t="str">
            <v>Forecast</v>
          </cell>
          <cell r="N449" t="str">
            <v>SPLITTING</v>
          </cell>
          <cell r="O449">
            <v>2</v>
          </cell>
          <cell r="P449">
            <v>46064</v>
          </cell>
          <cell r="Q449">
            <v>46122</v>
          </cell>
          <cell r="R449">
            <v>46119</v>
          </cell>
          <cell r="S449">
            <v>58</v>
          </cell>
          <cell r="T449">
            <v>4</v>
          </cell>
          <cell r="U449">
            <v>35</v>
          </cell>
          <cell r="V449">
            <v>200</v>
          </cell>
          <cell r="W449" t="str">
            <v>0.085D</v>
          </cell>
          <cell r="X449" t="str">
            <v>4-2026</v>
          </cell>
          <cell r="Y449" t="str">
            <v>Week 14</v>
          </cell>
          <cell r="Z449">
            <v>46111</v>
          </cell>
          <cell r="AA449">
            <v>23</v>
          </cell>
          <cell r="AB449">
            <v>2.8570000000000002E-2</v>
          </cell>
        </row>
        <row r="450">
          <cell r="A450" t="str">
            <v>F-2026-02-214</v>
          </cell>
          <cell r="B450"/>
          <cell r="C450" t="str">
            <v>FPRO-260211-0034</v>
          </cell>
          <cell r="D450" t="str">
            <v>Firm plan 11.2</v>
          </cell>
          <cell r="E450" t="str">
            <v>BDB-000123</v>
          </cell>
          <cell r="F450" t="str">
            <v>PVN-003298</v>
          </cell>
          <cell r="G450" t="str">
            <v>OrthoLite Ultra-Hybrid SEEDPEARL/12-0703TPX Hybrid 0.085D 25+/-4 Asker C 1.1M 2M 4mm</v>
          </cell>
          <cell r="H450">
            <v>7000</v>
          </cell>
          <cell r="I450">
            <v>7000</v>
          </cell>
          <cell r="J450">
            <v>0</v>
          </cell>
          <cell r="K450">
            <v>7000</v>
          </cell>
          <cell r="L450" t="str">
            <v>ADIDAS</v>
          </cell>
          <cell r="M450" t="str">
            <v>Forecast</v>
          </cell>
          <cell r="N450" t="str">
            <v>SPLITTING</v>
          </cell>
          <cell r="O450">
            <v>2</v>
          </cell>
          <cell r="P450">
            <v>46064</v>
          </cell>
          <cell r="Q450">
            <v>46127</v>
          </cell>
          <cell r="R450">
            <v>46124</v>
          </cell>
          <cell r="S450">
            <v>63</v>
          </cell>
          <cell r="T450">
            <v>4</v>
          </cell>
          <cell r="U450">
            <v>35</v>
          </cell>
          <cell r="V450">
            <v>200</v>
          </cell>
          <cell r="W450" t="str">
            <v>0.085D</v>
          </cell>
          <cell r="X450" t="str">
            <v>4-2026</v>
          </cell>
          <cell r="Y450" t="str">
            <v>Week 15</v>
          </cell>
          <cell r="Z450">
            <v>46118</v>
          </cell>
          <cell r="AA450">
            <v>19</v>
          </cell>
          <cell r="AB450">
            <v>2.8570000000000002E-2</v>
          </cell>
        </row>
        <row r="451">
          <cell r="A451" t="str">
            <v>F-2026-02-215</v>
          </cell>
          <cell r="B451"/>
          <cell r="C451" t="str">
            <v>FPRO-260211-0035</v>
          </cell>
          <cell r="D451" t="str">
            <v>Firm plan 11.2</v>
          </cell>
          <cell r="E451" t="str">
            <v>BDB-000123</v>
          </cell>
          <cell r="F451" t="str">
            <v>PVN-003298</v>
          </cell>
          <cell r="G451" t="str">
            <v>OrthoLite Ultra-Hybrid SEEDPEARL/12-0703TPX Hybrid 0.085D 25+/-4 Asker C 1.1M 2M 4mm</v>
          </cell>
          <cell r="H451">
            <v>7000</v>
          </cell>
          <cell r="I451">
            <v>7000</v>
          </cell>
          <cell r="J451">
            <v>0</v>
          </cell>
          <cell r="K451">
            <v>7000</v>
          </cell>
          <cell r="L451" t="str">
            <v>ADIDAS</v>
          </cell>
          <cell r="M451" t="str">
            <v>Forecast</v>
          </cell>
          <cell r="N451" t="str">
            <v>SPLITTING</v>
          </cell>
          <cell r="O451">
            <v>2</v>
          </cell>
          <cell r="P451">
            <v>46064</v>
          </cell>
          <cell r="Q451">
            <v>46129</v>
          </cell>
          <cell r="R451">
            <v>46126</v>
          </cell>
          <cell r="S451">
            <v>65</v>
          </cell>
          <cell r="T451">
            <v>4</v>
          </cell>
          <cell r="U451">
            <v>35</v>
          </cell>
          <cell r="V451">
            <v>200</v>
          </cell>
          <cell r="W451" t="str">
            <v>0.085D</v>
          </cell>
          <cell r="X451" t="str">
            <v>4-2026</v>
          </cell>
          <cell r="Y451" t="str">
            <v>Week 15</v>
          </cell>
          <cell r="Z451">
            <v>46118</v>
          </cell>
          <cell r="AA451">
            <v>429</v>
          </cell>
          <cell r="AB451">
            <v>2.8570000000000002E-2</v>
          </cell>
        </row>
        <row r="452">
          <cell r="A452" t="str">
            <v>F-2026-02-216-1</v>
          </cell>
          <cell r="B452"/>
          <cell r="C452" t="str">
            <v>FPRO-260211-0036</v>
          </cell>
          <cell r="D452" t="str">
            <v>Firm plan 11.2</v>
          </cell>
          <cell r="E452" t="str">
            <v>BDB-000123</v>
          </cell>
          <cell r="F452" t="str">
            <v>PVN-003298</v>
          </cell>
          <cell r="G452" t="str">
            <v>OrthoLite Ultra-Hybrid SEEDPEARL/12-0703TPX Hybrid 0.085D 25+/-4 Asker C 1.1M 2M 4mm</v>
          </cell>
          <cell r="H452">
            <v>2000</v>
          </cell>
          <cell r="I452">
            <v>2000</v>
          </cell>
          <cell r="J452">
            <v>0</v>
          </cell>
          <cell r="K452">
            <v>2000</v>
          </cell>
          <cell r="L452" t="str">
            <v>ADIDAS</v>
          </cell>
          <cell r="M452" t="str">
            <v>Forecast</v>
          </cell>
          <cell r="N452" t="str">
            <v>SPLITTING</v>
          </cell>
          <cell r="O452">
            <v>2</v>
          </cell>
          <cell r="P452">
            <v>46064</v>
          </cell>
          <cell r="Q452">
            <v>46129</v>
          </cell>
          <cell r="R452">
            <v>46126</v>
          </cell>
          <cell r="S452">
            <v>65</v>
          </cell>
          <cell r="T452">
            <v>4</v>
          </cell>
          <cell r="U452">
            <v>35</v>
          </cell>
          <cell r="V452">
            <v>58</v>
          </cell>
          <cell r="W452" t="str">
            <v>0.085D</v>
          </cell>
          <cell r="X452" t="str">
            <v>4-2026</v>
          </cell>
          <cell r="Y452" t="str">
            <v>Week 16</v>
          </cell>
          <cell r="Z452">
            <v>46125</v>
          </cell>
          <cell r="AA452">
            <v>2</v>
          </cell>
          <cell r="AB452">
            <v>2.8570000000000002E-2</v>
          </cell>
        </row>
        <row r="453">
          <cell r="A453" t="str">
            <v>F-2026-02-216-2</v>
          </cell>
          <cell r="B453"/>
          <cell r="C453" t="str">
            <v>FPRO-260401-0011</v>
          </cell>
          <cell r="D453" t="str">
            <v>Firm plan 11.2</v>
          </cell>
          <cell r="E453" t="str">
            <v>BDB-000123</v>
          </cell>
          <cell r="F453" t="str">
            <v>PVN-003298</v>
          </cell>
          <cell r="G453" t="str">
            <v>OrthoLite Ultra-Hybrid SEEDPEARL/12-0703TPX Hybrid 0.085D 25+/-4 Asker C 1.1M 2M 4mm</v>
          </cell>
          <cell r="H453">
            <v>5000</v>
          </cell>
          <cell r="I453">
            <v>5000</v>
          </cell>
          <cell r="J453">
            <v>0</v>
          </cell>
          <cell r="K453">
            <v>5000</v>
          </cell>
          <cell r="L453" t="str">
            <v>ADIDAS</v>
          </cell>
          <cell r="M453" t="str">
            <v>Forecast</v>
          </cell>
          <cell r="N453" t="str">
            <v>SPLITTING</v>
          </cell>
          <cell r="O453">
            <v>2</v>
          </cell>
          <cell r="P453">
            <v>46064</v>
          </cell>
          <cell r="Q453">
            <v>46130</v>
          </cell>
          <cell r="R453">
            <v>46127</v>
          </cell>
          <cell r="S453">
            <v>66</v>
          </cell>
          <cell r="T453">
            <v>4</v>
          </cell>
          <cell r="U453">
            <v>35</v>
          </cell>
          <cell r="V453">
            <v>143</v>
          </cell>
          <cell r="W453" t="str">
            <v>0.085D</v>
          </cell>
          <cell r="X453" t="str">
            <v>4-2026</v>
          </cell>
          <cell r="Y453" t="str">
            <v>Week 16</v>
          </cell>
          <cell r="Z453">
            <v>46125</v>
          </cell>
          <cell r="AA453">
            <v>72</v>
          </cell>
          <cell r="AB453">
            <v>2.8570000000000002E-2</v>
          </cell>
        </row>
        <row r="454">
          <cell r="A454" t="str">
            <v>F-2026-02-217</v>
          </cell>
          <cell r="B454"/>
          <cell r="C454" t="str">
            <v>FPRO-260211-0037</v>
          </cell>
          <cell r="D454" t="str">
            <v>Firm plan 11.2</v>
          </cell>
          <cell r="E454" t="str">
            <v>BDB-000123</v>
          </cell>
          <cell r="F454" t="str">
            <v>PVN-003298</v>
          </cell>
          <cell r="G454" t="str">
            <v>OrthoLite Ultra-Hybrid SEEDPEARL/12-0703TPX Hybrid 0.085D 25+/-4 Asker C 1.1M 2M 4mm</v>
          </cell>
          <cell r="H454">
            <v>7000</v>
          </cell>
          <cell r="I454">
            <v>7000</v>
          </cell>
          <cell r="J454">
            <v>0</v>
          </cell>
          <cell r="K454">
            <v>7000</v>
          </cell>
          <cell r="L454" t="str">
            <v>ADIDAS</v>
          </cell>
          <cell r="M454" t="str">
            <v>Forecast</v>
          </cell>
          <cell r="N454" t="str">
            <v>SPLITTING</v>
          </cell>
          <cell r="O454">
            <v>2</v>
          </cell>
          <cell r="P454">
            <v>46064</v>
          </cell>
          <cell r="Q454">
            <v>46135</v>
          </cell>
          <cell r="R454">
            <v>46132</v>
          </cell>
          <cell r="S454">
            <v>71</v>
          </cell>
          <cell r="T454">
            <v>4</v>
          </cell>
          <cell r="U454">
            <v>35</v>
          </cell>
          <cell r="V454">
            <v>200</v>
          </cell>
          <cell r="W454" t="str">
            <v>0.085D</v>
          </cell>
          <cell r="X454" t="str">
            <v>4-2026</v>
          </cell>
          <cell r="Y454" t="str">
            <v>Week 16</v>
          </cell>
          <cell r="Z454">
            <v>46125</v>
          </cell>
          <cell r="AA454">
            <v>0</v>
          </cell>
          <cell r="AB454">
            <v>2.8570000000000002E-2</v>
          </cell>
        </row>
        <row r="455">
          <cell r="A455" t="str">
            <v>F-2026-02-218</v>
          </cell>
          <cell r="B455"/>
          <cell r="C455" t="str">
            <v>FPRO-260211-0038</v>
          </cell>
          <cell r="D455" t="str">
            <v>Firm plan 11.2</v>
          </cell>
          <cell r="E455" t="str">
            <v>BDB-000123</v>
          </cell>
          <cell r="F455" t="str">
            <v>PVN-003298</v>
          </cell>
          <cell r="G455" t="str">
            <v>OrthoLite Ultra-Hybrid SEEDPEARL/12-0703TPX Hybrid 0.085D 25+/-4 Asker C 1.1M 2M 4mm</v>
          </cell>
          <cell r="H455">
            <v>7000</v>
          </cell>
          <cell r="I455">
            <v>7000</v>
          </cell>
          <cell r="J455">
            <v>0</v>
          </cell>
          <cell r="K455">
            <v>7000</v>
          </cell>
          <cell r="L455" t="str">
            <v>ADIDAS</v>
          </cell>
          <cell r="M455" t="str">
            <v>Forecast</v>
          </cell>
          <cell r="N455" t="str">
            <v>SPLITTING</v>
          </cell>
          <cell r="O455">
            <v>2</v>
          </cell>
          <cell r="P455">
            <v>46064</v>
          </cell>
          <cell r="Q455">
            <v>46148</v>
          </cell>
          <cell r="R455">
            <v>46145</v>
          </cell>
          <cell r="S455">
            <v>84</v>
          </cell>
          <cell r="T455">
            <v>4</v>
          </cell>
          <cell r="U455">
            <v>35</v>
          </cell>
          <cell r="V455">
            <v>200</v>
          </cell>
          <cell r="W455" t="str">
            <v>0.085D</v>
          </cell>
          <cell r="X455" t="str">
            <v>5-2026</v>
          </cell>
          <cell r="Y455" t="str">
            <v>Week 17</v>
          </cell>
          <cell r="Z455">
            <v>46132</v>
          </cell>
          <cell r="AA455">
            <v>72</v>
          </cell>
          <cell r="AB455">
            <v>2.8570000000000002E-2</v>
          </cell>
        </row>
        <row r="456">
          <cell r="A456" t="str">
            <v>F-2026-02-219</v>
          </cell>
          <cell r="B456"/>
          <cell r="C456" t="str">
            <v>FPRO-260211-0039</v>
          </cell>
          <cell r="D456" t="str">
            <v>Firm plan 11.2</v>
          </cell>
          <cell r="E456" t="str">
            <v>BDB-000123</v>
          </cell>
          <cell r="F456" t="str">
            <v>PVN-003298</v>
          </cell>
          <cell r="G456" t="str">
            <v>OrthoLite Ultra-Hybrid SEEDPEARL/12-0703TPX Hybrid 0.085D 25+/-4 Asker C 1.1M 2M 4mm</v>
          </cell>
          <cell r="H456">
            <v>7000</v>
          </cell>
          <cell r="I456">
            <v>7000</v>
          </cell>
          <cell r="J456">
            <v>0</v>
          </cell>
          <cell r="K456">
            <v>7000</v>
          </cell>
          <cell r="L456" t="str">
            <v>ADIDAS</v>
          </cell>
          <cell r="M456" t="str">
            <v>Forecast</v>
          </cell>
          <cell r="N456" t="str">
            <v>SPLITTING</v>
          </cell>
          <cell r="O456">
            <v>2</v>
          </cell>
          <cell r="P456">
            <v>46064</v>
          </cell>
          <cell r="Q456">
            <v>46134</v>
          </cell>
          <cell r="R456">
            <v>46131</v>
          </cell>
          <cell r="S456">
            <v>70</v>
          </cell>
          <cell r="T456">
            <v>4</v>
          </cell>
          <cell r="U456">
            <v>35</v>
          </cell>
          <cell r="V456">
            <v>200</v>
          </cell>
          <cell r="W456" t="str">
            <v>0.085D</v>
          </cell>
          <cell r="X456" t="str">
            <v>4-2026</v>
          </cell>
          <cell r="Y456" t="str">
            <v>Week 16</v>
          </cell>
          <cell r="Z456">
            <v>46125</v>
          </cell>
          <cell r="AA456">
            <v>237</v>
          </cell>
          <cell r="AB456">
            <v>2.8570000000000002E-2</v>
          </cell>
        </row>
        <row r="457">
          <cell r="A457" t="str">
            <v>F-2026-02-220</v>
          </cell>
          <cell r="B457"/>
          <cell r="C457" t="str">
            <v>FPRO-260211-0040</v>
          </cell>
          <cell r="D457" t="str">
            <v>Firm plan 11.2</v>
          </cell>
          <cell r="E457" t="str">
            <v>BDB-000123</v>
          </cell>
          <cell r="F457" t="str">
            <v>PVN-003298</v>
          </cell>
          <cell r="G457" t="str">
            <v>OrthoLite Ultra-Hybrid SEEDPEARL/12-0703TPX Hybrid 0.085D 25+/-4 Asker C 1.1M 2M 4mm</v>
          </cell>
          <cell r="H457">
            <v>7000</v>
          </cell>
          <cell r="I457">
            <v>7000</v>
          </cell>
          <cell r="J457">
            <v>0</v>
          </cell>
          <cell r="K457">
            <v>7000</v>
          </cell>
          <cell r="L457" t="str">
            <v>ADIDAS</v>
          </cell>
          <cell r="M457" t="str">
            <v>Forecast</v>
          </cell>
          <cell r="N457" t="str">
            <v>SPLITTING</v>
          </cell>
          <cell r="O457">
            <v>2</v>
          </cell>
          <cell r="P457">
            <v>46064</v>
          </cell>
          <cell r="Q457">
            <v>46125</v>
          </cell>
          <cell r="R457">
            <v>46122</v>
          </cell>
          <cell r="S457">
            <v>61</v>
          </cell>
          <cell r="T457">
            <v>4</v>
          </cell>
          <cell r="U457">
            <v>35</v>
          </cell>
          <cell r="V457">
            <v>200</v>
          </cell>
          <cell r="W457" t="str">
            <v>0.085D</v>
          </cell>
          <cell r="X457" t="str">
            <v>4-2026</v>
          </cell>
          <cell r="Y457" t="str">
            <v>Week 15</v>
          </cell>
          <cell r="Z457">
            <v>46118</v>
          </cell>
          <cell r="AA457">
            <v>4</v>
          </cell>
          <cell r="AB457">
            <v>2.8570000000000002E-2</v>
          </cell>
        </row>
        <row r="458">
          <cell r="A458" t="str">
            <v>F-2026-02-221</v>
          </cell>
          <cell r="B458"/>
          <cell r="C458" t="str">
            <v>FPRO-260211-0041</v>
          </cell>
          <cell r="D458" t="str">
            <v>Firm plan 11.2</v>
          </cell>
          <cell r="E458" t="str">
            <v>BDB-000123</v>
          </cell>
          <cell r="F458" t="str">
            <v>PVN-003298</v>
          </cell>
          <cell r="G458" t="str">
            <v>OrthoLite Ultra-Hybrid SEEDPEARL/12-0703TPX Hybrid 0.085D 25+/-4 Asker C 1.1M 2M 4mm</v>
          </cell>
          <cell r="H458">
            <v>7000</v>
          </cell>
          <cell r="I458">
            <v>7000</v>
          </cell>
          <cell r="J458">
            <v>0</v>
          </cell>
          <cell r="K458">
            <v>7000</v>
          </cell>
          <cell r="L458" t="str">
            <v>ADIDAS</v>
          </cell>
          <cell r="M458" t="str">
            <v>Forecast</v>
          </cell>
          <cell r="N458" t="str">
            <v>SPLITTING</v>
          </cell>
          <cell r="O458">
            <v>2</v>
          </cell>
          <cell r="P458">
            <v>46064</v>
          </cell>
          <cell r="Q458">
            <v>46150</v>
          </cell>
          <cell r="R458">
            <v>46147</v>
          </cell>
          <cell r="S458">
            <v>86</v>
          </cell>
          <cell r="T458">
            <v>4</v>
          </cell>
          <cell r="U458">
            <v>35</v>
          </cell>
          <cell r="V458">
            <v>200</v>
          </cell>
          <cell r="W458" t="str">
            <v>0.085D</v>
          </cell>
          <cell r="X458" t="str">
            <v>5-2026</v>
          </cell>
          <cell r="Y458" t="str">
            <v>Week 17</v>
          </cell>
          <cell r="Z458">
            <v>46132</v>
          </cell>
          <cell r="AA458">
            <v>48</v>
          </cell>
          <cell r="AB458">
            <v>2.8570000000000002E-2</v>
          </cell>
        </row>
        <row r="459">
          <cell r="A459" t="str">
            <v>F-2026-02-222</v>
          </cell>
          <cell r="B459"/>
          <cell r="C459" t="str">
            <v>FPRO-260211-0042</v>
          </cell>
          <cell r="D459" t="str">
            <v>Firm plan 11.2</v>
          </cell>
          <cell r="E459" t="str">
            <v>BDB-000123</v>
          </cell>
          <cell r="F459" t="str">
            <v>PVN-003298</v>
          </cell>
          <cell r="G459" t="str">
            <v>OrthoLite Ultra-Hybrid SEEDPEARL/12-0703TPX Hybrid 0.085D 25+/-4 Asker C 1.1M 2M 4mm</v>
          </cell>
          <cell r="H459">
            <v>7000</v>
          </cell>
          <cell r="I459">
            <v>7000</v>
          </cell>
          <cell r="J459">
            <v>0</v>
          </cell>
          <cell r="K459">
            <v>7000</v>
          </cell>
          <cell r="L459" t="str">
            <v>ADIDAS</v>
          </cell>
          <cell r="M459" t="str">
            <v>Forecast</v>
          </cell>
          <cell r="N459" t="str">
            <v>SPLITTING</v>
          </cell>
          <cell r="O459">
            <v>2</v>
          </cell>
          <cell r="P459">
            <v>46064</v>
          </cell>
          <cell r="Q459">
            <v>46164</v>
          </cell>
          <cell r="R459">
            <v>46161</v>
          </cell>
          <cell r="S459">
            <v>100</v>
          </cell>
          <cell r="T459">
            <v>4</v>
          </cell>
          <cell r="U459">
            <v>35</v>
          </cell>
          <cell r="V459">
            <v>200</v>
          </cell>
          <cell r="W459" t="str">
            <v>0.085D</v>
          </cell>
          <cell r="X459" t="str">
            <v>5-2026</v>
          </cell>
          <cell r="Y459" t="str">
            <v>Week 21</v>
          </cell>
          <cell r="Z459">
            <v>46160</v>
          </cell>
          <cell r="AA459">
            <v>0</v>
          </cell>
          <cell r="AB459">
            <v>2.8570000000000002E-2</v>
          </cell>
        </row>
        <row r="460">
          <cell r="A460" t="str">
            <v>F-2026-02-223</v>
          </cell>
          <cell r="B460"/>
          <cell r="C460" t="str">
            <v>FPRO-260211-0043</v>
          </cell>
          <cell r="D460" t="str">
            <v>Firm plan 11.2</v>
          </cell>
          <cell r="E460" t="str">
            <v>BDB-000123</v>
          </cell>
          <cell r="F460" t="str">
            <v>PVN-003298</v>
          </cell>
          <cell r="G460" t="str">
            <v>OrthoLite Ultra-Hybrid SEEDPEARL/12-0703TPX Hybrid 0.085D 25+/-4 Asker C 1.1M 2M 4mm</v>
          </cell>
          <cell r="H460">
            <v>7000</v>
          </cell>
          <cell r="I460">
            <v>7000</v>
          </cell>
          <cell r="J460">
            <v>0</v>
          </cell>
          <cell r="K460">
            <v>7000</v>
          </cell>
          <cell r="L460" t="str">
            <v>ADIDAS</v>
          </cell>
          <cell r="M460" t="str">
            <v>Forecast</v>
          </cell>
          <cell r="N460" t="str">
            <v>SPLITTING</v>
          </cell>
          <cell r="O460">
            <v>2</v>
          </cell>
          <cell r="P460">
            <v>46064</v>
          </cell>
          <cell r="Q460">
            <v>46162</v>
          </cell>
          <cell r="R460">
            <v>46159</v>
          </cell>
          <cell r="S460">
            <v>98</v>
          </cell>
          <cell r="T460">
            <v>4</v>
          </cell>
          <cell r="U460">
            <v>35</v>
          </cell>
          <cell r="V460">
            <v>200</v>
          </cell>
          <cell r="W460" t="str">
            <v>0.085D</v>
          </cell>
          <cell r="X460" t="str">
            <v>5-2026</v>
          </cell>
          <cell r="Y460" t="str">
            <v>Week 20</v>
          </cell>
          <cell r="Z460">
            <v>46153</v>
          </cell>
          <cell r="AA460">
            <v>4</v>
          </cell>
          <cell r="AB460">
            <v>2.8570000000000002E-2</v>
          </cell>
        </row>
        <row r="461">
          <cell r="A461" t="str">
            <v>F-2026-02-224</v>
          </cell>
          <cell r="B461"/>
          <cell r="C461" t="str">
            <v>FPRO-260211-0044</v>
          </cell>
          <cell r="D461" t="str">
            <v>Firm plan 11.2</v>
          </cell>
          <cell r="E461" t="str">
            <v>BDB-000123</v>
          </cell>
          <cell r="F461" t="str">
            <v>PVN-003298</v>
          </cell>
          <cell r="G461" t="str">
            <v>OrthoLite Ultra-Hybrid SEEDPEARL/12-0703TPX Hybrid 0.085D 25+/-4 Asker C 1.1M 2M 4mm</v>
          </cell>
          <cell r="H461">
            <v>7000</v>
          </cell>
          <cell r="I461">
            <v>7000</v>
          </cell>
          <cell r="J461">
            <v>0</v>
          </cell>
          <cell r="K461">
            <v>7000</v>
          </cell>
          <cell r="L461" t="str">
            <v>ADIDAS</v>
          </cell>
          <cell r="M461" t="str">
            <v>Forecast</v>
          </cell>
          <cell r="N461" t="str">
            <v>SPLITTING</v>
          </cell>
          <cell r="O461">
            <v>2</v>
          </cell>
          <cell r="P461">
            <v>46064</v>
          </cell>
          <cell r="Q461">
            <v>46132</v>
          </cell>
          <cell r="R461">
            <v>46129</v>
          </cell>
          <cell r="S461">
            <v>68</v>
          </cell>
          <cell r="T461">
            <v>4</v>
          </cell>
          <cell r="U461">
            <v>35</v>
          </cell>
          <cell r="V461">
            <v>200</v>
          </cell>
          <cell r="W461" t="str">
            <v>0.085D</v>
          </cell>
          <cell r="X461" t="str">
            <v>4-2026</v>
          </cell>
          <cell r="Y461" t="str">
            <v>Week 16</v>
          </cell>
          <cell r="Z461">
            <v>46125</v>
          </cell>
          <cell r="AA461">
            <v>238</v>
          </cell>
          <cell r="AB461">
            <v>2.8570000000000002E-2</v>
          </cell>
        </row>
        <row r="462">
          <cell r="A462" t="str">
            <v>F-2026-02-225</v>
          </cell>
          <cell r="B462"/>
          <cell r="C462" t="str">
            <v>FPRO-260211-0045</v>
          </cell>
          <cell r="D462" t="str">
            <v>Firm plan 11.2</v>
          </cell>
          <cell r="E462" t="str">
            <v>BDB-000123</v>
          </cell>
          <cell r="F462" t="str">
            <v>PVN-003298</v>
          </cell>
          <cell r="G462" t="str">
            <v>OrthoLite Ultra-Hybrid SEEDPEARL/12-0703TPX Hybrid 0.085D 25+/-4 Asker C 1.1M 2M 4mm</v>
          </cell>
          <cell r="H462">
            <v>3000</v>
          </cell>
          <cell r="I462">
            <v>3000</v>
          </cell>
          <cell r="J462">
            <v>0</v>
          </cell>
          <cell r="K462">
            <v>3000</v>
          </cell>
          <cell r="L462" t="str">
            <v>ADIDAS</v>
          </cell>
          <cell r="M462" t="str">
            <v>Forecast</v>
          </cell>
          <cell r="N462" t="str">
            <v>SPLITTING</v>
          </cell>
          <cell r="O462">
            <v>2</v>
          </cell>
          <cell r="P462">
            <v>46064</v>
          </cell>
          <cell r="Q462">
            <v>46156</v>
          </cell>
          <cell r="R462">
            <v>46153</v>
          </cell>
          <cell r="S462">
            <v>92</v>
          </cell>
          <cell r="T462">
            <v>4</v>
          </cell>
          <cell r="U462">
            <v>35</v>
          </cell>
          <cell r="V462">
            <v>86</v>
          </cell>
          <cell r="W462" t="str">
            <v>0.085D</v>
          </cell>
          <cell r="X462" t="str">
            <v>5-2026</v>
          </cell>
          <cell r="Y462" t="str">
            <v>Week 19</v>
          </cell>
          <cell r="Z462">
            <v>46146</v>
          </cell>
          <cell r="AA462">
            <v>238</v>
          </cell>
          <cell r="AB462">
            <v>2.8570000000000002E-2</v>
          </cell>
        </row>
        <row r="463">
          <cell r="A463" t="str">
            <v>F-2026-02-226</v>
          </cell>
          <cell r="B463"/>
          <cell r="C463" t="str">
            <v>FPRO-260211-0046</v>
          </cell>
          <cell r="D463" t="str">
            <v>Firm plan 11.2</v>
          </cell>
          <cell r="E463" t="str">
            <v>BDB-000123</v>
          </cell>
          <cell r="F463" t="str">
            <v>PVN-003299</v>
          </cell>
          <cell r="G463" t="str">
            <v>OrthoLite Ultra-Hybrid SEEDPEARL/12-0703TPX Hybrid 0.085D 25+/-4 Asker C 1.1M 2M 3mm</v>
          </cell>
          <cell r="H463">
            <v>7000</v>
          </cell>
          <cell r="I463">
            <v>7000</v>
          </cell>
          <cell r="J463">
            <v>7000</v>
          </cell>
          <cell r="K463">
            <v>0</v>
          </cell>
          <cell r="L463" t="str">
            <v>ADIDAS</v>
          </cell>
          <cell r="M463" t="str">
            <v>Forecast</v>
          </cell>
          <cell r="N463" t="str">
            <v>SPLITTING</v>
          </cell>
          <cell r="O463">
            <v>2</v>
          </cell>
          <cell r="P463">
            <v>46064</v>
          </cell>
          <cell r="Q463">
            <v>46097</v>
          </cell>
          <cell r="R463">
            <v>46094</v>
          </cell>
          <cell r="S463">
            <v>33</v>
          </cell>
          <cell r="T463">
            <v>3</v>
          </cell>
          <cell r="U463">
            <v>46</v>
          </cell>
          <cell r="V463">
            <v>153</v>
          </cell>
          <cell r="W463" t="str">
            <v>0.085D</v>
          </cell>
          <cell r="X463" t="str">
            <v>3-2026</v>
          </cell>
          <cell r="Y463" t="str">
            <v>Week 11</v>
          </cell>
          <cell r="Z463">
            <v>46090</v>
          </cell>
          <cell r="AA463">
            <v>238</v>
          </cell>
          <cell r="AB463">
            <v>2.1739999999999999E-2</v>
          </cell>
        </row>
        <row r="464">
          <cell r="A464" t="str">
            <v>F-2026-02-227</v>
          </cell>
          <cell r="B464"/>
          <cell r="C464" t="str">
            <v>FPRO-260211-0047</v>
          </cell>
          <cell r="D464" t="str">
            <v>Firm plan 11.2</v>
          </cell>
          <cell r="E464" t="str">
            <v>BDB-000123</v>
          </cell>
          <cell r="F464" t="str">
            <v>PVN-003299</v>
          </cell>
          <cell r="G464" t="str">
            <v>OrthoLite Ultra-Hybrid SEEDPEARL/12-0703TPX Hybrid 0.085D 25+/-4 Asker C 1.1M 2M 3mm</v>
          </cell>
          <cell r="H464">
            <v>7000</v>
          </cell>
          <cell r="I464">
            <v>7000</v>
          </cell>
          <cell r="J464">
            <v>7000</v>
          </cell>
          <cell r="K464">
            <v>0</v>
          </cell>
          <cell r="L464" t="str">
            <v>ADIDAS</v>
          </cell>
          <cell r="M464" t="str">
            <v>Forecast</v>
          </cell>
          <cell r="N464" t="str">
            <v>SPLITTING</v>
          </cell>
          <cell r="O464">
            <v>2</v>
          </cell>
          <cell r="P464">
            <v>46064</v>
          </cell>
          <cell r="Q464">
            <v>46101</v>
          </cell>
          <cell r="R464">
            <v>46098</v>
          </cell>
          <cell r="S464">
            <v>37</v>
          </cell>
          <cell r="T464">
            <v>3</v>
          </cell>
          <cell r="U464">
            <v>46</v>
          </cell>
          <cell r="V464">
            <v>153</v>
          </cell>
          <cell r="W464" t="str">
            <v>0.085D</v>
          </cell>
          <cell r="X464" t="str">
            <v>3-2026</v>
          </cell>
          <cell r="Y464" t="str">
            <v>Week 11</v>
          </cell>
          <cell r="Z464">
            <v>46090</v>
          </cell>
          <cell r="AA464">
            <v>238</v>
          </cell>
          <cell r="AB464">
            <v>2.1739999999999999E-2</v>
          </cell>
        </row>
        <row r="465">
          <cell r="A465" t="str">
            <v>F-2026-02-228</v>
          </cell>
          <cell r="B465"/>
          <cell r="C465" t="str">
            <v>FPRO-260211-0048</v>
          </cell>
          <cell r="D465" t="str">
            <v>Firm plan 11.2</v>
          </cell>
          <cell r="E465" t="str">
            <v>BDB-000123</v>
          </cell>
          <cell r="F465" t="str">
            <v>PVN-003299</v>
          </cell>
          <cell r="G465" t="str">
            <v>OrthoLite Ultra-Hybrid SEEDPEARL/12-0703TPX Hybrid 0.085D 25+/-4 Asker C 1.1M 2M 3mm</v>
          </cell>
          <cell r="H465">
            <v>7000</v>
          </cell>
          <cell r="I465">
            <v>7000</v>
          </cell>
          <cell r="J465">
            <v>7000</v>
          </cell>
          <cell r="K465">
            <v>0</v>
          </cell>
          <cell r="L465" t="str">
            <v>ADIDAS</v>
          </cell>
          <cell r="M465" t="str">
            <v>Forecast</v>
          </cell>
          <cell r="N465" t="str">
            <v>SPLITTING</v>
          </cell>
          <cell r="O465">
            <v>2</v>
          </cell>
          <cell r="P465">
            <v>46064</v>
          </cell>
          <cell r="Q465">
            <v>46104</v>
          </cell>
          <cell r="R465">
            <v>46101</v>
          </cell>
          <cell r="S465">
            <v>40</v>
          </cell>
          <cell r="T465">
            <v>3</v>
          </cell>
          <cell r="U465">
            <v>46</v>
          </cell>
          <cell r="V465">
            <v>153</v>
          </cell>
          <cell r="W465" t="str">
            <v>0.085D</v>
          </cell>
          <cell r="X465" t="str">
            <v>3-2026</v>
          </cell>
          <cell r="Y465" t="str">
            <v>Week 12</v>
          </cell>
          <cell r="Z465">
            <v>46097</v>
          </cell>
          <cell r="AA465">
            <v>238</v>
          </cell>
          <cell r="AB465">
            <v>2.1739999999999999E-2</v>
          </cell>
        </row>
        <row r="466">
          <cell r="A466" t="str">
            <v>F-2026-02-229</v>
          </cell>
          <cell r="B466"/>
          <cell r="C466" t="str">
            <v>FPRO-260211-0049</v>
          </cell>
          <cell r="D466" t="str">
            <v>Firm plan 11.2</v>
          </cell>
          <cell r="E466" t="str">
            <v>BDB-000123</v>
          </cell>
          <cell r="F466" t="str">
            <v>PVN-003299</v>
          </cell>
          <cell r="G466" t="str">
            <v>OrthoLite Ultra-Hybrid SEEDPEARL/12-0703TPX Hybrid 0.085D 25+/-4 Asker C 1.1M 2M 3mm</v>
          </cell>
          <cell r="H466">
            <v>7000</v>
          </cell>
          <cell r="I466">
            <v>7000</v>
          </cell>
          <cell r="J466">
            <v>0</v>
          </cell>
          <cell r="K466">
            <v>7000</v>
          </cell>
          <cell r="L466" t="str">
            <v>ADIDAS</v>
          </cell>
          <cell r="M466" t="str">
            <v>Forecast</v>
          </cell>
          <cell r="N466" t="str">
            <v>SPLITTING</v>
          </cell>
          <cell r="O466">
            <v>2</v>
          </cell>
          <cell r="P466">
            <v>46064</v>
          </cell>
          <cell r="Q466">
            <v>46123</v>
          </cell>
          <cell r="R466">
            <v>46120</v>
          </cell>
          <cell r="S466">
            <v>59</v>
          </cell>
          <cell r="T466">
            <v>3</v>
          </cell>
          <cell r="U466">
            <v>46</v>
          </cell>
          <cell r="V466">
            <v>153</v>
          </cell>
          <cell r="W466" t="str">
            <v>0.085D</v>
          </cell>
          <cell r="X466" t="str">
            <v>4-2026</v>
          </cell>
          <cell r="Y466" t="str">
            <v>Week 14</v>
          </cell>
          <cell r="Z466">
            <v>46111</v>
          </cell>
          <cell r="AA466">
            <v>11</v>
          </cell>
          <cell r="AB466">
            <v>2.1739999999999999E-2</v>
          </cell>
        </row>
        <row r="467">
          <cell r="A467" t="str">
            <v>F-2026-02-230</v>
          </cell>
          <cell r="B467"/>
          <cell r="C467" t="str">
            <v>FPRO-260211-0050</v>
          </cell>
          <cell r="D467" t="str">
            <v>Firm plan 11.2</v>
          </cell>
          <cell r="E467" t="str">
            <v>BDB-000123</v>
          </cell>
          <cell r="F467" t="str">
            <v>PVN-003299</v>
          </cell>
          <cell r="G467" t="str">
            <v>OrthoLite Ultra-Hybrid SEEDPEARL/12-0703TPX Hybrid 0.085D 25+/-4 Asker C 1.1M 2M 3mm</v>
          </cell>
          <cell r="H467">
            <v>7000</v>
          </cell>
          <cell r="I467">
            <v>7000</v>
          </cell>
          <cell r="J467">
            <v>7000</v>
          </cell>
          <cell r="K467">
            <v>0</v>
          </cell>
          <cell r="L467" t="str">
            <v>ADIDAS</v>
          </cell>
          <cell r="M467" t="str">
            <v>Forecast</v>
          </cell>
          <cell r="N467" t="str">
            <v>SPLITTING</v>
          </cell>
          <cell r="O467">
            <v>2</v>
          </cell>
          <cell r="P467">
            <v>46064</v>
          </cell>
          <cell r="Q467">
            <v>46112</v>
          </cell>
          <cell r="R467">
            <v>46109</v>
          </cell>
          <cell r="S467">
            <v>48</v>
          </cell>
          <cell r="T467">
            <v>3</v>
          </cell>
          <cell r="U467">
            <v>46</v>
          </cell>
          <cell r="V467">
            <v>153</v>
          </cell>
          <cell r="W467" t="str">
            <v>0.085D</v>
          </cell>
          <cell r="X467" t="str">
            <v>3-2026</v>
          </cell>
          <cell r="Y467" t="str">
            <v>Week 13</v>
          </cell>
          <cell r="Z467">
            <v>46104</v>
          </cell>
          <cell r="AA467">
            <v>11</v>
          </cell>
          <cell r="AB467">
            <v>2.1739999999999999E-2</v>
          </cell>
        </row>
        <row r="468">
          <cell r="A468" t="str">
            <v>F-2026-02-231</v>
          </cell>
          <cell r="B468"/>
          <cell r="C468" t="str">
            <v>FPRO-260211-0051</v>
          </cell>
          <cell r="D468" t="str">
            <v>Firm plan 11.2</v>
          </cell>
          <cell r="E468" t="str">
            <v>BDB-000123</v>
          </cell>
          <cell r="F468" t="str">
            <v>PVN-003299</v>
          </cell>
          <cell r="G468" t="str">
            <v>OrthoLite Ultra-Hybrid SEEDPEARL/12-0703TPX Hybrid 0.085D 25+/-4 Asker C 1.1M 2M 3mm</v>
          </cell>
          <cell r="H468">
            <v>7000</v>
          </cell>
          <cell r="I468">
            <v>7000</v>
          </cell>
          <cell r="J468">
            <v>0</v>
          </cell>
          <cell r="K468">
            <v>7000</v>
          </cell>
          <cell r="L468" t="str">
            <v>ADIDAS</v>
          </cell>
          <cell r="M468" t="str">
            <v>Forecast</v>
          </cell>
          <cell r="N468" t="str">
            <v>SPLITTING</v>
          </cell>
          <cell r="O468">
            <v>2</v>
          </cell>
          <cell r="P468">
            <v>46064</v>
          </cell>
          <cell r="Q468">
            <v>46114</v>
          </cell>
          <cell r="R468">
            <v>46111</v>
          </cell>
          <cell r="S468">
            <v>50</v>
          </cell>
          <cell r="T468">
            <v>3</v>
          </cell>
          <cell r="U468">
            <v>46</v>
          </cell>
          <cell r="V468">
            <v>153</v>
          </cell>
          <cell r="W468" t="str">
            <v>0.085D</v>
          </cell>
          <cell r="X468" t="str">
            <v>4-2026</v>
          </cell>
          <cell r="Y468" t="str">
            <v>Week 13</v>
          </cell>
          <cell r="Z468">
            <v>46104</v>
          </cell>
          <cell r="AA468">
            <v>24</v>
          </cell>
          <cell r="AB468">
            <v>2.1739999999999999E-2</v>
          </cell>
        </row>
        <row r="469">
          <cell r="A469" t="str">
            <v>F-2026-02-232</v>
          </cell>
          <cell r="B469"/>
          <cell r="C469" t="str">
            <v>FPRO-260211-0052</v>
          </cell>
          <cell r="D469" t="str">
            <v>Firm plan 11.2</v>
          </cell>
          <cell r="E469" t="str">
            <v>BDB-000123</v>
          </cell>
          <cell r="F469" t="str">
            <v>PVN-003299</v>
          </cell>
          <cell r="G469" t="str">
            <v>OrthoLite Ultra-Hybrid SEEDPEARL/12-0703TPX Hybrid 0.085D 25+/-4 Asker C 1.1M 2M 3mm</v>
          </cell>
          <cell r="H469">
            <v>7000</v>
          </cell>
          <cell r="I469">
            <v>7000</v>
          </cell>
          <cell r="J469">
            <v>0</v>
          </cell>
          <cell r="K469">
            <v>7000</v>
          </cell>
          <cell r="L469" t="str">
            <v>ADIDAS</v>
          </cell>
          <cell r="M469" t="str">
            <v>Forecast</v>
          </cell>
          <cell r="N469" t="str">
            <v>SPLITTING</v>
          </cell>
          <cell r="O469">
            <v>2</v>
          </cell>
          <cell r="P469">
            <v>46064</v>
          </cell>
          <cell r="Q469">
            <v>46127</v>
          </cell>
          <cell r="R469">
            <v>46124</v>
          </cell>
          <cell r="S469">
            <v>63</v>
          </cell>
          <cell r="T469">
            <v>3</v>
          </cell>
          <cell r="U469">
            <v>46</v>
          </cell>
          <cell r="V469">
            <v>153</v>
          </cell>
          <cell r="W469" t="str">
            <v>0.085D</v>
          </cell>
          <cell r="X469" t="str">
            <v>4-2026</v>
          </cell>
          <cell r="Y469" t="str">
            <v>Week 15</v>
          </cell>
          <cell r="Z469">
            <v>46118</v>
          </cell>
          <cell r="AA469">
            <v>24</v>
          </cell>
          <cell r="AB469">
            <v>2.1739999999999999E-2</v>
          </cell>
        </row>
        <row r="470">
          <cell r="A470" t="str">
            <v>F-2026-02-233</v>
          </cell>
          <cell r="B470"/>
          <cell r="C470" t="str">
            <v>FPRO-260211-0053</v>
          </cell>
          <cell r="D470" t="str">
            <v>Firm plan 11.2</v>
          </cell>
          <cell r="E470" t="str">
            <v>BDB-000123</v>
          </cell>
          <cell r="F470" t="str">
            <v>PVN-003299</v>
          </cell>
          <cell r="G470" t="str">
            <v>OrthoLite Ultra-Hybrid SEEDPEARL/12-0703TPX Hybrid 0.085D 25+/-4 Asker C 1.1M 2M 3mm</v>
          </cell>
          <cell r="H470">
            <v>7000</v>
          </cell>
          <cell r="I470">
            <v>7000</v>
          </cell>
          <cell r="J470">
            <v>0</v>
          </cell>
          <cell r="K470">
            <v>7000</v>
          </cell>
          <cell r="L470" t="str">
            <v>ADIDAS</v>
          </cell>
          <cell r="M470" t="str">
            <v>Forecast</v>
          </cell>
          <cell r="N470" t="str">
            <v>SPLITTING</v>
          </cell>
          <cell r="O470">
            <v>2</v>
          </cell>
          <cell r="P470">
            <v>46064</v>
          </cell>
          <cell r="Q470">
            <v>46135</v>
          </cell>
          <cell r="R470">
            <v>46132</v>
          </cell>
          <cell r="S470">
            <v>71</v>
          </cell>
          <cell r="T470">
            <v>3</v>
          </cell>
          <cell r="U470">
            <v>46</v>
          </cell>
          <cell r="V470">
            <v>153</v>
          </cell>
          <cell r="W470" t="str">
            <v>0.085D</v>
          </cell>
          <cell r="X470" t="str">
            <v>4-2026</v>
          </cell>
          <cell r="Y470" t="str">
            <v>Week 16</v>
          </cell>
          <cell r="Z470">
            <v>46125</v>
          </cell>
          <cell r="AA470">
            <v>18</v>
          </cell>
          <cell r="AB470">
            <v>2.1739999999999999E-2</v>
          </cell>
        </row>
        <row r="471">
          <cell r="A471" t="str">
            <v>F-2026-02-234</v>
          </cell>
          <cell r="B471"/>
          <cell r="C471" t="str">
            <v>FPRO-260211-0054</v>
          </cell>
          <cell r="D471" t="str">
            <v>Firm plan 11.2</v>
          </cell>
          <cell r="E471" t="str">
            <v>BDB-000123</v>
          </cell>
          <cell r="F471" t="str">
            <v>PVN-003299</v>
          </cell>
          <cell r="G471" t="str">
            <v>OrthoLite Ultra-Hybrid SEEDPEARL/12-0703TPX Hybrid 0.085D 25+/-4 Asker C 1.1M 2M 3mm</v>
          </cell>
          <cell r="H471">
            <v>7000</v>
          </cell>
          <cell r="I471">
            <v>7000</v>
          </cell>
          <cell r="J471">
            <v>0</v>
          </cell>
          <cell r="K471">
            <v>7000</v>
          </cell>
          <cell r="L471" t="str">
            <v>ADIDAS</v>
          </cell>
          <cell r="M471" t="str">
            <v>Forecast</v>
          </cell>
          <cell r="N471" t="str">
            <v>SPLITTING</v>
          </cell>
          <cell r="O471">
            <v>2</v>
          </cell>
          <cell r="P471">
            <v>46064</v>
          </cell>
          <cell r="Q471">
            <v>46147</v>
          </cell>
          <cell r="R471">
            <v>46144</v>
          </cell>
          <cell r="S471">
            <v>83</v>
          </cell>
          <cell r="T471">
            <v>3</v>
          </cell>
          <cell r="U471">
            <v>46</v>
          </cell>
          <cell r="V471">
            <v>153</v>
          </cell>
          <cell r="W471" t="str">
            <v>0.085D</v>
          </cell>
          <cell r="X471" t="str">
            <v>5-2026</v>
          </cell>
          <cell r="Y471" t="str">
            <v>Week 17</v>
          </cell>
          <cell r="Z471">
            <v>46132</v>
          </cell>
          <cell r="AA471">
            <v>102</v>
          </cell>
          <cell r="AB471">
            <v>2.1739999999999999E-2</v>
          </cell>
        </row>
        <row r="472">
          <cell r="A472" t="str">
            <v>F-2026-02-235</v>
          </cell>
          <cell r="B472"/>
          <cell r="C472" t="str">
            <v>FPRO-260211-0055</v>
          </cell>
          <cell r="D472" t="str">
            <v>Firm plan 11.2</v>
          </cell>
          <cell r="E472" t="str">
            <v>BDB-000123</v>
          </cell>
          <cell r="F472" t="str">
            <v>PVN-003299</v>
          </cell>
          <cell r="G472" t="str">
            <v>OrthoLite Ultra-Hybrid SEEDPEARL/12-0703TPX Hybrid 0.085D 25+/-4 Asker C 1.1M 2M 3mm</v>
          </cell>
          <cell r="H472">
            <v>7000</v>
          </cell>
          <cell r="I472">
            <v>7000</v>
          </cell>
          <cell r="J472">
            <v>0</v>
          </cell>
          <cell r="K472">
            <v>7000</v>
          </cell>
          <cell r="L472" t="str">
            <v>ADIDAS</v>
          </cell>
          <cell r="M472" t="str">
            <v>Forecast</v>
          </cell>
          <cell r="N472" t="str">
            <v>SPLITTING</v>
          </cell>
          <cell r="O472">
            <v>2</v>
          </cell>
          <cell r="P472">
            <v>46064</v>
          </cell>
          <cell r="Q472">
            <v>46160</v>
          </cell>
          <cell r="R472">
            <v>46157</v>
          </cell>
          <cell r="S472">
            <v>96</v>
          </cell>
          <cell r="T472">
            <v>3</v>
          </cell>
          <cell r="U472">
            <v>46</v>
          </cell>
          <cell r="V472">
            <v>153</v>
          </cell>
          <cell r="W472" t="str">
            <v>0.085D</v>
          </cell>
          <cell r="X472" t="str">
            <v>5-2026</v>
          </cell>
          <cell r="Y472" t="str">
            <v>Week 20</v>
          </cell>
          <cell r="Z472">
            <v>46153</v>
          </cell>
          <cell r="AA472">
            <v>102</v>
          </cell>
          <cell r="AB472">
            <v>2.1739999999999999E-2</v>
          </cell>
        </row>
        <row r="473">
          <cell r="A473" t="str">
            <v>F-2026-02-236</v>
          </cell>
          <cell r="B473"/>
          <cell r="C473" t="str">
            <v>FPRO-260211-0056</v>
          </cell>
          <cell r="D473" t="str">
            <v>Firm plan 11.2</v>
          </cell>
          <cell r="E473" t="str">
            <v>BDB-000123</v>
          </cell>
          <cell r="F473" t="str">
            <v>PVN-003299</v>
          </cell>
          <cell r="G473" t="str">
            <v>OrthoLite Ultra-Hybrid SEEDPEARL/12-0703TPX Hybrid 0.085D 25+/-4 Asker C 1.1M 2M 3mm</v>
          </cell>
          <cell r="H473">
            <v>7000</v>
          </cell>
          <cell r="I473">
            <v>7000</v>
          </cell>
          <cell r="J473">
            <v>0</v>
          </cell>
          <cell r="K473">
            <v>7000</v>
          </cell>
          <cell r="L473" t="str">
            <v>ADIDAS</v>
          </cell>
          <cell r="M473" t="str">
            <v>Forecast</v>
          </cell>
          <cell r="N473" t="str">
            <v>SPLITTING</v>
          </cell>
          <cell r="O473">
            <v>2</v>
          </cell>
          <cell r="P473">
            <v>46064</v>
          </cell>
          <cell r="Q473">
            <v>46149</v>
          </cell>
          <cell r="R473">
            <v>46146</v>
          </cell>
          <cell r="S473">
            <v>85</v>
          </cell>
          <cell r="T473">
            <v>3</v>
          </cell>
          <cell r="U473">
            <v>46</v>
          </cell>
          <cell r="V473">
            <v>153</v>
          </cell>
          <cell r="W473" t="str">
            <v>0.085D</v>
          </cell>
          <cell r="X473" t="str">
            <v>5-2026</v>
          </cell>
          <cell r="Y473" t="str">
            <v>Week 17</v>
          </cell>
          <cell r="Z473">
            <v>46132</v>
          </cell>
          <cell r="AA473">
            <v>102</v>
          </cell>
          <cell r="AB473">
            <v>2.1739999999999999E-2</v>
          </cell>
        </row>
        <row r="474">
          <cell r="A474" t="str">
            <v>F-2026-02-237-1</v>
          </cell>
          <cell r="B474"/>
          <cell r="C474" t="str">
            <v>FPRO-260211-0057</v>
          </cell>
          <cell r="D474" t="str">
            <v>Firm plan 11.2</v>
          </cell>
          <cell r="E474" t="str">
            <v>BDB-000123</v>
          </cell>
          <cell r="F474" t="str">
            <v>PVN-003299</v>
          </cell>
          <cell r="G474" t="str">
            <v>OrthoLite Ultra-Hybrid SEEDPEARL/12-0703TPX Hybrid 0.085D 25+/-4 Asker C 1.1M 2M 3mm</v>
          </cell>
          <cell r="H474">
            <v>3000</v>
          </cell>
          <cell r="I474">
            <v>3000</v>
          </cell>
          <cell r="J474">
            <v>0</v>
          </cell>
          <cell r="K474">
            <v>3000</v>
          </cell>
          <cell r="L474" t="str">
            <v>ADIDAS</v>
          </cell>
          <cell r="M474" t="str">
            <v>Forecast</v>
          </cell>
          <cell r="N474" t="str">
            <v>SPLITTING</v>
          </cell>
          <cell r="O474">
            <v>2</v>
          </cell>
          <cell r="P474">
            <v>46064</v>
          </cell>
          <cell r="Q474">
            <v>46140</v>
          </cell>
          <cell r="R474">
            <v>46137</v>
          </cell>
          <cell r="S474">
            <v>76</v>
          </cell>
          <cell r="T474">
            <v>3</v>
          </cell>
          <cell r="U474">
            <v>46</v>
          </cell>
          <cell r="V474">
            <v>66</v>
          </cell>
          <cell r="W474" t="str">
            <v>0.085D</v>
          </cell>
          <cell r="X474" t="str">
            <v>4-2026</v>
          </cell>
          <cell r="Y474" t="str">
            <v>Week 17</v>
          </cell>
          <cell r="Z474">
            <v>46132</v>
          </cell>
          <cell r="AA474">
            <v>102</v>
          </cell>
          <cell r="AB474">
            <v>2.1739999999999999E-2</v>
          </cell>
        </row>
        <row r="475">
          <cell r="A475" t="str">
            <v>F-2026-02-237-2</v>
          </cell>
          <cell r="B475"/>
          <cell r="C475" t="str">
            <v>FPRO-260420-0001</v>
          </cell>
          <cell r="D475" t="str">
            <v>Firm plan 11.2</v>
          </cell>
          <cell r="E475" t="str">
            <v>BDB-000123</v>
          </cell>
          <cell r="F475" t="str">
            <v>PVN-003299</v>
          </cell>
          <cell r="G475" t="str">
            <v>OrthoLite Ultra-Hybrid SEEDPEARL/12-0703TPX Hybrid 0.085D 25+/-4 Asker C 1.1M 2M 3mm</v>
          </cell>
          <cell r="H475">
            <v>4000</v>
          </cell>
          <cell r="I475">
            <v>4000</v>
          </cell>
          <cell r="J475">
            <v>0</v>
          </cell>
          <cell r="K475">
            <v>4000</v>
          </cell>
          <cell r="L475" t="str">
            <v>ADIDAS</v>
          </cell>
          <cell r="M475" t="str">
            <v>Forecast</v>
          </cell>
          <cell r="N475" t="str">
            <v>SPLITTING</v>
          </cell>
          <cell r="O475">
            <v>2</v>
          </cell>
          <cell r="P475">
            <v>46064</v>
          </cell>
          <cell r="Q475">
            <v>46156</v>
          </cell>
          <cell r="R475">
            <v>46153</v>
          </cell>
          <cell r="S475">
            <v>92</v>
          </cell>
          <cell r="T475">
            <v>3</v>
          </cell>
          <cell r="U475">
            <v>46</v>
          </cell>
          <cell r="V475">
            <v>87</v>
          </cell>
          <cell r="W475" t="str">
            <v>0.085D</v>
          </cell>
          <cell r="X475" t="str">
            <v>5-2026</v>
          </cell>
          <cell r="Y475" t="str">
            <v>Week 19</v>
          </cell>
          <cell r="Z475">
            <v>46146</v>
          </cell>
          <cell r="AA475">
            <v>102</v>
          </cell>
          <cell r="AB475">
            <v>2.1739999999999999E-2</v>
          </cell>
        </row>
        <row r="476">
          <cell r="A476" t="str">
            <v>F-2026-02-238</v>
          </cell>
          <cell r="B476"/>
          <cell r="C476" t="str">
            <v>FPRO-260211-0058</v>
          </cell>
          <cell r="D476" t="str">
            <v>Firm plan 11.2</v>
          </cell>
          <cell r="E476" t="str">
            <v>BDB-000123</v>
          </cell>
          <cell r="F476" t="str">
            <v>PVN-003299</v>
          </cell>
          <cell r="G476" t="str">
            <v>OrthoLite Ultra-Hybrid SEEDPEARL/12-0703TPX Hybrid 0.085D 25+/-4 Asker C 1.1M 2M 3mm</v>
          </cell>
          <cell r="H476">
            <v>1000</v>
          </cell>
          <cell r="I476">
            <v>1000</v>
          </cell>
          <cell r="J476">
            <v>0</v>
          </cell>
          <cell r="K476">
            <v>1000</v>
          </cell>
          <cell r="L476" t="str">
            <v>ADIDAS</v>
          </cell>
          <cell r="M476" t="str">
            <v>Forecast</v>
          </cell>
          <cell r="N476" t="str">
            <v>SPLITTING</v>
          </cell>
          <cell r="O476">
            <v>2</v>
          </cell>
          <cell r="P476">
            <v>46064</v>
          </cell>
          <cell r="Q476">
            <v>46153</v>
          </cell>
          <cell r="R476">
            <v>46150</v>
          </cell>
          <cell r="S476">
            <v>89</v>
          </cell>
          <cell r="T476">
            <v>3</v>
          </cell>
          <cell r="U476">
            <v>46</v>
          </cell>
          <cell r="V476">
            <v>22</v>
          </cell>
          <cell r="W476" t="str">
            <v>0.085D</v>
          </cell>
          <cell r="X476" t="str">
            <v>5-2026</v>
          </cell>
          <cell r="Y476" t="str">
            <v>Week 19</v>
          </cell>
          <cell r="Z476">
            <v>46146</v>
          </cell>
          <cell r="AA476">
            <v>102</v>
          </cell>
          <cell r="AB476">
            <v>2.1739999999999999E-2</v>
          </cell>
        </row>
        <row r="477">
          <cell r="A477" t="str">
            <v>F-2026-02-239</v>
          </cell>
          <cell r="B477"/>
          <cell r="C477" t="str">
            <v>FPRO-260211-0059</v>
          </cell>
          <cell r="D477" t="str">
            <v>Firm plan 11.2</v>
          </cell>
          <cell r="E477" t="str">
            <v>BDB-000123</v>
          </cell>
          <cell r="F477" t="str">
            <v>PVN-003300</v>
          </cell>
          <cell r="G477" t="str">
            <v>OrthoLite Ultra-Hybrid SEEDPEARL/12-0703TPX Hybrid Flat Sheet 0.085D 25+/-4 Asker C 1.1M 2M 2mm</v>
          </cell>
          <cell r="H477">
            <v>1350</v>
          </cell>
          <cell r="I477">
            <v>1350</v>
          </cell>
          <cell r="J477">
            <v>1350</v>
          </cell>
          <cell r="K477">
            <v>0</v>
          </cell>
          <cell r="L477" t="str">
            <v>ADIDAS</v>
          </cell>
          <cell r="M477" t="str">
            <v>Forecast</v>
          </cell>
          <cell r="N477" t="str">
            <v>SPLITTING</v>
          </cell>
          <cell r="O477">
            <v>2</v>
          </cell>
          <cell r="P477">
            <v>46064</v>
          </cell>
          <cell r="Q477">
            <v>46088</v>
          </cell>
          <cell r="R477">
            <v>46085</v>
          </cell>
          <cell r="S477">
            <v>24</v>
          </cell>
          <cell r="T477">
            <v>2</v>
          </cell>
          <cell r="U477">
            <v>70</v>
          </cell>
          <cell r="V477">
            <v>20</v>
          </cell>
          <cell r="W477" t="str">
            <v>0.085D</v>
          </cell>
          <cell r="X477" t="str">
            <v>3-2026</v>
          </cell>
          <cell r="Y477" t="str">
            <v>Week 10</v>
          </cell>
          <cell r="Z477">
            <v>46083</v>
          </cell>
          <cell r="AA477">
            <v>149</v>
          </cell>
          <cell r="AB477">
            <v>1.4290000000000001E-2</v>
          </cell>
        </row>
        <row r="478">
          <cell r="A478" t="str">
            <v>F-2026-02-240</v>
          </cell>
          <cell r="B478"/>
          <cell r="C478" t="str">
            <v>FPRO-260211-0060</v>
          </cell>
          <cell r="D478" t="str">
            <v>Firm plan 11.2</v>
          </cell>
          <cell r="E478" t="str">
            <v>BDB-000200</v>
          </cell>
          <cell r="F478" t="str">
            <v>PVN-003425</v>
          </cell>
          <cell r="G478" t="str">
            <v>OrthoLite Ultra SEEDPEARL/12-0703TPX Flat Sheet 0.085D 78-90 Asker F 1.1M 2M 4mm</v>
          </cell>
          <cell r="H478">
            <v>1300</v>
          </cell>
          <cell r="I478">
            <v>1300</v>
          </cell>
          <cell r="J478">
            <v>1300</v>
          </cell>
          <cell r="K478">
            <v>0</v>
          </cell>
          <cell r="L478" t="str">
            <v>ADIDAS</v>
          </cell>
          <cell r="M478" t="str">
            <v>Forecast</v>
          </cell>
          <cell r="N478" t="str">
            <v>SPLITTING</v>
          </cell>
          <cell r="O478">
            <v>2</v>
          </cell>
          <cell r="P478">
            <v>46064</v>
          </cell>
          <cell r="Q478">
            <v>46088</v>
          </cell>
          <cell r="R478">
            <v>46085</v>
          </cell>
          <cell r="S478">
            <v>24</v>
          </cell>
          <cell r="T478">
            <v>4</v>
          </cell>
          <cell r="U478">
            <v>35</v>
          </cell>
          <cell r="V478">
            <v>38</v>
          </cell>
          <cell r="W478" t="str">
            <v>0.085D</v>
          </cell>
          <cell r="X478" t="str">
            <v>3-2026</v>
          </cell>
          <cell r="Y478" t="str">
            <v>Week 10</v>
          </cell>
          <cell r="Z478">
            <v>46083</v>
          </cell>
          <cell r="AA478">
            <v>149</v>
          </cell>
          <cell r="AB478">
            <v>2.8570000000000002E-2</v>
          </cell>
        </row>
        <row r="479">
          <cell r="A479" t="str">
            <v>F-2026-02-241</v>
          </cell>
          <cell r="B479"/>
          <cell r="C479" t="str">
            <v>FPRO-260211-0061</v>
          </cell>
          <cell r="D479" t="str">
            <v>Firm plan 11.2</v>
          </cell>
          <cell r="E479" t="str">
            <v>BDB-000200</v>
          </cell>
          <cell r="F479" t="str">
            <v>PVN-003425</v>
          </cell>
          <cell r="G479" t="str">
            <v>OrthoLite Ultra SEEDPEARL/12-0703TPX Flat Sheet 0.085D 78-90 Asker F 1.1M 2M 4mm</v>
          </cell>
          <cell r="H479">
            <v>1000</v>
          </cell>
          <cell r="I479">
            <v>1000</v>
          </cell>
          <cell r="J479">
            <v>1000</v>
          </cell>
          <cell r="K479">
            <v>0</v>
          </cell>
          <cell r="L479" t="str">
            <v>ADIDAS</v>
          </cell>
          <cell r="M479" t="str">
            <v>Forecast</v>
          </cell>
          <cell r="N479" t="str">
            <v>SPLITTING</v>
          </cell>
          <cell r="O479">
            <v>2</v>
          </cell>
          <cell r="P479">
            <v>46064</v>
          </cell>
          <cell r="Q479">
            <v>46104</v>
          </cell>
          <cell r="R479">
            <v>46101</v>
          </cell>
          <cell r="S479">
            <v>40</v>
          </cell>
          <cell r="T479">
            <v>4</v>
          </cell>
          <cell r="U479">
            <v>35</v>
          </cell>
          <cell r="V479">
            <v>29</v>
          </cell>
          <cell r="W479" t="str">
            <v>0.085D</v>
          </cell>
          <cell r="X479" t="str">
            <v>3-2026</v>
          </cell>
          <cell r="Y479" t="str">
            <v>Week 12</v>
          </cell>
          <cell r="Z479">
            <v>46097</v>
          </cell>
          <cell r="AA479">
            <v>149</v>
          </cell>
          <cell r="AB479">
            <v>2.8570000000000002E-2</v>
          </cell>
        </row>
        <row r="480">
          <cell r="A480" t="str">
            <v>F-2026-02-242</v>
          </cell>
          <cell r="B480"/>
          <cell r="C480" t="str">
            <v>FPRO-260211-0062</v>
          </cell>
          <cell r="D480" t="str">
            <v>Firm plan 11.2</v>
          </cell>
          <cell r="E480" t="str">
            <v>BDB-000076</v>
          </cell>
          <cell r="F480" t="str">
            <v>PVN-003448</v>
          </cell>
          <cell r="G480" t="str">
            <v>OrthoLite X-25 BILLIARD/16-5427TPX 0.12D 20+/-4 Asker C 1.1M 2M 6.2mm</v>
          </cell>
          <cell r="H480">
            <v>600</v>
          </cell>
          <cell r="I480">
            <v>600</v>
          </cell>
          <cell r="J480">
            <v>600</v>
          </cell>
          <cell r="K480">
            <v>0</v>
          </cell>
          <cell r="L480" t="str">
            <v>ADIDAS</v>
          </cell>
          <cell r="M480" t="str">
            <v>Forecast</v>
          </cell>
          <cell r="N480" t="str">
            <v>MOLDED</v>
          </cell>
          <cell r="O480">
            <v>1</v>
          </cell>
          <cell r="P480">
            <v>46064</v>
          </cell>
          <cell r="Q480">
            <v>46086</v>
          </cell>
          <cell r="R480">
            <v>46083</v>
          </cell>
          <cell r="S480">
            <v>22</v>
          </cell>
          <cell r="T480">
            <v>6.2</v>
          </cell>
          <cell r="U480">
            <v>22</v>
          </cell>
          <cell r="V480">
            <v>28</v>
          </cell>
          <cell r="W480" t="str">
            <v>0.12D</v>
          </cell>
          <cell r="X480" t="str">
            <v>3-2026</v>
          </cell>
          <cell r="Y480" t="str">
            <v>Week 9</v>
          </cell>
          <cell r="Z480">
            <v>46076</v>
          </cell>
          <cell r="AA480">
            <v>438</v>
          </cell>
          <cell r="AB480">
            <v>4.5449999999999997E-2</v>
          </cell>
        </row>
        <row r="481">
          <cell r="A481" t="str">
            <v>F-2026-02-243</v>
          </cell>
          <cell r="B481"/>
          <cell r="C481" t="str">
            <v>FPRO-260211-0063</v>
          </cell>
          <cell r="D481" t="str">
            <v>Firm plan 11.2</v>
          </cell>
          <cell r="E481" t="str">
            <v>BDB-000076</v>
          </cell>
          <cell r="F481" t="str">
            <v>PVN-003448</v>
          </cell>
          <cell r="G481" t="str">
            <v>OrthoLite X-25 BILLIARD/16-5427TPX 0.12D 20+/-4 Asker C 1.1M 2M 6.2mm</v>
          </cell>
          <cell r="H481">
            <v>500</v>
          </cell>
          <cell r="I481">
            <v>500</v>
          </cell>
          <cell r="J481">
            <v>500</v>
          </cell>
          <cell r="K481">
            <v>0</v>
          </cell>
          <cell r="L481" t="str">
            <v>ADIDAS</v>
          </cell>
          <cell r="M481" t="str">
            <v>Forecast</v>
          </cell>
          <cell r="N481" t="str">
            <v>MOLDED</v>
          </cell>
          <cell r="O481">
            <v>1</v>
          </cell>
          <cell r="P481">
            <v>46064</v>
          </cell>
          <cell r="Q481">
            <v>46093</v>
          </cell>
          <cell r="R481">
            <v>46090</v>
          </cell>
          <cell r="S481">
            <v>29</v>
          </cell>
          <cell r="T481">
            <v>6.2</v>
          </cell>
          <cell r="U481">
            <v>22</v>
          </cell>
          <cell r="V481">
            <v>23</v>
          </cell>
          <cell r="W481" t="str">
            <v>0.12D</v>
          </cell>
          <cell r="X481" t="str">
            <v>3-2026</v>
          </cell>
          <cell r="Y481" t="str">
            <v>Week 10</v>
          </cell>
          <cell r="Z481">
            <v>46083</v>
          </cell>
          <cell r="AA481">
            <v>438</v>
          </cell>
          <cell r="AB481">
            <v>4.5449999999999997E-2</v>
          </cell>
        </row>
        <row r="482">
          <cell r="A482" t="str">
            <v>F-2026-02-244</v>
          </cell>
          <cell r="B482"/>
          <cell r="C482" t="str">
            <v>FPRO-260211-0064</v>
          </cell>
          <cell r="D482" t="str">
            <v>Firm plan 11.2</v>
          </cell>
          <cell r="E482" t="str">
            <v>BDB-000076</v>
          </cell>
          <cell r="F482" t="str">
            <v>PVN-003448</v>
          </cell>
          <cell r="G482" t="str">
            <v>OrthoLite X-25 BILLIARD/16-5427TPX 0.12D 20+/-4 Asker C 1.1M 2M 6.2mm</v>
          </cell>
          <cell r="H482">
            <v>500</v>
          </cell>
          <cell r="I482">
            <v>500</v>
          </cell>
          <cell r="J482">
            <v>500</v>
          </cell>
          <cell r="K482">
            <v>0</v>
          </cell>
          <cell r="L482" t="str">
            <v>ADIDAS</v>
          </cell>
          <cell r="M482" t="str">
            <v>Forecast</v>
          </cell>
          <cell r="N482" t="str">
            <v>MOLDED</v>
          </cell>
          <cell r="O482">
            <v>1</v>
          </cell>
          <cell r="P482">
            <v>46064</v>
          </cell>
          <cell r="Q482">
            <v>46104</v>
          </cell>
          <cell r="R482">
            <v>46101</v>
          </cell>
          <cell r="S482">
            <v>40</v>
          </cell>
          <cell r="T482">
            <v>6.2</v>
          </cell>
          <cell r="U482">
            <v>22</v>
          </cell>
          <cell r="V482">
            <v>23</v>
          </cell>
          <cell r="W482" t="str">
            <v>0.12D</v>
          </cell>
          <cell r="X482" t="str">
            <v>3-2026</v>
          </cell>
          <cell r="Y482" t="str">
            <v>Week 12</v>
          </cell>
          <cell r="Z482">
            <v>46097</v>
          </cell>
          <cell r="AA482">
            <v>438</v>
          </cell>
          <cell r="AB482">
            <v>4.5449999999999997E-2</v>
          </cell>
        </row>
        <row r="483">
          <cell r="A483" t="str">
            <v>F-2026-02-245</v>
          </cell>
          <cell r="B483"/>
          <cell r="C483" t="str">
            <v>FPRO-260211-0065</v>
          </cell>
          <cell r="D483" t="str">
            <v>Firm plan 11.2</v>
          </cell>
          <cell r="E483" t="str">
            <v>BDB-000076</v>
          </cell>
          <cell r="F483" t="str">
            <v>PVN-003448</v>
          </cell>
          <cell r="G483" t="str">
            <v>OrthoLite X-25 BILLIARD/16-5427TPX 0.12D 20+/-4 Asker C 1.1M 2M 6.2mm</v>
          </cell>
          <cell r="H483">
            <v>500</v>
          </cell>
          <cell r="I483">
            <v>500</v>
          </cell>
          <cell r="J483">
            <v>500</v>
          </cell>
          <cell r="K483">
            <v>0</v>
          </cell>
          <cell r="L483" t="str">
            <v>ADIDAS</v>
          </cell>
          <cell r="M483" t="str">
            <v>Forecast</v>
          </cell>
          <cell r="N483" t="str">
            <v>MOLDED</v>
          </cell>
          <cell r="O483">
            <v>1</v>
          </cell>
          <cell r="P483">
            <v>46064</v>
          </cell>
          <cell r="Q483">
            <v>46109</v>
          </cell>
          <cell r="R483">
            <v>46106</v>
          </cell>
          <cell r="S483">
            <v>45</v>
          </cell>
          <cell r="T483">
            <v>6.2</v>
          </cell>
          <cell r="U483">
            <v>22</v>
          </cell>
          <cell r="V483">
            <v>23</v>
          </cell>
          <cell r="W483" t="str">
            <v>0.12D</v>
          </cell>
          <cell r="X483" t="str">
            <v>3-2026</v>
          </cell>
          <cell r="Y483" t="str">
            <v>Week 13</v>
          </cell>
          <cell r="Z483">
            <v>46104</v>
          </cell>
          <cell r="AA483">
            <v>438</v>
          </cell>
          <cell r="AB483">
            <v>4.5449999999999997E-2</v>
          </cell>
        </row>
        <row r="484">
          <cell r="A484" t="str">
            <v>F-2026-02-246</v>
          </cell>
          <cell r="B484"/>
          <cell r="C484" t="str">
            <v>FPRO-260211-0066</v>
          </cell>
          <cell r="D484" t="str">
            <v>Firm plan 11.2</v>
          </cell>
          <cell r="E484" t="str">
            <v>BDB-000076</v>
          </cell>
          <cell r="F484" t="str">
            <v>PVN-003448</v>
          </cell>
          <cell r="G484" t="str">
            <v>OrthoLite X-25 BILLIARD/16-5427TPX 0.12D 20+/-4 Asker C 1.1M 2M 6.2mm</v>
          </cell>
          <cell r="H484">
            <v>500</v>
          </cell>
          <cell r="I484">
            <v>500</v>
          </cell>
          <cell r="J484">
            <v>0</v>
          </cell>
          <cell r="K484">
            <v>500</v>
          </cell>
          <cell r="L484" t="str">
            <v>ADIDAS</v>
          </cell>
          <cell r="M484" t="str">
            <v>Forecast</v>
          </cell>
          <cell r="N484" t="str">
            <v>MOLDED</v>
          </cell>
          <cell r="O484">
            <v>1</v>
          </cell>
          <cell r="P484">
            <v>46064</v>
          </cell>
          <cell r="Q484">
            <v>46118</v>
          </cell>
          <cell r="R484">
            <v>46115</v>
          </cell>
          <cell r="S484">
            <v>54</v>
          </cell>
          <cell r="T484">
            <v>6.2</v>
          </cell>
          <cell r="U484">
            <v>22</v>
          </cell>
          <cell r="V484">
            <v>23</v>
          </cell>
          <cell r="W484" t="str">
            <v>0.12D</v>
          </cell>
          <cell r="X484" t="str">
            <v>4-2026</v>
          </cell>
          <cell r="Y484" t="str">
            <v>Week 14</v>
          </cell>
          <cell r="Z484">
            <v>46111</v>
          </cell>
          <cell r="AA484">
            <v>149</v>
          </cell>
          <cell r="AB484">
            <v>4.5449999999999997E-2</v>
          </cell>
        </row>
        <row r="485">
          <cell r="A485" t="str">
            <v>F-2026-02-249</v>
          </cell>
          <cell r="B485"/>
          <cell r="C485" t="str">
            <v>FPRO-260211-0069</v>
          </cell>
          <cell r="D485" t="str">
            <v>Firm plan 11.2</v>
          </cell>
          <cell r="E485" t="str">
            <v>BDB-000348</v>
          </cell>
          <cell r="F485" t="str">
            <v>PVN-004195</v>
          </cell>
          <cell r="G485" t="str">
            <v>OrthoLite IMPERIAL SEEDPEARL/12-0703TPX Flat Sheet 0.22D 25+/-4 Asker C 1.1M 1.47M 4mm</v>
          </cell>
          <cell r="H485">
            <v>3000</v>
          </cell>
          <cell r="I485">
            <v>3000</v>
          </cell>
          <cell r="J485">
            <v>3000</v>
          </cell>
          <cell r="K485">
            <v>0</v>
          </cell>
          <cell r="L485" t="str">
            <v>ADIDAS</v>
          </cell>
          <cell r="M485" t="str">
            <v>Forecast</v>
          </cell>
          <cell r="N485" t="str">
            <v>SPLITTING</v>
          </cell>
          <cell r="O485">
            <v>2</v>
          </cell>
          <cell r="P485">
            <v>46064</v>
          </cell>
          <cell r="Q485">
            <v>46097</v>
          </cell>
          <cell r="R485">
            <v>46094</v>
          </cell>
          <cell r="S485">
            <v>33</v>
          </cell>
          <cell r="T485">
            <v>4</v>
          </cell>
          <cell r="U485">
            <v>35</v>
          </cell>
          <cell r="V485">
            <v>86</v>
          </cell>
          <cell r="W485" t="e">
            <v>#N/A</v>
          </cell>
          <cell r="X485" t="str">
            <v>3-2026</v>
          </cell>
          <cell r="Y485" t="str">
            <v>Week 11</v>
          </cell>
          <cell r="Z485">
            <v>46090</v>
          </cell>
          <cell r="AA485">
            <v>270</v>
          </cell>
          <cell r="AB485">
            <v>2.8570000000000002E-2</v>
          </cell>
        </row>
        <row r="486">
          <cell r="A486" t="str">
            <v>F-2026-02-250</v>
          </cell>
          <cell r="B486"/>
          <cell r="C486" t="str">
            <v>FPRO-260211-0070</v>
          </cell>
          <cell r="D486" t="str">
            <v>Firm plan 11.2</v>
          </cell>
          <cell r="E486" t="str">
            <v>BDB-000348</v>
          </cell>
          <cell r="F486" t="str">
            <v>PVN-004195</v>
          </cell>
          <cell r="G486" t="str">
            <v>OrthoLite IMPERIAL SEEDPEARL/12-0703TPX Flat Sheet 0.22D 25+/-4 Asker C 1.1M 1.47M 4mm</v>
          </cell>
          <cell r="H486">
            <v>3000</v>
          </cell>
          <cell r="I486">
            <v>3000</v>
          </cell>
          <cell r="J486">
            <v>3000</v>
          </cell>
          <cell r="K486">
            <v>0</v>
          </cell>
          <cell r="L486" t="str">
            <v>ADIDAS</v>
          </cell>
          <cell r="M486" t="str">
            <v>Forecast</v>
          </cell>
          <cell r="N486" t="str">
            <v>SPLITTING</v>
          </cell>
          <cell r="O486">
            <v>2</v>
          </cell>
          <cell r="P486">
            <v>46064</v>
          </cell>
          <cell r="Q486">
            <v>46104</v>
          </cell>
          <cell r="R486">
            <v>46101</v>
          </cell>
          <cell r="S486">
            <v>40</v>
          </cell>
          <cell r="T486">
            <v>4</v>
          </cell>
          <cell r="U486">
            <v>35</v>
          </cell>
          <cell r="V486">
            <v>86</v>
          </cell>
          <cell r="W486" t="e">
            <v>#N/A</v>
          </cell>
          <cell r="X486" t="str">
            <v>3-2026</v>
          </cell>
          <cell r="Y486" t="str">
            <v>Week 12</v>
          </cell>
          <cell r="Z486">
            <v>46097</v>
          </cell>
          <cell r="AA486">
            <v>270</v>
          </cell>
          <cell r="AB486">
            <v>2.8570000000000002E-2</v>
          </cell>
        </row>
        <row r="487">
          <cell r="A487" t="str">
            <v>F-2026-02-251</v>
          </cell>
          <cell r="B487"/>
          <cell r="C487" t="str">
            <v>FPRO-260211-0071</v>
          </cell>
          <cell r="D487" t="str">
            <v>Firm plan 11.2</v>
          </cell>
          <cell r="E487" t="str">
            <v>BDB-000348</v>
          </cell>
          <cell r="F487" t="str">
            <v>PVN-004195</v>
          </cell>
          <cell r="G487" t="str">
            <v>OrthoLite IMPERIAL SEEDPEARL/12-0703TPX Flat Sheet 0.22D 25+/-4 Asker C 1.1M 1.47M 4mm</v>
          </cell>
          <cell r="H487">
            <v>3000</v>
          </cell>
          <cell r="I487">
            <v>3000</v>
          </cell>
          <cell r="J487">
            <v>0</v>
          </cell>
          <cell r="K487">
            <v>3000</v>
          </cell>
          <cell r="L487" t="str">
            <v>ADIDAS</v>
          </cell>
          <cell r="M487" t="str">
            <v>Forecast</v>
          </cell>
          <cell r="N487" t="str">
            <v>SPLITTING</v>
          </cell>
          <cell r="O487">
            <v>2</v>
          </cell>
          <cell r="P487">
            <v>46064</v>
          </cell>
          <cell r="Q487">
            <v>46116</v>
          </cell>
          <cell r="R487">
            <v>46113</v>
          </cell>
          <cell r="S487">
            <v>52</v>
          </cell>
          <cell r="T487">
            <v>4</v>
          </cell>
          <cell r="U487">
            <v>35</v>
          </cell>
          <cell r="V487">
            <v>86</v>
          </cell>
          <cell r="W487" t="e">
            <v>#N/A</v>
          </cell>
          <cell r="X487" t="str">
            <v>4-2026</v>
          </cell>
          <cell r="Y487" t="str">
            <v>Week 13</v>
          </cell>
          <cell r="Z487">
            <v>46104</v>
          </cell>
          <cell r="AA487">
            <v>167</v>
          </cell>
          <cell r="AB487">
            <v>2.8570000000000002E-2</v>
          </cell>
        </row>
        <row r="488">
          <cell r="A488" t="str">
            <v>F-2026-02-252</v>
          </cell>
          <cell r="B488"/>
          <cell r="C488" t="str">
            <v>FPRO-260211-0072</v>
          </cell>
          <cell r="D488" t="str">
            <v>Firm plan 11.2</v>
          </cell>
          <cell r="E488" t="str">
            <v>BDB-000348</v>
          </cell>
          <cell r="F488" t="str">
            <v>PVN-004195</v>
          </cell>
          <cell r="G488" t="str">
            <v>OrthoLite IMPERIAL SEEDPEARL/12-0703TPX Flat Sheet 0.22D 25+/-4 Asker C 1.1M 1.47M 4mm</v>
          </cell>
          <cell r="H488">
            <v>3000</v>
          </cell>
          <cell r="I488">
            <v>3000</v>
          </cell>
          <cell r="J488">
            <v>0</v>
          </cell>
          <cell r="K488">
            <v>3000</v>
          </cell>
          <cell r="L488" t="str">
            <v>ADIDAS</v>
          </cell>
          <cell r="M488" t="str">
            <v>Forecast</v>
          </cell>
          <cell r="N488" t="str">
            <v>SPLITTING</v>
          </cell>
          <cell r="O488">
            <v>2</v>
          </cell>
          <cell r="P488">
            <v>46064</v>
          </cell>
          <cell r="Q488">
            <v>46126</v>
          </cell>
          <cell r="R488">
            <v>46123</v>
          </cell>
          <cell r="S488">
            <v>62</v>
          </cell>
          <cell r="T488">
            <v>4</v>
          </cell>
          <cell r="U488">
            <v>35</v>
          </cell>
          <cell r="V488">
            <v>86</v>
          </cell>
          <cell r="W488" t="e">
            <v>#N/A</v>
          </cell>
          <cell r="X488" t="str">
            <v>4-2026</v>
          </cell>
          <cell r="Y488" t="str">
            <v>Week 15</v>
          </cell>
          <cell r="Z488">
            <v>46118</v>
          </cell>
          <cell r="AA488">
            <v>42</v>
          </cell>
          <cell r="AB488">
            <v>2.8570000000000002E-2</v>
          </cell>
        </row>
        <row r="489">
          <cell r="A489" t="str">
            <v>F-2026-02-253</v>
          </cell>
          <cell r="B489"/>
          <cell r="C489" t="str">
            <v>FPRO-260211-0073</v>
          </cell>
          <cell r="D489" t="str">
            <v>Firm plan 11.2</v>
          </cell>
          <cell r="E489" t="str">
            <v>BDB-000348</v>
          </cell>
          <cell r="F489" t="str">
            <v>PVN-004195</v>
          </cell>
          <cell r="G489" t="str">
            <v>OrthoLite IMPERIAL SEEDPEARL/12-0703TPX Flat Sheet 0.22D 25+/-4 Asker C 1.1M 1.47M 4mm</v>
          </cell>
          <cell r="H489">
            <v>3000</v>
          </cell>
          <cell r="I489">
            <v>3000</v>
          </cell>
          <cell r="J489">
            <v>0</v>
          </cell>
          <cell r="K489">
            <v>3000</v>
          </cell>
          <cell r="L489" t="str">
            <v>ADIDAS</v>
          </cell>
          <cell r="M489" t="str">
            <v>Forecast</v>
          </cell>
          <cell r="N489" t="str">
            <v>SPLITTING</v>
          </cell>
          <cell r="O489">
            <v>2</v>
          </cell>
          <cell r="P489">
            <v>46064</v>
          </cell>
          <cell r="Q489">
            <v>46130</v>
          </cell>
          <cell r="R489">
            <v>46127</v>
          </cell>
          <cell r="S489">
            <v>66</v>
          </cell>
          <cell r="T489">
            <v>4</v>
          </cell>
          <cell r="U489">
            <v>35</v>
          </cell>
          <cell r="V489">
            <v>86</v>
          </cell>
          <cell r="W489" t="e">
            <v>#N/A</v>
          </cell>
          <cell r="X489" t="str">
            <v>4-2026</v>
          </cell>
          <cell r="Y489" t="str">
            <v>Week 16</v>
          </cell>
          <cell r="Z489">
            <v>46125</v>
          </cell>
          <cell r="AA489">
            <v>42</v>
          </cell>
          <cell r="AB489">
            <v>2.8570000000000002E-2</v>
          </cell>
        </row>
        <row r="490">
          <cell r="A490" t="str">
            <v>F-2026-02-254</v>
          </cell>
          <cell r="B490"/>
          <cell r="C490" t="str">
            <v>FPRO-260211-0074</v>
          </cell>
          <cell r="D490" t="str">
            <v>Firm plan 11.2</v>
          </cell>
          <cell r="E490" t="str">
            <v>BDB-000348</v>
          </cell>
          <cell r="F490" t="str">
            <v>PVN-004195</v>
          </cell>
          <cell r="G490" t="str">
            <v>OrthoLite IMPERIAL SEEDPEARL/12-0703TPX Flat Sheet 0.22D 25+/-4 Asker C 1.1M 1.47M 4mm</v>
          </cell>
          <cell r="H490">
            <v>2000</v>
          </cell>
          <cell r="I490">
            <v>2000</v>
          </cell>
          <cell r="J490">
            <v>0</v>
          </cell>
          <cell r="K490">
            <v>2000</v>
          </cell>
          <cell r="L490" t="str">
            <v>ADIDAS</v>
          </cell>
          <cell r="M490" t="str">
            <v>Forecast</v>
          </cell>
          <cell r="N490" t="str">
            <v>SPLITTING</v>
          </cell>
          <cell r="O490">
            <v>2</v>
          </cell>
          <cell r="P490">
            <v>46064</v>
          </cell>
          <cell r="Q490">
            <v>46135</v>
          </cell>
          <cell r="R490">
            <v>46132</v>
          </cell>
          <cell r="S490">
            <v>71</v>
          </cell>
          <cell r="T490">
            <v>4</v>
          </cell>
          <cell r="U490">
            <v>35</v>
          </cell>
          <cell r="V490">
            <v>58</v>
          </cell>
          <cell r="W490" t="e">
            <v>#N/A</v>
          </cell>
          <cell r="X490" t="str">
            <v>4-2026</v>
          </cell>
          <cell r="Y490" t="str">
            <v>Week 16</v>
          </cell>
          <cell r="Z490">
            <v>46125</v>
          </cell>
          <cell r="AA490">
            <v>270</v>
          </cell>
          <cell r="AB490">
            <v>2.8570000000000002E-2</v>
          </cell>
        </row>
        <row r="491">
          <cell r="A491" t="str">
            <v>F-2026-02-256</v>
          </cell>
          <cell r="B491"/>
          <cell r="C491" t="str">
            <v>FPRO-260211-0076</v>
          </cell>
          <cell r="D491" t="str">
            <v>Firm plan 11.2</v>
          </cell>
          <cell r="E491" t="str">
            <v>BDB-000348</v>
          </cell>
          <cell r="F491" t="str">
            <v>PVN-004210</v>
          </cell>
          <cell r="G491" t="str">
            <v>OrthoLite IMPERIAL SEEDPEARL/12-0703TPX Flat Sheet 0.22D 25+/-4 Asker C 1.1M 1.47M 5mm</v>
          </cell>
          <cell r="H491">
            <v>2302</v>
          </cell>
          <cell r="I491">
            <v>2302</v>
          </cell>
          <cell r="J491">
            <v>0</v>
          </cell>
          <cell r="K491">
            <v>2302</v>
          </cell>
          <cell r="L491" t="str">
            <v>ADIDAS</v>
          </cell>
          <cell r="M491" t="str">
            <v>Forecast</v>
          </cell>
          <cell r="N491" t="str">
            <v>SPLITTING</v>
          </cell>
          <cell r="O491">
            <v>2</v>
          </cell>
          <cell r="P491">
            <v>46064</v>
          </cell>
          <cell r="Q491">
            <v>46120</v>
          </cell>
          <cell r="R491">
            <v>46117</v>
          </cell>
          <cell r="S491">
            <v>56</v>
          </cell>
          <cell r="T491">
            <v>5</v>
          </cell>
          <cell r="U491">
            <v>28</v>
          </cell>
          <cell r="V491">
            <v>83</v>
          </cell>
          <cell r="W491" t="e">
            <v>#N/A</v>
          </cell>
          <cell r="X491" t="str">
            <v>4-2026</v>
          </cell>
          <cell r="Y491" t="str">
            <v>Week 14</v>
          </cell>
          <cell r="Z491">
            <v>46111</v>
          </cell>
          <cell r="AA491">
            <v>0</v>
          </cell>
          <cell r="AB491">
            <v>3.5709999999999999E-2</v>
          </cell>
        </row>
        <row r="492">
          <cell r="A492" t="str">
            <v>F-2026-02-257</v>
          </cell>
          <cell r="B492"/>
          <cell r="C492" t="str">
            <v>RPRO-260211-0710</v>
          </cell>
          <cell r="D492" t="str">
            <v>MPS 10.2</v>
          </cell>
          <cell r="E492" t="str">
            <v>BDB-000102</v>
          </cell>
          <cell r="F492" t="str">
            <v>PVN-003629</v>
          </cell>
          <cell r="G492" t="str">
            <v>OrthoLite Eco LT-Hybrid LIME GREEN/14-0452TPX Hybrid 0.13D 35+/-4 Asker C 1.1M 2M 2.5mm</v>
          </cell>
          <cell r="H492">
            <v>168</v>
          </cell>
          <cell r="I492">
            <v>168</v>
          </cell>
          <cell r="J492">
            <v>168</v>
          </cell>
          <cell r="K492">
            <v>0</v>
          </cell>
          <cell r="L492"/>
          <cell r="M492" t="str">
            <v>MPS</v>
          </cell>
          <cell r="N492" t="str">
            <v>SPLITTING</v>
          </cell>
          <cell r="O492">
            <v>2</v>
          </cell>
          <cell r="P492">
            <v>46064</v>
          </cell>
          <cell r="Q492">
            <v>46093</v>
          </cell>
          <cell r="R492">
            <v>46090</v>
          </cell>
          <cell r="S492">
            <v>29</v>
          </cell>
          <cell r="T492">
            <v>2.5</v>
          </cell>
          <cell r="U492">
            <v>56</v>
          </cell>
          <cell r="V492">
            <v>4</v>
          </cell>
          <cell r="W492" t="str">
            <v>0.13D</v>
          </cell>
          <cell r="X492" t="str">
            <v>3-2026</v>
          </cell>
          <cell r="Y492" t="str">
            <v>Week 10</v>
          </cell>
          <cell r="Z492">
            <v>46083</v>
          </cell>
          <cell r="AA492">
            <v>0</v>
          </cell>
          <cell r="AB492">
            <v>1.7860000000000001E-2</v>
          </cell>
        </row>
        <row r="493">
          <cell r="A493" t="str">
            <v>F-2026-02-258</v>
          </cell>
          <cell r="B493"/>
          <cell r="C493" t="str">
            <v>RPRO-260211-0711</v>
          </cell>
          <cell r="D493" t="str">
            <v>MPS 10.2</v>
          </cell>
          <cell r="E493" t="str">
            <v>BDB-000058</v>
          </cell>
          <cell r="F493" t="str">
            <v>PVN-001277</v>
          </cell>
          <cell r="G493" t="str">
            <v>OrthoLite Ultra GREEN/16-5932TPX Flat Sheet 0.085D 25+/-4 Asker C 1.1M 2M 4mm</v>
          </cell>
          <cell r="H493">
            <v>420</v>
          </cell>
          <cell r="I493">
            <v>420</v>
          </cell>
          <cell r="J493">
            <v>420</v>
          </cell>
          <cell r="K493">
            <v>0</v>
          </cell>
          <cell r="L493"/>
          <cell r="M493" t="str">
            <v>MPS</v>
          </cell>
          <cell r="N493" t="str">
            <v>SPLITTING</v>
          </cell>
          <cell r="O493">
            <v>2</v>
          </cell>
          <cell r="P493">
            <v>46064</v>
          </cell>
          <cell r="Q493">
            <v>46097</v>
          </cell>
          <cell r="R493">
            <v>46094</v>
          </cell>
          <cell r="S493">
            <v>33</v>
          </cell>
          <cell r="T493">
            <v>4</v>
          </cell>
          <cell r="U493">
            <v>35</v>
          </cell>
          <cell r="V493">
            <v>12</v>
          </cell>
          <cell r="W493" t="str">
            <v>0.085D</v>
          </cell>
          <cell r="X493" t="str">
            <v>3-2026</v>
          </cell>
          <cell r="Y493" t="str">
            <v>Week 11</v>
          </cell>
          <cell r="Z493">
            <v>46090</v>
          </cell>
          <cell r="AA493">
            <v>310</v>
          </cell>
          <cell r="AB493">
            <v>2.8570000000000002E-2</v>
          </cell>
        </row>
        <row r="494">
          <cell r="A494" t="str">
            <v>F-2026-02-259</v>
          </cell>
          <cell r="B494"/>
          <cell r="C494" t="str">
            <v>RPRO-260211-0712</v>
          </cell>
          <cell r="D494" t="str">
            <v>MPS 10.2</v>
          </cell>
          <cell r="E494" t="str">
            <v>BDB-000123</v>
          </cell>
          <cell r="F494" t="str">
            <v>PVN-003315</v>
          </cell>
          <cell r="G494" t="str">
            <v>OrthoLite Ultra-Hybrid SEEDPEARL/12-0703TPX Hybrid 0.085D 25+/-4 Asker C 1.1M 2M 3.5mm</v>
          </cell>
          <cell r="H494">
            <v>40</v>
          </cell>
          <cell r="I494">
            <v>40</v>
          </cell>
          <cell r="J494">
            <v>40</v>
          </cell>
          <cell r="K494">
            <v>0</v>
          </cell>
          <cell r="L494"/>
          <cell r="M494" t="str">
            <v>MPS</v>
          </cell>
          <cell r="N494" t="str">
            <v>SPLITTING</v>
          </cell>
          <cell r="O494">
            <v>2</v>
          </cell>
          <cell r="P494">
            <v>46064</v>
          </cell>
          <cell r="Q494">
            <v>46093</v>
          </cell>
          <cell r="R494">
            <v>46090</v>
          </cell>
          <cell r="S494">
            <v>29</v>
          </cell>
          <cell r="T494">
            <v>3.5</v>
          </cell>
          <cell r="U494">
            <v>40</v>
          </cell>
          <cell r="V494">
            <v>1</v>
          </cell>
          <cell r="W494" t="str">
            <v>0.085D</v>
          </cell>
          <cell r="X494" t="str">
            <v>3-2026</v>
          </cell>
          <cell r="Y494" t="str">
            <v>Week 10</v>
          </cell>
          <cell r="Z494">
            <v>46083</v>
          </cell>
          <cell r="AA494">
            <v>162</v>
          </cell>
          <cell r="AB494">
            <v>2.5000000000000001E-2</v>
          </cell>
        </row>
        <row r="495">
          <cell r="A495" t="str">
            <v>F-2026-02-260</v>
          </cell>
          <cell r="B495"/>
          <cell r="C495" t="str">
            <v>RPRO-260211-0713</v>
          </cell>
          <cell r="D495" t="str">
            <v>MPS 10.2</v>
          </cell>
          <cell r="E495" t="str">
            <v>BDB-000210</v>
          </cell>
          <cell r="F495" t="str">
            <v>PVN-003453</v>
          </cell>
          <cell r="G495" t="str">
            <v>OrthoLite Eco LT-Hybrid BLACK/19-4007TPX Hybrid Flat Sheet 0.13D 35+/-4 Asker C 1.1M 2M 3mm</v>
          </cell>
          <cell r="H495">
            <v>322</v>
          </cell>
          <cell r="I495">
            <v>322</v>
          </cell>
          <cell r="J495">
            <v>322</v>
          </cell>
          <cell r="K495">
            <v>0</v>
          </cell>
          <cell r="L495"/>
          <cell r="M495" t="str">
            <v>MPS</v>
          </cell>
          <cell r="N495" t="str">
            <v>SPLITTING</v>
          </cell>
          <cell r="O495">
            <v>2</v>
          </cell>
          <cell r="P495">
            <v>46064</v>
          </cell>
          <cell r="Q495">
            <v>46093</v>
          </cell>
          <cell r="R495">
            <v>46090</v>
          </cell>
          <cell r="S495">
            <v>29</v>
          </cell>
          <cell r="T495">
            <v>3</v>
          </cell>
          <cell r="U495">
            <v>46</v>
          </cell>
          <cell r="V495">
            <v>8</v>
          </cell>
          <cell r="W495" t="str">
            <v>0.13D</v>
          </cell>
          <cell r="X495" t="str">
            <v>3-2026</v>
          </cell>
          <cell r="Y495" t="str">
            <v>Week 10</v>
          </cell>
          <cell r="Z495">
            <v>46083</v>
          </cell>
          <cell r="AA495">
            <v>162</v>
          </cell>
          <cell r="AB495">
            <v>2.1739999999999999E-2</v>
          </cell>
        </row>
        <row r="496">
          <cell r="A496" t="str">
            <v>F-2026-02-261</v>
          </cell>
          <cell r="B496"/>
          <cell r="C496" t="str">
            <v>RPRO-260211-0714</v>
          </cell>
          <cell r="D496" t="str">
            <v>Pro.sche.report 10.2</v>
          </cell>
          <cell r="E496" t="str">
            <v>BDB-000129</v>
          </cell>
          <cell r="F496" t="str">
            <v>PVN-001550</v>
          </cell>
          <cell r="G496" t="str">
            <v>OrthoLite Regular-Nike AIR BLUE/16-4134TPX Flat Sheet 0.11D 25+/-4 Asker C 1.1M 1.7M 2mm</v>
          </cell>
          <cell r="H496">
            <v>70</v>
          </cell>
          <cell r="I496">
            <v>70</v>
          </cell>
          <cell r="J496">
            <v>70</v>
          </cell>
          <cell r="K496">
            <v>0</v>
          </cell>
          <cell r="L496" t="str">
            <v>NIKE</v>
          </cell>
          <cell r="M496" t="str">
            <v>Pr.Sch.R</v>
          </cell>
          <cell r="N496" t="str">
            <v>LAMINATING</v>
          </cell>
          <cell r="O496">
            <v>1</v>
          </cell>
          <cell r="P496">
            <v>46064</v>
          </cell>
          <cell r="Q496">
            <v>46097</v>
          </cell>
          <cell r="R496">
            <v>46094</v>
          </cell>
          <cell r="S496">
            <v>33</v>
          </cell>
          <cell r="T496">
            <v>2</v>
          </cell>
          <cell r="U496">
            <v>70</v>
          </cell>
          <cell r="V496">
            <v>2</v>
          </cell>
          <cell r="W496" t="str">
            <v>0.11D</v>
          </cell>
          <cell r="X496" t="str">
            <v>3-2026</v>
          </cell>
          <cell r="Y496" t="str">
            <v>Week 11</v>
          </cell>
          <cell r="Z496">
            <v>46090</v>
          </cell>
          <cell r="AA496">
            <v>438</v>
          </cell>
          <cell r="AB496">
            <v>1.4290000000000001E-2</v>
          </cell>
        </row>
        <row r="497">
          <cell r="A497" t="str">
            <v>F-2026-02-262</v>
          </cell>
          <cell r="B497"/>
          <cell r="C497" t="str">
            <v>RPRO-260211-0715</v>
          </cell>
          <cell r="D497" t="str">
            <v>Pro.sche.report 10.2</v>
          </cell>
          <cell r="E497" t="str">
            <v>BDB-000123</v>
          </cell>
          <cell r="F497" t="str">
            <v>PVN-002539</v>
          </cell>
          <cell r="G497" t="str">
            <v>OrthoLite Ultra-Hybrid SEEDPEARL/12-0703TPX Hybrid Flat Sheet 0.085D 25+/-4 Asker C 1.1M 2M 5mm</v>
          </cell>
          <cell r="H497">
            <v>140</v>
          </cell>
          <cell r="I497">
            <v>140</v>
          </cell>
          <cell r="J497">
            <v>140</v>
          </cell>
          <cell r="K497">
            <v>0</v>
          </cell>
          <cell r="L497" t="str">
            <v>BROOKS</v>
          </cell>
          <cell r="M497" t="str">
            <v>Pr.Sch.R</v>
          </cell>
          <cell r="N497" t="str">
            <v>DIE CUT</v>
          </cell>
          <cell r="O497">
            <v>1</v>
          </cell>
          <cell r="P497">
            <v>46064</v>
          </cell>
          <cell r="Q497">
            <v>46095</v>
          </cell>
          <cell r="R497">
            <v>46092</v>
          </cell>
          <cell r="S497">
            <v>31</v>
          </cell>
          <cell r="T497">
            <v>5</v>
          </cell>
          <cell r="U497">
            <v>28</v>
          </cell>
          <cell r="V497">
            <v>5</v>
          </cell>
          <cell r="W497" t="str">
            <v>0.085D</v>
          </cell>
          <cell r="X497" t="str">
            <v>3-2026</v>
          </cell>
          <cell r="Y497" t="str">
            <v>Week 11</v>
          </cell>
          <cell r="Z497">
            <v>46090</v>
          </cell>
          <cell r="AA497">
            <v>438</v>
          </cell>
          <cell r="AB497">
            <v>3.5709999999999999E-2</v>
          </cell>
        </row>
        <row r="498">
          <cell r="A498" t="str">
            <v>F-2026-02-263</v>
          </cell>
          <cell r="B498"/>
          <cell r="C498" t="str">
            <v>RPRO-260211-0716</v>
          </cell>
          <cell r="D498" t="str">
            <v>Pro.sche.report 10.2</v>
          </cell>
          <cell r="E498" t="str">
            <v>BDB-000259</v>
          </cell>
          <cell r="F498" t="str">
            <v>PVN-003684</v>
          </cell>
          <cell r="G498" t="str">
            <v>OrthoLite Nike PP002 GLACIER GRAY/14-4102TPX Flat Sheet 0.145D 25+/-4 asker C 1.1M 2M 4.2mm</v>
          </cell>
          <cell r="H498">
            <v>1683</v>
          </cell>
          <cell r="I498">
            <v>1683</v>
          </cell>
          <cell r="J498">
            <v>1683</v>
          </cell>
          <cell r="K498">
            <v>0</v>
          </cell>
          <cell r="L498" t="str">
            <v>NIKE</v>
          </cell>
          <cell r="M498" t="str">
            <v>Pr.Sch.R</v>
          </cell>
          <cell r="N498" t="str">
            <v>MOLDED</v>
          </cell>
          <cell r="O498">
            <v>1</v>
          </cell>
          <cell r="P498">
            <v>46064</v>
          </cell>
          <cell r="Q498">
            <v>46104</v>
          </cell>
          <cell r="R498">
            <v>46101</v>
          </cell>
          <cell r="S498">
            <v>40</v>
          </cell>
          <cell r="T498">
            <v>4.2</v>
          </cell>
          <cell r="U498">
            <v>33</v>
          </cell>
          <cell r="V498">
            <v>51</v>
          </cell>
          <cell r="W498" t="str">
            <v>0.145D</v>
          </cell>
          <cell r="X498" t="str">
            <v>3-2026</v>
          </cell>
          <cell r="Y498" t="str">
            <v>Week 12</v>
          </cell>
          <cell r="Z498">
            <v>46097</v>
          </cell>
          <cell r="AA498">
            <v>438</v>
          </cell>
          <cell r="AB498">
            <v>3.0300000000000001E-2</v>
          </cell>
        </row>
        <row r="499">
          <cell r="A499" t="str">
            <v>F-2026-02-264</v>
          </cell>
          <cell r="B499"/>
          <cell r="C499" t="str">
            <v>RPRO-260211-0717</v>
          </cell>
          <cell r="D499" t="str">
            <v>Pro.sche.report 10.2</v>
          </cell>
          <cell r="E499" t="str">
            <v>BDB-000220</v>
          </cell>
          <cell r="F499" t="str">
            <v>PVN-003656</v>
          </cell>
          <cell r="G499" t="str">
            <v>OrthoLite X-25 BILLIARD/16-5427TPX Flat Sheet 0.12D 20+/-4 Asker C 1.1M 1.47M 3mm</v>
          </cell>
          <cell r="H499">
            <v>46</v>
          </cell>
          <cell r="I499">
            <v>46</v>
          </cell>
          <cell r="J499">
            <v>46</v>
          </cell>
          <cell r="K499">
            <v>0</v>
          </cell>
          <cell r="L499" t="str">
            <v>FOOTJOY</v>
          </cell>
          <cell r="M499" t="str">
            <v>Pr.Sch.R</v>
          </cell>
          <cell r="N499" t="str">
            <v>DIE CUT</v>
          </cell>
          <cell r="O499">
            <v>1</v>
          </cell>
          <cell r="P499">
            <v>46064</v>
          </cell>
          <cell r="Q499">
            <v>46097</v>
          </cell>
          <cell r="R499">
            <v>46094</v>
          </cell>
          <cell r="S499">
            <v>33</v>
          </cell>
          <cell r="T499">
            <v>3</v>
          </cell>
          <cell r="U499">
            <v>46</v>
          </cell>
          <cell r="V499">
            <v>2</v>
          </cell>
          <cell r="W499" t="str">
            <v>0.12D</v>
          </cell>
          <cell r="X499" t="str">
            <v>3-2026</v>
          </cell>
          <cell r="Y499" t="str">
            <v>Week 11</v>
          </cell>
          <cell r="Z499">
            <v>46090</v>
          </cell>
          <cell r="AA499">
            <v>438</v>
          </cell>
          <cell r="AB499">
            <v>2.1739999999999999E-2</v>
          </cell>
        </row>
        <row r="500">
          <cell r="A500" t="str">
            <v>F-2026-02-265</v>
          </cell>
          <cell r="B500"/>
          <cell r="C500" t="str">
            <v>RPRO-260211-0718</v>
          </cell>
          <cell r="D500" t="str">
            <v>Pro.sche.report 10.2</v>
          </cell>
          <cell r="E500" t="str">
            <v>BDB-000314</v>
          </cell>
          <cell r="F500" t="str">
            <v>PVN-004066</v>
          </cell>
          <cell r="G500" t="str">
            <v>OrthoLite Regular NEUTRAL GRAY/17-4402TPX Flat Sheet 0.16D 51+/-4 Asker C 1.1M 1.7M 9.5mm</v>
          </cell>
          <cell r="H500">
            <v>14</v>
          </cell>
          <cell r="I500">
            <v>14</v>
          </cell>
          <cell r="J500">
            <v>14</v>
          </cell>
          <cell r="K500">
            <v>0</v>
          </cell>
          <cell r="L500" t="str">
            <v>FOOTJOY</v>
          </cell>
          <cell r="M500" t="str">
            <v>Pr.Sch.R</v>
          </cell>
          <cell r="N500" t="str">
            <v>MOLDED</v>
          </cell>
          <cell r="O500">
            <v>1</v>
          </cell>
          <cell r="P500">
            <v>46064</v>
          </cell>
          <cell r="Q500">
            <v>46097</v>
          </cell>
          <cell r="R500">
            <v>46094</v>
          </cell>
          <cell r="S500">
            <v>33</v>
          </cell>
          <cell r="T500">
            <v>9.5</v>
          </cell>
          <cell r="U500">
            <v>14</v>
          </cell>
          <cell r="V500">
            <v>2</v>
          </cell>
          <cell r="W500" t="e">
            <v>#N/A</v>
          </cell>
          <cell r="X500" t="str">
            <v>3-2026</v>
          </cell>
          <cell r="Y500" t="str">
            <v>Week 11</v>
          </cell>
          <cell r="Z500">
            <v>46090</v>
          </cell>
          <cell r="AA500">
            <v>438</v>
          </cell>
          <cell r="AB500">
            <v>7.1429999999999993E-2</v>
          </cell>
        </row>
        <row r="501">
          <cell r="A501" t="str">
            <v>F-2026-02-266</v>
          </cell>
          <cell r="B501"/>
          <cell r="C501" t="str">
            <v>RPRO-260211-0719</v>
          </cell>
          <cell r="D501" t="str">
            <v>Pro.sche.report 10.2</v>
          </cell>
          <cell r="E501" t="str">
            <v>BDB-000125</v>
          </cell>
          <cell r="F501" t="str">
            <v>PVN-002413</v>
          </cell>
          <cell r="G501" t="str">
            <v>OrthoLite Regular-Nike AIR BLUE/16-4134TPX Flat Sheet 0.11D 25+/-4 Asker C 1.1M 2M 4.2mm</v>
          </cell>
          <cell r="H501">
            <v>2500</v>
          </cell>
          <cell r="I501">
            <v>2500</v>
          </cell>
          <cell r="J501">
            <v>2500</v>
          </cell>
          <cell r="K501">
            <v>0</v>
          </cell>
          <cell r="L501" t="str">
            <v>NIKE</v>
          </cell>
          <cell r="M501" t="str">
            <v>Pr.Sch.R</v>
          </cell>
          <cell r="N501" t="str">
            <v>MOLDED</v>
          </cell>
          <cell r="O501">
            <v>1</v>
          </cell>
          <cell r="P501">
            <v>46064</v>
          </cell>
          <cell r="Q501">
            <v>46095</v>
          </cell>
          <cell r="R501">
            <v>46092</v>
          </cell>
          <cell r="S501">
            <v>31</v>
          </cell>
          <cell r="T501">
            <v>4.2</v>
          </cell>
          <cell r="U501">
            <v>33</v>
          </cell>
          <cell r="V501">
            <v>76</v>
          </cell>
          <cell r="W501" t="str">
            <v>0.11D</v>
          </cell>
          <cell r="X501" t="str">
            <v>3-2026</v>
          </cell>
          <cell r="Y501" t="str">
            <v>Week 11</v>
          </cell>
          <cell r="Z501">
            <v>46090</v>
          </cell>
          <cell r="AA501">
            <v>438</v>
          </cell>
          <cell r="AB501">
            <v>3.0300000000000001E-2</v>
          </cell>
        </row>
        <row r="502">
          <cell r="A502" t="str">
            <v>F-2026-02-267</v>
          </cell>
          <cell r="B502"/>
          <cell r="C502" t="str">
            <v>RPRO-260211-0720</v>
          </cell>
          <cell r="D502" t="str">
            <v>Pro.sche.report 10.2</v>
          </cell>
          <cell r="E502" t="str">
            <v>BDB-000125</v>
          </cell>
          <cell r="F502" t="str">
            <v>PVN-002413</v>
          </cell>
          <cell r="G502" t="str">
            <v>OrthoLite Regular-Nike AIR BLUE/16-4134TPX Flat Sheet 0.11D 25+/-4 Asker C 1.1M 2M 4.2mm</v>
          </cell>
          <cell r="H502">
            <v>2500</v>
          </cell>
          <cell r="I502">
            <v>2500</v>
          </cell>
          <cell r="J502">
            <v>2500</v>
          </cell>
          <cell r="K502">
            <v>0</v>
          </cell>
          <cell r="L502" t="str">
            <v>NIKE</v>
          </cell>
          <cell r="M502" t="str">
            <v>Pr.Sch.R</v>
          </cell>
          <cell r="N502" t="str">
            <v>MOLDED</v>
          </cell>
          <cell r="O502">
            <v>1</v>
          </cell>
          <cell r="P502">
            <v>46064</v>
          </cell>
          <cell r="Q502">
            <v>46093</v>
          </cell>
          <cell r="R502">
            <v>46090</v>
          </cell>
          <cell r="S502">
            <v>29</v>
          </cell>
          <cell r="T502">
            <v>4.2</v>
          </cell>
          <cell r="U502">
            <v>33</v>
          </cell>
          <cell r="V502">
            <v>76</v>
          </cell>
          <cell r="W502" t="str">
            <v>0.11D</v>
          </cell>
          <cell r="X502" t="str">
            <v>3-2026</v>
          </cell>
          <cell r="Y502" t="str">
            <v>Week 10</v>
          </cell>
          <cell r="Z502">
            <v>46083</v>
          </cell>
          <cell r="AA502">
            <v>438</v>
          </cell>
          <cell r="AB502">
            <v>3.0300000000000001E-2</v>
          </cell>
        </row>
        <row r="503">
          <cell r="A503" t="str">
            <v>F-2026-02-268</v>
          </cell>
          <cell r="B503"/>
          <cell r="C503" t="str">
            <v>RPRO-260211-0721</v>
          </cell>
          <cell r="D503" t="str">
            <v>Pro.sche.report 10.2</v>
          </cell>
          <cell r="E503" t="str">
            <v>BDB-000125</v>
          </cell>
          <cell r="F503" t="str">
            <v>PVN-002413</v>
          </cell>
          <cell r="G503" t="str">
            <v>OrthoLite Regular-Nike AIR BLUE/16-4134TPX Flat Sheet 0.11D 25+/-4 Asker C 1.1M 2M 4.2mm</v>
          </cell>
          <cell r="H503">
            <v>2500</v>
          </cell>
          <cell r="I503">
            <v>2500</v>
          </cell>
          <cell r="J503">
            <v>2500</v>
          </cell>
          <cell r="K503">
            <v>0</v>
          </cell>
          <cell r="L503" t="str">
            <v>NIKE</v>
          </cell>
          <cell r="M503" t="str">
            <v>Pr.Sch.R</v>
          </cell>
          <cell r="N503" t="str">
            <v>MOLDED</v>
          </cell>
          <cell r="O503">
            <v>1</v>
          </cell>
          <cell r="P503">
            <v>46064</v>
          </cell>
          <cell r="Q503">
            <v>46093</v>
          </cell>
          <cell r="R503">
            <v>46090</v>
          </cell>
          <cell r="S503">
            <v>29</v>
          </cell>
          <cell r="T503">
            <v>4.2</v>
          </cell>
          <cell r="U503">
            <v>33</v>
          </cell>
          <cell r="V503">
            <v>76</v>
          </cell>
          <cell r="W503" t="str">
            <v>0.11D</v>
          </cell>
          <cell r="X503" t="str">
            <v>3-2026</v>
          </cell>
          <cell r="Y503" t="str">
            <v>Week 10</v>
          </cell>
          <cell r="Z503">
            <v>46083</v>
          </cell>
          <cell r="AA503">
            <v>438</v>
          </cell>
          <cell r="AB503">
            <v>3.0300000000000001E-2</v>
          </cell>
        </row>
        <row r="504">
          <cell r="A504" t="str">
            <v>F-2026-02-269</v>
          </cell>
          <cell r="B504"/>
          <cell r="C504" t="str">
            <v>RPRO-260211-0722</v>
          </cell>
          <cell r="D504" t="str">
            <v>Pro.sche.report 10.2</v>
          </cell>
          <cell r="E504" t="str">
            <v>BDB-000125</v>
          </cell>
          <cell r="F504" t="str">
            <v>PVN-002413</v>
          </cell>
          <cell r="G504" t="str">
            <v>OrthoLite Regular-Nike AIR BLUE/16-4134TPX Flat Sheet 0.11D 25+/-4 Asker C 1.1M 2M 4.2mm</v>
          </cell>
          <cell r="H504">
            <v>2202</v>
          </cell>
          <cell r="I504">
            <v>2202</v>
          </cell>
          <cell r="J504">
            <v>2202</v>
          </cell>
          <cell r="K504">
            <v>0</v>
          </cell>
          <cell r="L504" t="str">
            <v>NIKE</v>
          </cell>
          <cell r="M504" t="str">
            <v>Pr.Sch.R</v>
          </cell>
          <cell r="N504" t="str">
            <v>MOLDED</v>
          </cell>
          <cell r="O504">
            <v>1</v>
          </cell>
          <cell r="P504">
            <v>46064</v>
          </cell>
          <cell r="Q504">
            <v>46107</v>
          </cell>
          <cell r="R504">
            <v>46104</v>
          </cell>
          <cell r="S504">
            <v>43</v>
          </cell>
          <cell r="T504">
            <v>4.2</v>
          </cell>
          <cell r="U504">
            <v>33</v>
          </cell>
          <cell r="V504">
            <v>67</v>
          </cell>
          <cell r="W504" t="str">
            <v>0.11D</v>
          </cell>
          <cell r="X504" t="str">
            <v>3-2026</v>
          </cell>
          <cell r="Y504" t="str">
            <v>Week 12</v>
          </cell>
          <cell r="Z504">
            <v>46097</v>
          </cell>
          <cell r="AA504">
            <v>438</v>
          </cell>
          <cell r="AB504">
            <v>3.0300000000000001E-2</v>
          </cell>
        </row>
        <row r="505">
          <cell r="A505" t="str">
            <v>F-2026-02-270</v>
          </cell>
          <cell r="B505"/>
          <cell r="C505" t="str">
            <v>RPRO-260211-0723</v>
          </cell>
          <cell r="D505" t="str">
            <v>Pro.sche.report 10.2</v>
          </cell>
          <cell r="E505" t="str">
            <v>BDB-000076</v>
          </cell>
          <cell r="F505" t="str">
            <v>PVN-004119</v>
          </cell>
          <cell r="G505" t="str">
            <v>OrthoLite X-25 BILLIARD/16-5427TPX Flat Sheet 0.12D 20+/-4 Asker C 1.1M 2M 6.5mm</v>
          </cell>
          <cell r="H505">
            <v>84</v>
          </cell>
          <cell r="I505">
            <v>84</v>
          </cell>
          <cell r="J505">
            <v>84</v>
          </cell>
          <cell r="K505">
            <v>0</v>
          </cell>
          <cell r="L505" t="str">
            <v>ONE8</v>
          </cell>
          <cell r="M505" t="str">
            <v>Pr.Sch.R</v>
          </cell>
          <cell r="N505" t="str">
            <v>MOLDED</v>
          </cell>
          <cell r="O505">
            <v>1</v>
          </cell>
          <cell r="P505">
            <v>46064</v>
          </cell>
          <cell r="Q505">
            <v>46097</v>
          </cell>
          <cell r="R505">
            <v>46094</v>
          </cell>
          <cell r="S505">
            <v>33</v>
          </cell>
          <cell r="T505">
            <v>6.5</v>
          </cell>
          <cell r="U505">
            <v>21</v>
          </cell>
          <cell r="V505">
            <v>5</v>
          </cell>
          <cell r="W505" t="str">
            <v>0.12D</v>
          </cell>
          <cell r="X505" t="str">
            <v>3-2026</v>
          </cell>
          <cell r="Y505" t="str">
            <v>Week 11</v>
          </cell>
          <cell r="Z505">
            <v>46090</v>
          </cell>
          <cell r="AA505">
            <v>438</v>
          </cell>
          <cell r="AB505">
            <v>4.7620000000000003E-2</v>
          </cell>
        </row>
        <row r="506">
          <cell r="A506" t="str">
            <v>F-2026-02-271</v>
          </cell>
          <cell r="B506"/>
          <cell r="C506" t="str">
            <v>RPRO-260211-0724</v>
          </cell>
          <cell r="D506" t="str">
            <v>Pro.sche.report 10.2</v>
          </cell>
          <cell r="E506" t="str">
            <v>BDB-000175</v>
          </cell>
          <cell r="F506" t="str">
            <v>PVN-003018</v>
          </cell>
          <cell r="G506" t="str">
            <v>OrthoLite Ultra-Hybrid-Nike SEEDPEARL/12-0703TPX Hybrid Flat Sheet 0.085D 25+/-4 Asker C 1.1M 2M 2mm</v>
          </cell>
          <cell r="H506">
            <v>70</v>
          </cell>
          <cell r="I506">
            <v>70</v>
          </cell>
          <cell r="J506">
            <v>70</v>
          </cell>
          <cell r="K506">
            <v>0</v>
          </cell>
          <cell r="L506" t="str">
            <v>NIKE</v>
          </cell>
          <cell r="M506" t="str">
            <v>Pr.Sch.R</v>
          </cell>
          <cell r="N506" t="str">
            <v>DIE CUT</v>
          </cell>
          <cell r="O506">
            <v>1</v>
          </cell>
          <cell r="P506">
            <v>46064</v>
          </cell>
          <cell r="Q506">
            <v>46095</v>
          </cell>
          <cell r="R506">
            <v>46092</v>
          </cell>
          <cell r="S506">
            <v>31</v>
          </cell>
          <cell r="T506">
            <v>2</v>
          </cell>
          <cell r="U506">
            <v>70</v>
          </cell>
          <cell r="V506">
            <v>2</v>
          </cell>
          <cell r="W506" t="str">
            <v>0.085D</v>
          </cell>
          <cell r="X506" t="str">
            <v>3-2026</v>
          </cell>
          <cell r="Y506" t="str">
            <v>Week 11</v>
          </cell>
          <cell r="Z506">
            <v>46090</v>
          </cell>
          <cell r="AA506">
            <v>438</v>
          </cell>
          <cell r="AB506">
            <v>1.4290000000000001E-2</v>
          </cell>
        </row>
        <row r="507">
          <cell r="A507" t="str">
            <v>F-2026-02-272</v>
          </cell>
          <cell r="B507"/>
          <cell r="C507" t="str">
            <v>RPRO-260211-0725</v>
          </cell>
          <cell r="D507" t="str">
            <v>Pro.sche.report 10.2</v>
          </cell>
          <cell r="E507" t="str">
            <v>BDB-000157</v>
          </cell>
          <cell r="F507" t="str">
            <v>PVN-003244</v>
          </cell>
          <cell r="G507" t="str">
            <v>OrthoLite X-35-Hybrid-Nike SEEDPEARL/12-0703TPX Hybrid Flat Sheet 0.145D 25+/-4 Asker C 1.1M 2M 5.2mm</v>
          </cell>
          <cell r="H507">
            <v>1326</v>
          </cell>
          <cell r="I507">
            <v>1326</v>
          </cell>
          <cell r="J507">
            <v>1326</v>
          </cell>
          <cell r="K507">
            <v>0</v>
          </cell>
          <cell r="L507" t="str">
            <v>NIKE</v>
          </cell>
          <cell r="M507" t="str">
            <v>Pr.Sch.R</v>
          </cell>
          <cell r="N507" t="str">
            <v>MOLDED</v>
          </cell>
          <cell r="O507">
            <v>1</v>
          </cell>
          <cell r="P507">
            <v>46064</v>
          </cell>
          <cell r="Q507">
            <v>46097</v>
          </cell>
          <cell r="R507">
            <v>46094</v>
          </cell>
          <cell r="S507">
            <v>33</v>
          </cell>
          <cell r="T507">
            <v>5.2</v>
          </cell>
          <cell r="U507">
            <v>26</v>
          </cell>
          <cell r="V507">
            <v>51</v>
          </cell>
          <cell r="W507" t="str">
            <v>0.145D</v>
          </cell>
          <cell r="X507" t="str">
            <v>3-2026</v>
          </cell>
          <cell r="Y507" t="str">
            <v>Week 11</v>
          </cell>
          <cell r="Z507">
            <v>46090</v>
          </cell>
          <cell r="AA507">
            <v>438</v>
          </cell>
          <cell r="AB507">
            <v>3.8460000000000001E-2</v>
          </cell>
        </row>
        <row r="508">
          <cell r="A508" t="str">
            <v>F-2026-02-273</v>
          </cell>
          <cell r="B508"/>
          <cell r="C508" t="str">
            <v>RPRO-260211-0726</v>
          </cell>
          <cell r="D508" t="str">
            <v>Pro.sche.report 10.2</v>
          </cell>
          <cell r="E508" t="str">
            <v>BDB-000156</v>
          </cell>
          <cell r="F508" t="str">
            <v>PVN-003243</v>
          </cell>
          <cell r="G508" t="str">
            <v>OrthoLite X-35-Hybrid-Nike AMAZON/18-6024TPX Hybrid Flat Sheet 0.145D 25+/-4 Asker C 1.1M 2M 5.2mm</v>
          </cell>
          <cell r="H508">
            <v>1456</v>
          </cell>
          <cell r="I508">
            <v>1456</v>
          </cell>
          <cell r="J508">
            <v>1456</v>
          </cell>
          <cell r="K508">
            <v>0</v>
          </cell>
          <cell r="L508" t="str">
            <v>NIKE</v>
          </cell>
          <cell r="M508" t="str">
            <v>Pr.Sch.R</v>
          </cell>
          <cell r="N508" t="str">
            <v>MOLDED</v>
          </cell>
          <cell r="O508">
            <v>1</v>
          </cell>
          <cell r="P508">
            <v>46064</v>
          </cell>
          <cell r="Q508">
            <v>46097</v>
          </cell>
          <cell r="R508">
            <v>46094</v>
          </cell>
          <cell r="S508">
            <v>33</v>
          </cell>
          <cell r="T508">
            <v>5.2</v>
          </cell>
          <cell r="U508">
            <v>26</v>
          </cell>
          <cell r="V508">
            <v>56</v>
          </cell>
          <cell r="W508" t="str">
            <v>0.145D</v>
          </cell>
          <cell r="X508" t="str">
            <v>3-2026</v>
          </cell>
          <cell r="Y508" t="str">
            <v>Week 11</v>
          </cell>
          <cell r="Z508">
            <v>46090</v>
          </cell>
          <cell r="AA508">
            <v>438</v>
          </cell>
          <cell r="AB508">
            <v>3.8460000000000001E-2</v>
          </cell>
        </row>
        <row r="509">
          <cell r="A509" t="str">
            <v>F-2026-02-274</v>
          </cell>
          <cell r="B509"/>
          <cell r="C509" t="str">
            <v>RPRO-260211-0727</v>
          </cell>
          <cell r="D509" t="str">
            <v>Pro.sche.report 10.2</v>
          </cell>
          <cell r="E509" t="str">
            <v>BDB-000145</v>
          </cell>
          <cell r="F509" t="str">
            <v>PVN-002811</v>
          </cell>
          <cell r="G509" t="str">
            <v>OrthoLite Regular-Hybrid-Nike YELLOW/13-0858TPX Hybrid Flat Sheet 0.11D 25+/-4 Asker C 1.1M 1.7M 2mm</v>
          </cell>
          <cell r="H509">
            <v>560</v>
          </cell>
          <cell r="I509">
            <v>560</v>
          </cell>
          <cell r="J509">
            <v>560</v>
          </cell>
          <cell r="K509">
            <v>0</v>
          </cell>
          <cell r="L509" t="str">
            <v>NIKE</v>
          </cell>
          <cell r="M509" t="str">
            <v>Pr.Sch.R</v>
          </cell>
          <cell r="N509" t="str">
            <v>DIE CUT</v>
          </cell>
          <cell r="O509">
            <v>1</v>
          </cell>
          <cell r="P509">
            <v>46064</v>
          </cell>
          <cell r="Q509">
            <v>46093</v>
          </cell>
          <cell r="R509">
            <v>46090</v>
          </cell>
          <cell r="S509">
            <v>29</v>
          </cell>
          <cell r="T509">
            <v>2</v>
          </cell>
          <cell r="U509">
            <v>70</v>
          </cell>
          <cell r="V509">
            <v>9</v>
          </cell>
          <cell r="W509" t="str">
            <v>0.11D</v>
          </cell>
          <cell r="X509" t="str">
            <v>3-2026</v>
          </cell>
          <cell r="Y509" t="str">
            <v>Week 10</v>
          </cell>
          <cell r="Z509">
            <v>46083</v>
          </cell>
          <cell r="AA509">
            <v>438</v>
          </cell>
          <cell r="AB509">
            <v>1.4290000000000001E-2</v>
          </cell>
        </row>
        <row r="510">
          <cell r="A510" t="str">
            <v>F-2026-02-275</v>
          </cell>
          <cell r="B510"/>
          <cell r="C510" t="str">
            <v>RPRO-260211-0728</v>
          </cell>
          <cell r="D510" t="str">
            <v>Pro.sche.report 10.2</v>
          </cell>
          <cell r="E510" t="str">
            <v>BDB-000149</v>
          </cell>
          <cell r="F510" t="str">
            <v>PVN-002827</v>
          </cell>
          <cell r="G510" t="str">
            <v>OrthoLite Regular-Hybrid-Nike SEEDPEARL/12-0703TPX Hybrid Flat Sheet 0.11D 25+/-4 Asker C 1.1M 2M 5mm</v>
          </cell>
          <cell r="H510">
            <v>224</v>
          </cell>
          <cell r="I510">
            <v>224</v>
          </cell>
          <cell r="J510">
            <v>224</v>
          </cell>
          <cell r="K510">
            <v>0</v>
          </cell>
          <cell r="L510" t="str">
            <v>NIKE</v>
          </cell>
          <cell r="M510" t="str">
            <v>Pr.Sch.R</v>
          </cell>
          <cell r="N510" t="str">
            <v>MOLDED</v>
          </cell>
          <cell r="O510">
            <v>1</v>
          </cell>
          <cell r="P510">
            <v>46064</v>
          </cell>
          <cell r="Q510">
            <v>46086</v>
          </cell>
          <cell r="R510">
            <v>46083</v>
          </cell>
          <cell r="S510">
            <v>22</v>
          </cell>
          <cell r="T510">
            <v>5</v>
          </cell>
          <cell r="U510">
            <v>28</v>
          </cell>
          <cell r="V510">
            <v>8</v>
          </cell>
          <cell r="W510" t="str">
            <v>0.11D</v>
          </cell>
          <cell r="X510" t="str">
            <v>3-2026</v>
          </cell>
          <cell r="Y510" t="str">
            <v>Week 9</v>
          </cell>
          <cell r="Z510">
            <v>46076</v>
          </cell>
          <cell r="AA510">
            <v>429</v>
          </cell>
          <cell r="AB510">
            <v>3.5709999999999999E-2</v>
          </cell>
        </row>
        <row r="511">
          <cell r="A511" t="str">
            <v>F-2026-02-277</v>
          </cell>
          <cell r="B511"/>
          <cell r="C511" t="str">
            <v>RPRO-260211-0730</v>
          </cell>
          <cell r="D511" t="str">
            <v>Pro.sche.report 10.2</v>
          </cell>
          <cell r="E511" t="str">
            <v>BDB-000057</v>
          </cell>
          <cell r="F511" t="str">
            <v>PVN-000925</v>
          </cell>
          <cell r="G511" t="str">
            <v>OrthoLite Ultra YELLOW/13-0858TPX Flat Sheet 0.085D 25+/-4 Asker C 1.1M 2M 5mm (OIN-RM)</v>
          </cell>
          <cell r="H511">
            <v>142</v>
          </cell>
          <cell r="I511">
            <v>142</v>
          </cell>
          <cell r="J511">
            <v>142</v>
          </cell>
          <cell r="K511">
            <v>0</v>
          </cell>
          <cell r="L511" t="str">
            <v>ASICS</v>
          </cell>
          <cell r="M511" t="str">
            <v>Pr.Sch.R</v>
          </cell>
          <cell r="N511" t="str">
            <v>LAMINATING</v>
          </cell>
          <cell r="O511">
            <v>1</v>
          </cell>
          <cell r="P511">
            <v>46064</v>
          </cell>
          <cell r="Q511">
            <v>46093</v>
          </cell>
          <cell r="R511">
            <v>46090</v>
          </cell>
          <cell r="S511">
            <v>29</v>
          </cell>
          <cell r="T511">
            <v>5</v>
          </cell>
          <cell r="U511">
            <v>28</v>
          </cell>
          <cell r="V511">
            <v>6</v>
          </cell>
          <cell r="W511" t="str">
            <v>0.085D</v>
          </cell>
          <cell r="X511" t="str">
            <v>3-2026</v>
          </cell>
          <cell r="Y511" t="str">
            <v>Week 10</v>
          </cell>
          <cell r="Z511">
            <v>46083</v>
          </cell>
          <cell r="AA511">
            <v>429</v>
          </cell>
          <cell r="AB511">
            <v>3.5709999999999999E-2</v>
          </cell>
        </row>
        <row r="512">
          <cell r="A512" t="str">
            <v>F-2026-02-278</v>
          </cell>
          <cell r="B512"/>
          <cell r="C512" t="str">
            <v>RPRO-260211-0731-KHO SLT</v>
          </cell>
          <cell r="D512" t="str">
            <v>Pro.sche.report 10.2</v>
          </cell>
          <cell r="E512" t="str">
            <v>BDB-000180</v>
          </cell>
          <cell r="F512" t="str">
            <v>PVN-003236</v>
          </cell>
          <cell r="G512" t="str">
            <v>OrthoLite Eco LT-Hybrid-Converse SEEDPEARL/12-0703TPX Hybrid Flat Sheet 0.13D 25+/-4 Asker C 1.1M 2M 5mm</v>
          </cell>
          <cell r="H512">
            <v>224</v>
          </cell>
          <cell r="I512">
            <v>224</v>
          </cell>
          <cell r="J512">
            <v>224</v>
          </cell>
          <cell r="K512">
            <v>0</v>
          </cell>
          <cell r="L512" t="str">
            <v>CONVERSE</v>
          </cell>
          <cell r="M512" t="str">
            <v>Pr.Sch.R</v>
          </cell>
          <cell r="N512" t="str">
            <v>DIE CUT</v>
          </cell>
          <cell r="O512">
            <v>1</v>
          </cell>
          <cell r="P512">
            <v>46064</v>
          </cell>
          <cell r="Q512">
            <v>46093</v>
          </cell>
          <cell r="R512">
            <v>46090</v>
          </cell>
          <cell r="S512">
            <v>29</v>
          </cell>
          <cell r="T512">
            <v>5</v>
          </cell>
          <cell r="U512">
            <v>28</v>
          </cell>
          <cell r="V512">
            <v>8</v>
          </cell>
          <cell r="W512" t="str">
            <v>0.13D</v>
          </cell>
          <cell r="X512" t="str">
            <v>3-2026</v>
          </cell>
          <cell r="Y512" t="str">
            <v>Week 10</v>
          </cell>
          <cell r="Z512">
            <v>46083</v>
          </cell>
          <cell r="AA512">
            <v>429</v>
          </cell>
          <cell r="AB512">
            <v>3.5709999999999999E-2</v>
          </cell>
        </row>
        <row r="513">
          <cell r="A513" t="str">
            <v>F-2026-02-279</v>
          </cell>
          <cell r="B513"/>
          <cell r="C513" t="str">
            <v>RPRO-260211-0732</v>
          </cell>
          <cell r="D513" t="str">
            <v>Pro.sche.report 10.2</v>
          </cell>
          <cell r="E513" t="str">
            <v>BDB-000180</v>
          </cell>
          <cell r="F513" t="str">
            <v>PVN-003236</v>
          </cell>
          <cell r="G513" t="str">
            <v>OrthoLite Eco LT-Hybrid-Converse SEEDPEARL/12-0703TPX Hybrid Flat Sheet 0.13D 25+/-4 Asker C 1.1M 2M 5mm</v>
          </cell>
          <cell r="H513">
            <v>812</v>
          </cell>
          <cell r="I513">
            <v>812</v>
          </cell>
          <cell r="J513">
            <v>812</v>
          </cell>
          <cell r="K513">
            <v>0</v>
          </cell>
          <cell r="L513" t="str">
            <v>CONVERSE</v>
          </cell>
          <cell r="M513" t="str">
            <v>Pr.Sch.R</v>
          </cell>
          <cell r="N513" t="str">
            <v>DIE CUT</v>
          </cell>
          <cell r="O513">
            <v>1</v>
          </cell>
          <cell r="P513">
            <v>46064</v>
          </cell>
          <cell r="Q513">
            <v>46092</v>
          </cell>
          <cell r="R513">
            <v>46089</v>
          </cell>
          <cell r="S513">
            <v>28</v>
          </cell>
          <cell r="T513">
            <v>5</v>
          </cell>
          <cell r="U513">
            <v>28</v>
          </cell>
          <cell r="V513">
            <v>29</v>
          </cell>
          <cell r="W513" t="str">
            <v>0.13D</v>
          </cell>
          <cell r="X513" t="str">
            <v>3-2026</v>
          </cell>
          <cell r="Y513" t="str">
            <v>Week 10</v>
          </cell>
          <cell r="Z513">
            <v>46083</v>
          </cell>
          <cell r="AA513">
            <v>429</v>
          </cell>
          <cell r="AB513">
            <v>3.5709999999999999E-2</v>
          </cell>
        </row>
        <row r="514">
          <cell r="A514" t="str">
            <v>F-2026-02-280</v>
          </cell>
          <cell r="B514"/>
          <cell r="C514" t="str">
            <v>RPRO-260211-0733</v>
          </cell>
          <cell r="D514" t="str">
            <v>Pro.sche.report 10.2</v>
          </cell>
          <cell r="E514" t="str">
            <v>BDB-000181</v>
          </cell>
          <cell r="F514" t="str">
            <v>PVN-003238</v>
          </cell>
          <cell r="G514" t="str">
            <v>OrthoLite Eco LT-Hybrid-Converse SEEDPEARL/12-0703TPX Hybrid Flat Sheet 0.11D 25+/-4 Asker C 1.1M 2M 5mm</v>
          </cell>
          <cell r="H514">
            <v>196</v>
          </cell>
          <cell r="I514">
            <v>196</v>
          </cell>
          <cell r="J514">
            <v>196</v>
          </cell>
          <cell r="K514">
            <v>0</v>
          </cell>
          <cell r="L514" t="str">
            <v>CONVERSE</v>
          </cell>
          <cell r="M514" t="str">
            <v>Pr.Sch.R</v>
          </cell>
          <cell r="N514" t="str">
            <v>DIE CUT</v>
          </cell>
          <cell r="O514">
            <v>1</v>
          </cell>
          <cell r="P514">
            <v>46064</v>
          </cell>
          <cell r="Q514">
            <v>46097</v>
          </cell>
          <cell r="R514">
            <v>46094</v>
          </cell>
          <cell r="S514">
            <v>33</v>
          </cell>
          <cell r="T514">
            <v>5</v>
          </cell>
          <cell r="U514">
            <v>28</v>
          </cell>
          <cell r="V514">
            <v>7</v>
          </cell>
          <cell r="W514" t="str">
            <v>0.11D</v>
          </cell>
          <cell r="X514" t="str">
            <v>3-2026</v>
          </cell>
          <cell r="Y514" t="str">
            <v>Week 11</v>
          </cell>
          <cell r="Z514">
            <v>46090</v>
          </cell>
          <cell r="AA514">
            <v>429</v>
          </cell>
          <cell r="AB514">
            <v>3.5709999999999999E-2</v>
          </cell>
        </row>
        <row r="515">
          <cell r="A515" t="str">
            <v>F-2026-02-281</v>
          </cell>
          <cell r="B515"/>
          <cell r="C515" t="str">
            <v>FPRO-260212-0032</v>
          </cell>
          <cell r="D515" t="str">
            <v>Firm plan 12.02</v>
          </cell>
          <cell r="E515" t="str">
            <v>BDB-000162</v>
          </cell>
          <cell r="F515" t="str">
            <v>PVN-001566</v>
          </cell>
          <cell r="G515" t="str">
            <v>OrthoLite Ultra-Nike SEEDPEARL/12-0703TPX 0.085D 25+/-4 Asker C 1.1M 2M 4mm</v>
          </cell>
          <cell r="H515">
            <v>3000</v>
          </cell>
          <cell r="I515">
            <v>3000</v>
          </cell>
          <cell r="J515">
            <v>3000</v>
          </cell>
          <cell r="K515">
            <v>0</v>
          </cell>
          <cell r="L515" t="str">
            <v>NIKE</v>
          </cell>
          <cell r="M515" t="str">
            <v>Forecast</v>
          </cell>
          <cell r="N515" t="str">
            <v>DIE CUT</v>
          </cell>
          <cell r="O515">
            <v>1</v>
          </cell>
          <cell r="P515">
            <v>46065</v>
          </cell>
          <cell r="Q515">
            <v>46101</v>
          </cell>
          <cell r="R515">
            <v>46098</v>
          </cell>
          <cell r="S515">
            <v>36</v>
          </cell>
          <cell r="T515">
            <v>4</v>
          </cell>
          <cell r="U515">
            <v>35</v>
          </cell>
          <cell r="V515">
            <v>86</v>
          </cell>
          <cell r="W515" t="str">
            <v>0.085D</v>
          </cell>
          <cell r="X515" t="str">
            <v>3-2026</v>
          </cell>
          <cell r="Y515" t="str">
            <v>Week 12</v>
          </cell>
          <cell r="Z515">
            <v>46097</v>
          </cell>
          <cell r="AA515">
            <v>429</v>
          </cell>
          <cell r="AB515">
            <v>2.8570000000000002E-2</v>
          </cell>
        </row>
        <row r="516">
          <cell r="A516" t="str">
            <v>F-2026-02-282</v>
          </cell>
          <cell r="B516"/>
          <cell r="C516" t="str">
            <v>FPRO-260212-0033</v>
          </cell>
          <cell r="D516" t="str">
            <v>Firm plan 12.02</v>
          </cell>
          <cell r="E516" t="str">
            <v>BDB-000162</v>
          </cell>
          <cell r="F516" t="str">
            <v>PVN-001566</v>
          </cell>
          <cell r="G516" t="str">
            <v>OrthoLite Ultra-Nike SEEDPEARL/12-0703TPX 0.085D 25+/-4 Asker C 1.1M 2M 4mm</v>
          </cell>
          <cell r="H516">
            <v>3000</v>
          </cell>
          <cell r="I516">
            <v>3000</v>
          </cell>
          <cell r="J516">
            <v>3000</v>
          </cell>
          <cell r="K516">
            <v>0</v>
          </cell>
          <cell r="L516" t="str">
            <v>NIKE</v>
          </cell>
          <cell r="M516" t="str">
            <v>Forecast</v>
          </cell>
          <cell r="N516" t="str">
            <v>DIE CUT</v>
          </cell>
          <cell r="O516">
            <v>1</v>
          </cell>
          <cell r="P516">
            <v>46065</v>
          </cell>
          <cell r="Q516">
            <v>46107</v>
          </cell>
          <cell r="R516">
            <v>46104</v>
          </cell>
          <cell r="S516">
            <v>42</v>
          </cell>
          <cell r="T516">
            <v>4</v>
          </cell>
          <cell r="U516">
            <v>35</v>
          </cell>
          <cell r="V516">
            <v>86</v>
          </cell>
          <cell r="W516" t="str">
            <v>0.085D</v>
          </cell>
          <cell r="X516" t="str">
            <v>3-2026</v>
          </cell>
          <cell r="Y516" t="str">
            <v>Week 12</v>
          </cell>
          <cell r="Z516">
            <v>46097</v>
          </cell>
          <cell r="AA516">
            <v>429</v>
          </cell>
          <cell r="AB516">
            <v>2.8570000000000002E-2</v>
          </cell>
        </row>
        <row r="517">
          <cell r="A517" t="str">
            <v>F-2026-02-283</v>
          </cell>
          <cell r="B517"/>
          <cell r="C517" t="str">
            <v>FPRO-260212-0034</v>
          </cell>
          <cell r="D517" t="str">
            <v>Firm plan 12.02</v>
          </cell>
          <cell r="E517" t="str">
            <v>BDB-000162</v>
          </cell>
          <cell r="F517" t="str">
            <v>PVN-001566</v>
          </cell>
          <cell r="G517" t="str">
            <v>OrthoLite Ultra-Nike SEEDPEARL/12-0703TPX 0.085D 25+/-4 Asker C 1.1M 2M 4mm</v>
          </cell>
          <cell r="H517">
            <v>3000</v>
          </cell>
          <cell r="I517">
            <v>3000</v>
          </cell>
          <cell r="J517">
            <v>3000</v>
          </cell>
          <cell r="K517">
            <v>0</v>
          </cell>
          <cell r="L517" t="str">
            <v>NIKE</v>
          </cell>
          <cell r="M517" t="str">
            <v>Forecast</v>
          </cell>
          <cell r="N517" t="str">
            <v>DIE CUT</v>
          </cell>
          <cell r="O517">
            <v>1</v>
          </cell>
          <cell r="P517">
            <v>46065</v>
          </cell>
          <cell r="Q517">
            <v>46107</v>
          </cell>
          <cell r="R517">
            <v>46104</v>
          </cell>
          <cell r="S517">
            <v>42</v>
          </cell>
          <cell r="T517">
            <v>4</v>
          </cell>
          <cell r="U517">
            <v>35</v>
          </cell>
          <cell r="V517">
            <v>86</v>
          </cell>
          <cell r="W517" t="str">
            <v>0.085D</v>
          </cell>
          <cell r="X517" t="str">
            <v>3-2026</v>
          </cell>
          <cell r="Y517" t="str">
            <v>Week 12</v>
          </cell>
          <cell r="Z517">
            <v>46097</v>
          </cell>
          <cell r="AA517">
            <v>429</v>
          </cell>
          <cell r="AB517">
            <v>2.8570000000000002E-2</v>
          </cell>
        </row>
        <row r="518">
          <cell r="A518" t="str">
            <v>F-2026-02-284-1</v>
          </cell>
          <cell r="B518"/>
          <cell r="C518" t="str">
            <v>FPRO-260212-0035 1189PCS+ FPRO-260331-0001 411PCS</v>
          </cell>
          <cell r="D518" t="str">
            <v>Firm plan 12.02</v>
          </cell>
          <cell r="E518" t="str">
            <v>BDB-000162</v>
          </cell>
          <cell r="F518" t="str">
            <v>PVN-001566</v>
          </cell>
          <cell r="G518" t="str">
            <v>OrthoLite Ultra-Nike SEEDPEARL/12-0703TPX 0.085D 25+/-4 Asker C 1.1M 2M 4mm</v>
          </cell>
          <cell r="H518">
            <v>1600</v>
          </cell>
          <cell r="I518">
            <v>1600</v>
          </cell>
          <cell r="J518">
            <v>1189</v>
          </cell>
          <cell r="K518">
            <v>411</v>
          </cell>
          <cell r="L518" t="str">
            <v>NIKE</v>
          </cell>
          <cell r="M518" t="str">
            <v>Forecast</v>
          </cell>
          <cell r="N518" t="str">
            <v>DIE CUT</v>
          </cell>
          <cell r="O518" t="str">
            <v>1-SLT Dummy</v>
          </cell>
          <cell r="P518">
            <v>46065</v>
          </cell>
          <cell r="Q518">
            <v>46113</v>
          </cell>
          <cell r="R518">
            <v>46110</v>
          </cell>
          <cell r="S518">
            <v>48</v>
          </cell>
          <cell r="T518">
            <v>4</v>
          </cell>
          <cell r="U518">
            <v>35</v>
          </cell>
          <cell r="V518">
            <v>46</v>
          </cell>
          <cell r="W518" t="str">
            <v>0.085D</v>
          </cell>
          <cell r="X518" t="str">
            <v>4-2026</v>
          </cell>
          <cell r="Y518" t="str">
            <v>Week 13</v>
          </cell>
          <cell r="Z518">
            <v>46104</v>
          </cell>
          <cell r="AA518">
            <v>429</v>
          </cell>
          <cell r="AB518">
            <v>2.8570000000000002E-2</v>
          </cell>
        </row>
        <row r="519">
          <cell r="A519" t="str">
            <v>F-2026-02-284-2</v>
          </cell>
          <cell r="B519"/>
          <cell r="C519" t="str">
            <v>FPRO-260327-0008</v>
          </cell>
          <cell r="D519" t="str">
            <v>Firm plan 12.02</v>
          </cell>
          <cell r="E519" t="str">
            <v>BDB-000162</v>
          </cell>
          <cell r="F519" t="str">
            <v>PVN-001566</v>
          </cell>
          <cell r="G519" t="str">
            <v>OrthoLite Ultra-Nike SEEDPEARL/12-0703TPX 0.085D 25+/-4 Asker C 1.1M 2M 4mm</v>
          </cell>
          <cell r="H519">
            <v>1000</v>
          </cell>
          <cell r="I519">
            <v>1000</v>
          </cell>
          <cell r="J519">
            <v>0</v>
          </cell>
          <cell r="K519">
            <v>1000</v>
          </cell>
          <cell r="L519" t="str">
            <v>NIKE</v>
          </cell>
          <cell r="M519" t="str">
            <v>Forecast</v>
          </cell>
          <cell r="N519" t="str">
            <v>DIE CUT</v>
          </cell>
          <cell r="O519" t="str">
            <v>1-SLT Dummy</v>
          </cell>
          <cell r="P519">
            <v>46065</v>
          </cell>
          <cell r="Q519">
            <v>46123</v>
          </cell>
          <cell r="R519">
            <v>46120</v>
          </cell>
          <cell r="S519">
            <v>58</v>
          </cell>
          <cell r="T519">
            <v>4</v>
          </cell>
          <cell r="U519">
            <v>35</v>
          </cell>
          <cell r="V519">
            <v>29</v>
          </cell>
          <cell r="W519" t="str">
            <v>0.085D</v>
          </cell>
          <cell r="X519" t="str">
            <v>4-2026</v>
          </cell>
          <cell r="Y519" t="str">
            <v>Week 14</v>
          </cell>
          <cell r="Z519">
            <v>46111</v>
          </cell>
          <cell r="AA519">
            <v>429</v>
          </cell>
          <cell r="AB519">
            <v>2.8570000000000002E-2</v>
          </cell>
        </row>
        <row r="520">
          <cell r="A520" t="str">
            <v>F-2026-02-285-1-1</v>
          </cell>
          <cell r="B520"/>
          <cell r="C520" t="str">
            <v>FPRO-260212-0036</v>
          </cell>
          <cell r="D520" t="str">
            <v>Firm plan 12.02</v>
          </cell>
          <cell r="E520" t="str">
            <v>BDB-000160</v>
          </cell>
          <cell r="F520" t="str">
            <v>PVN-001562</v>
          </cell>
          <cell r="G520" t="str">
            <v>OrthoLite Ultra-Nike LIME GREEN/14-0452TPX 0.085D 25+/-4 Asker C 1.1M 2M 4mm</v>
          </cell>
          <cell r="H520">
            <v>500</v>
          </cell>
          <cell r="I520">
            <v>500</v>
          </cell>
          <cell r="J520">
            <v>0</v>
          </cell>
          <cell r="K520">
            <v>500</v>
          </cell>
          <cell r="L520" t="str">
            <v>NIKE</v>
          </cell>
          <cell r="M520" t="str">
            <v>Forecast</v>
          </cell>
          <cell r="N520" t="str">
            <v>DIE CUT</v>
          </cell>
          <cell r="O520" t="str">
            <v>1-SLT</v>
          </cell>
          <cell r="P520">
            <v>46065</v>
          </cell>
          <cell r="Q520">
            <v>46182</v>
          </cell>
          <cell r="R520">
            <v>46179</v>
          </cell>
          <cell r="S520">
            <v>117</v>
          </cell>
          <cell r="T520">
            <v>4</v>
          </cell>
          <cell r="U520">
            <v>35</v>
          </cell>
          <cell r="V520">
            <v>15</v>
          </cell>
          <cell r="W520" t="str">
            <v>0.085D</v>
          </cell>
          <cell r="X520" t="str">
            <v>6-2026</v>
          </cell>
          <cell r="Y520" t="str">
            <v>Week 23</v>
          </cell>
          <cell r="Z520">
            <v>46174</v>
          </cell>
          <cell r="AA520">
            <v>429</v>
          </cell>
          <cell r="AB520">
            <v>2.8570000000000002E-2</v>
          </cell>
        </row>
        <row r="521">
          <cell r="A521" t="str">
            <v>F-2026-02-285-1-2</v>
          </cell>
          <cell r="B521"/>
          <cell r="C521" t="str">
            <v>FPRO-260507-0002</v>
          </cell>
          <cell r="D521" t="str">
            <v>Firm plan 12.02</v>
          </cell>
          <cell r="E521" t="str">
            <v>BDB-000160</v>
          </cell>
          <cell r="F521" t="str">
            <v>PVN-001562</v>
          </cell>
          <cell r="G521" t="str">
            <v>OrthoLite Ultra-Nike LIME GREEN/14-0452TPX 0.085D 25+/-4 Asker C 1.1M 2M 4mm</v>
          </cell>
          <cell r="H521">
            <v>500</v>
          </cell>
          <cell r="I521">
            <v>500</v>
          </cell>
          <cell r="J521">
            <v>0</v>
          </cell>
          <cell r="K521">
            <v>500</v>
          </cell>
          <cell r="L521" t="str">
            <v>NIKE</v>
          </cell>
          <cell r="M521" t="str">
            <v>Forecast</v>
          </cell>
          <cell r="N521" t="str">
            <v>DIE CUT</v>
          </cell>
          <cell r="O521" t="str">
            <v>1-SLT</v>
          </cell>
          <cell r="P521">
            <v>46065</v>
          </cell>
          <cell r="Q521">
            <v>46189</v>
          </cell>
          <cell r="R521">
            <v>46186</v>
          </cell>
          <cell r="S521">
            <v>124</v>
          </cell>
          <cell r="T521">
            <v>4</v>
          </cell>
          <cell r="U521">
            <v>35</v>
          </cell>
          <cell r="V521">
            <v>15</v>
          </cell>
          <cell r="W521" t="str">
            <v>0.085D</v>
          </cell>
          <cell r="X521" t="str">
            <v>6-2026</v>
          </cell>
          <cell r="Y521" t="str">
            <v>Week 24</v>
          </cell>
          <cell r="Z521">
            <v>46181</v>
          </cell>
          <cell r="AA521">
            <v>429</v>
          </cell>
          <cell r="AB521">
            <v>2.8570000000000002E-2</v>
          </cell>
        </row>
        <row r="522">
          <cell r="A522" t="str">
            <v>F-2026-02-285-1-3</v>
          </cell>
          <cell r="B522"/>
          <cell r="C522" t="str">
            <v>FPRO-260507-0003</v>
          </cell>
          <cell r="D522" t="str">
            <v>Firm plan 12.02</v>
          </cell>
          <cell r="E522" t="str">
            <v>BDB-000160</v>
          </cell>
          <cell r="F522" t="str">
            <v>PVN-001562</v>
          </cell>
          <cell r="G522" t="str">
            <v>OrthoLite Ultra-Nike LIME GREEN/14-0452TPX 0.085D 25+/-4 Asker C 1.1M 2M 4mm</v>
          </cell>
          <cell r="H522">
            <v>750</v>
          </cell>
          <cell r="I522">
            <v>750</v>
          </cell>
          <cell r="J522">
            <v>0</v>
          </cell>
          <cell r="K522">
            <v>750</v>
          </cell>
          <cell r="L522" t="str">
            <v>NIKE</v>
          </cell>
          <cell r="M522" t="str">
            <v>Forecast</v>
          </cell>
          <cell r="N522" t="str">
            <v>DIE CUT</v>
          </cell>
          <cell r="O522" t="str">
            <v>1-SLT</v>
          </cell>
          <cell r="P522">
            <v>46065</v>
          </cell>
          <cell r="Q522">
            <v>46196</v>
          </cell>
          <cell r="R522">
            <v>46193</v>
          </cell>
          <cell r="S522">
            <v>131</v>
          </cell>
          <cell r="T522">
            <v>4</v>
          </cell>
          <cell r="U522">
            <v>35</v>
          </cell>
          <cell r="V522">
            <v>22</v>
          </cell>
          <cell r="W522" t="str">
            <v>0.085D</v>
          </cell>
          <cell r="X522" t="str">
            <v>6-2026</v>
          </cell>
          <cell r="Y522" t="str">
            <v>Week 24</v>
          </cell>
          <cell r="Z522">
            <v>46181</v>
          </cell>
          <cell r="AA522">
            <v>429</v>
          </cell>
          <cell r="AB522">
            <v>2.8570000000000002E-2</v>
          </cell>
        </row>
        <row r="523">
          <cell r="A523" t="str">
            <v>F-2026-02-285-2</v>
          </cell>
          <cell r="B523"/>
          <cell r="C523" t="str">
            <v>FPRO-260420-0002</v>
          </cell>
          <cell r="D523" t="str">
            <v>Firm plan 12.02</v>
          </cell>
          <cell r="E523" t="str">
            <v>BDB-000160</v>
          </cell>
          <cell r="F523" t="str">
            <v>PVN-001562</v>
          </cell>
          <cell r="G523" t="str">
            <v>OrthoLite Ultra-Nike LIME GREEN/14-0452TPX 0.085D 25+/-4 Asker C 1.1M 2M 4mm</v>
          </cell>
          <cell r="H523">
            <v>1000</v>
          </cell>
          <cell r="I523">
            <v>1000</v>
          </cell>
          <cell r="J523">
            <v>0</v>
          </cell>
          <cell r="K523">
            <v>1000</v>
          </cell>
          <cell r="L523" t="str">
            <v>NIKE</v>
          </cell>
          <cell r="M523" t="str">
            <v>Forecast</v>
          </cell>
          <cell r="N523" t="str">
            <v>DIE CUT</v>
          </cell>
          <cell r="O523">
            <v>1</v>
          </cell>
          <cell r="P523">
            <v>46065</v>
          </cell>
          <cell r="Q523">
            <v>46174</v>
          </cell>
          <cell r="R523">
            <v>46171</v>
          </cell>
          <cell r="S523">
            <v>109</v>
          </cell>
          <cell r="T523">
            <v>4</v>
          </cell>
          <cell r="U523">
            <v>35</v>
          </cell>
          <cell r="V523">
            <v>29</v>
          </cell>
          <cell r="W523" t="str">
            <v>0.085D</v>
          </cell>
          <cell r="X523" t="str">
            <v>6-2026</v>
          </cell>
          <cell r="Y523" t="str">
            <v>Week 22</v>
          </cell>
          <cell r="Z523">
            <v>46167</v>
          </cell>
          <cell r="AA523">
            <v>429</v>
          </cell>
          <cell r="AB523">
            <v>2.8570000000000002E-2</v>
          </cell>
        </row>
        <row r="524">
          <cell r="A524" t="str">
            <v>F-2026-02-286</v>
          </cell>
          <cell r="B524"/>
          <cell r="C524" t="str">
            <v>FPRO-260212-0037</v>
          </cell>
          <cell r="D524" t="str">
            <v>Firm plan 12.02</v>
          </cell>
          <cell r="E524" t="str">
            <v>BDB-000175</v>
          </cell>
          <cell r="F524" t="str">
            <v>PVN-002966</v>
          </cell>
          <cell r="G524" t="str">
            <v>OrthoLite Ultra-Hybrid-Nike SEEDPEARL/12-0703TPX Hybrid 0.085D 25+/-4 Asker C 1.1M 2M 4mm</v>
          </cell>
          <cell r="H524">
            <v>3500</v>
          </cell>
          <cell r="I524">
            <v>3500</v>
          </cell>
          <cell r="J524">
            <v>0</v>
          </cell>
          <cell r="K524">
            <v>3500</v>
          </cell>
          <cell r="L524" t="str">
            <v>NIKE</v>
          </cell>
          <cell r="M524" t="str">
            <v>Forecast</v>
          </cell>
          <cell r="N524" t="str">
            <v>DIE CUT</v>
          </cell>
          <cell r="O524">
            <v>1</v>
          </cell>
          <cell r="P524">
            <v>46065</v>
          </cell>
          <cell r="Q524">
            <v>46123</v>
          </cell>
          <cell r="R524">
            <v>46120</v>
          </cell>
          <cell r="S524">
            <v>58</v>
          </cell>
          <cell r="T524">
            <v>4</v>
          </cell>
          <cell r="U524">
            <v>35</v>
          </cell>
          <cell r="V524">
            <v>100</v>
          </cell>
          <cell r="W524" t="str">
            <v>0.085D</v>
          </cell>
          <cell r="X524" t="str">
            <v>4-2026</v>
          </cell>
          <cell r="Y524" t="str">
            <v>Week 14</v>
          </cell>
          <cell r="Z524">
            <v>46111</v>
          </cell>
          <cell r="AA524">
            <v>429</v>
          </cell>
          <cell r="AB524">
            <v>2.8570000000000002E-2</v>
          </cell>
        </row>
        <row r="525">
          <cell r="A525" t="str">
            <v>F-2026-02-287</v>
          </cell>
          <cell r="B525"/>
          <cell r="C525" t="str">
            <v>FPRO-260212-0038</v>
          </cell>
          <cell r="D525" t="str">
            <v>Firm plan 12.02</v>
          </cell>
          <cell r="E525" t="str">
            <v>BDB-000175</v>
          </cell>
          <cell r="F525" t="str">
            <v>PVN-002966</v>
          </cell>
          <cell r="G525" t="str">
            <v>OrthoLite Ultra-Hybrid-Nike SEEDPEARL/12-0703TPX Hybrid 0.085D 25+/-4 Asker C 1.1M 2M 4mm</v>
          </cell>
          <cell r="H525">
            <v>3500</v>
          </cell>
          <cell r="I525">
            <v>3500</v>
          </cell>
          <cell r="J525">
            <v>0</v>
          </cell>
          <cell r="K525">
            <v>3500</v>
          </cell>
          <cell r="L525" t="str">
            <v>NIKE</v>
          </cell>
          <cell r="M525" t="str">
            <v>Forecast</v>
          </cell>
          <cell r="N525" t="str">
            <v>DIE CUT</v>
          </cell>
          <cell r="O525">
            <v>1</v>
          </cell>
          <cell r="P525">
            <v>46065</v>
          </cell>
          <cell r="Q525">
            <v>46148</v>
          </cell>
          <cell r="R525">
            <v>46145</v>
          </cell>
          <cell r="S525">
            <v>83</v>
          </cell>
          <cell r="T525">
            <v>4</v>
          </cell>
          <cell r="U525">
            <v>35</v>
          </cell>
          <cell r="V525">
            <v>100</v>
          </cell>
          <cell r="W525" t="str">
            <v>0.085D</v>
          </cell>
          <cell r="X525" t="str">
            <v>5-2026</v>
          </cell>
          <cell r="Y525" t="str">
            <v>Week 16</v>
          </cell>
          <cell r="Z525">
            <v>46125</v>
          </cell>
          <cell r="AA525">
            <v>429</v>
          </cell>
          <cell r="AB525">
            <v>2.8570000000000002E-2</v>
          </cell>
        </row>
        <row r="526">
          <cell r="A526" t="str">
            <v>F-2026-02-288</v>
          </cell>
          <cell r="B526"/>
          <cell r="C526" t="str">
            <v>FPRO-260212-0039</v>
          </cell>
          <cell r="D526" t="str">
            <v>Firm plan 12.02</v>
          </cell>
          <cell r="E526" t="str">
            <v>BDB-000175</v>
          </cell>
          <cell r="F526" t="str">
            <v>PVN-002966</v>
          </cell>
          <cell r="G526" t="str">
            <v>OrthoLite Ultra-Hybrid-Nike SEEDPEARL/12-0703TPX Hybrid 0.085D 25+/-4 Asker C 1.1M 2M 4mm</v>
          </cell>
          <cell r="H526">
            <v>3500</v>
          </cell>
          <cell r="I526">
            <v>3500</v>
          </cell>
          <cell r="J526">
            <v>0</v>
          </cell>
          <cell r="K526">
            <v>3500</v>
          </cell>
          <cell r="L526" t="str">
            <v>NIKE</v>
          </cell>
          <cell r="M526" t="str">
            <v>Forecast</v>
          </cell>
          <cell r="N526" t="str">
            <v>DIE CUT</v>
          </cell>
          <cell r="O526">
            <v>1</v>
          </cell>
          <cell r="P526">
            <v>46065</v>
          </cell>
          <cell r="Q526">
            <v>46186</v>
          </cell>
          <cell r="R526">
            <v>46183</v>
          </cell>
          <cell r="S526">
            <v>121</v>
          </cell>
          <cell r="T526">
            <v>4</v>
          </cell>
          <cell r="U526">
            <v>35</v>
          </cell>
          <cell r="V526">
            <v>100</v>
          </cell>
          <cell r="W526" t="str">
            <v>0.085D</v>
          </cell>
          <cell r="X526" t="str">
            <v>6-2026</v>
          </cell>
          <cell r="Y526" t="str">
            <v>Week 23</v>
          </cell>
          <cell r="Z526">
            <v>46174</v>
          </cell>
          <cell r="AA526">
            <v>89</v>
          </cell>
          <cell r="AB526">
            <v>2.8570000000000002E-2</v>
          </cell>
        </row>
        <row r="527">
          <cell r="A527" t="str">
            <v>F-2026-02-289</v>
          </cell>
          <cell r="B527"/>
          <cell r="C527" t="str">
            <v>FPRO-260212-0040</v>
          </cell>
          <cell r="D527" t="str">
            <v>Firm plan 12.02</v>
          </cell>
          <cell r="E527" t="str">
            <v>BDB-000175</v>
          </cell>
          <cell r="F527" t="str">
            <v>PVN-002966</v>
          </cell>
          <cell r="G527" t="str">
            <v>OrthoLite Ultra-Hybrid-Nike SEEDPEARL/12-0703TPX Hybrid 0.085D 25+/-4 Asker C 1.1M 2M 4mm</v>
          </cell>
          <cell r="H527">
            <v>2300</v>
          </cell>
          <cell r="I527">
            <v>2300</v>
          </cell>
          <cell r="J527">
            <v>0</v>
          </cell>
          <cell r="K527">
            <v>2300</v>
          </cell>
          <cell r="L527" t="str">
            <v>NIKE</v>
          </cell>
          <cell r="M527" t="str">
            <v>Forecast</v>
          </cell>
          <cell r="N527" t="str">
            <v>DIE CUT</v>
          </cell>
          <cell r="O527">
            <v>1</v>
          </cell>
          <cell r="P527">
            <v>46065</v>
          </cell>
          <cell r="Q527">
            <v>46135</v>
          </cell>
          <cell r="R527">
            <v>46132</v>
          </cell>
          <cell r="S527">
            <v>70</v>
          </cell>
          <cell r="T527">
            <v>4</v>
          </cell>
          <cell r="U527">
            <v>35</v>
          </cell>
          <cell r="V527">
            <v>66</v>
          </cell>
          <cell r="W527" t="str">
            <v>0.085D</v>
          </cell>
          <cell r="X527" t="str">
            <v>4-2026</v>
          </cell>
          <cell r="Y527" t="str">
            <v>Week 16</v>
          </cell>
          <cell r="Z527">
            <v>46125</v>
          </cell>
          <cell r="AA527">
            <v>136</v>
          </cell>
          <cell r="AB527">
            <v>2.8570000000000002E-2</v>
          </cell>
        </row>
        <row r="528">
          <cell r="A528" t="str">
            <v>F-2026-02-290</v>
          </cell>
          <cell r="B528"/>
          <cell r="C528" t="str">
            <v>FPRO-260212-0041</v>
          </cell>
          <cell r="D528" t="str">
            <v>Firm plan 12.02</v>
          </cell>
          <cell r="E528" t="str">
            <v>BDB-000164</v>
          </cell>
          <cell r="F528" t="str">
            <v>PVN-001618</v>
          </cell>
          <cell r="G528" t="str">
            <v>OrthoLite Ultra-Nike GREY/17-1501TPX 0.085D 25+/-4 Asker C 1.1M 2M 4mm</v>
          </cell>
          <cell r="H528">
            <v>500</v>
          </cell>
          <cell r="I528">
            <v>500</v>
          </cell>
          <cell r="J528">
            <v>500</v>
          </cell>
          <cell r="K528">
            <v>0</v>
          </cell>
          <cell r="L528" t="str">
            <v>NIKE</v>
          </cell>
          <cell r="M528" t="str">
            <v>Forecast</v>
          </cell>
          <cell r="N528" t="str">
            <v>DIE CUT</v>
          </cell>
          <cell r="O528">
            <v>1</v>
          </cell>
          <cell r="P528">
            <v>46065</v>
          </cell>
          <cell r="Q528">
            <v>46110</v>
          </cell>
          <cell r="R528">
            <v>46107</v>
          </cell>
          <cell r="S528">
            <v>45</v>
          </cell>
          <cell r="T528">
            <v>4</v>
          </cell>
          <cell r="U528">
            <v>35</v>
          </cell>
          <cell r="V528">
            <v>15</v>
          </cell>
          <cell r="W528" t="str">
            <v>0.085D</v>
          </cell>
          <cell r="X528" t="str">
            <v>3-2026</v>
          </cell>
          <cell r="Y528" t="str">
            <v>Week 13</v>
          </cell>
          <cell r="Z528">
            <v>46104</v>
          </cell>
          <cell r="AA528">
            <v>136</v>
          </cell>
          <cell r="AB528">
            <v>2.8570000000000002E-2</v>
          </cell>
        </row>
        <row r="529">
          <cell r="A529" t="str">
            <v>F-2026-02-291</v>
          </cell>
          <cell r="B529"/>
          <cell r="C529" t="str">
            <v>FPRO-260212-0042</v>
          </cell>
          <cell r="D529" t="str">
            <v>Firm plan 12.02</v>
          </cell>
          <cell r="E529" t="str">
            <v>BDB-000164</v>
          </cell>
          <cell r="F529" t="str">
            <v>PVN-001618</v>
          </cell>
          <cell r="G529" t="str">
            <v>OrthoLite Ultra-Nike GREY/17-1501TPX 0.085D 25+/-4 Asker C 1.1M 2M 4mm</v>
          </cell>
          <cell r="H529">
            <v>500</v>
          </cell>
          <cell r="I529">
            <v>500</v>
          </cell>
          <cell r="J529">
            <v>500</v>
          </cell>
          <cell r="K529">
            <v>0</v>
          </cell>
          <cell r="L529" t="str">
            <v>NIKE</v>
          </cell>
          <cell r="M529" t="str">
            <v>Forecast</v>
          </cell>
          <cell r="N529" t="str">
            <v>DIE CUT</v>
          </cell>
          <cell r="O529">
            <v>1</v>
          </cell>
          <cell r="P529">
            <v>46065</v>
          </cell>
          <cell r="Q529">
            <v>46111</v>
          </cell>
          <cell r="R529">
            <v>46108</v>
          </cell>
          <cell r="S529">
            <v>46</v>
          </cell>
          <cell r="T529">
            <v>4</v>
          </cell>
          <cell r="U529">
            <v>35</v>
          </cell>
          <cell r="V529">
            <v>15</v>
          </cell>
          <cell r="W529" t="str">
            <v>0.085D</v>
          </cell>
          <cell r="X529" t="str">
            <v>3-2026</v>
          </cell>
          <cell r="Y529" t="str">
            <v>Week 13</v>
          </cell>
          <cell r="Z529">
            <v>46104</v>
          </cell>
          <cell r="AA529">
            <v>111</v>
          </cell>
          <cell r="AB529">
            <v>2.8570000000000002E-2</v>
          </cell>
        </row>
        <row r="530">
          <cell r="A530" t="str">
            <v>F-2026-02-292</v>
          </cell>
          <cell r="B530"/>
          <cell r="C530" t="str">
            <v>FPRO-260212-0043</v>
          </cell>
          <cell r="D530" t="str">
            <v>Firm plan 12.02</v>
          </cell>
          <cell r="E530" t="str">
            <v>BDB-000164</v>
          </cell>
          <cell r="F530" t="str">
            <v>PVN-001618</v>
          </cell>
          <cell r="G530" t="str">
            <v>OrthoLite Ultra-Nike GREY/17-1501TPX 0.085D 25+/-4 Asker C 1.1M 2M 4mm</v>
          </cell>
          <cell r="H530">
            <v>500</v>
          </cell>
          <cell r="I530">
            <v>500</v>
          </cell>
          <cell r="J530">
            <v>0</v>
          </cell>
          <cell r="K530">
            <v>500</v>
          </cell>
          <cell r="L530" t="str">
            <v>NIKE</v>
          </cell>
          <cell r="M530" t="str">
            <v>Forecast</v>
          </cell>
          <cell r="N530" t="str">
            <v>DIE CUT</v>
          </cell>
          <cell r="O530">
            <v>1</v>
          </cell>
          <cell r="P530">
            <v>46065</v>
          </cell>
          <cell r="Q530">
            <v>46115</v>
          </cell>
          <cell r="R530">
            <v>46112</v>
          </cell>
          <cell r="S530">
            <v>50</v>
          </cell>
          <cell r="T530">
            <v>4</v>
          </cell>
          <cell r="U530">
            <v>35</v>
          </cell>
          <cell r="V530">
            <v>15</v>
          </cell>
          <cell r="W530" t="str">
            <v>0.085D</v>
          </cell>
          <cell r="X530" t="str">
            <v>4-2026</v>
          </cell>
          <cell r="Y530" t="str">
            <v>Week 14</v>
          </cell>
          <cell r="Z530">
            <v>46111</v>
          </cell>
          <cell r="AA530">
            <v>111</v>
          </cell>
          <cell r="AB530">
            <v>2.8570000000000002E-2</v>
          </cell>
        </row>
        <row r="531">
          <cell r="A531" t="str">
            <v>F-2026-02-293</v>
          </cell>
          <cell r="B531"/>
          <cell r="C531" t="str">
            <v>FPRO-260212-0044</v>
          </cell>
          <cell r="D531" t="str">
            <v>Firm plan 12.02</v>
          </cell>
          <cell r="E531" t="str">
            <v>BDB-000164</v>
          </cell>
          <cell r="F531" t="str">
            <v>PVN-001618</v>
          </cell>
          <cell r="G531" t="str">
            <v>OrthoLite Ultra-Nike GREY/17-1501TPX 0.085D 25+/-4 Asker C 1.1M 2M 4mm</v>
          </cell>
          <cell r="H531">
            <v>500</v>
          </cell>
          <cell r="I531">
            <v>500</v>
          </cell>
          <cell r="J531">
            <v>0</v>
          </cell>
          <cell r="K531">
            <v>500</v>
          </cell>
          <cell r="L531" t="str">
            <v>NIKE</v>
          </cell>
          <cell r="M531" t="str">
            <v>Forecast</v>
          </cell>
          <cell r="N531" t="str">
            <v>DIE CUT</v>
          </cell>
          <cell r="O531">
            <v>1</v>
          </cell>
          <cell r="P531">
            <v>46065</v>
          </cell>
          <cell r="Q531">
            <v>46118</v>
          </cell>
          <cell r="R531">
            <v>46115</v>
          </cell>
          <cell r="S531">
            <v>53</v>
          </cell>
          <cell r="T531">
            <v>4</v>
          </cell>
          <cell r="U531">
            <v>35</v>
          </cell>
          <cell r="V531">
            <v>15</v>
          </cell>
          <cell r="W531" t="str">
            <v>0.085D</v>
          </cell>
          <cell r="X531" t="str">
            <v>4-2026</v>
          </cell>
          <cell r="Y531" t="str">
            <v>Week 14</v>
          </cell>
          <cell r="Z531">
            <v>46111</v>
          </cell>
          <cell r="AA531">
            <v>111</v>
          </cell>
          <cell r="AB531">
            <v>2.8570000000000002E-2</v>
          </cell>
        </row>
        <row r="532">
          <cell r="A532" t="str">
            <v>F-2026-02-294</v>
          </cell>
          <cell r="B532"/>
          <cell r="C532" t="str">
            <v>FPRO-260212-0045</v>
          </cell>
          <cell r="D532" t="str">
            <v>Firm plan 12.02</v>
          </cell>
          <cell r="E532" t="str">
            <v>BDB-000164</v>
          </cell>
          <cell r="F532" t="str">
            <v>PVN-001618</v>
          </cell>
          <cell r="G532" t="str">
            <v>OrthoLite Ultra-Nike GREY/17-1501TPX 0.085D 25+/-4 Asker C 1.1M 2M 4mm</v>
          </cell>
          <cell r="H532">
            <v>500</v>
          </cell>
          <cell r="I532">
            <v>500</v>
          </cell>
          <cell r="J532">
            <v>0</v>
          </cell>
          <cell r="K532">
            <v>500</v>
          </cell>
          <cell r="L532" t="str">
            <v>NIKE</v>
          </cell>
          <cell r="M532" t="str">
            <v>Forecast</v>
          </cell>
          <cell r="N532" t="str">
            <v>DIE CUT</v>
          </cell>
          <cell r="O532">
            <v>1</v>
          </cell>
          <cell r="P532">
            <v>46065</v>
          </cell>
          <cell r="Q532">
            <v>46132</v>
          </cell>
          <cell r="R532">
            <v>46129</v>
          </cell>
          <cell r="S532">
            <v>67</v>
          </cell>
          <cell r="T532">
            <v>4</v>
          </cell>
          <cell r="U532">
            <v>35</v>
          </cell>
          <cell r="V532">
            <v>15</v>
          </cell>
          <cell r="W532" t="str">
            <v>0.085D</v>
          </cell>
          <cell r="X532" t="str">
            <v>4-2026</v>
          </cell>
          <cell r="Y532" t="str">
            <v>Week 16</v>
          </cell>
          <cell r="Z532">
            <v>46125</v>
          </cell>
          <cell r="AA532">
            <v>111</v>
          </cell>
          <cell r="AB532">
            <v>2.8570000000000002E-2</v>
          </cell>
        </row>
        <row r="533">
          <cell r="A533" t="str">
            <v>F-2026-02-295</v>
          </cell>
          <cell r="B533"/>
          <cell r="C533" t="str">
            <v>FPRO-260212-0046</v>
          </cell>
          <cell r="D533" t="str">
            <v>Firm plan 12.02</v>
          </cell>
          <cell r="E533" t="str">
            <v>BDB-000164</v>
          </cell>
          <cell r="F533" t="str">
            <v>PVN-001618</v>
          </cell>
          <cell r="G533" t="str">
            <v>OrthoLite Ultra-Nike GREY/17-1501TPX 0.085D 25+/-4 Asker C 1.1M 2M 4mm</v>
          </cell>
          <cell r="H533">
            <v>500</v>
          </cell>
          <cell r="I533">
            <v>500</v>
          </cell>
          <cell r="J533">
            <v>0</v>
          </cell>
          <cell r="K533">
            <v>500</v>
          </cell>
          <cell r="L533" t="str">
            <v>NIKE</v>
          </cell>
          <cell r="M533" t="str">
            <v>Forecast</v>
          </cell>
          <cell r="N533" t="str">
            <v>DIE CUT</v>
          </cell>
          <cell r="O533">
            <v>1</v>
          </cell>
          <cell r="P533">
            <v>46065</v>
          </cell>
          <cell r="Q533">
            <v>46160</v>
          </cell>
          <cell r="R533">
            <v>46157</v>
          </cell>
          <cell r="S533">
            <v>95</v>
          </cell>
          <cell r="T533">
            <v>4</v>
          </cell>
          <cell r="U533">
            <v>35</v>
          </cell>
          <cell r="V533">
            <v>15</v>
          </cell>
          <cell r="W533" t="str">
            <v>0.085D</v>
          </cell>
          <cell r="X533" t="str">
            <v>5-2026</v>
          </cell>
          <cell r="Y533" t="str">
            <v>Week 20</v>
          </cell>
          <cell r="Z533">
            <v>46153</v>
          </cell>
          <cell r="AA533">
            <v>111</v>
          </cell>
          <cell r="AB533">
            <v>2.8570000000000002E-2</v>
          </cell>
        </row>
        <row r="534">
          <cell r="A534" t="str">
            <v>F-2026-02-296</v>
          </cell>
          <cell r="B534"/>
          <cell r="C534" t="str">
            <v>FPRO-260212-0047</v>
          </cell>
          <cell r="D534" t="str">
            <v>Firm plan 12.02</v>
          </cell>
          <cell r="E534" t="str">
            <v>BDB-000164</v>
          </cell>
          <cell r="F534" t="str">
            <v>PVN-001618</v>
          </cell>
          <cell r="G534" t="str">
            <v>OrthoLite Ultra-Nike GREY/17-1501TPX 0.085D 25+/-4 Asker C 1.1M 2M 4mm</v>
          </cell>
          <cell r="H534">
            <v>500</v>
          </cell>
          <cell r="I534">
            <v>500</v>
          </cell>
          <cell r="J534">
            <v>0</v>
          </cell>
          <cell r="K534">
            <v>500</v>
          </cell>
          <cell r="L534" t="str">
            <v>NIKE</v>
          </cell>
          <cell r="M534" t="str">
            <v>Forecast</v>
          </cell>
          <cell r="N534" t="str">
            <v>DIE CUT</v>
          </cell>
          <cell r="O534">
            <v>1</v>
          </cell>
          <cell r="P534">
            <v>46065</v>
          </cell>
          <cell r="Q534">
            <v>46146</v>
          </cell>
          <cell r="R534">
            <v>46143</v>
          </cell>
          <cell r="S534">
            <v>81</v>
          </cell>
          <cell r="T534">
            <v>4</v>
          </cell>
          <cell r="U534">
            <v>35</v>
          </cell>
          <cell r="V534">
            <v>15</v>
          </cell>
          <cell r="W534" t="str">
            <v>0.085D</v>
          </cell>
          <cell r="X534" t="str">
            <v>5-2026</v>
          </cell>
          <cell r="Y534" t="str">
            <v>Week 17</v>
          </cell>
          <cell r="Z534">
            <v>46132</v>
          </cell>
          <cell r="AA534">
            <v>0</v>
          </cell>
          <cell r="AB534">
            <v>2.8570000000000002E-2</v>
          </cell>
        </row>
        <row r="535">
          <cell r="A535" t="str">
            <v>F-2026-02-297</v>
          </cell>
          <cell r="B535"/>
          <cell r="C535" t="str">
            <v>FPRO-260212-0048</v>
          </cell>
          <cell r="D535" t="str">
            <v>Firm plan 12.02</v>
          </cell>
          <cell r="E535" t="str">
            <v>BDB-000164</v>
          </cell>
          <cell r="F535" t="str">
            <v>PVN-001618</v>
          </cell>
          <cell r="G535" t="str">
            <v>OrthoLite Ultra-Nike GREY/17-1501TPX 0.085D 25+/-4 Asker C 1.1M 2M 4mm</v>
          </cell>
          <cell r="H535">
            <v>500</v>
          </cell>
          <cell r="I535">
            <v>500</v>
          </cell>
          <cell r="J535">
            <v>0</v>
          </cell>
          <cell r="K535">
            <v>500</v>
          </cell>
          <cell r="L535" t="str">
            <v>NIKE</v>
          </cell>
          <cell r="M535" t="str">
            <v>Forecast</v>
          </cell>
          <cell r="N535" t="str">
            <v>DIE CUT</v>
          </cell>
          <cell r="O535">
            <v>1</v>
          </cell>
          <cell r="P535">
            <v>46065</v>
          </cell>
          <cell r="Q535">
            <v>46151</v>
          </cell>
          <cell r="R535">
            <v>46148</v>
          </cell>
          <cell r="S535">
            <v>86</v>
          </cell>
          <cell r="T535">
            <v>4</v>
          </cell>
          <cell r="U535">
            <v>35</v>
          </cell>
          <cell r="V535">
            <v>15</v>
          </cell>
          <cell r="W535" t="str">
            <v>0.085D</v>
          </cell>
          <cell r="X535" t="str">
            <v>5-2026</v>
          </cell>
          <cell r="Y535" t="str">
            <v>Week 18</v>
          </cell>
          <cell r="Z535">
            <v>46139</v>
          </cell>
          <cell r="AA535">
            <v>0</v>
          </cell>
          <cell r="AB535">
            <v>2.8570000000000002E-2</v>
          </cell>
        </row>
        <row r="536">
          <cell r="A536" t="str">
            <v>F-2026-02-298</v>
          </cell>
          <cell r="B536"/>
          <cell r="C536" t="str">
            <v>FPRO-260212-0049</v>
          </cell>
          <cell r="D536" t="str">
            <v>Firm plan 12.02</v>
          </cell>
          <cell r="E536" t="str">
            <v>BDB-000164</v>
          </cell>
          <cell r="F536" t="str">
            <v>PVN-001618</v>
          </cell>
          <cell r="G536" t="str">
            <v>OrthoLite Ultra-Nike GREY/17-1501TPX 0.085D 25+/-4 Asker C 1.1M 2M 4mm</v>
          </cell>
          <cell r="H536">
            <v>500</v>
          </cell>
          <cell r="I536">
            <v>500</v>
          </cell>
          <cell r="J536">
            <v>0</v>
          </cell>
          <cell r="K536">
            <v>500</v>
          </cell>
          <cell r="L536" t="str">
            <v>NIKE</v>
          </cell>
          <cell r="M536" t="str">
            <v>Forecast</v>
          </cell>
          <cell r="N536" t="str">
            <v>DIE CUT</v>
          </cell>
          <cell r="O536">
            <v>1</v>
          </cell>
          <cell r="P536">
            <v>46065</v>
          </cell>
          <cell r="Q536">
            <v>46156</v>
          </cell>
          <cell r="R536">
            <v>46153</v>
          </cell>
          <cell r="S536">
            <v>91</v>
          </cell>
          <cell r="T536">
            <v>4</v>
          </cell>
          <cell r="U536">
            <v>35</v>
          </cell>
          <cell r="V536">
            <v>15</v>
          </cell>
          <cell r="W536" t="str">
            <v>0.085D</v>
          </cell>
          <cell r="X536" t="str">
            <v>5-2026</v>
          </cell>
          <cell r="Y536" t="str">
            <v>Week 19</v>
          </cell>
          <cell r="Z536">
            <v>46146</v>
          </cell>
          <cell r="AA536">
            <v>47</v>
          </cell>
          <cell r="AB536">
            <v>2.8570000000000002E-2</v>
          </cell>
        </row>
        <row r="537">
          <cell r="A537" t="str">
            <v>F-2026-02-299</v>
          </cell>
          <cell r="B537"/>
          <cell r="C537" t="str">
            <v>FPRO-260212-0050</v>
          </cell>
          <cell r="D537" t="str">
            <v>Firm plan 12.02</v>
          </cell>
          <cell r="E537" t="str">
            <v>BDB-000164</v>
          </cell>
          <cell r="F537" t="str">
            <v>PVN-001618</v>
          </cell>
          <cell r="G537" t="str">
            <v>OrthoLite Ultra-Nike GREY/17-1501TPX 0.085D 25+/-4 Asker C 1.1M 2M 4mm</v>
          </cell>
          <cell r="H537">
            <v>500</v>
          </cell>
          <cell r="I537">
            <v>500</v>
          </cell>
          <cell r="J537">
            <v>0</v>
          </cell>
          <cell r="K537">
            <v>500</v>
          </cell>
          <cell r="L537" t="str">
            <v>NIKE</v>
          </cell>
          <cell r="M537" t="str">
            <v>Forecast</v>
          </cell>
          <cell r="N537" t="str">
            <v>DIE CUT</v>
          </cell>
          <cell r="O537">
            <v>1</v>
          </cell>
          <cell r="P537">
            <v>46065</v>
          </cell>
          <cell r="Q537">
            <v>46165</v>
          </cell>
          <cell r="R537">
            <v>46162</v>
          </cell>
          <cell r="S537">
            <v>100</v>
          </cell>
          <cell r="T537">
            <v>4</v>
          </cell>
          <cell r="U537">
            <v>35</v>
          </cell>
          <cell r="V537">
            <v>15</v>
          </cell>
          <cell r="W537" t="str">
            <v>0.085D</v>
          </cell>
          <cell r="X537" t="str">
            <v>5-2026</v>
          </cell>
          <cell r="Y537" t="str">
            <v>Week 21</v>
          </cell>
          <cell r="Z537">
            <v>46160</v>
          </cell>
          <cell r="AA537">
            <v>47</v>
          </cell>
          <cell r="AB537">
            <v>2.8570000000000002E-2</v>
          </cell>
        </row>
        <row r="538">
          <cell r="A538" t="str">
            <v>F-2026-02-300</v>
          </cell>
          <cell r="B538"/>
          <cell r="C538" t="str">
            <v>FPRO-260212-0051</v>
          </cell>
          <cell r="D538" t="str">
            <v>Firm plan 12.02</v>
          </cell>
          <cell r="E538" t="str">
            <v>BDB-000125</v>
          </cell>
          <cell r="F538" t="str">
            <v>PVN-002413</v>
          </cell>
          <cell r="G538" t="str">
            <v>OrthoLite Regular-Nike AIR BLUE/16-4134TPX 0.11D 25+/-4 Asker C 1.1M 2M 4.2mm</v>
          </cell>
          <cell r="H538">
            <v>2500</v>
          </cell>
          <cell r="I538">
            <v>2500</v>
          </cell>
          <cell r="J538">
            <v>2500</v>
          </cell>
          <cell r="K538">
            <v>0</v>
          </cell>
          <cell r="L538" t="str">
            <v>NIKE</v>
          </cell>
          <cell r="M538" t="str">
            <v>Forecast</v>
          </cell>
          <cell r="N538" t="str">
            <v>DIE CUT</v>
          </cell>
          <cell r="O538">
            <v>1</v>
          </cell>
          <cell r="P538">
            <v>46065</v>
          </cell>
          <cell r="Q538">
            <v>46109</v>
          </cell>
          <cell r="R538">
            <v>46106</v>
          </cell>
          <cell r="S538">
            <v>44</v>
          </cell>
          <cell r="T538">
            <v>4.2</v>
          </cell>
          <cell r="U538">
            <v>33</v>
          </cell>
          <cell r="V538">
            <v>76</v>
          </cell>
          <cell r="W538" t="str">
            <v>0.11D</v>
          </cell>
          <cell r="X538" t="str">
            <v>3-2026</v>
          </cell>
          <cell r="Y538" t="str">
            <v>Week 13</v>
          </cell>
          <cell r="Z538">
            <v>46104</v>
          </cell>
          <cell r="AA538">
            <v>47</v>
          </cell>
          <cell r="AB538">
            <v>3.0300000000000001E-2</v>
          </cell>
        </row>
        <row r="539">
          <cell r="A539" t="str">
            <v>F-2026-02-301</v>
          </cell>
          <cell r="B539"/>
          <cell r="C539" t="str">
            <v>FPRO-260212-0052</v>
          </cell>
          <cell r="D539" t="str">
            <v>Firm plan 12.02</v>
          </cell>
          <cell r="E539" t="str">
            <v>BDB-000125</v>
          </cell>
          <cell r="F539" t="str">
            <v>PVN-002413</v>
          </cell>
          <cell r="G539" t="str">
            <v>OrthoLite Regular-Nike AIR BLUE/16-4134TPX 0.11D 25+/-4 Asker C 1.1M 2M 4.2mm</v>
          </cell>
          <cell r="H539">
            <v>2500</v>
          </cell>
          <cell r="I539">
            <v>2500</v>
          </cell>
          <cell r="J539">
            <v>2500</v>
          </cell>
          <cell r="K539">
            <v>0</v>
          </cell>
          <cell r="L539" t="str">
            <v>NIKE</v>
          </cell>
          <cell r="M539" t="str">
            <v>Forecast</v>
          </cell>
          <cell r="N539" t="str">
            <v>DIE CUT</v>
          </cell>
          <cell r="O539" t="str">
            <v>1-SLT Dummy</v>
          </cell>
          <cell r="P539">
            <v>46065</v>
          </cell>
          <cell r="Q539">
            <v>46114</v>
          </cell>
          <cell r="R539">
            <v>46111</v>
          </cell>
          <cell r="S539">
            <v>49</v>
          </cell>
          <cell r="T539">
            <v>4.2</v>
          </cell>
          <cell r="U539">
            <v>33</v>
          </cell>
          <cell r="V539">
            <v>76</v>
          </cell>
          <cell r="W539" t="str">
            <v>0.11D</v>
          </cell>
          <cell r="X539" t="str">
            <v>4-2026</v>
          </cell>
          <cell r="Y539" t="str">
            <v>Week 13</v>
          </cell>
          <cell r="Z539">
            <v>46104</v>
          </cell>
          <cell r="AA539">
            <v>47</v>
          </cell>
          <cell r="AB539">
            <v>3.0300000000000001E-2</v>
          </cell>
        </row>
        <row r="540">
          <cell r="A540" t="str">
            <v>F-2026-02-302</v>
          </cell>
          <cell r="B540"/>
          <cell r="C540" t="str">
            <v>FPRO-260212-0053</v>
          </cell>
          <cell r="D540" t="str">
            <v>Firm plan 12.02</v>
          </cell>
          <cell r="E540" t="str">
            <v>BDB-000125</v>
          </cell>
          <cell r="F540" t="str">
            <v>PVN-002413</v>
          </cell>
          <cell r="G540" t="str">
            <v>OrthoLite Regular-Nike AIR BLUE/16-4134TPX 0.11D 25+/-4 Asker C 1.1M 2M 4.2mm</v>
          </cell>
          <cell r="H540">
            <v>1100</v>
          </cell>
          <cell r="I540">
            <v>1100</v>
          </cell>
          <cell r="J540">
            <v>1100</v>
          </cell>
          <cell r="K540">
            <v>0</v>
          </cell>
          <cell r="L540" t="str">
            <v>NIKE</v>
          </cell>
          <cell r="M540" t="str">
            <v>Forecast</v>
          </cell>
          <cell r="N540" t="str">
            <v>DIE CUT</v>
          </cell>
          <cell r="O540">
            <v>1</v>
          </cell>
          <cell r="P540">
            <v>46065</v>
          </cell>
          <cell r="Q540">
            <v>46112</v>
          </cell>
          <cell r="R540">
            <v>46109</v>
          </cell>
          <cell r="S540">
            <v>47</v>
          </cell>
          <cell r="T540">
            <v>4.2</v>
          </cell>
          <cell r="U540">
            <v>33</v>
          </cell>
          <cell r="V540">
            <v>34</v>
          </cell>
          <cell r="W540" t="str">
            <v>0.11D</v>
          </cell>
          <cell r="X540" t="str">
            <v>3-2026</v>
          </cell>
          <cell r="Y540" t="str">
            <v>Week 13</v>
          </cell>
          <cell r="Z540">
            <v>46104</v>
          </cell>
          <cell r="AA540">
            <v>47</v>
          </cell>
          <cell r="AB540">
            <v>3.0300000000000001E-2</v>
          </cell>
        </row>
        <row r="541">
          <cell r="A541" t="str">
            <v>F-2026-02-303</v>
          </cell>
          <cell r="B541"/>
          <cell r="C541" t="str">
            <v>FPRO-260212-0054</v>
          </cell>
          <cell r="D541" t="str">
            <v>Firm plan 12.02</v>
          </cell>
          <cell r="E541" t="str">
            <v>BDB-000161</v>
          </cell>
          <cell r="F541" t="str">
            <v>PVN-001560</v>
          </cell>
          <cell r="G541" t="str">
            <v>OrthoLite Ultra-Nike FOSSIL/17-0909TPX 0.085D 25+/-4 Asker C 1.1M 2M 4mm</v>
          </cell>
          <cell r="H541">
            <v>1000</v>
          </cell>
          <cell r="I541">
            <v>1000</v>
          </cell>
          <cell r="J541">
            <v>0</v>
          </cell>
          <cell r="K541">
            <v>1000</v>
          </cell>
          <cell r="L541" t="str">
            <v>NIKE</v>
          </cell>
          <cell r="M541" t="str">
            <v>Forecast</v>
          </cell>
          <cell r="N541" t="str">
            <v>DIE CUT</v>
          </cell>
          <cell r="O541">
            <v>1</v>
          </cell>
          <cell r="P541">
            <v>46065</v>
          </cell>
          <cell r="Q541">
            <v>46121</v>
          </cell>
          <cell r="R541">
            <v>46118</v>
          </cell>
          <cell r="S541">
            <v>56</v>
          </cell>
          <cell r="T541">
            <v>4</v>
          </cell>
          <cell r="U541">
            <v>35</v>
          </cell>
          <cell r="V541">
            <v>29</v>
          </cell>
          <cell r="W541" t="str">
            <v>0.085D</v>
          </cell>
          <cell r="X541" t="str">
            <v>4-2026</v>
          </cell>
          <cell r="Y541" t="str">
            <v>Week 14</v>
          </cell>
          <cell r="Z541">
            <v>46111</v>
          </cell>
          <cell r="AA541">
            <v>47</v>
          </cell>
          <cell r="AB541">
            <v>2.8570000000000002E-2</v>
          </cell>
        </row>
        <row r="542">
          <cell r="A542" t="str">
            <v>F-2026-02-304</v>
          </cell>
          <cell r="B542"/>
          <cell r="C542" t="str">
            <v>FPRO-260212-0055</v>
          </cell>
          <cell r="D542" t="str">
            <v>Firm plan 12.02</v>
          </cell>
          <cell r="E542" t="str">
            <v>BDB-000161</v>
          </cell>
          <cell r="F542" t="str">
            <v>PVN-001560</v>
          </cell>
          <cell r="G542" t="str">
            <v>OrthoLite Ultra-Nike FOSSIL/17-0909TPX 0.085D 25+/-4 Asker C 1.1M 2M 4mm</v>
          </cell>
          <cell r="H542">
            <v>1000</v>
          </cell>
          <cell r="I542">
            <v>1000</v>
          </cell>
          <cell r="J542">
            <v>0</v>
          </cell>
          <cell r="K542">
            <v>1000</v>
          </cell>
          <cell r="L542" t="str">
            <v>NIKE</v>
          </cell>
          <cell r="M542" t="str">
            <v>Forecast</v>
          </cell>
          <cell r="N542" t="str">
            <v>DIE CUT</v>
          </cell>
          <cell r="O542">
            <v>1</v>
          </cell>
          <cell r="P542">
            <v>46065</v>
          </cell>
          <cell r="Q542">
            <v>46130</v>
          </cell>
          <cell r="R542">
            <v>46127</v>
          </cell>
          <cell r="S542">
            <v>65</v>
          </cell>
          <cell r="T542">
            <v>4</v>
          </cell>
          <cell r="U542">
            <v>35</v>
          </cell>
          <cell r="V542">
            <v>29</v>
          </cell>
          <cell r="W542" t="str">
            <v>0.085D</v>
          </cell>
          <cell r="X542" t="str">
            <v>4-2026</v>
          </cell>
          <cell r="Y542" t="str">
            <v>Week 16</v>
          </cell>
          <cell r="Z542">
            <v>46125</v>
          </cell>
          <cell r="AA542">
            <v>0</v>
          </cell>
          <cell r="AB542">
            <v>2.8570000000000002E-2</v>
          </cell>
        </row>
        <row r="543">
          <cell r="A543" t="str">
            <v>F-2026-02-305</v>
          </cell>
          <cell r="B543"/>
          <cell r="C543" t="str">
            <v>FPRO-260212-0002</v>
          </cell>
          <cell r="D543" t="str">
            <v>Firm plan 12.02</v>
          </cell>
          <cell r="E543" t="str">
            <v>BDB-000259</v>
          </cell>
          <cell r="F543" t="str">
            <v>PVN-003684</v>
          </cell>
          <cell r="G543" t="str">
            <v>OrthoLite Nike PP002 GLACIER GRAY/14-4102TPX Flat Sheet 0.145D 25+/-4 asker C 1.1M 2M 4.2mm</v>
          </cell>
          <cell r="H543">
            <v>2500</v>
          </cell>
          <cell r="I543">
            <v>2500</v>
          </cell>
          <cell r="J543">
            <v>2500</v>
          </cell>
          <cell r="K543">
            <v>0</v>
          </cell>
          <cell r="L543" t="str">
            <v>NIKE</v>
          </cell>
          <cell r="M543" t="str">
            <v>Forecast</v>
          </cell>
          <cell r="N543" t="str">
            <v>MOLDED</v>
          </cell>
          <cell r="O543">
            <v>1</v>
          </cell>
          <cell r="P543">
            <v>46065</v>
          </cell>
          <cell r="Q543">
            <v>46109</v>
          </cell>
          <cell r="R543">
            <v>46106</v>
          </cell>
          <cell r="S543">
            <v>44</v>
          </cell>
          <cell r="T543">
            <v>4.2</v>
          </cell>
          <cell r="U543">
            <v>33</v>
          </cell>
          <cell r="V543">
            <v>76</v>
          </cell>
          <cell r="W543" t="str">
            <v>0.145D</v>
          </cell>
          <cell r="X543" t="str">
            <v>3-2026</v>
          </cell>
          <cell r="Y543" t="str">
            <v>Week 12</v>
          </cell>
          <cell r="Z543">
            <v>46097</v>
          </cell>
          <cell r="AA543">
            <v>34</v>
          </cell>
          <cell r="AB543">
            <v>3.0300000000000001E-2</v>
          </cell>
        </row>
        <row r="544">
          <cell r="A544" t="str">
            <v>F-2026-02-306</v>
          </cell>
          <cell r="B544"/>
          <cell r="C544" t="str">
            <v>FPRO-260212-0003</v>
          </cell>
          <cell r="D544" t="str">
            <v>Firm plan 12.02</v>
          </cell>
          <cell r="E544" t="str">
            <v>BDB-000259</v>
          </cell>
          <cell r="F544" t="str">
            <v>PVN-003684</v>
          </cell>
          <cell r="G544" t="str">
            <v>OrthoLite Nike PP002 GLACIER GRAY/14-4102TPX Flat Sheet 0.145D 25+/-4 asker C 1.1M 2M 4.2mm</v>
          </cell>
          <cell r="H544">
            <v>2500</v>
          </cell>
          <cell r="I544">
            <v>2500</v>
          </cell>
          <cell r="J544">
            <v>0</v>
          </cell>
          <cell r="K544">
            <v>2500</v>
          </cell>
          <cell r="L544" t="str">
            <v>NIKE</v>
          </cell>
          <cell r="M544" t="str">
            <v>Forecast</v>
          </cell>
          <cell r="N544" t="str">
            <v>MOLDED</v>
          </cell>
          <cell r="O544" t="str">
            <v>1-SLT Dummy</v>
          </cell>
          <cell r="P544">
            <v>46065</v>
          </cell>
          <cell r="Q544">
            <v>46121</v>
          </cell>
          <cell r="R544">
            <v>46118</v>
          </cell>
          <cell r="S544">
            <v>56</v>
          </cell>
          <cell r="T544">
            <v>4.2</v>
          </cell>
          <cell r="U544">
            <v>33</v>
          </cell>
          <cell r="V544">
            <v>76</v>
          </cell>
          <cell r="W544" t="str">
            <v>0.145D</v>
          </cell>
          <cell r="X544" t="str">
            <v>4-2026</v>
          </cell>
          <cell r="Y544" t="str">
            <v>Week 14</v>
          </cell>
          <cell r="Z544">
            <v>46111</v>
          </cell>
          <cell r="AA544">
            <v>23</v>
          </cell>
          <cell r="AB544">
            <v>3.0300000000000001E-2</v>
          </cell>
        </row>
        <row r="545">
          <cell r="A545" t="str">
            <v>F-2026-02-307-1</v>
          </cell>
          <cell r="B545"/>
          <cell r="C545" t="str">
            <v>FPRO-260212-0004</v>
          </cell>
          <cell r="D545" t="str">
            <v>Firm plan 12.02</v>
          </cell>
          <cell r="E545" t="str">
            <v>BDB-000259</v>
          </cell>
          <cell r="F545" t="str">
            <v>PVN-003684</v>
          </cell>
          <cell r="G545" t="str">
            <v>OrthoLite Nike PP002 GLACIER GRAY/14-4102TPX Flat Sheet 0.145D 25+/-4 asker C 1.1M 2M 4.2mm</v>
          </cell>
          <cell r="H545">
            <v>1000</v>
          </cell>
          <cell r="I545">
            <v>1000</v>
          </cell>
          <cell r="J545">
            <v>0</v>
          </cell>
          <cell r="K545">
            <v>1000</v>
          </cell>
          <cell r="L545" t="str">
            <v>NIKE</v>
          </cell>
          <cell r="M545" t="str">
            <v>Forecast</v>
          </cell>
          <cell r="N545" t="str">
            <v>MOLDED</v>
          </cell>
          <cell r="O545" t="str">
            <v>1-SLT Dummy</v>
          </cell>
          <cell r="P545">
            <v>46065</v>
          </cell>
          <cell r="Q545">
            <v>46170</v>
          </cell>
          <cell r="R545">
            <v>46167</v>
          </cell>
          <cell r="S545">
            <v>105</v>
          </cell>
          <cell r="T545">
            <v>4.2</v>
          </cell>
          <cell r="U545">
            <v>33</v>
          </cell>
          <cell r="V545">
            <v>31</v>
          </cell>
          <cell r="W545" t="str">
            <v>0.145D</v>
          </cell>
          <cell r="X545" t="str">
            <v>5-2026</v>
          </cell>
          <cell r="Y545" t="str">
            <v>Week 21</v>
          </cell>
          <cell r="Z545">
            <v>46160</v>
          </cell>
          <cell r="AA545">
            <v>114</v>
          </cell>
          <cell r="AB545">
            <v>3.0300000000000001E-2</v>
          </cell>
        </row>
        <row r="546">
          <cell r="A546" t="str">
            <v>F-2026-02-307-2</v>
          </cell>
          <cell r="B546"/>
          <cell r="C546" t="str">
            <v>FPRO-260401-0009</v>
          </cell>
          <cell r="D546" t="str">
            <v>Firm plan 12.02</v>
          </cell>
          <cell r="E546" t="str">
            <v>BDB-000259</v>
          </cell>
          <cell r="F546" t="str">
            <v>PVN-003684</v>
          </cell>
          <cell r="G546" t="str">
            <v>OrthoLite Nike PP002 GLACIER GRAY/14-4102TPX Flat Sheet 0.145D 25+/-4 asker C 1.1M 2M 4.2mm</v>
          </cell>
          <cell r="H546">
            <v>1200</v>
          </cell>
          <cell r="I546">
            <v>1200</v>
          </cell>
          <cell r="J546">
            <v>0</v>
          </cell>
          <cell r="K546">
            <v>1200</v>
          </cell>
          <cell r="L546" t="str">
            <v>NIKE</v>
          </cell>
          <cell r="M546" t="str">
            <v>Forecast</v>
          </cell>
          <cell r="N546" t="str">
            <v>MOLDED</v>
          </cell>
          <cell r="O546" t="str">
            <v>1-SLT Dummy</v>
          </cell>
          <cell r="P546">
            <v>46065</v>
          </cell>
          <cell r="Q546">
            <v>46177</v>
          </cell>
          <cell r="R546">
            <v>46174</v>
          </cell>
          <cell r="S546">
            <v>112</v>
          </cell>
          <cell r="T546">
            <v>4.2</v>
          </cell>
          <cell r="U546">
            <v>33</v>
          </cell>
          <cell r="V546">
            <v>37</v>
          </cell>
          <cell r="W546" t="str">
            <v>0.145D</v>
          </cell>
          <cell r="X546" t="str">
            <v>6-2026</v>
          </cell>
          <cell r="Y546" t="str">
            <v>Week 22</v>
          </cell>
          <cell r="Z546">
            <v>46167</v>
          </cell>
          <cell r="AA546">
            <v>60</v>
          </cell>
          <cell r="AB546">
            <v>3.0300000000000001E-2</v>
          </cell>
        </row>
        <row r="547">
          <cell r="A547" t="str">
            <v>F-2026-02-308</v>
          </cell>
          <cell r="B547"/>
          <cell r="C547" t="str">
            <v>FPRO-260212-0005</v>
          </cell>
          <cell r="D547" t="str">
            <v>Firm plan 12.02</v>
          </cell>
          <cell r="E547" t="str">
            <v>BDB-000129</v>
          </cell>
          <cell r="F547" t="str">
            <v>PVN-001550</v>
          </cell>
          <cell r="G547" t="str">
            <v>OrthoLite Regular-Nike AIR BLUE/16-4134TPX 0.11D 25+/-4 Asker C 1.1M 1.7M 2mm</v>
          </cell>
          <cell r="H547">
            <v>1200</v>
          </cell>
          <cell r="I547">
            <v>1200</v>
          </cell>
          <cell r="J547">
            <v>1200</v>
          </cell>
          <cell r="K547">
            <v>0</v>
          </cell>
          <cell r="L547" t="str">
            <v>NIKE</v>
          </cell>
          <cell r="M547" t="str">
            <v>Forecast</v>
          </cell>
          <cell r="N547" t="str">
            <v>DIE CUT</v>
          </cell>
          <cell r="O547">
            <v>1</v>
          </cell>
          <cell r="P547">
            <v>46065</v>
          </cell>
          <cell r="Q547">
            <v>46101</v>
          </cell>
          <cell r="R547">
            <v>46098</v>
          </cell>
          <cell r="S547">
            <v>36</v>
          </cell>
          <cell r="T547">
            <v>2</v>
          </cell>
          <cell r="U547">
            <v>70</v>
          </cell>
          <cell r="V547">
            <v>18</v>
          </cell>
          <cell r="W547" t="str">
            <v>0.11D</v>
          </cell>
          <cell r="X547" t="str">
            <v>3-2026</v>
          </cell>
          <cell r="Y547" t="str">
            <v>Week 11</v>
          </cell>
          <cell r="Z547">
            <v>46090</v>
          </cell>
          <cell r="AA547">
            <v>60</v>
          </cell>
          <cell r="AB547">
            <v>1.4290000000000001E-2</v>
          </cell>
        </row>
        <row r="548">
          <cell r="A548" t="str">
            <v>F-2026-02-309</v>
          </cell>
          <cell r="B548"/>
          <cell r="C548" t="str">
            <v>FPRO-260212-0006</v>
          </cell>
          <cell r="D548" t="str">
            <v>Firm plan 12.02</v>
          </cell>
          <cell r="E548" t="str">
            <v>BDB-000129</v>
          </cell>
          <cell r="F548" t="str">
            <v>PVN-001550</v>
          </cell>
          <cell r="G548" t="str">
            <v>OrthoLite Regular-Nike AIR BLUE/16-4134TPX 0.11D 25+/-4 Asker C 1.1M 1.7M 2mm</v>
          </cell>
          <cell r="H548">
            <v>4000</v>
          </cell>
          <cell r="I548">
            <v>4000</v>
          </cell>
          <cell r="J548">
            <v>4000</v>
          </cell>
          <cell r="K548">
            <v>0</v>
          </cell>
          <cell r="L548" t="str">
            <v>NIKE</v>
          </cell>
          <cell r="M548" t="str">
            <v>Forecast</v>
          </cell>
          <cell r="N548" t="str">
            <v>DIE CUT</v>
          </cell>
          <cell r="O548">
            <v>1</v>
          </cell>
          <cell r="P548">
            <v>46065</v>
          </cell>
          <cell r="Q548">
            <v>46107</v>
          </cell>
          <cell r="R548">
            <v>46104</v>
          </cell>
          <cell r="S548">
            <v>42</v>
          </cell>
          <cell r="T548">
            <v>2</v>
          </cell>
          <cell r="U548">
            <v>70</v>
          </cell>
          <cell r="V548">
            <v>58</v>
          </cell>
          <cell r="W548" t="str">
            <v>0.11D</v>
          </cell>
          <cell r="X548" t="str">
            <v>3-2026</v>
          </cell>
          <cell r="Y548" t="str">
            <v>Week 12</v>
          </cell>
          <cell r="Z548">
            <v>46097</v>
          </cell>
          <cell r="AA548">
            <v>43</v>
          </cell>
          <cell r="AB548">
            <v>1.4290000000000001E-2</v>
          </cell>
        </row>
        <row r="549">
          <cell r="A549" t="str">
            <v>F-2026-02-310</v>
          </cell>
          <cell r="B549"/>
          <cell r="C549" t="str">
            <v>FPRO-260212-0007</v>
          </cell>
          <cell r="D549" t="str">
            <v>Firm plan 12.02</v>
          </cell>
          <cell r="E549" t="str">
            <v>BDB-000129</v>
          </cell>
          <cell r="F549" t="str">
            <v>PVN-001550</v>
          </cell>
          <cell r="G549" t="str">
            <v>OrthoLite Regular-Nike AIR BLUE/16-4134TPX 0.11D 25+/-4 Asker C 1.1M 1.7M 2mm</v>
          </cell>
          <cell r="H549">
            <v>4000</v>
          </cell>
          <cell r="I549">
            <v>4000</v>
          </cell>
          <cell r="J549">
            <v>0</v>
          </cell>
          <cell r="K549">
            <v>4000</v>
          </cell>
          <cell r="L549" t="str">
            <v>NIKE</v>
          </cell>
          <cell r="M549" t="str">
            <v>Forecast</v>
          </cell>
          <cell r="N549" t="str">
            <v>DIE CUT</v>
          </cell>
          <cell r="O549">
            <v>1</v>
          </cell>
          <cell r="P549">
            <v>46065</v>
          </cell>
          <cell r="Q549">
            <v>46114</v>
          </cell>
          <cell r="R549">
            <v>46111</v>
          </cell>
          <cell r="S549">
            <v>49</v>
          </cell>
          <cell r="T549">
            <v>2</v>
          </cell>
          <cell r="U549">
            <v>70</v>
          </cell>
          <cell r="V549">
            <v>58</v>
          </cell>
          <cell r="W549" t="str">
            <v>0.11D</v>
          </cell>
          <cell r="X549" t="str">
            <v>4-2026</v>
          </cell>
          <cell r="Y549" t="str">
            <v>Week 13</v>
          </cell>
          <cell r="Z549">
            <v>46104</v>
          </cell>
          <cell r="AA549">
            <v>339</v>
          </cell>
          <cell r="AB549">
            <v>1.4290000000000001E-2</v>
          </cell>
        </row>
        <row r="550">
          <cell r="A550" t="str">
            <v>F-2026-02-311</v>
          </cell>
          <cell r="B550"/>
          <cell r="C550" t="str">
            <v>FPRO-260212-0008</v>
          </cell>
          <cell r="D550" t="str">
            <v>Firm plan 12.02</v>
          </cell>
          <cell r="E550" t="str">
            <v>BDB-000129</v>
          </cell>
          <cell r="F550" t="str">
            <v>PVN-001550</v>
          </cell>
          <cell r="G550" t="str">
            <v>OrthoLite Regular-Nike AIR BLUE/16-4134TPX 0.11D 25+/-4 Asker C 1.1M 1.7M 2mm</v>
          </cell>
          <cell r="H550">
            <v>4000</v>
          </cell>
          <cell r="I550">
            <v>4000</v>
          </cell>
          <cell r="J550">
            <v>0</v>
          </cell>
          <cell r="K550">
            <v>4000</v>
          </cell>
          <cell r="L550" t="str">
            <v>NIKE</v>
          </cell>
          <cell r="M550" t="str">
            <v>Forecast</v>
          </cell>
          <cell r="N550" t="str">
            <v>DIE CUT</v>
          </cell>
          <cell r="O550">
            <v>1</v>
          </cell>
          <cell r="P550">
            <v>46065</v>
          </cell>
          <cell r="Q550">
            <v>46125</v>
          </cell>
          <cell r="R550">
            <v>46122</v>
          </cell>
          <cell r="S550">
            <v>60</v>
          </cell>
          <cell r="T550">
            <v>2</v>
          </cell>
          <cell r="U550">
            <v>70</v>
          </cell>
          <cell r="V550">
            <v>58</v>
          </cell>
          <cell r="W550" t="str">
            <v>0.11D</v>
          </cell>
          <cell r="X550" t="str">
            <v>4-2026</v>
          </cell>
          <cell r="Y550" t="str">
            <v>Week 15</v>
          </cell>
          <cell r="Z550">
            <v>46118</v>
          </cell>
          <cell r="AA550">
            <v>141</v>
          </cell>
          <cell r="AB550">
            <v>1.4290000000000001E-2</v>
          </cell>
        </row>
        <row r="551">
          <cell r="A551" t="str">
            <v>F-2026-02-312</v>
          </cell>
          <cell r="B551"/>
          <cell r="C551" t="str">
            <v>FPRO-260212-0009</v>
          </cell>
          <cell r="D551" t="str">
            <v>Firm plan 12.02</v>
          </cell>
          <cell r="E551" t="str">
            <v>BDB-000131</v>
          </cell>
          <cell r="F551" t="str">
            <v>PVN-001565</v>
          </cell>
          <cell r="G551" t="str">
            <v>OrthoLite Regular-Nike AIR BLUE/16-4134TPX 0.11D 15+/-4 Asker C 1.1M 2M 4mm</v>
          </cell>
          <cell r="H551">
            <v>1000</v>
          </cell>
          <cell r="I551">
            <v>1000</v>
          </cell>
          <cell r="J551">
            <v>1000</v>
          </cell>
          <cell r="K551">
            <v>0</v>
          </cell>
          <cell r="L551" t="str">
            <v>NIKE</v>
          </cell>
          <cell r="M551" t="str">
            <v>Forecast</v>
          </cell>
          <cell r="N551" t="str">
            <v>DIE CUT</v>
          </cell>
          <cell r="O551">
            <v>1</v>
          </cell>
          <cell r="P551">
            <v>46065</v>
          </cell>
          <cell r="Q551">
            <v>46105</v>
          </cell>
          <cell r="R551">
            <v>46102</v>
          </cell>
          <cell r="S551">
            <v>40</v>
          </cell>
          <cell r="T551">
            <v>4</v>
          </cell>
          <cell r="U551">
            <v>35</v>
          </cell>
          <cell r="V551">
            <v>29</v>
          </cell>
          <cell r="W551" t="str">
            <v>0.11D</v>
          </cell>
          <cell r="X551" t="str">
            <v>3-2026</v>
          </cell>
          <cell r="Y551" t="str">
            <v>Week 12</v>
          </cell>
          <cell r="Z551">
            <v>46097</v>
          </cell>
          <cell r="AA551">
            <v>88</v>
          </cell>
          <cell r="AB551">
            <v>2.8570000000000002E-2</v>
          </cell>
        </row>
        <row r="552">
          <cell r="A552" t="str">
            <v>F-2026-02-313</v>
          </cell>
          <cell r="B552"/>
          <cell r="C552" t="str">
            <v>FPRO-260212-0010</v>
          </cell>
          <cell r="D552" t="str">
            <v>Firm plan 12.02</v>
          </cell>
          <cell r="E552" t="str">
            <v>BDB-000131</v>
          </cell>
          <cell r="F552" t="str">
            <v>PVN-001565</v>
          </cell>
          <cell r="G552" t="str">
            <v>OrthoLite Regular-Nike AIR BLUE/16-4134TPX 0.11D 15+/-4 Asker C 1.1M 2M 4mm</v>
          </cell>
          <cell r="H552">
            <v>900</v>
          </cell>
          <cell r="I552">
            <v>900</v>
          </cell>
          <cell r="J552">
            <v>900</v>
          </cell>
          <cell r="K552">
            <v>0</v>
          </cell>
          <cell r="L552" t="str">
            <v>NIKE</v>
          </cell>
          <cell r="M552" t="str">
            <v>Forecast</v>
          </cell>
          <cell r="N552" t="str">
            <v>DIE CUT</v>
          </cell>
          <cell r="O552">
            <v>1</v>
          </cell>
          <cell r="P552">
            <v>46065</v>
          </cell>
          <cell r="Q552">
            <v>46112</v>
          </cell>
          <cell r="R552">
            <v>46109</v>
          </cell>
          <cell r="S552">
            <v>47</v>
          </cell>
          <cell r="T552">
            <v>4</v>
          </cell>
          <cell r="U552">
            <v>35</v>
          </cell>
          <cell r="V552">
            <v>26</v>
          </cell>
          <cell r="W552" t="str">
            <v>0.11D</v>
          </cell>
          <cell r="X552" t="str">
            <v>3-2026</v>
          </cell>
          <cell r="Y552" t="str">
            <v>Week 13</v>
          </cell>
          <cell r="Z552">
            <v>46104</v>
          </cell>
          <cell r="AA552">
            <v>18</v>
          </cell>
          <cell r="AB552">
            <v>2.8570000000000002E-2</v>
          </cell>
        </row>
        <row r="553">
          <cell r="A553" t="str">
            <v>F-2026-02-314</v>
          </cell>
          <cell r="B553"/>
          <cell r="C553" t="str">
            <v>FPRO-260212-0011</v>
          </cell>
          <cell r="D553" t="str">
            <v>Firm plan 12.02</v>
          </cell>
          <cell r="E553" t="str">
            <v>BDB-000163</v>
          </cell>
          <cell r="F553" t="str">
            <v>PVN-001556</v>
          </cell>
          <cell r="G553" t="str">
            <v>OrthoLite Ultra-Nike YELLOW/13-0858TPX 0.085D 25+/-4 Asker C 1.1M 2M 4mm</v>
          </cell>
          <cell r="H553">
            <v>1500</v>
          </cell>
          <cell r="I553">
            <v>1500</v>
          </cell>
          <cell r="J553">
            <v>1500</v>
          </cell>
          <cell r="K553">
            <v>0</v>
          </cell>
          <cell r="L553" t="str">
            <v>NIKE</v>
          </cell>
          <cell r="M553" t="str">
            <v>Forecast</v>
          </cell>
          <cell r="N553" t="str">
            <v>DIE CUT</v>
          </cell>
          <cell r="O553">
            <v>1</v>
          </cell>
          <cell r="P553">
            <v>46065</v>
          </cell>
          <cell r="Q553">
            <v>46106</v>
          </cell>
          <cell r="R553">
            <v>46103</v>
          </cell>
          <cell r="S553">
            <v>41</v>
          </cell>
          <cell r="T553">
            <v>4</v>
          </cell>
          <cell r="U553">
            <v>35</v>
          </cell>
          <cell r="V553">
            <v>43</v>
          </cell>
          <cell r="W553" t="str">
            <v>0.085D</v>
          </cell>
          <cell r="X553" t="str">
            <v>3-2026</v>
          </cell>
          <cell r="Y553" t="str">
            <v>Week 12</v>
          </cell>
          <cell r="Z553">
            <v>46097</v>
          </cell>
          <cell r="AA553">
            <v>16</v>
          </cell>
          <cell r="AB553">
            <v>2.8570000000000002E-2</v>
          </cell>
        </row>
        <row r="554">
          <cell r="A554" t="str">
            <v>F-2026-02-315</v>
          </cell>
          <cell r="B554"/>
          <cell r="C554" t="str">
            <v>FPRO-260212-0012</v>
          </cell>
          <cell r="D554" t="str">
            <v>Firm plan 12.02</v>
          </cell>
          <cell r="E554" t="str">
            <v>BDB-000163</v>
          </cell>
          <cell r="F554" t="str">
            <v>PVN-001556</v>
          </cell>
          <cell r="G554" t="str">
            <v>OrthoLite Ultra-Nike YELLOW/13-0858TPX 0.085D 25+/-4 Asker C 1.1M 2M 4mm</v>
          </cell>
          <cell r="H554">
            <v>1500</v>
          </cell>
          <cell r="I554">
            <v>1500</v>
          </cell>
          <cell r="J554">
            <v>0</v>
          </cell>
          <cell r="K554">
            <v>1500</v>
          </cell>
          <cell r="L554" t="str">
            <v>NIKE</v>
          </cell>
          <cell r="M554" t="str">
            <v>Forecast</v>
          </cell>
          <cell r="N554" t="str">
            <v>DIE CUT</v>
          </cell>
          <cell r="O554">
            <v>1</v>
          </cell>
          <cell r="P554">
            <v>46065</v>
          </cell>
          <cell r="Q554">
            <v>46125</v>
          </cell>
          <cell r="R554">
            <v>46122</v>
          </cell>
          <cell r="S554">
            <v>60</v>
          </cell>
          <cell r="T554">
            <v>4</v>
          </cell>
          <cell r="U554">
            <v>35</v>
          </cell>
          <cell r="V554">
            <v>43</v>
          </cell>
          <cell r="W554" t="str">
            <v>0.085D</v>
          </cell>
          <cell r="X554" t="str">
            <v>4-2026</v>
          </cell>
          <cell r="Y554" t="str">
            <v>Week 15</v>
          </cell>
          <cell r="Z554">
            <v>46118</v>
          </cell>
          <cell r="AA554">
            <v>215</v>
          </cell>
          <cell r="AB554">
            <v>2.8570000000000002E-2</v>
          </cell>
        </row>
        <row r="555">
          <cell r="A555" t="str">
            <v>F-2026-02-316</v>
          </cell>
          <cell r="B555"/>
          <cell r="C555" t="str">
            <v>FPRO-260212-0013</v>
          </cell>
          <cell r="D555" t="str">
            <v>Firm plan 12.02</v>
          </cell>
          <cell r="E555" t="str">
            <v>BDB-000163</v>
          </cell>
          <cell r="F555" t="str">
            <v>PVN-001556</v>
          </cell>
          <cell r="G555" t="str">
            <v>OrthoLite Ultra-Nike YELLOW/13-0858TPX 0.085D 25+/-4 Asker C 1.1M 2M 4mm</v>
          </cell>
          <cell r="H555">
            <v>1500</v>
          </cell>
          <cell r="I555">
            <v>1500</v>
          </cell>
          <cell r="J555">
            <v>0</v>
          </cell>
          <cell r="K555">
            <v>1500</v>
          </cell>
          <cell r="L555" t="str">
            <v>NIKE</v>
          </cell>
          <cell r="M555" t="str">
            <v>Forecast</v>
          </cell>
          <cell r="N555" t="str">
            <v>DIE CUT</v>
          </cell>
          <cell r="O555">
            <v>1</v>
          </cell>
          <cell r="P555">
            <v>46065</v>
          </cell>
          <cell r="Q555">
            <v>46165</v>
          </cell>
          <cell r="R555">
            <v>46162</v>
          </cell>
          <cell r="S555">
            <v>100</v>
          </cell>
          <cell r="T555">
            <v>4</v>
          </cell>
          <cell r="U555">
            <v>35</v>
          </cell>
          <cell r="V555">
            <v>43</v>
          </cell>
          <cell r="W555" t="str">
            <v>0.085D</v>
          </cell>
          <cell r="X555" t="str">
            <v>5-2026</v>
          </cell>
          <cell r="Y555" t="str">
            <v>Week 21</v>
          </cell>
          <cell r="Z555">
            <v>46160</v>
          </cell>
          <cell r="AA555">
            <v>215</v>
          </cell>
          <cell r="AB555">
            <v>2.8570000000000002E-2</v>
          </cell>
        </row>
        <row r="556">
          <cell r="A556" t="str">
            <v>F-2026-02-317</v>
          </cell>
          <cell r="B556"/>
          <cell r="C556" t="str">
            <v>FPRO-260212-0014</v>
          </cell>
          <cell r="D556" t="str">
            <v>Firm plan 12.02</v>
          </cell>
          <cell r="E556" t="str">
            <v>BDB-000163</v>
          </cell>
          <cell r="F556" t="str">
            <v>PVN-001556</v>
          </cell>
          <cell r="G556" t="str">
            <v>OrthoLite Ultra-Nike YELLOW/13-0858TPX 0.085D 25+/-4 Asker C 1.1M 2M 4mm</v>
          </cell>
          <cell r="H556">
            <v>1500</v>
          </cell>
          <cell r="I556">
            <v>1500</v>
          </cell>
          <cell r="J556">
            <v>0</v>
          </cell>
          <cell r="K556">
            <v>1500</v>
          </cell>
          <cell r="L556" t="str">
            <v>NIKE</v>
          </cell>
          <cell r="M556" t="str">
            <v>Forecast</v>
          </cell>
          <cell r="N556" t="str">
            <v>DIE CUT</v>
          </cell>
          <cell r="O556">
            <v>1</v>
          </cell>
          <cell r="P556">
            <v>46065</v>
          </cell>
          <cell r="Q556">
            <v>46133</v>
          </cell>
          <cell r="R556">
            <v>46130</v>
          </cell>
          <cell r="S556">
            <v>68</v>
          </cell>
          <cell r="T556">
            <v>4</v>
          </cell>
          <cell r="U556">
            <v>35</v>
          </cell>
          <cell r="V556">
            <v>43</v>
          </cell>
          <cell r="W556" t="str">
            <v>0.085D</v>
          </cell>
          <cell r="X556" t="str">
            <v>4-2026</v>
          </cell>
          <cell r="Y556" t="str">
            <v>Week 16</v>
          </cell>
          <cell r="Z556">
            <v>46125</v>
          </cell>
          <cell r="AA556">
            <v>215</v>
          </cell>
          <cell r="AB556">
            <v>2.8570000000000002E-2</v>
          </cell>
        </row>
        <row r="557">
          <cell r="A557" t="str">
            <v>F-2026-02-318</v>
          </cell>
          <cell r="B557"/>
          <cell r="C557" t="str">
            <v>FPRO-260212-0015</v>
          </cell>
          <cell r="D557" t="str">
            <v>Firm plan 12.02</v>
          </cell>
          <cell r="E557" t="str">
            <v>BDB-000163</v>
          </cell>
          <cell r="F557" t="str">
            <v>PVN-001556</v>
          </cell>
          <cell r="G557" t="str">
            <v>OrthoLite Ultra-Nike YELLOW/13-0858TPX 0.085D 25+/-4 Asker C 1.1M 2M 4mm</v>
          </cell>
          <cell r="H557">
            <v>800</v>
          </cell>
          <cell r="I557">
            <v>800</v>
          </cell>
          <cell r="J557">
            <v>0</v>
          </cell>
          <cell r="K557">
            <v>800</v>
          </cell>
          <cell r="L557" t="str">
            <v>NIKE</v>
          </cell>
          <cell r="M557" t="str">
            <v>Forecast</v>
          </cell>
          <cell r="N557" t="str">
            <v>DIE CUT</v>
          </cell>
          <cell r="O557">
            <v>1</v>
          </cell>
          <cell r="P557">
            <v>46065</v>
          </cell>
          <cell r="Q557">
            <v>46153</v>
          </cell>
          <cell r="R557">
            <v>46150</v>
          </cell>
          <cell r="S557">
            <v>88</v>
          </cell>
          <cell r="T557">
            <v>4</v>
          </cell>
          <cell r="U557">
            <v>35</v>
          </cell>
          <cell r="V557">
            <v>23</v>
          </cell>
          <cell r="W557" t="str">
            <v>0.085D</v>
          </cell>
          <cell r="X557" t="str">
            <v>5-2026</v>
          </cell>
          <cell r="Y557" t="str">
            <v>Week 19</v>
          </cell>
          <cell r="Z557">
            <v>46146</v>
          </cell>
          <cell r="AA557">
            <v>215</v>
          </cell>
          <cell r="AB557">
            <v>2.8570000000000002E-2</v>
          </cell>
        </row>
        <row r="558">
          <cell r="A558" t="str">
            <v>F-2026-02-319</v>
          </cell>
          <cell r="B558"/>
          <cell r="C558" t="str">
            <v>FPRO-260212-0016</v>
          </cell>
          <cell r="D558" t="str">
            <v>Firm plan 12.02</v>
          </cell>
          <cell r="E558" t="str">
            <v>BDB-000175</v>
          </cell>
          <cell r="F558" t="str">
            <v>PVN-002875</v>
          </cell>
          <cell r="G558" t="str">
            <v>OrthoLite Ultra-Hybrid-Nike SEEDPEARL/12-0703TPX Hybrid 0.085D 25+/-4 Asker C 1.1M 2M 3mm</v>
          </cell>
          <cell r="H558">
            <v>955</v>
          </cell>
          <cell r="I558">
            <v>955</v>
          </cell>
          <cell r="J558">
            <v>0</v>
          </cell>
          <cell r="K558">
            <v>955</v>
          </cell>
          <cell r="L558" t="str">
            <v>NIKE</v>
          </cell>
          <cell r="M558" t="str">
            <v>Forecast</v>
          </cell>
          <cell r="N558" t="str">
            <v>DIE CUT</v>
          </cell>
          <cell r="O558">
            <v>1</v>
          </cell>
          <cell r="P558">
            <v>46065</v>
          </cell>
          <cell r="Q558">
            <v>46118</v>
          </cell>
          <cell r="R558">
            <v>46115</v>
          </cell>
          <cell r="S558">
            <v>53</v>
          </cell>
          <cell r="T558">
            <v>3</v>
          </cell>
          <cell r="U558">
            <v>46</v>
          </cell>
          <cell r="V558">
            <v>21</v>
          </cell>
          <cell r="W558" t="str">
            <v>0.085D</v>
          </cell>
          <cell r="X558" t="str">
            <v>4-2026</v>
          </cell>
          <cell r="Y558" t="str">
            <v>Week 14</v>
          </cell>
          <cell r="Z558">
            <v>46111</v>
          </cell>
          <cell r="AA558">
            <v>3</v>
          </cell>
          <cell r="AB558">
            <v>2.1739999999999999E-2</v>
          </cell>
        </row>
        <row r="559">
          <cell r="A559" t="str">
            <v>F-2026-02-320</v>
          </cell>
          <cell r="B559"/>
          <cell r="C559" t="str">
            <v>FPRO-260212-0017</v>
          </cell>
          <cell r="D559" t="str">
            <v>Firm plan 12.02</v>
          </cell>
          <cell r="E559" t="str">
            <v>BDB-000157</v>
          </cell>
          <cell r="F559" t="str">
            <v>PVN-003573</v>
          </cell>
          <cell r="G559" t="str">
            <v>OrthoLite X-35-Hybrid-Nike SEEDPEARL/12-0703TPX Hybrid 0.145D 25+/-4 Asker C 1.1M 2M 4.2mm</v>
          </cell>
          <cell r="H559">
            <v>3000</v>
          </cell>
          <cell r="I559">
            <v>3000</v>
          </cell>
          <cell r="J559">
            <v>3000</v>
          </cell>
          <cell r="K559">
            <v>0</v>
          </cell>
          <cell r="L559" t="str">
            <v>NIKE</v>
          </cell>
          <cell r="M559" t="str">
            <v>Forecast</v>
          </cell>
          <cell r="N559" t="str">
            <v>MOLDED</v>
          </cell>
          <cell r="O559">
            <v>1</v>
          </cell>
          <cell r="P559">
            <v>46065</v>
          </cell>
          <cell r="Q559">
            <v>46102</v>
          </cell>
          <cell r="R559">
            <v>46099</v>
          </cell>
          <cell r="S559">
            <v>37</v>
          </cell>
          <cell r="T559">
            <v>4.2</v>
          </cell>
          <cell r="U559">
            <v>33</v>
          </cell>
          <cell r="V559">
            <v>91</v>
          </cell>
          <cell r="W559" t="str">
            <v>0.145D</v>
          </cell>
          <cell r="X559" t="str">
            <v>3-2026</v>
          </cell>
          <cell r="Y559" t="str">
            <v>Week 12</v>
          </cell>
          <cell r="Z559">
            <v>46097</v>
          </cell>
          <cell r="AA559">
            <v>43</v>
          </cell>
          <cell r="AB559">
            <v>3.0300000000000001E-2</v>
          </cell>
        </row>
        <row r="560">
          <cell r="A560" t="str">
            <v>F-2026-02-321-1</v>
          </cell>
          <cell r="B560" t="str">
            <v>color</v>
          </cell>
          <cell r="C560" t="str">
            <v>FPRO-260212-0018</v>
          </cell>
          <cell r="D560" t="str">
            <v>Firm plan 12.02</v>
          </cell>
          <cell r="E560" t="str">
            <v>BDB-000157</v>
          </cell>
          <cell r="F560" t="str">
            <v>PVN-003573</v>
          </cell>
          <cell r="G560" t="str">
            <v>OrthoLite X-35-Hybrid-Nike SEEDPEARL/12-0703TPX Hybrid 0.145D 25+/-4 Asker C 1.1M 2M 4.2mm</v>
          </cell>
          <cell r="H560">
            <v>3000</v>
          </cell>
          <cell r="I560">
            <v>2730</v>
          </cell>
          <cell r="J560">
            <v>2730</v>
          </cell>
          <cell r="K560">
            <v>0</v>
          </cell>
          <cell r="L560" t="str">
            <v>NIKE</v>
          </cell>
          <cell r="M560" t="str">
            <v>Forecast</v>
          </cell>
          <cell r="N560" t="str">
            <v>MOLDED</v>
          </cell>
          <cell r="O560">
            <v>1</v>
          </cell>
          <cell r="P560">
            <v>46065</v>
          </cell>
          <cell r="Q560">
            <v>46110</v>
          </cell>
          <cell r="R560">
            <v>46107</v>
          </cell>
          <cell r="S560">
            <v>45</v>
          </cell>
          <cell r="T560">
            <v>4.2</v>
          </cell>
          <cell r="U560">
            <v>33</v>
          </cell>
          <cell r="V560">
            <v>83</v>
          </cell>
          <cell r="W560" t="str">
            <v>0.145D</v>
          </cell>
          <cell r="X560" t="str">
            <v>3-2026</v>
          </cell>
          <cell r="Y560" t="str">
            <v>Week 13</v>
          </cell>
          <cell r="Z560">
            <v>46104</v>
          </cell>
          <cell r="AA560">
            <v>122</v>
          </cell>
          <cell r="AB560">
            <v>3.0300000000000001E-2</v>
          </cell>
        </row>
        <row r="561">
          <cell r="A561" t="str">
            <v>F-2026-02-321-2</v>
          </cell>
          <cell r="B561" t="str">
            <v>color</v>
          </cell>
          <cell r="C561" t="str">
            <v>FPRO-260212-0018</v>
          </cell>
          <cell r="D561" t="str">
            <v>Firm plan 12.02</v>
          </cell>
          <cell r="E561" t="str">
            <v>BDB-000157</v>
          </cell>
          <cell r="F561" t="str">
            <v>PVN-003573</v>
          </cell>
          <cell r="G561" t="str">
            <v>OrthoLite X-35-Hybrid-Nike SEEDPEARL/12-0703TPX Hybrid 0.145D 25+/-4 Asker C 1.1M 2M 4.2mm</v>
          </cell>
          <cell r="H561">
            <v>3000</v>
          </cell>
          <cell r="I561">
            <v>270</v>
          </cell>
          <cell r="J561">
            <v>270</v>
          </cell>
          <cell r="K561">
            <v>0</v>
          </cell>
          <cell r="L561" t="str">
            <v>NIKE</v>
          </cell>
          <cell r="M561" t="str">
            <v>Forecast</v>
          </cell>
          <cell r="N561" t="str">
            <v>MOLDED</v>
          </cell>
          <cell r="O561">
            <v>1</v>
          </cell>
          <cell r="P561">
            <v>46065</v>
          </cell>
          <cell r="Q561">
            <v>46110</v>
          </cell>
          <cell r="R561">
            <v>46107</v>
          </cell>
          <cell r="S561">
            <v>45</v>
          </cell>
          <cell r="T561">
            <v>4.2</v>
          </cell>
          <cell r="U561">
            <v>33</v>
          </cell>
          <cell r="V561">
            <v>9</v>
          </cell>
          <cell r="W561" t="str">
            <v>0.145D</v>
          </cell>
          <cell r="X561" t="str">
            <v>3-2026</v>
          </cell>
          <cell r="Y561" t="str">
            <v>Week 13</v>
          </cell>
          <cell r="Z561">
            <v>46104</v>
          </cell>
          <cell r="AA561">
            <v>163</v>
          </cell>
          <cell r="AB561">
            <v>3.0300000000000001E-2</v>
          </cell>
        </row>
        <row r="562">
          <cell r="A562" t="str">
            <v>F-2026-02-322</v>
          </cell>
          <cell r="B562"/>
          <cell r="C562" t="str">
            <v>FPRO-260212-0019</v>
          </cell>
          <cell r="D562" t="str">
            <v>Firm plan 12.02</v>
          </cell>
          <cell r="E562" t="str">
            <v>BDB-000157</v>
          </cell>
          <cell r="F562" t="str">
            <v>PVN-003573</v>
          </cell>
          <cell r="G562" t="str">
            <v>OrthoLite X-35-Hybrid-Nike SEEDPEARL/12-0703TPX Hybrid 0.145D 25+/-4 Asker C 1.1M 2M 4.2mm</v>
          </cell>
          <cell r="H562">
            <v>3000</v>
          </cell>
          <cell r="I562">
            <v>3000</v>
          </cell>
          <cell r="J562">
            <v>0</v>
          </cell>
          <cell r="K562">
            <v>3000</v>
          </cell>
          <cell r="L562" t="str">
            <v>NIKE</v>
          </cell>
          <cell r="M562" t="str">
            <v>Forecast</v>
          </cell>
          <cell r="N562" t="str">
            <v>MOLDED</v>
          </cell>
          <cell r="O562">
            <v>1</v>
          </cell>
          <cell r="P562">
            <v>46065</v>
          </cell>
          <cell r="Q562">
            <v>46115</v>
          </cell>
          <cell r="R562">
            <v>46112</v>
          </cell>
          <cell r="S562">
            <v>50</v>
          </cell>
          <cell r="T562">
            <v>4.2</v>
          </cell>
          <cell r="U562">
            <v>33</v>
          </cell>
          <cell r="V562">
            <v>91</v>
          </cell>
          <cell r="W562" t="str">
            <v>0.145D</v>
          </cell>
          <cell r="X562" t="str">
            <v>4-2026</v>
          </cell>
          <cell r="Y562" t="str">
            <v>Week 14</v>
          </cell>
          <cell r="Z562">
            <v>46111</v>
          </cell>
          <cell r="AA562">
            <v>163</v>
          </cell>
          <cell r="AB562">
            <v>3.0300000000000001E-2</v>
          </cell>
        </row>
        <row r="563">
          <cell r="A563" t="str">
            <v>F-2026-02-323</v>
          </cell>
          <cell r="B563"/>
          <cell r="C563" t="str">
            <v>FPRO-260212-0020</v>
          </cell>
          <cell r="D563" t="str">
            <v>Firm plan 12.02</v>
          </cell>
          <cell r="E563" t="str">
            <v>BDB-000157</v>
          </cell>
          <cell r="F563" t="str">
            <v>PVN-003573</v>
          </cell>
          <cell r="G563" t="str">
            <v>OrthoLite X-35-Hybrid-Nike SEEDPEARL/12-0703TPX Hybrid 0.145D 25+/-4 Asker C 1.1M 2M 4.2mm</v>
          </cell>
          <cell r="H563">
            <v>3000</v>
          </cell>
          <cell r="I563">
            <v>3000</v>
          </cell>
          <cell r="J563">
            <v>0</v>
          </cell>
          <cell r="K563">
            <v>3000</v>
          </cell>
          <cell r="L563" t="str">
            <v>NIKE</v>
          </cell>
          <cell r="M563" t="str">
            <v>Forecast</v>
          </cell>
          <cell r="N563" t="str">
            <v>MOLDED</v>
          </cell>
          <cell r="O563">
            <v>1</v>
          </cell>
          <cell r="P563">
            <v>46065</v>
          </cell>
          <cell r="Q563">
            <v>46121</v>
          </cell>
          <cell r="R563">
            <v>46118</v>
          </cell>
          <cell r="S563">
            <v>56</v>
          </cell>
          <cell r="T563">
            <v>4.2</v>
          </cell>
          <cell r="U563">
            <v>33</v>
          </cell>
          <cell r="V563">
            <v>91</v>
          </cell>
          <cell r="W563" t="str">
            <v>0.145D</v>
          </cell>
          <cell r="X563" t="str">
            <v>4-2026</v>
          </cell>
          <cell r="Y563" t="str">
            <v>Week 14</v>
          </cell>
          <cell r="Z563">
            <v>46111</v>
          </cell>
          <cell r="AA563">
            <v>114</v>
          </cell>
          <cell r="AB563">
            <v>3.0300000000000001E-2</v>
          </cell>
        </row>
        <row r="564">
          <cell r="A564" t="str">
            <v>F-2026-02-324</v>
          </cell>
          <cell r="B564"/>
          <cell r="C564" t="str">
            <v>FPRO-260212-0021</v>
          </cell>
          <cell r="D564" t="str">
            <v>Firm plan 12.02</v>
          </cell>
          <cell r="E564" t="str">
            <v>BDB-000157</v>
          </cell>
          <cell r="F564" t="str">
            <v>PVN-003573</v>
          </cell>
          <cell r="G564" t="str">
            <v>OrthoLite X-35-Hybrid-Nike SEEDPEARL/12-0703TPX Hybrid 0.145D 25+/-4 Asker C 1.1M 2M 4.2mm</v>
          </cell>
          <cell r="H564">
            <v>1550</v>
          </cell>
          <cell r="I564">
            <v>1550</v>
          </cell>
          <cell r="J564">
            <v>0</v>
          </cell>
          <cell r="K564">
            <v>1550</v>
          </cell>
          <cell r="L564" t="str">
            <v>NIKE</v>
          </cell>
          <cell r="M564" t="str">
            <v>Forecast</v>
          </cell>
          <cell r="N564" t="str">
            <v>MOLDED</v>
          </cell>
          <cell r="O564">
            <v>1</v>
          </cell>
          <cell r="P564">
            <v>46065</v>
          </cell>
          <cell r="Q564">
            <v>46140</v>
          </cell>
          <cell r="R564">
            <v>46137</v>
          </cell>
          <cell r="S564">
            <v>75</v>
          </cell>
          <cell r="T564">
            <v>4.2</v>
          </cell>
          <cell r="U564">
            <v>33</v>
          </cell>
          <cell r="V564">
            <v>47</v>
          </cell>
          <cell r="W564" t="str">
            <v>0.145D</v>
          </cell>
          <cell r="X564" t="str">
            <v>4-2026</v>
          </cell>
          <cell r="Y564" t="str">
            <v>Week 17</v>
          </cell>
          <cell r="Z564">
            <v>46132</v>
          </cell>
          <cell r="AA564">
            <v>237</v>
          </cell>
          <cell r="AB564">
            <v>3.0300000000000001E-2</v>
          </cell>
        </row>
        <row r="565">
          <cell r="A565" t="str">
            <v>F-2026-02-325</v>
          </cell>
          <cell r="B565"/>
          <cell r="C565" t="str">
            <v>FPRO-260212-0001</v>
          </cell>
          <cell r="D565" t="str">
            <v>Firm plan 12.02</v>
          </cell>
          <cell r="E565" t="str">
            <v>BDB-000123</v>
          </cell>
          <cell r="F565" t="str">
            <v>PVN-002539</v>
          </cell>
          <cell r="G565" t="str">
            <v>OrthoLite Ultra-Hybrid SEEDPEARL/12-0703TPX Hybrid Flat Sheet 0.085D 25+/-4 Asker C 1.1M 2M 5mm</v>
          </cell>
          <cell r="H565">
            <v>1000</v>
          </cell>
          <cell r="I565">
            <v>1000</v>
          </cell>
          <cell r="J565">
            <v>1000</v>
          </cell>
          <cell r="K565">
            <v>0</v>
          </cell>
          <cell r="L565" t="str">
            <v>BROOKS</v>
          </cell>
          <cell r="M565" t="str">
            <v>Forecast</v>
          </cell>
          <cell r="N565" t="str">
            <v>DIE CUT</v>
          </cell>
          <cell r="O565">
            <v>1</v>
          </cell>
          <cell r="P565">
            <v>46065</v>
          </cell>
          <cell r="Q565">
            <v>46099</v>
          </cell>
          <cell r="R565">
            <v>46096</v>
          </cell>
          <cell r="S565">
            <v>34</v>
          </cell>
          <cell r="T565">
            <v>5</v>
          </cell>
          <cell r="U565">
            <v>28</v>
          </cell>
          <cell r="V565">
            <v>36</v>
          </cell>
          <cell r="W565" t="str">
            <v>0.085D</v>
          </cell>
          <cell r="X565" t="str">
            <v>3-2026</v>
          </cell>
          <cell r="Y565" t="str">
            <v>Week 11</v>
          </cell>
          <cell r="Z565">
            <v>46090</v>
          </cell>
          <cell r="AA565">
            <v>0</v>
          </cell>
          <cell r="AB565">
            <v>3.5709999999999999E-2</v>
          </cell>
        </row>
        <row r="566">
          <cell r="A566" t="str">
            <v>OIN-2026.02.13-01</v>
          </cell>
          <cell r="B566" t="str">
            <v>Urgent/LCL</v>
          </cell>
          <cell r="C566" t="str">
            <v>RPRO-260226-0356</v>
          </cell>
          <cell r="D566" t="str">
            <v>OIN</v>
          </cell>
          <cell r="E566" t="str">
            <v>BDB-000106</v>
          </cell>
          <cell r="F566" t="str">
            <v>PVN-003847</v>
          </cell>
          <cell r="G566" t="str">
            <v>[116-095] Eco Lite Hybrid 35+/-4 Asker C 0.13D Grey 17-1501 Tpx 1.10M X 2.00M 47mm</v>
          </cell>
          <cell r="H566">
            <v>5</v>
          </cell>
          <cell r="I566">
            <v>5</v>
          </cell>
          <cell r="J566">
            <v>5</v>
          </cell>
          <cell r="K566">
            <v>0</v>
          </cell>
          <cell r="L566" t="str">
            <v>Geox</v>
          </cell>
          <cell r="M566" t="str">
            <v>PO-6679-SO-260225-0028</v>
          </cell>
          <cell r="N566" t="str">
            <v>FLAT SHEET</v>
          </cell>
          <cell r="O566">
            <v>2</v>
          </cell>
          <cell r="P566">
            <v>46066</v>
          </cell>
          <cell r="Q566">
            <v>46093</v>
          </cell>
          <cell r="R566">
            <v>46090</v>
          </cell>
          <cell r="S566">
            <v>27</v>
          </cell>
          <cell r="T566">
            <v>47</v>
          </cell>
          <cell r="U566">
            <v>3</v>
          </cell>
          <cell r="V566">
            <v>2</v>
          </cell>
          <cell r="W566" t="str">
            <v>0.13D</v>
          </cell>
          <cell r="X566" t="str">
            <v>3-2026</v>
          </cell>
          <cell r="Y566" t="str">
            <v>Week 10</v>
          </cell>
          <cell r="Z566">
            <v>46083</v>
          </cell>
          <cell r="AA566">
            <v>57</v>
          </cell>
          <cell r="AB566">
            <v>0.33333000000000002</v>
          </cell>
        </row>
        <row r="567">
          <cell r="A567" t="str">
            <v>OIN-2026.02.13-02</v>
          </cell>
          <cell r="B567" t="str">
            <v>Urgent/LCL</v>
          </cell>
          <cell r="C567" t="str">
            <v>RPRO-260226-0357</v>
          </cell>
          <cell r="D567" t="str">
            <v>OIN</v>
          </cell>
          <cell r="E567" t="str">
            <v>BDB-000102</v>
          </cell>
          <cell r="F567" t="str">
            <v>PVN-003821</v>
          </cell>
          <cell r="G567" t="str">
            <v>[118-467] Eco Lite Hybrid 35+/-4 Asker C 0.13D Lime Green 14-0452 Tpx 1.10M X 2.00M 47mm</v>
          </cell>
          <cell r="H567">
            <v>13</v>
          </cell>
          <cell r="I567">
            <v>13</v>
          </cell>
          <cell r="J567">
            <v>13</v>
          </cell>
          <cell r="K567">
            <v>0</v>
          </cell>
          <cell r="L567" t="str">
            <v>Geox</v>
          </cell>
          <cell r="M567" t="str">
            <v>PO-6679-SO-260225-0029</v>
          </cell>
          <cell r="N567" t="str">
            <v>FLAT SHEET</v>
          </cell>
          <cell r="O567">
            <v>2</v>
          </cell>
          <cell r="P567">
            <v>46066</v>
          </cell>
          <cell r="Q567">
            <v>46093</v>
          </cell>
          <cell r="R567">
            <v>46090</v>
          </cell>
          <cell r="S567">
            <v>27</v>
          </cell>
          <cell r="T567">
            <v>47</v>
          </cell>
          <cell r="U567">
            <v>3</v>
          </cell>
          <cell r="V567">
            <v>5</v>
          </cell>
          <cell r="W567" t="str">
            <v>0.13D</v>
          </cell>
          <cell r="X567" t="str">
            <v>3-2026</v>
          </cell>
          <cell r="Y567" t="str">
            <v>Week 10</v>
          </cell>
          <cell r="Z567">
            <v>46083</v>
          </cell>
          <cell r="AA567">
            <v>270</v>
          </cell>
          <cell r="AB567">
            <v>0.33333000000000002</v>
          </cell>
        </row>
        <row r="568">
          <cell r="A568" t="str">
            <v>OIN-2026.02.14-01</v>
          </cell>
          <cell r="B568" t="str">
            <v>Urgent/LCL</v>
          </cell>
          <cell r="C568" t="str">
            <v>RPRO-260226-0358</v>
          </cell>
          <cell r="D568" t="str">
            <v>OIN</v>
          </cell>
          <cell r="E568" t="str">
            <v>BDB-000300</v>
          </cell>
          <cell r="F568" t="str">
            <v>PVN-004267</v>
          </cell>
          <cell r="G568" t="str">
            <v>[116-12954] Ultra Nike 25+/-4 Asker C 0.085D Seedpearl 12-0703 Tpx 1.10M X 1.70M 47mm</v>
          </cell>
          <cell r="H568">
            <v>21</v>
          </cell>
          <cell r="I568">
            <v>21</v>
          </cell>
          <cell r="J568">
            <v>21</v>
          </cell>
          <cell r="K568">
            <v>0</v>
          </cell>
          <cell r="L568" t="str">
            <v>NIKE</v>
          </cell>
          <cell r="M568" t="str">
            <v>PO-6686-SO-260225-0027</v>
          </cell>
          <cell r="N568" t="str">
            <v>FLAT SHEET</v>
          </cell>
          <cell r="O568">
            <v>2</v>
          </cell>
          <cell r="P568">
            <v>46067</v>
          </cell>
          <cell r="Q568">
            <v>46093</v>
          </cell>
          <cell r="R568">
            <v>46090</v>
          </cell>
          <cell r="S568">
            <v>26</v>
          </cell>
          <cell r="T568">
            <v>47</v>
          </cell>
          <cell r="U568">
            <v>3</v>
          </cell>
          <cell r="V568">
            <v>7</v>
          </cell>
          <cell r="W568" t="str">
            <v>0.085D</v>
          </cell>
          <cell r="X568" t="str">
            <v>3-2026</v>
          </cell>
          <cell r="Y568" t="str">
            <v>Week 10</v>
          </cell>
          <cell r="Z568">
            <v>46083</v>
          </cell>
          <cell r="AA568">
            <v>270</v>
          </cell>
          <cell r="AB568">
            <v>0.33333000000000002</v>
          </cell>
        </row>
        <row r="569">
          <cell r="A569" t="str">
            <v>OIN-2026.02.17-01</v>
          </cell>
          <cell r="B569" t="str">
            <v>Urgent/FCL</v>
          </cell>
          <cell r="C569" t="str">
            <v>RPRO-260226-0359</v>
          </cell>
          <cell r="D569" t="str">
            <v>OIN</v>
          </cell>
          <cell r="E569" t="str">
            <v>BDB-000123</v>
          </cell>
          <cell r="F569" t="str">
            <v>PVN-003784</v>
          </cell>
          <cell r="G569" t="str">
            <v xml:space="preserve">[116-311] Ultra Hybrid 25+/-4 Asker C 0.085D Seedpearl 12-0703 Tpx 1.10M X 2.00M 47mm </v>
          </cell>
          <cell r="H569">
            <v>1064</v>
          </cell>
          <cell r="I569">
            <v>1064</v>
          </cell>
          <cell r="J569">
            <v>1064</v>
          </cell>
          <cell r="K569">
            <v>0</v>
          </cell>
          <cell r="L569" t="str">
            <v>ADIDAS</v>
          </cell>
          <cell r="M569" t="str">
            <v>PO-6709-SO-260225-0026</v>
          </cell>
          <cell r="N569" t="str">
            <v>FLAT SHEET</v>
          </cell>
          <cell r="O569">
            <v>2</v>
          </cell>
          <cell r="P569">
            <v>46070</v>
          </cell>
          <cell r="Q569">
            <v>46104</v>
          </cell>
          <cell r="R569">
            <v>46101</v>
          </cell>
          <cell r="S569">
            <v>34</v>
          </cell>
          <cell r="T569">
            <v>47</v>
          </cell>
          <cell r="U569">
            <v>3</v>
          </cell>
          <cell r="V569">
            <v>355</v>
          </cell>
          <cell r="W569" t="str">
            <v>0.085D</v>
          </cell>
          <cell r="X569" t="str">
            <v>3-2026</v>
          </cell>
          <cell r="Y569" t="str">
            <v>Week 12</v>
          </cell>
          <cell r="Z569">
            <v>46097</v>
          </cell>
          <cell r="AA569">
            <v>167</v>
          </cell>
          <cell r="AB569">
            <v>0.33333000000000002</v>
          </cell>
        </row>
        <row r="570">
          <cell r="A570" t="str">
            <v>OIN-2026.02.19-01</v>
          </cell>
          <cell r="B570" t="str">
            <v>Urgent/LCL</v>
          </cell>
          <cell r="C570" t="str">
            <v>RPRO-260226-0360</v>
          </cell>
          <cell r="D570" t="str">
            <v>OIN</v>
          </cell>
          <cell r="E570" t="str">
            <v>BDB-000025</v>
          </cell>
          <cell r="F570" t="str">
            <v>PVN-003785</v>
          </cell>
          <cell r="G570" t="str">
            <v>[116-247] Regular 25+/-4 Asker C 0.11D Green 16-5932 Tpx 1.10M X 2.00M 47mm</v>
          </cell>
          <cell r="H570">
            <v>25</v>
          </cell>
          <cell r="I570">
            <v>25</v>
          </cell>
          <cell r="J570">
            <v>25</v>
          </cell>
          <cell r="K570">
            <v>0</v>
          </cell>
          <cell r="L570" t="str">
            <v>Clarks</v>
          </cell>
          <cell r="M570" t="str">
            <v>PO-6720-SO-260225-0025</v>
          </cell>
          <cell r="N570" t="str">
            <v>FLAT SHEET</v>
          </cell>
          <cell r="O570">
            <v>2</v>
          </cell>
          <cell r="P570">
            <v>46072</v>
          </cell>
          <cell r="Q570">
            <v>46093</v>
          </cell>
          <cell r="R570">
            <v>46090</v>
          </cell>
          <cell r="S570">
            <v>21</v>
          </cell>
          <cell r="T570">
            <v>47</v>
          </cell>
          <cell r="U570">
            <v>3</v>
          </cell>
          <cell r="V570">
            <v>9</v>
          </cell>
          <cell r="W570" t="str">
            <v>0.11D</v>
          </cell>
          <cell r="X570" t="str">
            <v>3-2026</v>
          </cell>
          <cell r="Y570" t="str">
            <v>Week 10</v>
          </cell>
          <cell r="Z570">
            <v>46083</v>
          </cell>
          <cell r="AA570">
            <v>383</v>
          </cell>
          <cell r="AB570">
            <v>0.33333000000000002</v>
          </cell>
        </row>
        <row r="571">
          <cell r="A571" t="str">
            <v>OIN-2026.02.23-01</v>
          </cell>
          <cell r="B571" t="str">
            <v>Urgent/FCL</v>
          </cell>
          <cell r="C571" t="str">
            <v>RPRO-260226-0361</v>
          </cell>
          <cell r="D571" t="str">
            <v>OIN</v>
          </cell>
          <cell r="E571" t="str">
            <v>BDB-000123</v>
          </cell>
          <cell r="F571" t="str">
            <v>PVN-003784</v>
          </cell>
          <cell r="G571" t="str">
            <v>[116-311] Ultra Hybrid 25+/-4 Asker C 0.085D Seedpearl 12-0703 Tpx 1.10M X 2.00M 47mm</v>
          </cell>
          <cell r="H571">
            <v>1064</v>
          </cell>
          <cell r="I571">
            <v>1064</v>
          </cell>
          <cell r="J571">
            <v>1064</v>
          </cell>
          <cell r="K571">
            <v>0</v>
          </cell>
          <cell r="L571" t="str">
            <v>ADIDAS</v>
          </cell>
          <cell r="M571" t="str">
            <v>PO-6743-SO-260225-0024</v>
          </cell>
          <cell r="N571" t="str">
            <v>FLAT SHEET</v>
          </cell>
          <cell r="O571">
            <v>2</v>
          </cell>
          <cell r="P571">
            <v>46076</v>
          </cell>
          <cell r="Q571">
            <v>46105</v>
          </cell>
          <cell r="R571">
            <v>46102</v>
          </cell>
          <cell r="S571">
            <v>29</v>
          </cell>
          <cell r="T571">
            <v>47</v>
          </cell>
          <cell r="U571">
            <v>3</v>
          </cell>
          <cell r="V571">
            <v>355</v>
          </cell>
          <cell r="W571" t="str">
            <v>0.085D</v>
          </cell>
          <cell r="X571" t="str">
            <v>3-2026</v>
          </cell>
          <cell r="Y571" t="str">
            <v>Week 12</v>
          </cell>
          <cell r="Z571">
            <v>46097</v>
          </cell>
          <cell r="AA571">
            <v>383</v>
          </cell>
          <cell r="AB571">
            <v>0.33333000000000002</v>
          </cell>
        </row>
        <row r="572">
          <cell r="A572" t="str">
            <v>F-2026-02-326</v>
          </cell>
          <cell r="B572"/>
          <cell r="C572" t="str">
            <v>RPRO-260225-0747</v>
          </cell>
          <cell r="D572" t="str">
            <v>MPS 11.02+24.02</v>
          </cell>
          <cell r="E572" t="str">
            <v>BDB-000010</v>
          </cell>
          <cell r="F572" t="str">
            <v>PVN-000101</v>
          </cell>
          <cell r="G572" t="str">
            <v>OrthoLite Regular AIR BLUE/16-4134TPX Flat Sheet 0.11D 25+/-4 Asker C 1.1M 2M 3mm</v>
          </cell>
          <cell r="H572">
            <v>276</v>
          </cell>
          <cell r="I572">
            <v>276</v>
          </cell>
          <cell r="J572">
            <v>276</v>
          </cell>
          <cell r="K572">
            <v>0</v>
          </cell>
          <cell r="L572"/>
          <cell r="M572" t="str">
            <v>MPS</v>
          </cell>
          <cell r="N572" t="str">
            <v>SPLITTING</v>
          </cell>
          <cell r="O572">
            <v>2</v>
          </cell>
          <cell r="P572">
            <v>46078</v>
          </cell>
          <cell r="Q572">
            <v>46093</v>
          </cell>
          <cell r="R572">
            <v>46090</v>
          </cell>
          <cell r="S572">
            <v>15</v>
          </cell>
          <cell r="T572">
            <v>3</v>
          </cell>
          <cell r="U572">
            <v>46</v>
          </cell>
          <cell r="V572">
            <v>7</v>
          </cell>
          <cell r="W572" t="str">
            <v>0.11D</v>
          </cell>
          <cell r="X572" t="str">
            <v>3-2026</v>
          </cell>
          <cell r="Y572" t="str">
            <v>Week 10</v>
          </cell>
          <cell r="Z572">
            <v>46083</v>
          </cell>
          <cell r="AA572">
            <v>383</v>
          </cell>
          <cell r="AB572">
            <v>2.1739999999999999E-2</v>
          </cell>
        </row>
        <row r="573">
          <cell r="A573" t="str">
            <v>F-2026-02-327</v>
          </cell>
          <cell r="B573"/>
          <cell r="C573" t="str">
            <v>RPRO-260225-0748</v>
          </cell>
          <cell r="D573" t="str">
            <v>MPS 11.02+24.02</v>
          </cell>
          <cell r="E573" t="str">
            <v>BDB-000058</v>
          </cell>
          <cell r="F573" t="str">
            <v>PVN-001277</v>
          </cell>
          <cell r="G573" t="str">
            <v>OrthoLite Ultra GREEN/16-5932TPX Flat Sheet 0.085D 25+/-4 Asker C 1.1M 2M 4mm</v>
          </cell>
          <cell r="H573">
            <v>4000</v>
          </cell>
          <cell r="I573">
            <v>4000</v>
          </cell>
          <cell r="J573">
            <v>4000</v>
          </cell>
          <cell r="K573">
            <v>0</v>
          </cell>
          <cell r="L573"/>
          <cell r="M573" t="str">
            <v>MPS</v>
          </cell>
          <cell r="N573" t="str">
            <v>SPLITTING</v>
          </cell>
          <cell r="O573">
            <v>2</v>
          </cell>
          <cell r="P573">
            <v>46078</v>
          </cell>
          <cell r="Q573" t="str">
            <v>10/3*1000;
12/3*3000</v>
          </cell>
          <cell r="R573">
            <v>46090</v>
          </cell>
          <cell r="S573" t="e">
            <v>#VALUE!</v>
          </cell>
          <cell r="T573">
            <v>4</v>
          </cell>
          <cell r="U573">
            <v>35</v>
          </cell>
          <cell r="V573">
            <v>115</v>
          </cell>
          <cell r="W573" t="str">
            <v>0.085D</v>
          </cell>
          <cell r="X573" t="e">
            <v>#VALUE!</v>
          </cell>
          <cell r="Y573" t="str">
            <v>Week 10</v>
          </cell>
          <cell r="Z573">
            <v>46083</v>
          </cell>
          <cell r="AA573">
            <v>383</v>
          </cell>
          <cell r="AB573">
            <v>2.8570000000000002E-2</v>
          </cell>
        </row>
        <row r="574">
          <cell r="A574" t="str">
            <v>F-2026-02-328</v>
          </cell>
          <cell r="B574"/>
          <cell r="C574" t="str">
            <v>RPRO-260225-0749</v>
          </cell>
          <cell r="D574" t="str">
            <v>MPS 11.02+24.02</v>
          </cell>
          <cell r="E574" t="str">
            <v>BDB-000058</v>
          </cell>
          <cell r="F574" t="str">
            <v>PVN-001277</v>
          </cell>
          <cell r="G574" t="str">
            <v>OrthoLite Ultra GREEN/16-5932TPX Flat Sheet 0.085D 25+/-4 Asker C 1.1M 2M 4mm</v>
          </cell>
          <cell r="H574">
            <v>4120</v>
          </cell>
          <cell r="I574">
            <v>4120</v>
          </cell>
          <cell r="J574">
            <v>4120</v>
          </cell>
          <cell r="K574">
            <v>0</v>
          </cell>
          <cell r="L574"/>
          <cell r="M574" t="str">
            <v>MPS</v>
          </cell>
          <cell r="N574" t="str">
            <v>SPLITTING</v>
          </cell>
          <cell r="O574">
            <v>2</v>
          </cell>
          <cell r="P574">
            <v>46078</v>
          </cell>
          <cell r="Q574">
            <v>46095</v>
          </cell>
          <cell r="R574">
            <v>46092</v>
          </cell>
          <cell r="S574">
            <v>17</v>
          </cell>
          <cell r="T574">
            <v>4</v>
          </cell>
          <cell r="U574">
            <v>35</v>
          </cell>
          <cell r="V574">
            <v>118</v>
          </cell>
          <cell r="W574" t="str">
            <v>0.085D</v>
          </cell>
          <cell r="X574" t="str">
            <v>3-2026</v>
          </cell>
          <cell r="Y574" t="str">
            <v>Week 11</v>
          </cell>
          <cell r="Z574">
            <v>46090</v>
          </cell>
          <cell r="AA574">
            <v>283</v>
          </cell>
          <cell r="AB574">
            <v>2.8570000000000002E-2</v>
          </cell>
        </row>
        <row r="575">
          <cell r="A575" t="str">
            <v>F-2026-02-329</v>
          </cell>
          <cell r="B575"/>
          <cell r="C575" t="str">
            <v>RPRO-260225-0750</v>
          </cell>
          <cell r="D575" t="str">
            <v>MPS 11.02+24.02</v>
          </cell>
          <cell r="E575" t="str">
            <v>BDB-000123</v>
          </cell>
          <cell r="F575" t="str">
            <v>PVN-003300</v>
          </cell>
          <cell r="G575" t="str">
            <v>OrthoLite Ultra-Hybrid SEEDPEARL/12-0703TPX Hybrid Flat Sheet 0.085D 25+/-4 Asker C 1.1M 2M 2mm</v>
          </cell>
          <cell r="H575">
            <v>210</v>
          </cell>
          <cell r="I575">
            <v>210</v>
          </cell>
          <cell r="J575">
            <v>210</v>
          </cell>
          <cell r="K575">
            <v>0</v>
          </cell>
          <cell r="L575"/>
          <cell r="M575" t="str">
            <v>MPS</v>
          </cell>
          <cell r="N575" t="str">
            <v>SPLITTING</v>
          </cell>
          <cell r="O575">
            <v>2</v>
          </cell>
          <cell r="P575">
            <v>46078</v>
          </cell>
          <cell r="Q575">
            <v>46086</v>
          </cell>
          <cell r="R575">
            <v>46083</v>
          </cell>
          <cell r="S575">
            <v>8</v>
          </cell>
          <cell r="T575">
            <v>2</v>
          </cell>
          <cell r="U575">
            <v>70</v>
          </cell>
          <cell r="V575">
            <v>4</v>
          </cell>
          <cell r="W575" t="str">
            <v>0.085D</v>
          </cell>
          <cell r="X575" t="str">
            <v>3-2026</v>
          </cell>
          <cell r="Y575" t="str">
            <v>Week 9</v>
          </cell>
          <cell r="Z575">
            <v>46076</v>
          </cell>
          <cell r="AA575">
            <v>509</v>
          </cell>
          <cell r="AB575">
            <v>1.4290000000000001E-2</v>
          </cell>
        </row>
        <row r="576">
          <cell r="A576" t="str">
            <v>F-2026-02-330</v>
          </cell>
          <cell r="B576"/>
          <cell r="C576" t="str">
            <v>RPRO-260225-0751</v>
          </cell>
          <cell r="D576" t="str">
            <v>MPS 11.02+24.02</v>
          </cell>
          <cell r="E576" t="str">
            <v>BDB-000123</v>
          </cell>
          <cell r="F576" t="str">
            <v>PVN-003315</v>
          </cell>
          <cell r="G576" t="str">
            <v>OrthoLite Ultra-Hybrid SEEDPEARL/12-0703TPX Hybrid 0.085D 25+/-4 Asker C 1.1M 2M 3.5mm</v>
          </cell>
          <cell r="H576">
            <v>80</v>
          </cell>
          <cell r="I576">
            <v>80</v>
          </cell>
          <cell r="J576">
            <v>80</v>
          </cell>
          <cell r="K576">
            <v>0</v>
          </cell>
          <cell r="L576"/>
          <cell r="M576" t="str">
            <v>MPS</v>
          </cell>
          <cell r="N576" t="str">
            <v>SPLITTING</v>
          </cell>
          <cell r="O576">
            <v>2</v>
          </cell>
          <cell r="P576">
            <v>46078</v>
          </cell>
          <cell r="Q576">
            <v>46093</v>
          </cell>
          <cell r="R576">
            <v>46090</v>
          </cell>
          <cell r="S576">
            <v>15</v>
          </cell>
          <cell r="T576">
            <v>3.5</v>
          </cell>
          <cell r="U576">
            <v>40</v>
          </cell>
          <cell r="V576">
            <v>2</v>
          </cell>
          <cell r="W576" t="str">
            <v>0.085D</v>
          </cell>
          <cell r="X576" t="str">
            <v>3-2026</v>
          </cell>
          <cell r="Y576" t="str">
            <v>Week 10</v>
          </cell>
          <cell r="Z576">
            <v>46083</v>
          </cell>
          <cell r="AA576">
            <v>509</v>
          </cell>
          <cell r="AB576">
            <v>2.5000000000000001E-2</v>
          </cell>
        </row>
        <row r="577">
          <cell r="A577" t="str">
            <v>F-2026-02-331</v>
          </cell>
          <cell r="B577"/>
          <cell r="C577" t="str">
            <v>RPRO-260225-0752</v>
          </cell>
          <cell r="D577" t="str">
            <v>MPS 11.02+24.02</v>
          </cell>
          <cell r="E577" t="str">
            <v>BDB-000200</v>
          </cell>
          <cell r="F577" t="str">
            <v>PVN-003418</v>
          </cell>
          <cell r="G577" t="str">
            <v>OrthoLite Ultra SEEDPEARL/12-0703TPX Flat Sheet 0.085D 78-90 Asker F 1.1M 2M 5mm</v>
          </cell>
          <cell r="H577">
            <v>196</v>
          </cell>
          <cell r="I577">
            <v>196</v>
          </cell>
          <cell r="J577">
            <v>196</v>
          </cell>
          <cell r="K577">
            <v>0</v>
          </cell>
          <cell r="L577"/>
          <cell r="M577" t="str">
            <v>MPS</v>
          </cell>
          <cell r="N577" t="str">
            <v>SPLITTING</v>
          </cell>
          <cell r="O577">
            <v>2</v>
          </cell>
          <cell r="P577">
            <v>46078</v>
          </cell>
          <cell r="Q577">
            <v>46092</v>
          </cell>
          <cell r="R577">
            <v>46089</v>
          </cell>
          <cell r="S577">
            <v>14</v>
          </cell>
          <cell r="T577">
            <v>5</v>
          </cell>
          <cell r="U577">
            <v>28</v>
          </cell>
          <cell r="V577">
            <v>7</v>
          </cell>
          <cell r="W577" t="str">
            <v>0.085D</v>
          </cell>
          <cell r="X577" t="str">
            <v>3-2026</v>
          </cell>
          <cell r="Y577" t="str">
            <v>Week 10</v>
          </cell>
          <cell r="Z577">
            <v>46083</v>
          </cell>
          <cell r="AA577">
            <v>509</v>
          </cell>
          <cell r="AB577">
            <v>3.5709999999999999E-2</v>
          </cell>
        </row>
        <row r="578">
          <cell r="A578" t="str">
            <v>F-2026-02-332</v>
          </cell>
          <cell r="B578"/>
          <cell r="C578" t="str">
            <v>RPRO-260225-0753</v>
          </cell>
          <cell r="D578" t="str">
            <v>MPS 11.02+24.02</v>
          </cell>
          <cell r="E578" t="str">
            <v>BDB-000200</v>
          </cell>
          <cell r="F578" t="str">
            <v>PVN-003420</v>
          </cell>
          <cell r="G578" t="str">
            <v>OrthoLite Ultra SEEDPEARL/12-0703TPX Flat Sheet 0.085D 78-90 Asker F 1.1M 2M 6mm</v>
          </cell>
          <cell r="H578">
            <v>391</v>
          </cell>
          <cell r="I578">
            <v>391</v>
          </cell>
          <cell r="J578">
            <v>391</v>
          </cell>
          <cell r="K578">
            <v>0</v>
          </cell>
          <cell r="L578"/>
          <cell r="M578" t="str">
            <v>MPS</v>
          </cell>
          <cell r="N578" t="str">
            <v>SPLITTING</v>
          </cell>
          <cell r="O578">
            <v>2</v>
          </cell>
          <cell r="P578">
            <v>46078</v>
          </cell>
          <cell r="Q578">
            <v>46094</v>
          </cell>
          <cell r="R578">
            <v>46091</v>
          </cell>
          <cell r="S578">
            <v>16</v>
          </cell>
          <cell r="T578">
            <v>6</v>
          </cell>
          <cell r="U578">
            <v>23</v>
          </cell>
          <cell r="V578">
            <v>18</v>
          </cell>
          <cell r="W578" t="str">
            <v>0.085D</v>
          </cell>
          <cell r="X578" t="str">
            <v>3-2026</v>
          </cell>
          <cell r="Y578" t="str">
            <v>Week 11</v>
          </cell>
          <cell r="Z578">
            <v>46090</v>
          </cell>
          <cell r="AA578">
            <v>509</v>
          </cell>
          <cell r="AB578">
            <v>4.3479999999999998E-2</v>
          </cell>
        </row>
        <row r="579">
          <cell r="A579" t="str">
            <v>F-2026-02-333</v>
          </cell>
          <cell r="B579"/>
          <cell r="C579" t="str">
            <v>RPRO-260225-0754</v>
          </cell>
          <cell r="D579" t="str">
            <v>MPS 11.02+24.02</v>
          </cell>
          <cell r="E579" t="str">
            <v>BDB-000117</v>
          </cell>
          <cell r="F579" t="str">
            <v>PVN-003588</v>
          </cell>
          <cell r="G579" t="str">
            <v>OrthoLite X-35-Hybrid SEEDPEARL/12-0703TPX Hybrid 0.145D 25+/-4 Asker C 1.1M 2M 5mm</v>
          </cell>
          <cell r="H579">
            <v>588</v>
          </cell>
          <cell r="I579">
            <v>588</v>
          </cell>
          <cell r="J579">
            <v>588</v>
          </cell>
          <cell r="K579">
            <v>0</v>
          </cell>
          <cell r="L579"/>
          <cell r="M579" t="str">
            <v>MPS</v>
          </cell>
          <cell r="N579" t="str">
            <v>SPLITTING</v>
          </cell>
          <cell r="O579">
            <v>2</v>
          </cell>
          <cell r="P579">
            <v>46078</v>
          </cell>
          <cell r="Q579">
            <v>46093</v>
          </cell>
          <cell r="R579">
            <v>46090</v>
          </cell>
          <cell r="S579">
            <v>15</v>
          </cell>
          <cell r="T579">
            <v>5</v>
          </cell>
          <cell r="U579">
            <v>28</v>
          </cell>
          <cell r="V579">
            <v>21</v>
          </cell>
          <cell r="W579" t="str">
            <v>0.145D</v>
          </cell>
          <cell r="X579" t="str">
            <v>3-2026</v>
          </cell>
          <cell r="Y579" t="str">
            <v>Week 10</v>
          </cell>
          <cell r="Z579">
            <v>46083</v>
          </cell>
          <cell r="AA579">
            <v>258</v>
          </cell>
          <cell r="AB579">
            <v>3.5709999999999999E-2</v>
          </cell>
        </row>
        <row r="580">
          <cell r="A580" t="str">
            <v>F-2026-02-334</v>
          </cell>
          <cell r="B580"/>
          <cell r="C580" t="str">
            <v>RPRO-260225-0890</v>
          </cell>
          <cell r="D580" t="str">
            <v>MPS 11.02+24.02</v>
          </cell>
          <cell r="E580" t="str">
            <v>BDB-000286</v>
          </cell>
          <cell r="F580" t="str">
            <v>PVN-003924</v>
          </cell>
          <cell r="G580" t="str">
            <v>OrthoLite Regular-Hybrid SEEDPEARL/12-0703TPX Hybrid Flat Sheet 0.13D 25+/-4 Asker C 1.1M 1.7M 5mm</v>
          </cell>
          <cell r="H580">
            <v>140</v>
          </cell>
          <cell r="I580">
            <v>140</v>
          </cell>
          <cell r="J580">
            <v>140</v>
          </cell>
          <cell r="K580">
            <v>0</v>
          </cell>
          <cell r="L580"/>
          <cell r="M580" t="str">
            <v>MPS</v>
          </cell>
          <cell r="N580" t="str">
            <v>SPLITTING</v>
          </cell>
          <cell r="O580">
            <v>2</v>
          </cell>
          <cell r="P580">
            <v>46078</v>
          </cell>
          <cell r="Q580">
            <v>46095</v>
          </cell>
          <cell r="R580">
            <v>46092</v>
          </cell>
          <cell r="S580">
            <v>17</v>
          </cell>
          <cell r="T580">
            <v>5</v>
          </cell>
          <cell r="U580">
            <v>28</v>
          </cell>
          <cell r="V580">
            <v>5</v>
          </cell>
          <cell r="W580" t="str">
            <v>0.13D</v>
          </cell>
          <cell r="X580" t="str">
            <v>3-2026</v>
          </cell>
          <cell r="Y580" t="str">
            <v>Week 11</v>
          </cell>
          <cell r="Z580">
            <v>46090</v>
          </cell>
          <cell r="AA580">
            <v>258</v>
          </cell>
          <cell r="AB580">
            <v>3.5709999999999999E-2</v>
          </cell>
        </row>
        <row r="581">
          <cell r="A581" t="str">
            <v>F-2026-02-335</v>
          </cell>
          <cell r="B581"/>
          <cell r="C581" t="str">
            <v>RPRO-260225-0755</v>
          </cell>
          <cell r="D581" t="str">
            <v>Pro.sche.report 11.02+24.02</v>
          </cell>
          <cell r="E581" t="str">
            <v>BDB-000212</v>
          </cell>
          <cell r="F581" t="str">
            <v>PVN-003530</v>
          </cell>
          <cell r="G581" t="str">
            <v>OrthoLite X-25-Hybrid SEEDPEARL/12-0703TPX Hybrid Flat Sheet 0.12D 20+/-4 Asker C 1.1M 2M 8.2mm</v>
          </cell>
          <cell r="H581">
            <v>170</v>
          </cell>
          <cell r="I581">
            <v>170</v>
          </cell>
          <cell r="J581">
            <v>170</v>
          </cell>
          <cell r="K581">
            <v>0</v>
          </cell>
          <cell r="L581" t="str">
            <v>BABOLAT</v>
          </cell>
          <cell r="M581" t="str">
            <v>Pr.Sch.R</v>
          </cell>
          <cell r="N581" t="str">
            <v>MOLDED</v>
          </cell>
          <cell r="O581">
            <v>1</v>
          </cell>
          <cell r="P581">
            <v>46078</v>
          </cell>
          <cell r="Q581">
            <v>46097</v>
          </cell>
          <cell r="R581">
            <v>46094</v>
          </cell>
          <cell r="S581">
            <v>19</v>
          </cell>
          <cell r="T581">
            <v>8.1999999999999993</v>
          </cell>
          <cell r="U581">
            <v>17</v>
          </cell>
          <cell r="V581">
            <v>10</v>
          </cell>
          <cell r="W581" t="str">
            <v>0.12D</v>
          </cell>
          <cell r="X581" t="str">
            <v>3-2026</v>
          </cell>
          <cell r="Y581" t="str">
            <v>Week 11</v>
          </cell>
          <cell r="Z581">
            <v>46090</v>
          </cell>
          <cell r="AA581">
            <v>258</v>
          </cell>
          <cell r="AB581">
            <v>5.8819999999999997E-2</v>
          </cell>
        </row>
        <row r="582">
          <cell r="A582" t="str">
            <v>F-2026-02-336</v>
          </cell>
          <cell r="B582"/>
          <cell r="C582" t="str">
            <v>RPRO-260225-0756</v>
          </cell>
          <cell r="D582" t="str">
            <v>Pro.sche.report 11.02+24.02</v>
          </cell>
          <cell r="E582" t="str">
            <v>BDB-000336</v>
          </cell>
          <cell r="F582" t="str">
            <v>PVN-004168</v>
          </cell>
          <cell r="G582" t="str">
            <v>OrthoLite X-40-Nike SEEDPEARL/12-0703TPX Flat Sheet 0.16D 35+/-4 Asker C 1.1M 2M 4.5mm</v>
          </cell>
          <cell r="H582">
            <v>31</v>
          </cell>
          <cell r="I582">
            <v>31</v>
          </cell>
          <cell r="J582">
            <v>31</v>
          </cell>
          <cell r="K582">
            <v>0</v>
          </cell>
          <cell r="L582" t="str">
            <v>NIKE</v>
          </cell>
          <cell r="M582" t="str">
            <v>Pr.Sch.R</v>
          </cell>
          <cell r="N582" t="str">
            <v>MOLDED</v>
          </cell>
          <cell r="O582">
            <v>1</v>
          </cell>
          <cell r="P582">
            <v>46078</v>
          </cell>
          <cell r="Q582">
            <v>46097</v>
          </cell>
          <cell r="R582">
            <v>46094</v>
          </cell>
          <cell r="S582">
            <v>19</v>
          </cell>
          <cell r="T582">
            <v>4.5</v>
          </cell>
          <cell r="U582">
            <v>31</v>
          </cell>
          <cell r="V582">
            <v>2</v>
          </cell>
          <cell r="W582" t="e">
            <v>#N/A</v>
          </cell>
          <cell r="X582" t="str">
            <v>3-2026</v>
          </cell>
          <cell r="Y582" t="str">
            <v>Week 11</v>
          </cell>
          <cell r="Z582">
            <v>46090</v>
          </cell>
          <cell r="AA582">
            <v>258</v>
          </cell>
          <cell r="AB582">
            <v>3.3329999999999999E-2</v>
          </cell>
        </row>
        <row r="583">
          <cell r="A583" t="str">
            <v>F-2026-02-337</v>
          </cell>
          <cell r="B583"/>
          <cell r="C583" t="str">
            <v>RPRO-260225-0757</v>
          </cell>
          <cell r="D583" t="str">
            <v>Pro.sche.report 11.02+24.02</v>
          </cell>
          <cell r="E583" t="str">
            <v>BDB-000209</v>
          </cell>
          <cell r="F583" t="str">
            <v>PVN-003462</v>
          </cell>
          <cell r="G583" t="str">
            <v>OrthoLite HybridPlus-Recycled MINT GREEN/11-4805TPX Hybrid Flat Sheet 0.12D 25+/-4 Asker C 1.1M 2M 12mm</v>
          </cell>
          <cell r="H583">
            <v>55</v>
          </cell>
          <cell r="I583">
            <v>55</v>
          </cell>
          <cell r="J583">
            <v>55</v>
          </cell>
          <cell r="K583">
            <v>0</v>
          </cell>
          <cell r="L583" t="str">
            <v>BROOKS</v>
          </cell>
          <cell r="M583" t="str">
            <v>Pr.Sch.R</v>
          </cell>
          <cell r="N583" t="str">
            <v>MOLDED</v>
          </cell>
          <cell r="O583">
            <v>1</v>
          </cell>
          <cell r="P583">
            <v>46078</v>
          </cell>
          <cell r="Q583">
            <v>46097</v>
          </cell>
          <cell r="R583">
            <v>46094</v>
          </cell>
          <cell r="S583">
            <v>19</v>
          </cell>
          <cell r="T583">
            <v>12</v>
          </cell>
          <cell r="U583">
            <v>11</v>
          </cell>
          <cell r="V583">
            <v>6</v>
          </cell>
          <cell r="W583" t="str">
            <v>0.12D</v>
          </cell>
          <cell r="X583" t="str">
            <v>3-2026</v>
          </cell>
          <cell r="Y583" t="str">
            <v>Week 11</v>
          </cell>
          <cell r="Z583">
            <v>46090</v>
          </cell>
          <cell r="AA583">
            <v>258</v>
          </cell>
          <cell r="AB583">
            <v>9.0910000000000005E-2</v>
          </cell>
        </row>
        <row r="584">
          <cell r="A584" t="str">
            <v>F-2026-02-338</v>
          </cell>
          <cell r="B584"/>
          <cell r="C584" t="str">
            <v>RPRO-260225-0758</v>
          </cell>
          <cell r="D584" t="str">
            <v>Pro.sche.report 11.02+24.02</v>
          </cell>
          <cell r="E584" t="str">
            <v>BDB-000052</v>
          </cell>
          <cell r="F584" t="str">
            <v>PVN-003603</v>
          </cell>
          <cell r="G584" t="str">
            <v>OrthoLite X-40 TRUE BLUE/19-4057TPX Flat Sheet 0.16D 25+/-4 Asker C 1.1M 1.47M 12mm</v>
          </cell>
          <cell r="H584">
            <v>154</v>
          </cell>
          <cell r="I584">
            <v>154</v>
          </cell>
          <cell r="J584">
            <v>154</v>
          </cell>
          <cell r="K584">
            <v>0</v>
          </cell>
          <cell r="L584" t="str">
            <v>ASICS</v>
          </cell>
          <cell r="M584" t="str">
            <v>Pr.Sch.R</v>
          </cell>
          <cell r="N584" t="str">
            <v>MOLDED</v>
          </cell>
          <cell r="O584">
            <v>1</v>
          </cell>
          <cell r="P584">
            <v>46078</v>
          </cell>
          <cell r="Q584">
            <v>46097</v>
          </cell>
          <cell r="R584">
            <v>46094</v>
          </cell>
          <cell r="S584">
            <v>19</v>
          </cell>
          <cell r="T584">
            <v>12</v>
          </cell>
          <cell r="U584">
            <v>11.5</v>
          </cell>
          <cell r="V584">
            <v>14</v>
          </cell>
          <cell r="W584" t="str">
            <v>0.16D</v>
          </cell>
          <cell r="X584" t="str">
            <v>3-2026</v>
          </cell>
          <cell r="Y584" t="str">
            <v>Week 11</v>
          </cell>
          <cell r="Z584">
            <v>46090</v>
          </cell>
          <cell r="AA584">
            <v>258</v>
          </cell>
          <cell r="AB584">
            <v>8.6959999999999996E-2</v>
          </cell>
        </row>
        <row r="585">
          <cell r="A585" t="str">
            <v>F-2026-02-339</v>
          </cell>
          <cell r="B585"/>
          <cell r="C585" t="str">
            <v>RPRO-260225-0759</v>
          </cell>
          <cell r="D585" t="str">
            <v>Pro.sche.report 11.02+24.02</v>
          </cell>
          <cell r="E585" t="str">
            <v>BDB-000319</v>
          </cell>
          <cell r="F585" t="str">
            <v>PVN-004247</v>
          </cell>
          <cell r="G585" t="str">
            <v>OrthoLite X-40-Hybrid-Nike SEEDPEARL/12-0703TPX Hybrid Flat Sheet 0.16D 25+/-4 Asker C 1.1M 2M 4.2mm</v>
          </cell>
          <cell r="H585">
            <v>253</v>
          </cell>
          <cell r="I585">
            <v>253</v>
          </cell>
          <cell r="J585">
            <v>253</v>
          </cell>
          <cell r="K585">
            <v>0</v>
          </cell>
          <cell r="L585" t="str">
            <v>NIKE</v>
          </cell>
          <cell r="M585" t="str">
            <v>Pr.Sch.R</v>
          </cell>
          <cell r="N585" t="str">
            <v>MOLDED</v>
          </cell>
          <cell r="O585">
            <v>1</v>
          </cell>
          <cell r="P585">
            <v>46078</v>
          </cell>
          <cell r="Q585">
            <v>46093</v>
          </cell>
          <cell r="R585">
            <v>46090</v>
          </cell>
          <cell r="S585">
            <v>15</v>
          </cell>
          <cell r="T585">
            <v>4.2</v>
          </cell>
          <cell r="U585">
            <v>33</v>
          </cell>
          <cell r="V585">
            <v>8</v>
          </cell>
          <cell r="W585" t="e">
            <v>#N/A</v>
          </cell>
          <cell r="X585" t="str">
            <v>3-2026</v>
          </cell>
          <cell r="Y585" t="str">
            <v>Week 10</v>
          </cell>
          <cell r="Z585">
            <v>46083</v>
          </cell>
          <cell r="AA585">
            <v>258</v>
          </cell>
          <cell r="AB585">
            <v>3.0300000000000001E-2</v>
          </cell>
        </row>
        <row r="586">
          <cell r="A586" t="str">
            <v>F-2026-02-340</v>
          </cell>
          <cell r="B586"/>
          <cell r="C586" t="str">
            <v>RPRO-260225-0760</v>
          </cell>
          <cell r="D586" t="str">
            <v>Pro.sche.report 11.02+24.02</v>
          </cell>
          <cell r="E586" t="str">
            <v>BDB-000123</v>
          </cell>
          <cell r="F586" t="str">
            <v>PVN-002884</v>
          </cell>
          <cell r="G586" t="str">
            <v>OrthoLite Ultra-Hybrid SEEDPEARL/12-0703TPX Hybrid Flat Sheet 0.085D 25+/-4 Asker C 1.1M 2M 10mm</v>
          </cell>
          <cell r="H586">
            <v>234</v>
          </cell>
          <cell r="I586">
            <v>234</v>
          </cell>
          <cell r="J586">
            <v>234</v>
          </cell>
          <cell r="K586">
            <v>0</v>
          </cell>
          <cell r="L586" t="str">
            <v>ADIDAS</v>
          </cell>
          <cell r="M586" t="str">
            <v>Pr.Sch.R</v>
          </cell>
          <cell r="N586" t="str">
            <v>MOLDED</v>
          </cell>
          <cell r="O586">
            <v>1</v>
          </cell>
          <cell r="P586">
            <v>46078</v>
          </cell>
          <cell r="Q586">
            <v>46093</v>
          </cell>
          <cell r="R586">
            <v>46090</v>
          </cell>
          <cell r="S586">
            <v>15</v>
          </cell>
          <cell r="T586">
            <v>10</v>
          </cell>
          <cell r="U586">
            <v>13</v>
          </cell>
          <cell r="V586">
            <v>18</v>
          </cell>
          <cell r="W586" t="str">
            <v>0.085D</v>
          </cell>
          <cell r="X586" t="str">
            <v>3-2026</v>
          </cell>
          <cell r="Y586" t="str">
            <v>Week 10</v>
          </cell>
          <cell r="Z586">
            <v>46083</v>
          </cell>
          <cell r="AA586">
            <v>258</v>
          </cell>
          <cell r="AB586">
            <v>7.6920000000000002E-2</v>
          </cell>
        </row>
        <row r="587">
          <cell r="A587" t="str">
            <v>F-2026-02-341</v>
          </cell>
          <cell r="B587"/>
          <cell r="C587" t="str">
            <v>RPRO-260225-0761</v>
          </cell>
          <cell r="D587" t="str">
            <v>Pro.sche.report 11.02+24.02</v>
          </cell>
          <cell r="E587" t="str">
            <v>BDB-000347</v>
          </cell>
          <cell r="F587" t="str">
            <v>PVN-004192</v>
          </cell>
          <cell r="G587" t="str">
            <v>OrthoLite X-55-Hybrid SEEDPEARL/12-0703TPX Hybrid Flat Sheet 0.16D 25+/-4 Asker C 1.1M 2M 12mm</v>
          </cell>
          <cell r="H587">
            <v>319</v>
          </cell>
          <cell r="I587">
            <v>319</v>
          </cell>
          <cell r="J587">
            <v>319</v>
          </cell>
          <cell r="K587">
            <v>0</v>
          </cell>
          <cell r="L587" t="str">
            <v>BROOKS</v>
          </cell>
          <cell r="M587" t="str">
            <v>Pr.Sch.R</v>
          </cell>
          <cell r="N587" t="str">
            <v>MOLDED</v>
          </cell>
          <cell r="O587">
            <v>1</v>
          </cell>
          <cell r="P587">
            <v>46078</v>
          </cell>
          <cell r="Q587">
            <v>46109</v>
          </cell>
          <cell r="R587">
            <v>46106</v>
          </cell>
          <cell r="S587">
            <v>31</v>
          </cell>
          <cell r="T587">
            <v>12</v>
          </cell>
          <cell r="U587">
            <v>11</v>
          </cell>
          <cell r="V587">
            <v>30</v>
          </cell>
          <cell r="W587" t="e">
            <v>#N/A</v>
          </cell>
          <cell r="X587" t="str">
            <v>3-2026</v>
          </cell>
          <cell r="Y587" t="str">
            <v>Week 13</v>
          </cell>
          <cell r="Z587">
            <v>46104</v>
          </cell>
          <cell r="AA587">
            <v>258</v>
          </cell>
          <cell r="AB587">
            <v>9.0910000000000005E-2</v>
          </cell>
        </row>
        <row r="588">
          <cell r="A588" t="str">
            <v>F-2026-02-342</v>
          </cell>
          <cell r="B588"/>
          <cell r="C588" t="str">
            <v>RPRO-260225-0762</v>
          </cell>
          <cell r="D588" t="str">
            <v>Pro.sche.report 11.02+24.02</v>
          </cell>
          <cell r="E588" t="str">
            <v>BDB-000318</v>
          </cell>
          <cell r="F588" t="str">
            <v>PVN-004077</v>
          </cell>
          <cell r="G588" t="str">
            <v>OrthoLite X-55 RED/19-1764TPX Flat Sheet 0.16D 25+/-4 Asker C 1.1M 2M 5.2mm</v>
          </cell>
          <cell r="H588">
            <v>26</v>
          </cell>
          <cell r="I588">
            <v>26</v>
          </cell>
          <cell r="J588">
            <v>26</v>
          </cell>
          <cell r="K588">
            <v>0</v>
          </cell>
          <cell r="L588" t="str">
            <v>NEW BALANCE</v>
          </cell>
          <cell r="M588" t="str">
            <v>Pr.Sch.R</v>
          </cell>
          <cell r="N588" t="str">
            <v>MOLDED</v>
          </cell>
          <cell r="O588">
            <v>1</v>
          </cell>
          <cell r="P588">
            <v>46078</v>
          </cell>
          <cell r="Q588">
            <v>46093</v>
          </cell>
          <cell r="R588">
            <v>46090</v>
          </cell>
          <cell r="S588">
            <v>15</v>
          </cell>
          <cell r="T588">
            <v>5.2</v>
          </cell>
          <cell r="U588">
            <v>26</v>
          </cell>
          <cell r="V588">
            <v>1</v>
          </cell>
          <cell r="W588" t="e">
            <v>#N/A</v>
          </cell>
          <cell r="X588" t="str">
            <v>3-2026</v>
          </cell>
          <cell r="Y588" t="str">
            <v>Week 10</v>
          </cell>
          <cell r="Z588">
            <v>46083</v>
          </cell>
          <cell r="AA588">
            <v>258</v>
          </cell>
          <cell r="AB588">
            <v>3.8460000000000001E-2</v>
          </cell>
        </row>
        <row r="589">
          <cell r="A589" t="str">
            <v>F-2026-02-343</v>
          </cell>
          <cell r="B589"/>
          <cell r="C589" t="str">
            <v>RPRO-260225-0763</v>
          </cell>
          <cell r="D589" t="str">
            <v>Pro.sche.report 11.02+24.02</v>
          </cell>
          <cell r="E589" t="str">
            <v>BDB-000157</v>
          </cell>
          <cell r="F589" t="str">
            <v>PVN-003642</v>
          </cell>
          <cell r="G589" t="str">
            <v>OrthoLite X-35-Hybrid-Nike SEEDPEARL/12-0703TPX Hybrid Flat Sheet 0.145D 25+/-4 Asker C 1.1M 2M 6.2mm</v>
          </cell>
          <cell r="H589">
            <v>274</v>
          </cell>
          <cell r="I589">
            <v>274</v>
          </cell>
          <cell r="J589">
            <v>274</v>
          </cell>
          <cell r="K589">
            <v>0</v>
          </cell>
          <cell r="L589" t="str">
            <v>NIKE</v>
          </cell>
          <cell r="M589" t="str">
            <v>Pr.Sch.R</v>
          </cell>
          <cell r="N589" t="str">
            <v>MOLDED</v>
          </cell>
          <cell r="O589">
            <v>1</v>
          </cell>
          <cell r="P589">
            <v>46078</v>
          </cell>
          <cell r="Q589">
            <v>46097</v>
          </cell>
          <cell r="R589">
            <v>46094</v>
          </cell>
          <cell r="S589">
            <v>19</v>
          </cell>
          <cell r="T589">
            <v>6.2</v>
          </cell>
          <cell r="U589">
            <v>22</v>
          </cell>
          <cell r="V589">
            <v>13</v>
          </cell>
          <cell r="W589" t="str">
            <v>0.145D</v>
          </cell>
          <cell r="X589" t="str">
            <v>3-2026</v>
          </cell>
          <cell r="Y589" t="str">
            <v>Week 11</v>
          </cell>
          <cell r="Z589">
            <v>46090</v>
          </cell>
          <cell r="AA589">
            <v>215</v>
          </cell>
          <cell r="AB589">
            <v>4.5449999999999997E-2</v>
          </cell>
        </row>
        <row r="590">
          <cell r="A590" t="str">
            <v>F-2026-02-344</v>
          </cell>
          <cell r="B590"/>
          <cell r="C590" t="str">
            <v>RPRO-260225-0764</v>
          </cell>
          <cell r="D590" t="str">
            <v>Pro.sche.report 11.02+24.02</v>
          </cell>
          <cell r="E590" t="str">
            <v>BDB-000217</v>
          </cell>
          <cell r="F590" t="str">
            <v>PVN-003483</v>
          </cell>
          <cell r="G590" t="str">
            <v>OrthoLite X-40-Hybrid SEEDPEARL/12-0703TPX Hybrid Flat Sheet 0.16D 35+/-4 Asker C 1.1M 1.7M 12mm</v>
          </cell>
          <cell r="H590">
            <v>66</v>
          </cell>
          <cell r="I590">
            <v>66</v>
          </cell>
          <cell r="J590">
            <v>66</v>
          </cell>
          <cell r="K590">
            <v>0</v>
          </cell>
          <cell r="L590" t="str">
            <v>BROOKS</v>
          </cell>
          <cell r="M590" t="str">
            <v>Pr.Sch.R</v>
          </cell>
          <cell r="N590" t="str">
            <v>MOLDED</v>
          </cell>
          <cell r="O590">
            <v>1</v>
          </cell>
          <cell r="P590">
            <v>46078</v>
          </cell>
          <cell r="Q590">
            <v>46097</v>
          </cell>
          <cell r="R590">
            <v>46094</v>
          </cell>
          <cell r="S590">
            <v>19</v>
          </cell>
          <cell r="T590">
            <v>12</v>
          </cell>
          <cell r="U590">
            <v>11</v>
          </cell>
          <cell r="V590">
            <v>7</v>
          </cell>
          <cell r="W590" t="str">
            <v>0.16D</v>
          </cell>
          <cell r="X590" t="str">
            <v>3-2026</v>
          </cell>
          <cell r="Y590" t="str">
            <v>Week 11</v>
          </cell>
          <cell r="Z590">
            <v>46090</v>
          </cell>
          <cell r="AA590">
            <v>215</v>
          </cell>
          <cell r="AB590">
            <v>9.0910000000000005E-2</v>
          </cell>
        </row>
        <row r="591">
          <cell r="A591" t="str">
            <v>F-2026-02-345</v>
          </cell>
          <cell r="B591"/>
          <cell r="C591" t="str">
            <v>RPRO-260225-0765</v>
          </cell>
          <cell r="D591" t="str">
            <v>Pro.sche.report 11.02+24.02</v>
          </cell>
          <cell r="E591" t="str">
            <v>BDB-000126</v>
          </cell>
          <cell r="F591" t="str">
            <v>PVN-002325</v>
          </cell>
          <cell r="G591" t="str">
            <v>OrthoLite Regular-Nike RED/19-1764TPX Flat Sheet 0.11D 25+/-4 Asker C 1.1M 2M 5.2mm</v>
          </cell>
          <cell r="H591">
            <v>182</v>
          </cell>
          <cell r="I591">
            <v>182</v>
          </cell>
          <cell r="J591">
            <v>182</v>
          </cell>
          <cell r="K591">
            <v>0</v>
          </cell>
          <cell r="L591" t="str">
            <v>NIKE</v>
          </cell>
          <cell r="M591" t="str">
            <v>Pr.Sch.R</v>
          </cell>
          <cell r="N591" t="str">
            <v>MOLDED</v>
          </cell>
          <cell r="O591">
            <v>1</v>
          </cell>
          <cell r="P591">
            <v>46078</v>
          </cell>
          <cell r="Q591">
            <v>46097</v>
          </cell>
          <cell r="R591">
            <v>46094</v>
          </cell>
          <cell r="S591">
            <v>19</v>
          </cell>
          <cell r="T591">
            <v>5.2</v>
          </cell>
          <cell r="U591">
            <v>26</v>
          </cell>
          <cell r="V591">
            <v>7</v>
          </cell>
          <cell r="W591" t="str">
            <v>0.11D</v>
          </cell>
          <cell r="X591" t="str">
            <v>3-2026</v>
          </cell>
          <cell r="Y591" t="str">
            <v>Week 11</v>
          </cell>
          <cell r="Z591">
            <v>46090</v>
          </cell>
          <cell r="AA591">
            <v>215</v>
          </cell>
          <cell r="AB591">
            <v>3.8460000000000001E-2</v>
          </cell>
        </row>
        <row r="592">
          <cell r="A592" t="str">
            <v>F-2026-02-346</v>
          </cell>
          <cell r="B592"/>
          <cell r="C592" t="str">
            <v>RPRO-260225-0766</v>
          </cell>
          <cell r="D592" t="str">
            <v>Pro.sche.report 11.02+24.02</v>
          </cell>
          <cell r="E592" t="str">
            <v>BDB-000046</v>
          </cell>
          <cell r="F592" t="str">
            <v>PVN-000448</v>
          </cell>
          <cell r="G592" t="str">
            <v>OrthoLite Regular RED/19-1764TPX Flat Sheet 0.13D 35+/-4 Asker C 1.1M 1.47M 4mm</v>
          </cell>
          <cell r="H592">
            <v>105</v>
          </cell>
          <cell r="I592">
            <v>105</v>
          </cell>
          <cell r="J592">
            <v>105</v>
          </cell>
          <cell r="K592">
            <v>0</v>
          </cell>
          <cell r="L592" t="str">
            <v>REEBOK</v>
          </cell>
          <cell r="M592" t="str">
            <v>Pr.Sch.R</v>
          </cell>
          <cell r="N592" t="str">
            <v>DIE CUT</v>
          </cell>
          <cell r="O592">
            <v>1</v>
          </cell>
          <cell r="P592">
            <v>46078</v>
          </cell>
          <cell r="Q592">
            <v>46097</v>
          </cell>
          <cell r="R592">
            <v>46094</v>
          </cell>
          <cell r="S592">
            <v>19</v>
          </cell>
          <cell r="T592">
            <v>4</v>
          </cell>
          <cell r="U592">
            <v>35</v>
          </cell>
          <cell r="V592">
            <v>3</v>
          </cell>
          <cell r="W592" t="str">
            <v>0.13D</v>
          </cell>
          <cell r="X592" t="str">
            <v>3-2026</v>
          </cell>
          <cell r="Y592" t="str">
            <v>Week 11</v>
          </cell>
          <cell r="Z592">
            <v>46090</v>
          </cell>
          <cell r="AA592">
            <v>292</v>
          </cell>
          <cell r="AB592">
            <v>2.8570000000000002E-2</v>
          </cell>
        </row>
        <row r="593">
          <cell r="A593" t="str">
            <v>F-2026-02-347</v>
          </cell>
          <cell r="B593"/>
          <cell r="C593" t="str">
            <v>RPRO-260225-0767</v>
          </cell>
          <cell r="D593" t="str">
            <v>Pro.sche.report 11.02+24.02</v>
          </cell>
          <cell r="E593" t="str">
            <v>BDB-000175</v>
          </cell>
          <cell r="F593" t="str">
            <v>PVN-003018</v>
          </cell>
          <cell r="G593" t="str">
            <v>OrthoLite Ultra-Hybrid-Nike SEEDPEARL/12-0703TPX Hybrid Flat Sheet 0.085D 25+/-4 Asker C 1.1M 2M 2mm</v>
          </cell>
          <cell r="H593">
            <v>70</v>
          </cell>
          <cell r="I593">
            <v>70</v>
          </cell>
          <cell r="J593">
            <v>70</v>
          </cell>
          <cell r="K593">
            <v>0</v>
          </cell>
          <cell r="L593" t="str">
            <v>NIKE</v>
          </cell>
          <cell r="M593" t="str">
            <v>Pr.Sch.R</v>
          </cell>
          <cell r="N593" t="str">
            <v>DIE CUT</v>
          </cell>
          <cell r="O593">
            <v>1</v>
          </cell>
          <cell r="P593">
            <v>46078</v>
          </cell>
          <cell r="Q593">
            <v>46097</v>
          </cell>
          <cell r="R593">
            <v>46094</v>
          </cell>
          <cell r="S593">
            <v>19</v>
          </cell>
          <cell r="T593">
            <v>2</v>
          </cell>
          <cell r="U593">
            <v>70</v>
          </cell>
          <cell r="V593">
            <v>2</v>
          </cell>
          <cell r="W593" t="str">
            <v>0.085D</v>
          </cell>
          <cell r="X593" t="str">
            <v>3-2026</v>
          </cell>
          <cell r="Y593" t="str">
            <v>Week 11</v>
          </cell>
          <cell r="Z593">
            <v>46090</v>
          </cell>
          <cell r="AA593">
            <v>292</v>
          </cell>
          <cell r="AB593">
            <v>1.4290000000000001E-2</v>
          </cell>
        </row>
        <row r="594">
          <cell r="A594" t="str">
            <v>F-2026-02-348</v>
          </cell>
          <cell r="B594"/>
          <cell r="C594" t="str">
            <v>RPRO-260225-0768</v>
          </cell>
          <cell r="D594" t="str">
            <v>Pro.sche.report 11.02+24.02</v>
          </cell>
          <cell r="E594" t="str">
            <v>BDB-000212</v>
          </cell>
          <cell r="F594" t="str">
            <v>PVN-003764</v>
          </cell>
          <cell r="G594" t="str">
            <v>OrthoLite X-25-Hybrid SEEDPEARL/12-0703TPX Hybrid Flat Sheet 0.12D 20+/-4 Asker C 1.1M 2M 5mm</v>
          </cell>
          <cell r="H594">
            <v>28</v>
          </cell>
          <cell r="I594">
            <v>28</v>
          </cell>
          <cell r="J594">
            <v>28</v>
          </cell>
          <cell r="K594">
            <v>0</v>
          </cell>
          <cell r="L594" t="str">
            <v>FOOTJOY</v>
          </cell>
          <cell r="M594" t="str">
            <v>Pr.Sch.R</v>
          </cell>
          <cell r="N594" t="str">
            <v>OTHERS</v>
          </cell>
          <cell r="O594">
            <v>1</v>
          </cell>
          <cell r="P594">
            <v>46078</v>
          </cell>
          <cell r="Q594">
            <v>46086</v>
          </cell>
          <cell r="R594">
            <v>46083</v>
          </cell>
          <cell r="S594">
            <v>8</v>
          </cell>
          <cell r="T594">
            <v>5</v>
          </cell>
          <cell r="U594">
            <v>28</v>
          </cell>
          <cell r="V594">
            <v>1</v>
          </cell>
          <cell r="W594" t="str">
            <v>0.12D</v>
          </cell>
          <cell r="X594" t="str">
            <v>3-2026</v>
          </cell>
          <cell r="Y594" t="str">
            <v>Week 9</v>
          </cell>
          <cell r="Z594">
            <v>46076</v>
          </cell>
          <cell r="AA594">
            <v>88</v>
          </cell>
          <cell r="AB594">
            <v>3.5709999999999999E-2</v>
          </cell>
        </row>
        <row r="595">
          <cell r="A595" t="str">
            <v>F-2026-02-349</v>
          </cell>
          <cell r="B595"/>
          <cell r="C595" t="str">
            <v>RPRO-260225-0769</v>
          </cell>
          <cell r="D595" t="str">
            <v>Pro.sche.report 11.02+24.02</v>
          </cell>
          <cell r="E595" t="str">
            <v>BDB-000125</v>
          </cell>
          <cell r="F595" t="str">
            <v>PVN-001412</v>
          </cell>
          <cell r="G595" t="str">
            <v>OrthoLite Regular-Nike AIR BLUE/16-4134TPX Flat Sheet 0.11D 25+/-4 Asker C 1.1M 2M 5mm</v>
          </cell>
          <cell r="H595">
            <v>56</v>
          </cell>
          <cell r="I595">
            <v>56</v>
          </cell>
          <cell r="J595">
            <v>56</v>
          </cell>
          <cell r="K595">
            <v>0</v>
          </cell>
          <cell r="L595" t="str">
            <v>NIKE</v>
          </cell>
          <cell r="M595" t="str">
            <v>Pr.Sch.R</v>
          </cell>
          <cell r="N595" t="str">
            <v>LAMINATING</v>
          </cell>
          <cell r="O595">
            <v>1</v>
          </cell>
          <cell r="P595">
            <v>46078</v>
          </cell>
          <cell r="Q595">
            <v>46094</v>
          </cell>
          <cell r="R595">
            <v>46091</v>
          </cell>
          <cell r="S595">
            <v>16</v>
          </cell>
          <cell r="T595">
            <v>5</v>
          </cell>
          <cell r="U595">
            <v>28</v>
          </cell>
          <cell r="V595">
            <v>2</v>
          </cell>
          <cell r="W595" t="str">
            <v>0.11D</v>
          </cell>
          <cell r="X595" t="str">
            <v>3-2026</v>
          </cell>
          <cell r="Y595" t="str">
            <v>Week 11</v>
          </cell>
          <cell r="Z595">
            <v>46090</v>
          </cell>
          <cell r="AA595">
            <v>88</v>
          </cell>
          <cell r="AB595">
            <v>3.5709999999999999E-2</v>
          </cell>
        </row>
        <row r="596">
          <cell r="A596" t="str">
            <v>F-2026-02-350</v>
          </cell>
          <cell r="B596"/>
          <cell r="C596" t="str">
            <v>RPRO-260225-0770</v>
          </cell>
          <cell r="D596" t="str">
            <v>Pro.sche.report 11.02+24.02</v>
          </cell>
          <cell r="E596" t="str">
            <v>BDB-000052</v>
          </cell>
          <cell r="F596" t="str">
            <v>PVN-004308</v>
          </cell>
          <cell r="G596" t="str">
            <v>OrthoLite X-40 TRUE BLUE/19-4057TPX Flat Sheet 0.16D 25+/-4 Asker C 1.1M 1.47M 3mm</v>
          </cell>
          <cell r="H596">
            <v>1610</v>
          </cell>
          <cell r="I596">
            <v>1610</v>
          </cell>
          <cell r="J596">
            <v>1610</v>
          </cell>
          <cell r="K596">
            <v>0</v>
          </cell>
          <cell r="L596" t="str">
            <v>ASICS</v>
          </cell>
          <cell r="M596" t="str">
            <v>Pr.Sch.R</v>
          </cell>
          <cell r="N596" t="str">
            <v>DIE CUT</v>
          </cell>
          <cell r="O596">
            <v>1</v>
          </cell>
          <cell r="P596">
            <v>46078</v>
          </cell>
          <cell r="Q596">
            <v>46097</v>
          </cell>
          <cell r="R596">
            <v>46094</v>
          </cell>
          <cell r="S596">
            <v>19</v>
          </cell>
          <cell r="T596">
            <v>3</v>
          </cell>
          <cell r="U596">
            <v>46</v>
          </cell>
          <cell r="V596">
            <v>36</v>
          </cell>
          <cell r="W596" t="str">
            <v>0.16D</v>
          </cell>
          <cell r="X596" t="str">
            <v>3-2026</v>
          </cell>
          <cell r="Y596" t="str">
            <v>Week 11</v>
          </cell>
          <cell r="Z596">
            <v>46090</v>
          </cell>
          <cell r="AA596">
            <v>88</v>
          </cell>
          <cell r="AB596">
            <v>2.1739999999999999E-2</v>
          </cell>
        </row>
        <row r="597">
          <cell r="A597" t="str">
            <v>F-2026-02-351</v>
          </cell>
          <cell r="B597"/>
          <cell r="C597" t="str">
            <v>RPRO-260225-0771</v>
          </cell>
          <cell r="D597" t="str">
            <v>Pro.sche.report 11.02+24.02</v>
          </cell>
          <cell r="E597" t="str">
            <v>BDB-000321</v>
          </cell>
          <cell r="F597" t="str">
            <v>PVN-004239</v>
          </cell>
          <cell r="G597" t="str">
            <v>OrthoLite Float BLUE ATOLL/16-4535TPX Flat Sheet 0.12D 21+/-4 Asker C 1.1M 2M 9.5mm</v>
          </cell>
          <cell r="H597">
            <v>28</v>
          </cell>
          <cell r="I597">
            <v>28</v>
          </cell>
          <cell r="J597">
            <v>28</v>
          </cell>
          <cell r="K597">
            <v>0</v>
          </cell>
          <cell r="L597" t="str">
            <v>GARMONT</v>
          </cell>
          <cell r="M597" t="str">
            <v>Pr.Sch.R</v>
          </cell>
          <cell r="N597" t="str">
            <v>DIE CUT</v>
          </cell>
          <cell r="O597">
            <v>1</v>
          </cell>
          <cell r="P597">
            <v>46078</v>
          </cell>
          <cell r="Q597">
            <v>46097</v>
          </cell>
          <cell r="R597">
            <v>46094</v>
          </cell>
          <cell r="S597">
            <v>19</v>
          </cell>
          <cell r="T597">
            <v>9.5</v>
          </cell>
          <cell r="U597">
            <v>14</v>
          </cell>
          <cell r="V597">
            <v>3</v>
          </cell>
          <cell r="W597" t="e">
            <v>#N/A</v>
          </cell>
          <cell r="X597" t="str">
            <v>3-2026</v>
          </cell>
          <cell r="Y597" t="str">
            <v>Week 11</v>
          </cell>
          <cell r="Z597">
            <v>46090</v>
          </cell>
          <cell r="AA597">
            <v>339</v>
          </cell>
          <cell r="AB597">
            <v>7.1429999999999993E-2</v>
          </cell>
        </row>
        <row r="598">
          <cell r="A598" t="str">
            <v>F-2026-02-352</v>
          </cell>
          <cell r="B598"/>
          <cell r="C598" t="str">
            <v>RPRO-260225-0772</v>
          </cell>
          <cell r="D598" t="str">
            <v>Pro.sche.report 11.02+24.02</v>
          </cell>
          <cell r="E598" t="str">
            <v>BDB-000076</v>
          </cell>
          <cell r="F598" t="str">
            <v>PVN-003342</v>
          </cell>
          <cell r="G598" t="str">
            <v>OrthoLite X-25 BILLIARD/16-5427TPX Flat Sheet 0.12D 20+/-4 Asker C 1.1M 2M 4.5mm</v>
          </cell>
          <cell r="H598">
            <v>434</v>
          </cell>
          <cell r="I598">
            <v>434</v>
          </cell>
          <cell r="J598">
            <v>434</v>
          </cell>
          <cell r="K598">
            <v>0</v>
          </cell>
          <cell r="L598" t="str">
            <v>ADIDAS</v>
          </cell>
          <cell r="M598" t="str">
            <v>Pr.Sch.R</v>
          </cell>
          <cell r="N598" t="str">
            <v>MOLDED</v>
          </cell>
          <cell r="O598">
            <v>1</v>
          </cell>
          <cell r="P598">
            <v>46078</v>
          </cell>
          <cell r="Q598">
            <v>46097</v>
          </cell>
          <cell r="R598">
            <v>46094</v>
          </cell>
          <cell r="S598">
            <v>19</v>
          </cell>
          <cell r="T598">
            <v>4.5</v>
          </cell>
          <cell r="U598">
            <v>31</v>
          </cell>
          <cell r="V598">
            <v>15</v>
          </cell>
          <cell r="W598" t="str">
            <v>0.12D</v>
          </cell>
          <cell r="X598" t="str">
            <v>3-2026</v>
          </cell>
          <cell r="Y598" t="str">
            <v>Week 11</v>
          </cell>
          <cell r="Z598">
            <v>46090</v>
          </cell>
          <cell r="AA598">
            <v>339</v>
          </cell>
          <cell r="AB598">
            <v>3.2259999999999997E-2</v>
          </cell>
        </row>
        <row r="599">
          <cell r="A599" t="str">
            <v>F-2026-02-353</v>
          </cell>
          <cell r="B599"/>
          <cell r="C599" t="str">
            <v>RPRO-260226-0402</v>
          </cell>
          <cell r="D599" t="str">
            <v>Pro.sche.report 25.2</v>
          </cell>
          <cell r="E599" t="str">
            <v>BDB-000055</v>
          </cell>
          <cell r="F599" t="str">
            <v>PVN-003326</v>
          </cell>
          <cell r="G599" t="str">
            <v>OrthoLite X-40 TRUE BLUE/19-4057TPX Flat Sheet 0.16D 35+/-4 Asker C 1.1M 1.7M 14mm</v>
          </cell>
          <cell r="H599">
            <v>9</v>
          </cell>
          <cell r="I599">
            <v>9</v>
          </cell>
          <cell r="J599">
            <v>9</v>
          </cell>
          <cell r="K599">
            <v>0</v>
          </cell>
          <cell r="L599" t="str">
            <v>ADIDAS</v>
          </cell>
          <cell r="M599" t="str">
            <v>Pr.Sch.R</v>
          </cell>
          <cell r="N599" t="str">
            <v>MOLDED</v>
          </cell>
          <cell r="O599">
            <v>1</v>
          </cell>
          <cell r="P599">
            <v>46079</v>
          </cell>
          <cell r="Q599">
            <v>46093</v>
          </cell>
          <cell r="R599">
            <v>46090</v>
          </cell>
          <cell r="S599">
            <v>14</v>
          </cell>
          <cell r="T599">
            <v>14</v>
          </cell>
          <cell r="U599">
            <v>9</v>
          </cell>
          <cell r="V599">
            <v>1</v>
          </cell>
          <cell r="W599" t="str">
            <v>0.16D</v>
          </cell>
          <cell r="X599" t="str">
            <v>3-2026</v>
          </cell>
          <cell r="Y599" t="str">
            <v>Week 10</v>
          </cell>
          <cell r="Z599">
            <v>46083</v>
          </cell>
          <cell r="AA599">
            <v>339</v>
          </cell>
          <cell r="AB599">
            <v>0.11111</v>
          </cell>
        </row>
        <row r="600">
          <cell r="A600" t="str">
            <v>F-2026-02-354</v>
          </cell>
          <cell r="B600"/>
          <cell r="C600" t="str">
            <v>RPRO-260226-0403</v>
          </cell>
          <cell r="D600" t="str">
            <v>Pro.sche.report 25.2</v>
          </cell>
          <cell r="E600" t="str">
            <v>BDB-000229</v>
          </cell>
          <cell r="F600" t="str">
            <v>PVN-003692</v>
          </cell>
          <cell r="G600" t="str">
            <v>OrthoLite Ultra-Hybrid SEEDPEARL/12-0703TPX Hybrid Flat Sheet 0.095D 33+/-4 Asker C 1.1M 2M 15.5mm</v>
          </cell>
          <cell r="H600">
            <v>32</v>
          </cell>
          <cell r="I600">
            <v>32</v>
          </cell>
          <cell r="J600">
            <v>32</v>
          </cell>
          <cell r="K600">
            <v>0</v>
          </cell>
          <cell r="L600" t="str">
            <v>GARMONT</v>
          </cell>
          <cell r="M600" t="str">
            <v>Pr.Sch.R</v>
          </cell>
          <cell r="N600" t="str">
            <v>MOLDED</v>
          </cell>
          <cell r="O600">
            <v>1</v>
          </cell>
          <cell r="P600">
            <v>46079</v>
          </cell>
          <cell r="Q600">
            <v>46098</v>
          </cell>
          <cell r="R600">
            <v>46095</v>
          </cell>
          <cell r="S600">
            <v>19</v>
          </cell>
          <cell r="T600">
            <v>15.5</v>
          </cell>
          <cell r="U600">
            <v>8</v>
          </cell>
          <cell r="V600">
            <v>4</v>
          </cell>
          <cell r="W600" t="str">
            <v>0.095D</v>
          </cell>
          <cell r="X600" t="str">
            <v>3-2026</v>
          </cell>
          <cell r="Y600" t="str">
            <v>Week 11</v>
          </cell>
          <cell r="Z600">
            <v>46090</v>
          </cell>
          <cell r="AA600">
            <v>339</v>
          </cell>
          <cell r="AB600">
            <v>0.125</v>
          </cell>
        </row>
        <row r="601">
          <cell r="A601" t="str">
            <v>F-2026-02-355-1</v>
          </cell>
          <cell r="B601" t="str">
            <v>color</v>
          </cell>
          <cell r="C601" t="str">
            <v>RPRO-260226-0404</v>
          </cell>
          <cell r="D601" t="str">
            <v>Pro.sche.report 25.2</v>
          </cell>
          <cell r="E601" t="str">
            <v>BDB-000347</v>
          </cell>
          <cell r="F601" t="str">
            <v>PVN-004192</v>
          </cell>
          <cell r="G601" t="str">
            <v>OrthoLite X-55-Hybrid SEEDPEARL/12-0703TPX Hybrid Flat Sheet 0.16D 25+/-4 Asker C 1.1M 2M 12mm</v>
          </cell>
          <cell r="H601">
            <v>198</v>
          </cell>
          <cell r="I601">
            <v>129</v>
          </cell>
          <cell r="J601">
            <v>129</v>
          </cell>
          <cell r="K601">
            <v>0</v>
          </cell>
          <cell r="L601" t="str">
            <v>BROOKS</v>
          </cell>
          <cell r="M601" t="str">
            <v>Pr.Sch.R</v>
          </cell>
          <cell r="N601" t="str">
            <v>MOLDED</v>
          </cell>
          <cell r="O601">
            <v>1</v>
          </cell>
          <cell r="P601">
            <v>46079</v>
          </cell>
          <cell r="Q601">
            <v>46109</v>
          </cell>
          <cell r="R601">
            <v>46106</v>
          </cell>
          <cell r="S601">
            <v>30</v>
          </cell>
          <cell r="T601">
            <v>12</v>
          </cell>
          <cell r="U601">
            <v>11</v>
          </cell>
          <cell r="V601">
            <v>12</v>
          </cell>
          <cell r="W601" t="e">
            <v>#N/A</v>
          </cell>
          <cell r="X601" t="str">
            <v>3-2026</v>
          </cell>
          <cell r="Y601" t="str">
            <v>Week 13</v>
          </cell>
          <cell r="Z601">
            <v>46104</v>
          </cell>
          <cell r="AA601">
            <v>295</v>
          </cell>
          <cell r="AB601">
            <v>9.0910000000000005E-2</v>
          </cell>
        </row>
        <row r="602">
          <cell r="A602" t="str">
            <v>F-2026-02-355-2</v>
          </cell>
          <cell r="B602" t="str">
            <v>color</v>
          </cell>
          <cell r="C602" t="str">
            <v>RPRO-260226-0404</v>
          </cell>
          <cell r="D602" t="str">
            <v>Pro.sche.report 25.2</v>
          </cell>
          <cell r="E602" t="str">
            <v>BDB-000347</v>
          </cell>
          <cell r="F602" t="str">
            <v>PVN-004192</v>
          </cell>
          <cell r="G602" t="str">
            <v>OrthoLite X-55-Hybrid SEEDPEARL/12-0703TPX Hybrid Flat Sheet 0.16D 25+/-4 Asker C 1.1M 2M 12mm</v>
          </cell>
          <cell r="H602">
            <v>198</v>
          </cell>
          <cell r="I602">
            <v>69</v>
          </cell>
          <cell r="J602">
            <v>69</v>
          </cell>
          <cell r="K602">
            <v>0</v>
          </cell>
          <cell r="L602" t="str">
            <v>BROOKS</v>
          </cell>
          <cell r="M602" t="str">
            <v>Pr.Sch.R</v>
          </cell>
          <cell r="N602" t="str">
            <v>MOLDED</v>
          </cell>
          <cell r="O602">
            <v>1</v>
          </cell>
          <cell r="P602">
            <v>46079</v>
          </cell>
          <cell r="Q602">
            <v>46109</v>
          </cell>
          <cell r="R602">
            <v>46106</v>
          </cell>
          <cell r="S602">
            <v>30</v>
          </cell>
          <cell r="T602">
            <v>12</v>
          </cell>
          <cell r="U602">
            <v>11</v>
          </cell>
          <cell r="V602">
            <v>7</v>
          </cell>
          <cell r="W602" t="e">
            <v>#N/A</v>
          </cell>
          <cell r="X602" t="str">
            <v>3-2026</v>
          </cell>
          <cell r="Y602" t="str">
            <v>Week 13</v>
          </cell>
          <cell r="Z602">
            <v>46104</v>
          </cell>
          <cell r="AA602">
            <v>295</v>
          </cell>
          <cell r="AB602">
            <v>9.0910000000000005E-2</v>
          </cell>
        </row>
        <row r="603">
          <cell r="A603" t="str">
            <v>F-2026-02-356</v>
          </cell>
          <cell r="B603"/>
          <cell r="C603" t="str">
            <v>RPRO-260226-0405</v>
          </cell>
          <cell r="D603" t="str">
            <v>Pro.sche.report 25.2</v>
          </cell>
          <cell r="E603" t="str">
            <v>BDB-000332</v>
          </cell>
          <cell r="F603" t="str">
            <v>PVN-004146</v>
          </cell>
          <cell r="G603" t="str">
            <v>OrthoLite X-25 CASTLEROCK/18-0201TPX Flat Sheet 0.12D 20+/-4 Asker C 1.1M 2M 5.5mm</v>
          </cell>
          <cell r="H603">
            <v>25</v>
          </cell>
          <cell r="I603">
            <v>25</v>
          </cell>
          <cell r="J603">
            <v>25</v>
          </cell>
          <cell r="K603">
            <v>0</v>
          </cell>
          <cell r="L603" t="str">
            <v>ON RUNNING</v>
          </cell>
          <cell r="M603" t="str">
            <v>Pr.Sch.R</v>
          </cell>
          <cell r="N603" t="str">
            <v>MOLDED</v>
          </cell>
          <cell r="O603">
            <v>1</v>
          </cell>
          <cell r="P603">
            <v>46079</v>
          </cell>
          <cell r="Q603">
            <v>46100</v>
          </cell>
          <cell r="R603">
            <v>46097</v>
          </cell>
          <cell r="S603">
            <v>21</v>
          </cell>
          <cell r="T603">
            <v>5.5</v>
          </cell>
          <cell r="U603">
            <v>25</v>
          </cell>
          <cell r="V603">
            <v>1</v>
          </cell>
          <cell r="W603" t="e">
            <v>#N/A</v>
          </cell>
          <cell r="X603" t="str">
            <v>3-2026</v>
          </cell>
          <cell r="Y603" t="str">
            <v>Week 11</v>
          </cell>
          <cell r="Z603">
            <v>46090</v>
          </cell>
          <cell r="AA603">
            <v>295</v>
          </cell>
          <cell r="AB603">
            <v>0.04</v>
          </cell>
        </row>
        <row r="604">
          <cell r="A604" t="str">
            <v>F-2026-02-357</v>
          </cell>
          <cell r="B604"/>
          <cell r="C604" t="str">
            <v>RPRO-260226-0406</v>
          </cell>
          <cell r="D604" t="str">
            <v>Pro.sche.report 25.2</v>
          </cell>
          <cell r="E604" t="str">
            <v>BDB-000113</v>
          </cell>
          <cell r="F604" t="str">
            <v>PVN-002515</v>
          </cell>
          <cell r="G604" t="str">
            <v>OrthoLite Regular-Hybrid SEEDPEARL/12-0703TPX Hybrid Flat Sheet 0.11D 25+/-4 Asker C 1.1M 2M 11mm</v>
          </cell>
          <cell r="H604">
            <v>60</v>
          </cell>
          <cell r="I604">
            <v>60</v>
          </cell>
          <cell r="J604">
            <v>60</v>
          </cell>
          <cell r="K604">
            <v>0</v>
          </cell>
          <cell r="L604" t="str">
            <v>ASICS</v>
          </cell>
          <cell r="M604" t="str">
            <v>Pr.Sch.R</v>
          </cell>
          <cell r="N604" t="str">
            <v>MOLDED</v>
          </cell>
          <cell r="O604">
            <v>1</v>
          </cell>
          <cell r="P604">
            <v>46079</v>
          </cell>
          <cell r="Q604">
            <v>46093</v>
          </cell>
          <cell r="R604">
            <v>46090</v>
          </cell>
          <cell r="S604">
            <v>14</v>
          </cell>
          <cell r="T604">
            <v>11</v>
          </cell>
          <cell r="U604">
            <v>12</v>
          </cell>
          <cell r="V604">
            <v>5</v>
          </cell>
          <cell r="W604" t="str">
            <v>0.11D</v>
          </cell>
          <cell r="X604" t="str">
            <v>3-2026</v>
          </cell>
          <cell r="Y604" t="str">
            <v>Week 10</v>
          </cell>
          <cell r="Z604">
            <v>46083</v>
          </cell>
          <cell r="AA604">
            <v>383</v>
          </cell>
          <cell r="AB604">
            <v>8.3330000000000001E-2</v>
          </cell>
        </row>
        <row r="605">
          <cell r="A605" t="str">
            <v>F-2026-02-358</v>
          </cell>
          <cell r="B605"/>
          <cell r="C605" t="str">
            <v>RPRO-260226-0407</v>
          </cell>
          <cell r="D605" t="str">
            <v>Pro.sche.report 25.2</v>
          </cell>
          <cell r="E605" t="str">
            <v>BDB-000076</v>
          </cell>
          <cell r="F605" t="str">
            <v>PVN-003494</v>
          </cell>
          <cell r="G605" t="str">
            <v>OrthoLite X-25 BILLIARD/16-5427TPX Flat Sheet 0.12D 20+/-4 Asker C 1.1M 2M 5.5mm</v>
          </cell>
          <cell r="H605">
            <v>100</v>
          </cell>
          <cell r="I605">
            <v>100</v>
          </cell>
          <cell r="J605">
            <v>100</v>
          </cell>
          <cell r="K605">
            <v>0</v>
          </cell>
          <cell r="L605" t="str">
            <v>LOTTO</v>
          </cell>
          <cell r="M605" t="str">
            <v>Pr.Sch.R</v>
          </cell>
          <cell r="N605" t="str">
            <v>MOLDED</v>
          </cell>
          <cell r="O605">
            <v>1</v>
          </cell>
          <cell r="P605">
            <v>46079</v>
          </cell>
          <cell r="Q605">
            <v>46101</v>
          </cell>
          <cell r="R605">
            <v>46098</v>
          </cell>
          <cell r="S605">
            <v>22</v>
          </cell>
          <cell r="T605">
            <v>5.5</v>
          </cell>
          <cell r="U605">
            <v>25</v>
          </cell>
          <cell r="V605">
            <v>4</v>
          </cell>
          <cell r="W605" t="str">
            <v>0.12D</v>
          </cell>
          <cell r="X605" t="str">
            <v>3-2026</v>
          </cell>
          <cell r="Y605" t="str">
            <v>Week 11</v>
          </cell>
          <cell r="Z605">
            <v>46090</v>
          </cell>
          <cell r="AA605">
            <v>383</v>
          </cell>
          <cell r="AB605">
            <v>0.04</v>
          </cell>
        </row>
        <row r="606">
          <cell r="A606" t="str">
            <v>F-2026-02-359</v>
          </cell>
          <cell r="B606"/>
          <cell r="C606" t="str">
            <v>RPRO-260226-0408</v>
          </cell>
          <cell r="D606" t="str">
            <v>Pro.sche.report 25.2</v>
          </cell>
          <cell r="E606" t="str">
            <v>BDB-000113</v>
          </cell>
          <cell r="F606" t="str">
            <v>PVN-003796</v>
          </cell>
          <cell r="G606" t="str">
            <v>OrthoLite Regular-Hybrid SEEDPEARL/12-0703TPX Hybrid Flat Sheet 0.11D 25+/-4 Asker C 1.1M 2M 3.5mm</v>
          </cell>
          <cell r="H606">
            <v>120</v>
          </cell>
          <cell r="I606">
            <v>120</v>
          </cell>
          <cell r="J606">
            <v>120</v>
          </cell>
          <cell r="K606">
            <v>0</v>
          </cell>
          <cell r="L606" t="str">
            <v>ASICS</v>
          </cell>
          <cell r="M606" t="str">
            <v>Pr.Sch.R</v>
          </cell>
          <cell r="N606" t="str">
            <v>DIE CUT</v>
          </cell>
          <cell r="O606">
            <v>1</v>
          </cell>
          <cell r="P606">
            <v>46079</v>
          </cell>
          <cell r="Q606">
            <v>46097</v>
          </cell>
          <cell r="R606">
            <v>46094</v>
          </cell>
          <cell r="S606">
            <v>18</v>
          </cell>
          <cell r="T606">
            <v>3.5</v>
          </cell>
          <cell r="U606">
            <v>40</v>
          </cell>
          <cell r="V606">
            <v>3</v>
          </cell>
          <cell r="W606" t="str">
            <v>0.11D</v>
          </cell>
          <cell r="X606" t="str">
            <v>3-2026</v>
          </cell>
          <cell r="Y606" t="str">
            <v>Week 11</v>
          </cell>
          <cell r="Z606">
            <v>46090</v>
          </cell>
          <cell r="AA606">
            <v>383</v>
          </cell>
          <cell r="AB606">
            <v>2.5000000000000001E-2</v>
          </cell>
        </row>
        <row r="607">
          <cell r="A607" t="str">
            <v>F-2026-02-360</v>
          </cell>
          <cell r="B607"/>
          <cell r="C607" t="str">
            <v>RPRO-260226-0409</v>
          </cell>
          <cell r="D607" t="str">
            <v>Pro.sche.report 25.2</v>
          </cell>
          <cell r="E607" t="str">
            <v>BDB-000076</v>
          </cell>
          <cell r="F607" t="str">
            <v>PVN-004091</v>
          </cell>
          <cell r="G607" t="str">
            <v>OrthoLite X-25 BILLIARD/16-5427TPX Flat Sheet 0.12D 20+/-4 Asker C 1.1M 2M 3.5mm</v>
          </cell>
          <cell r="H607">
            <v>160</v>
          </cell>
          <cell r="I607">
            <v>160</v>
          </cell>
          <cell r="J607">
            <v>160</v>
          </cell>
          <cell r="K607">
            <v>0</v>
          </cell>
          <cell r="L607" t="str">
            <v>BROOKS</v>
          </cell>
          <cell r="M607" t="str">
            <v>Pr.Sch.R</v>
          </cell>
          <cell r="N607" t="str">
            <v>MOLDED</v>
          </cell>
          <cell r="O607">
            <v>1</v>
          </cell>
          <cell r="P607">
            <v>46079</v>
          </cell>
          <cell r="Q607">
            <v>46101</v>
          </cell>
          <cell r="R607">
            <v>46098</v>
          </cell>
          <cell r="S607">
            <v>22</v>
          </cell>
          <cell r="T607">
            <v>3.5</v>
          </cell>
          <cell r="U607">
            <v>40</v>
          </cell>
          <cell r="V607">
            <v>4</v>
          </cell>
          <cell r="W607" t="str">
            <v>0.12D</v>
          </cell>
          <cell r="X607" t="str">
            <v>3-2026</v>
          </cell>
          <cell r="Y607" t="str">
            <v>Week 11</v>
          </cell>
          <cell r="Z607">
            <v>46090</v>
          </cell>
          <cell r="AA607">
            <v>383</v>
          </cell>
          <cell r="AB607">
            <v>2.5000000000000001E-2</v>
          </cell>
        </row>
        <row r="608">
          <cell r="A608" t="str">
            <v>F-2026-02-361</v>
          </cell>
          <cell r="B608"/>
          <cell r="C608" t="str">
            <v>RPRO-260226-0410</v>
          </cell>
          <cell r="D608" t="str">
            <v>Pro.sche.report 25.2</v>
          </cell>
          <cell r="E608" t="str">
            <v>BDB-000156</v>
          </cell>
          <cell r="F608" t="str">
            <v>PVN-003243</v>
          </cell>
          <cell r="G608" t="str">
            <v>OrthoLite X-35-Hybrid-Nike AMAZON/18-6024TPX Hybrid Flat Sheet 0.145D 25+/-4 Asker C 1.1M 2M 5.2mm</v>
          </cell>
          <cell r="H608">
            <v>676</v>
          </cell>
          <cell r="I608">
            <v>676</v>
          </cell>
          <cell r="J608">
            <v>676</v>
          </cell>
          <cell r="K608">
            <v>0</v>
          </cell>
          <cell r="L608" t="str">
            <v>NIKE</v>
          </cell>
          <cell r="M608" t="str">
            <v>Pr.Sch.R</v>
          </cell>
          <cell r="N608" t="str">
            <v>MOLDED</v>
          </cell>
          <cell r="O608">
            <v>1</v>
          </cell>
          <cell r="P608">
            <v>46079</v>
          </cell>
          <cell r="Q608">
            <v>46095</v>
          </cell>
          <cell r="R608">
            <v>46092</v>
          </cell>
          <cell r="S608">
            <v>16</v>
          </cell>
          <cell r="T608">
            <v>5.2</v>
          </cell>
          <cell r="U608">
            <v>26</v>
          </cell>
          <cell r="V608">
            <v>26</v>
          </cell>
          <cell r="W608" t="str">
            <v>0.145D</v>
          </cell>
          <cell r="X608" t="str">
            <v>3-2026</v>
          </cell>
          <cell r="Y608" t="str">
            <v>Week 11</v>
          </cell>
          <cell r="Z608">
            <v>46090</v>
          </cell>
          <cell r="AA608">
            <v>383</v>
          </cell>
          <cell r="AB608">
            <v>3.8460000000000001E-2</v>
          </cell>
        </row>
        <row r="609">
          <cell r="A609" t="str">
            <v>F-2026-02-362</v>
          </cell>
          <cell r="B609"/>
          <cell r="C609" t="str">
            <v>RPRO-260227-0303</v>
          </cell>
          <cell r="D609" t="str">
            <v>MPS 26.02</v>
          </cell>
          <cell r="E609" t="str">
            <v>BDB-000258</v>
          </cell>
          <cell r="F609" t="str">
            <v>PVN-003669</v>
          </cell>
          <cell r="G609" t="str">
            <v>OrthoLite Eco LT-Hybrid LIME GREEN/14-0452TPX Hybrid Flat Sheet 0.13D 35+/-4 Asker C 1.1M 1.7M 2.5mm</v>
          </cell>
          <cell r="H609">
            <v>224</v>
          </cell>
          <cell r="I609">
            <v>224</v>
          </cell>
          <cell r="J609">
            <v>224</v>
          </cell>
          <cell r="K609">
            <v>0</v>
          </cell>
          <cell r="L609"/>
          <cell r="M609" t="str">
            <v>MPS</v>
          </cell>
          <cell r="N609" t="str">
            <v>SPLITTING</v>
          </cell>
          <cell r="O609">
            <v>2</v>
          </cell>
          <cell r="P609">
            <v>46080</v>
          </cell>
          <cell r="Q609">
            <v>46097</v>
          </cell>
          <cell r="R609">
            <v>46094</v>
          </cell>
          <cell r="S609">
            <v>17</v>
          </cell>
          <cell r="T609">
            <v>2.5</v>
          </cell>
          <cell r="U609">
            <v>56</v>
          </cell>
          <cell r="V609">
            <v>5</v>
          </cell>
          <cell r="W609" t="str">
            <v>0.13D</v>
          </cell>
          <cell r="X609" t="str">
            <v>3-2026</v>
          </cell>
          <cell r="Y609" t="str">
            <v>Week 11</v>
          </cell>
          <cell r="Z609">
            <v>46090</v>
          </cell>
          <cell r="AA609">
            <v>135</v>
          </cell>
          <cell r="AB609">
            <v>1.7860000000000001E-2</v>
          </cell>
        </row>
        <row r="610">
          <cell r="A610" t="str">
            <v>F-2026-02-363</v>
          </cell>
          <cell r="B610"/>
          <cell r="C610" t="str">
            <v>RPRO-260227-0304</v>
          </cell>
          <cell r="D610" t="str">
            <v>MPS 26.02</v>
          </cell>
          <cell r="E610" t="str">
            <v>BDB-000005</v>
          </cell>
          <cell r="F610" t="str">
            <v>PVN-004312</v>
          </cell>
          <cell r="G610" t="str">
            <v>OrthoLite Regular GREY/17-1501TPX Flat Sheet 0.13D 35+/-4 Asker C 1.1M 2M 5mm</v>
          </cell>
          <cell r="H610">
            <v>56</v>
          </cell>
          <cell r="I610">
            <v>56</v>
          </cell>
          <cell r="J610">
            <v>56</v>
          </cell>
          <cell r="K610">
            <v>0</v>
          </cell>
          <cell r="L610"/>
          <cell r="M610" t="str">
            <v>MPS</v>
          </cell>
          <cell r="N610" t="str">
            <v>SPLITTING</v>
          </cell>
          <cell r="O610">
            <v>2</v>
          </cell>
          <cell r="P610">
            <v>46080</v>
          </cell>
          <cell r="Q610">
            <v>46101</v>
          </cell>
          <cell r="R610">
            <v>46098</v>
          </cell>
          <cell r="S610">
            <v>21</v>
          </cell>
          <cell r="T610">
            <v>5</v>
          </cell>
          <cell r="U610">
            <v>28</v>
          </cell>
          <cell r="V610">
            <v>2</v>
          </cell>
          <cell r="W610" t="str">
            <v>0.13D</v>
          </cell>
          <cell r="X610" t="str">
            <v>3-2026</v>
          </cell>
          <cell r="Y610" t="str">
            <v>Week 11</v>
          </cell>
          <cell r="Z610">
            <v>46090</v>
          </cell>
          <cell r="AA610">
            <v>82</v>
          </cell>
          <cell r="AB610">
            <v>3.5709999999999999E-2</v>
          </cell>
        </row>
        <row r="611">
          <cell r="A611" t="str">
            <v>F-2026-02-364</v>
          </cell>
          <cell r="B611"/>
          <cell r="C611" t="str">
            <v>RPRO-260227-0305</v>
          </cell>
          <cell r="D611" t="str">
            <v>Pro.sche.report 26.02</v>
          </cell>
          <cell r="E611" t="str">
            <v>BDB-000318</v>
          </cell>
          <cell r="F611" t="str">
            <v>PVN-004077</v>
          </cell>
          <cell r="G611" t="str">
            <v>OrthoLite X-55 RED/19-1764TPX Flat Sheet 0.16D 25+/-4 Asker C 1.1M 2M 5.2mm</v>
          </cell>
          <cell r="H611">
            <v>104</v>
          </cell>
          <cell r="I611">
            <v>104</v>
          </cell>
          <cell r="J611">
            <v>104</v>
          </cell>
          <cell r="K611">
            <v>0</v>
          </cell>
          <cell r="L611" t="str">
            <v>NEW BALANCE</v>
          </cell>
          <cell r="M611" t="str">
            <v>Pr.Sch.R</v>
          </cell>
          <cell r="N611" t="str">
            <v>MOLDED</v>
          </cell>
          <cell r="O611">
            <v>1</v>
          </cell>
          <cell r="P611">
            <v>46080</v>
          </cell>
          <cell r="Q611">
            <v>46093</v>
          </cell>
          <cell r="R611">
            <v>46090</v>
          </cell>
          <cell r="S611">
            <v>13</v>
          </cell>
          <cell r="T611">
            <v>5.2</v>
          </cell>
          <cell r="U611">
            <v>26</v>
          </cell>
          <cell r="V611">
            <v>4</v>
          </cell>
          <cell r="W611" t="e">
            <v>#N/A</v>
          </cell>
          <cell r="X611" t="str">
            <v>3-2026</v>
          </cell>
          <cell r="Y611" t="str">
            <v>Week 10</v>
          </cell>
          <cell r="Z611">
            <v>46083</v>
          </cell>
          <cell r="AA611">
            <v>82</v>
          </cell>
          <cell r="AB611">
            <v>3.8460000000000001E-2</v>
          </cell>
        </row>
        <row r="612">
          <cell r="A612" t="str">
            <v>F-2026-02-368</v>
          </cell>
          <cell r="B612"/>
          <cell r="C612" t="str">
            <v>RPRO-260227-0309</v>
          </cell>
          <cell r="D612" t="str">
            <v>Pro.sche.report 26.02</v>
          </cell>
          <cell r="E612" t="str">
            <v>BDB-000340</v>
          </cell>
          <cell r="F612" t="str">
            <v>PVN-004177</v>
          </cell>
          <cell r="G612" t="str">
            <v>OrthoLite Float SEEDPEARL/12-0703TPX Flat Sheet 0.12D 21+/-4 Asker C 1.1M 2M 5.5mm</v>
          </cell>
          <cell r="H612">
            <v>25</v>
          </cell>
          <cell r="I612">
            <v>25</v>
          </cell>
          <cell r="J612">
            <v>25</v>
          </cell>
          <cell r="K612">
            <v>0</v>
          </cell>
          <cell r="L612" t="str">
            <v>ON RUNNING</v>
          </cell>
          <cell r="M612" t="str">
            <v>Pr.Sch.R</v>
          </cell>
          <cell r="N612" t="str">
            <v>MOLDED</v>
          </cell>
          <cell r="O612">
            <v>1</v>
          </cell>
          <cell r="P612">
            <v>46080</v>
          </cell>
          <cell r="Q612">
            <v>46093</v>
          </cell>
          <cell r="R612">
            <v>46090</v>
          </cell>
          <cell r="S612">
            <v>13</v>
          </cell>
          <cell r="T612">
            <v>5.5</v>
          </cell>
          <cell r="U612">
            <v>25</v>
          </cell>
          <cell r="V612">
            <v>1</v>
          </cell>
          <cell r="W612" t="e">
            <v>#N/A</v>
          </cell>
          <cell r="X612" t="str">
            <v>3-2026</v>
          </cell>
          <cell r="Y612" t="str">
            <v>Week 11</v>
          </cell>
          <cell r="Z612">
            <v>46090</v>
          </cell>
          <cell r="AA612">
            <v>141</v>
          </cell>
          <cell r="AB612">
            <v>0.04</v>
          </cell>
        </row>
        <row r="613">
          <cell r="A613" t="str">
            <v>F-2026-02-370</v>
          </cell>
          <cell r="B613"/>
          <cell r="C613" t="str">
            <v>FPRO-260227-0004</v>
          </cell>
          <cell r="D613" t="str">
            <v>Firm plan 27.02</v>
          </cell>
          <cell r="E613" t="str">
            <v>BDB-000362</v>
          </cell>
          <cell r="F613" t="str">
            <v>PVN-004259</v>
          </cell>
          <cell r="G613" t="str">
            <v>OrthoLite X-60-Hybrid SEEDPEARL/12-0703TPX Hybrid Flat Sheet 0.19D 28+/-4 Asker C 1.1M 1.7M 12mm</v>
          </cell>
          <cell r="H613">
            <v>1000</v>
          </cell>
          <cell r="I613">
            <v>1000</v>
          </cell>
          <cell r="J613">
            <v>1000</v>
          </cell>
          <cell r="K613">
            <v>0</v>
          </cell>
          <cell r="L613" t="str">
            <v>BROOKS</v>
          </cell>
          <cell r="M613" t="str">
            <v>Forecast</v>
          </cell>
          <cell r="N613" t="str">
            <v>MOLDED</v>
          </cell>
          <cell r="O613">
            <v>1</v>
          </cell>
          <cell r="P613">
            <v>46080</v>
          </cell>
          <cell r="Q613">
            <v>46108</v>
          </cell>
          <cell r="R613">
            <v>46105</v>
          </cell>
          <cell r="S613">
            <v>28</v>
          </cell>
          <cell r="T613">
            <v>12</v>
          </cell>
          <cell r="U613">
            <v>11</v>
          </cell>
          <cell r="V613">
            <v>91</v>
          </cell>
          <cell r="W613" t="e">
            <v>#N/A</v>
          </cell>
          <cell r="X613" t="str">
            <v>3-2026</v>
          </cell>
          <cell r="Y613" t="str">
            <v>Week 13</v>
          </cell>
          <cell r="Z613">
            <v>46104</v>
          </cell>
          <cell r="AA613">
            <v>16</v>
          </cell>
          <cell r="AB613">
            <v>9.0910000000000005E-2</v>
          </cell>
        </row>
        <row r="614">
          <cell r="A614" t="str">
            <v>F-2026-02-371</v>
          </cell>
          <cell r="B614"/>
          <cell r="C614" t="str">
            <v>FPRO-260227-0005</v>
          </cell>
          <cell r="D614" t="str">
            <v>Firm plan 27.02</v>
          </cell>
          <cell r="E614" t="str">
            <v>BDB-000362</v>
          </cell>
          <cell r="F614" t="str">
            <v>PVN-004259</v>
          </cell>
          <cell r="G614" t="str">
            <v>OrthoLite X-60-Hybrid SEEDPEARL/12-0703TPX Hybrid Flat Sheet 0.19D 28+/-4 Asker C 1.1M 1.7M 12mm</v>
          </cell>
          <cell r="H614">
            <v>950</v>
          </cell>
          <cell r="I614">
            <v>950</v>
          </cell>
          <cell r="J614">
            <v>0</v>
          </cell>
          <cell r="K614">
            <v>950</v>
          </cell>
          <cell r="L614" t="str">
            <v>BROOKS</v>
          </cell>
          <cell r="M614" t="str">
            <v>Forecast</v>
          </cell>
          <cell r="N614" t="str">
            <v>MOLDED</v>
          </cell>
          <cell r="O614">
            <v>1</v>
          </cell>
          <cell r="P614">
            <v>46080</v>
          </cell>
          <cell r="Q614">
            <v>46182</v>
          </cell>
          <cell r="R614">
            <v>46179</v>
          </cell>
          <cell r="S614">
            <v>102</v>
          </cell>
          <cell r="T614">
            <v>12</v>
          </cell>
          <cell r="U614">
            <v>11</v>
          </cell>
          <cell r="V614">
            <v>87</v>
          </cell>
          <cell r="W614" t="e">
            <v>#N/A</v>
          </cell>
          <cell r="X614" t="str">
            <v>6-2026</v>
          </cell>
          <cell r="Y614" t="str">
            <v>Week 23</v>
          </cell>
          <cell r="Z614">
            <v>46174</v>
          </cell>
          <cell r="AA614">
            <v>23</v>
          </cell>
          <cell r="AB614">
            <v>9.0910000000000005E-2</v>
          </cell>
        </row>
        <row r="615">
          <cell r="A615" t="str">
            <v>F-2026-02-372</v>
          </cell>
          <cell r="B615"/>
          <cell r="C615" t="str">
            <v>FPRO-260227-0006</v>
          </cell>
          <cell r="D615" t="str">
            <v>Firm plan 27.02</v>
          </cell>
          <cell r="E615" t="str">
            <v>BDB-000217</v>
          </cell>
          <cell r="F615" t="str">
            <v>PVN-003483</v>
          </cell>
          <cell r="G615" t="str">
            <v>OrthoLite X-40-Hybrid SEEDPEARL/12-0703TPX Hybrid 0.16D 35+/-4 Asker C 1.1M 1.7M 12mm</v>
          </cell>
          <cell r="H615">
            <v>300</v>
          </cell>
          <cell r="I615">
            <v>300</v>
          </cell>
          <cell r="J615">
            <v>300</v>
          </cell>
          <cell r="K615">
            <v>0</v>
          </cell>
          <cell r="L615" t="str">
            <v>BROOKS</v>
          </cell>
          <cell r="M615" t="str">
            <v>Forecast</v>
          </cell>
          <cell r="N615" t="str">
            <v>MOLDED</v>
          </cell>
          <cell r="O615">
            <v>1</v>
          </cell>
          <cell r="P615">
            <v>46080</v>
          </cell>
          <cell r="Q615">
            <v>46105</v>
          </cell>
          <cell r="R615">
            <v>46102</v>
          </cell>
          <cell r="S615">
            <v>25</v>
          </cell>
          <cell r="T615">
            <v>12</v>
          </cell>
          <cell r="U615">
            <v>11</v>
          </cell>
          <cell r="V615">
            <v>28</v>
          </cell>
          <cell r="W615" t="str">
            <v>0.16D</v>
          </cell>
          <cell r="X615" t="str">
            <v>3-2026</v>
          </cell>
          <cell r="Y615" t="str">
            <v>Week 12</v>
          </cell>
          <cell r="Z615">
            <v>46097</v>
          </cell>
          <cell r="AA615">
            <v>138</v>
          </cell>
          <cell r="AB615">
            <v>9.0910000000000005E-2</v>
          </cell>
        </row>
        <row r="616">
          <cell r="A616" t="str">
            <v>F-2026-02-373-1</v>
          </cell>
          <cell r="B616"/>
          <cell r="C616" t="str">
            <v>FPRO-260227-0007</v>
          </cell>
          <cell r="D616" t="str">
            <v>Firm plan 27.02</v>
          </cell>
          <cell r="E616" t="str">
            <v>BDB-000209</v>
          </cell>
          <cell r="F616" t="str">
            <v>PVN-003462</v>
          </cell>
          <cell r="G616" t="str">
            <v>OrthoLite HybridPlus-Recycled MINT GREEN/11-4805TPX Hybrid 0.12D 25+/-4 Asker C 1.1M 2M 12mm</v>
          </cell>
          <cell r="H616">
            <v>500</v>
          </cell>
          <cell r="I616">
            <v>500</v>
          </cell>
          <cell r="J616">
            <v>500</v>
          </cell>
          <cell r="K616">
            <v>0</v>
          </cell>
          <cell r="L616" t="str">
            <v>BROOKS</v>
          </cell>
          <cell r="M616" t="str">
            <v>Forecast</v>
          </cell>
          <cell r="N616" t="str">
            <v>MOLDED</v>
          </cell>
          <cell r="O616">
            <v>1</v>
          </cell>
          <cell r="P616">
            <v>46080</v>
          </cell>
          <cell r="Q616">
            <v>46108</v>
          </cell>
          <cell r="R616">
            <v>46105</v>
          </cell>
          <cell r="S616">
            <v>28</v>
          </cell>
          <cell r="T616">
            <v>12</v>
          </cell>
          <cell r="U616">
            <v>11</v>
          </cell>
          <cell r="V616">
            <v>46</v>
          </cell>
          <cell r="W616" t="str">
            <v>0.12D</v>
          </cell>
          <cell r="X616" t="str">
            <v>3-2026</v>
          </cell>
          <cell r="Y616" t="str">
            <v>Week 12</v>
          </cell>
          <cell r="Z616">
            <v>46097</v>
          </cell>
          <cell r="AA616">
            <v>100</v>
          </cell>
          <cell r="AB616">
            <v>9.0910000000000005E-2</v>
          </cell>
        </row>
        <row r="617">
          <cell r="A617" t="str">
            <v>F-2026-02-373-2</v>
          </cell>
          <cell r="B617"/>
          <cell r="C617" t="str">
            <v>FPRO-260309-0003</v>
          </cell>
          <cell r="D617" t="str">
            <v>Firm plan 27.02</v>
          </cell>
          <cell r="E617" t="str">
            <v>BDB-000209</v>
          </cell>
          <cell r="F617" t="str">
            <v>PVN-003462</v>
          </cell>
          <cell r="G617" t="str">
            <v>OrthoLite HybridPlus-Recycled MINT GREEN/11-4805TPX Hybrid 0.12D 25+/-4 Asker C 1.1M 2M 12mm</v>
          </cell>
          <cell r="H617">
            <v>500</v>
          </cell>
          <cell r="I617">
            <v>500</v>
          </cell>
          <cell r="J617">
            <v>0</v>
          </cell>
          <cell r="K617">
            <v>500</v>
          </cell>
          <cell r="L617" t="str">
            <v>BROOKS</v>
          </cell>
          <cell r="M617" t="str">
            <v>Forecast</v>
          </cell>
          <cell r="N617" t="str">
            <v>MOLDED</v>
          </cell>
          <cell r="O617">
            <v>1</v>
          </cell>
          <cell r="P617">
            <v>46080</v>
          </cell>
          <cell r="Q617">
            <v>46118</v>
          </cell>
          <cell r="R617">
            <v>46115</v>
          </cell>
          <cell r="S617">
            <v>38</v>
          </cell>
          <cell r="T617">
            <v>12</v>
          </cell>
          <cell r="U617">
            <v>11</v>
          </cell>
          <cell r="V617">
            <v>46</v>
          </cell>
          <cell r="W617" t="str">
            <v>0.12D</v>
          </cell>
          <cell r="X617" t="str">
            <v>4-2026</v>
          </cell>
          <cell r="Y617" t="str">
            <v>Week 14</v>
          </cell>
          <cell r="Z617">
            <v>46111</v>
          </cell>
          <cell r="AA617">
            <v>18</v>
          </cell>
          <cell r="AB617">
            <v>9.0910000000000005E-2</v>
          </cell>
        </row>
        <row r="618">
          <cell r="A618" t="str">
            <v>F-2026-02-373-3</v>
          </cell>
          <cell r="B618"/>
          <cell r="C618" t="str">
            <v>FPRO-260324-0010</v>
          </cell>
          <cell r="D618" t="str">
            <v>Firm plan 27.02</v>
          </cell>
          <cell r="E618" t="str">
            <v>BDB-000209</v>
          </cell>
          <cell r="F618" t="str">
            <v>PVN-003462</v>
          </cell>
          <cell r="G618" t="str">
            <v>OrthoLite HybridPlus-Recycled MINT GREEN/11-4805TPX Hybrid 0.12D 25+/-4 Asker C 1.1M 2M 12mm</v>
          </cell>
          <cell r="H618">
            <v>500</v>
          </cell>
          <cell r="I618">
            <v>500</v>
          </cell>
          <cell r="J618">
            <v>0</v>
          </cell>
          <cell r="K618">
            <v>500</v>
          </cell>
          <cell r="L618" t="str">
            <v>BROOKS</v>
          </cell>
          <cell r="M618" t="str">
            <v>Forecast</v>
          </cell>
          <cell r="N618" t="str">
            <v>MOLDED</v>
          </cell>
          <cell r="O618">
            <v>1</v>
          </cell>
          <cell r="P618">
            <v>46080</v>
          </cell>
          <cell r="Q618">
            <v>46129</v>
          </cell>
          <cell r="R618">
            <v>46126</v>
          </cell>
          <cell r="S618">
            <v>49</v>
          </cell>
          <cell r="T618">
            <v>12</v>
          </cell>
          <cell r="U618">
            <v>11</v>
          </cell>
          <cell r="V618">
            <v>46</v>
          </cell>
          <cell r="W618" t="str">
            <v>0.12D</v>
          </cell>
          <cell r="X618" t="str">
            <v>4-2026</v>
          </cell>
          <cell r="Y618" t="str">
            <v>Week 15</v>
          </cell>
          <cell r="Z618">
            <v>46118</v>
          </cell>
          <cell r="AA618">
            <v>43</v>
          </cell>
          <cell r="AB618">
            <v>9.0910000000000005E-2</v>
          </cell>
        </row>
        <row r="619">
          <cell r="A619" t="str">
            <v>F-2026-02-374-1</v>
          </cell>
          <cell r="B619"/>
          <cell r="C619" t="str">
            <v>FPRO-260227-0008</v>
          </cell>
          <cell r="D619" t="str">
            <v>Firm plan 27.02</v>
          </cell>
          <cell r="E619" t="str">
            <v>BDB-000347</v>
          </cell>
          <cell r="F619" t="str">
            <v>PVN-004192</v>
          </cell>
          <cell r="G619" t="str">
            <v>OrthoLite X-55-Hybrid SEEDPEARL/12-0703TPX Hybrid 0.16D 25+/-4 Asker C 1.1M 2M 12mm</v>
          </cell>
          <cell r="H619">
            <v>1000</v>
          </cell>
          <cell r="I619">
            <v>1000</v>
          </cell>
          <cell r="J619">
            <v>1000</v>
          </cell>
          <cell r="K619">
            <v>0</v>
          </cell>
          <cell r="L619" t="str">
            <v>BROOKS</v>
          </cell>
          <cell r="M619" t="str">
            <v>Forecast</v>
          </cell>
          <cell r="N619" t="str">
            <v>MOLDED</v>
          </cell>
          <cell r="O619">
            <v>1</v>
          </cell>
          <cell r="P619">
            <v>46080</v>
          </cell>
          <cell r="Q619">
            <v>46114</v>
          </cell>
          <cell r="R619">
            <v>46111</v>
          </cell>
          <cell r="S619">
            <v>34</v>
          </cell>
          <cell r="T619">
            <v>12</v>
          </cell>
          <cell r="U619">
            <v>11</v>
          </cell>
          <cell r="V619">
            <v>91</v>
          </cell>
          <cell r="W619" t="e">
            <v>#N/A</v>
          </cell>
          <cell r="X619" t="str">
            <v>4-2026</v>
          </cell>
          <cell r="Y619" t="str">
            <v>Week 13</v>
          </cell>
          <cell r="Z619">
            <v>46104</v>
          </cell>
          <cell r="AA619">
            <v>18</v>
          </cell>
          <cell r="AB619">
            <v>9.0910000000000005E-2</v>
          </cell>
        </row>
        <row r="620">
          <cell r="A620" t="str">
            <v>F-2026-02-374-2</v>
          </cell>
          <cell r="B620"/>
          <cell r="C620" t="str">
            <v>FPRO-260327-0009</v>
          </cell>
          <cell r="D620" t="str">
            <v>Firm plan 27.02</v>
          </cell>
          <cell r="E620" t="str">
            <v>BDB-000347</v>
          </cell>
          <cell r="F620" t="str">
            <v>PVN-004192</v>
          </cell>
          <cell r="G620" t="str">
            <v>OrthoLite X-55-Hybrid SEEDPEARL/12-0703TPX Hybrid 0.16D 25+/-4 Asker C 1.1M 2M 12mm</v>
          </cell>
          <cell r="H620">
            <v>600</v>
          </cell>
          <cell r="I620">
            <v>600</v>
          </cell>
          <cell r="J620">
            <v>0</v>
          </cell>
          <cell r="K620">
            <v>600</v>
          </cell>
          <cell r="L620" t="str">
            <v>BROOKS</v>
          </cell>
          <cell r="M620" t="str">
            <v>Forecast</v>
          </cell>
          <cell r="N620" t="str">
            <v>MOLDED</v>
          </cell>
          <cell r="O620">
            <v>1</v>
          </cell>
          <cell r="P620">
            <v>46080</v>
          </cell>
          <cell r="Q620">
            <v>46186</v>
          </cell>
          <cell r="R620">
            <v>46183</v>
          </cell>
          <cell r="S620">
            <v>106</v>
          </cell>
          <cell r="T620">
            <v>12</v>
          </cell>
          <cell r="U620">
            <v>11</v>
          </cell>
          <cell r="V620">
            <v>55</v>
          </cell>
          <cell r="W620" t="e">
            <v>#N/A</v>
          </cell>
          <cell r="X620" t="str">
            <v>6-2026</v>
          </cell>
          <cell r="Y620" t="str">
            <v>Week 23</v>
          </cell>
          <cell r="Z620">
            <v>46174</v>
          </cell>
          <cell r="AA620">
            <v>43</v>
          </cell>
          <cell r="AB620">
            <v>9.0910000000000005E-2</v>
          </cell>
        </row>
        <row r="621">
          <cell r="A621" t="str">
            <v>F-2026-02-375</v>
          </cell>
          <cell r="B621"/>
          <cell r="C621" t="str">
            <v>FPRO-260227-0009</v>
          </cell>
          <cell r="D621" t="str">
            <v>Firm plan 27.02</v>
          </cell>
          <cell r="E621" t="str">
            <v>BDB-000347</v>
          </cell>
          <cell r="F621" t="str">
            <v>PVN-004192</v>
          </cell>
          <cell r="G621" t="str">
            <v>OrthoLite X-55-Hybrid SEEDPEARL/12-0703TPX Hybrid 0.16D 25+/-4 Asker C 1.1M 2M 12mm</v>
          </cell>
          <cell r="H621">
            <v>1000</v>
          </cell>
          <cell r="I621">
            <v>1000</v>
          </cell>
          <cell r="J621">
            <v>0</v>
          </cell>
          <cell r="K621">
            <v>1000</v>
          </cell>
          <cell r="L621" t="str">
            <v>BROOKS</v>
          </cell>
          <cell r="M621" t="str">
            <v>Forecast</v>
          </cell>
          <cell r="N621" t="str">
            <v>MOLDED</v>
          </cell>
          <cell r="O621">
            <v>1</v>
          </cell>
          <cell r="P621">
            <v>46080</v>
          </cell>
          <cell r="Q621">
            <v>46181</v>
          </cell>
          <cell r="R621">
            <v>46178</v>
          </cell>
          <cell r="S621">
            <v>101</v>
          </cell>
          <cell r="T621">
            <v>12</v>
          </cell>
          <cell r="U621">
            <v>11</v>
          </cell>
          <cell r="V621">
            <v>91</v>
          </cell>
          <cell r="W621" t="e">
            <v>#N/A</v>
          </cell>
          <cell r="X621" t="str">
            <v>6-2026</v>
          </cell>
          <cell r="Y621" t="str">
            <v>Week 23</v>
          </cell>
          <cell r="Z621">
            <v>46174</v>
          </cell>
          <cell r="AA621">
            <v>43</v>
          </cell>
          <cell r="AB621">
            <v>9.0910000000000005E-2</v>
          </cell>
        </row>
        <row r="622">
          <cell r="A622" t="str">
            <v>OIN-2026.02.27-01</v>
          </cell>
          <cell r="B622" t="str">
            <v>Urgent/LCL</v>
          </cell>
          <cell r="C622" t="str">
            <v>RPRO-260303-0003</v>
          </cell>
          <cell r="D622" t="str">
            <v>OIN</v>
          </cell>
          <cell r="E622" t="str">
            <v>BDB-000102</v>
          </cell>
          <cell r="F622" t="str">
            <v>PVN-003821</v>
          </cell>
          <cell r="G622" t="str">
            <v>[118-467] Eco Lite Hybrid 35+/-4 Asker C 0.13D Lime Green 14-0452 Tpx 1.10M X 2.00M 47mm</v>
          </cell>
          <cell r="H622">
            <v>14</v>
          </cell>
          <cell r="I622">
            <v>14</v>
          </cell>
          <cell r="J622">
            <v>14</v>
          </cell>
          <cell r="K622">
            <v>0</v>
          </cell>
          <cell r="L622" t="str">
            <v>Geox</v>
          </cell>
          <cell r="M622" t="str">
            <v>PO-6755-SO-260227-0061</v>
          </cell>
          <cell r="N622" t="str">
            <v>FLAT SHEET</v>
          </cell>
          <cell r="O622">
            <v>2</v>
          </cell>
          <cell r="P622">
            <v>46080</v>
          </cell>
          <cell r="Q622">
            <v>46102</v>
          </cell>
          <cell r="R622">
            <v>46099</v>
          </cell>
          <cell r="S622">
            <v>22</v>
          </cell>
          <cell r="T622">
            <v>47</v>
          </cell>
          <cell r="U622">
            <v>3</v>
          </cell>
          <cell r="V622">
            <v>5</v>
          </cell>
          <cell r="W622" t="str">
            <v>0.13D</v>
          </cell>
          <cell r="X622" t="str">
            <v>3-2026</v>
          </cell>
          <cell r="Y622" t="str">
            <v>Week 11</v>
          </cell>
          <cell r="Z622">
            <v>46090</v>
          </cell>
          <cell r="AA622">
            <v>8</v>
          </cell>
          <cell r="AB622">
            <v>0.33333000000000002</v>
          </cell>
        </row>
        <row r="623">
          <cell r="A623" t="str">
            <v>OIN-2026.02.27-02</v>
          </cell>
          <cell r="B623" t="str">
            <v>Urgent/LCL</v>
          </cell>
          <cell r="C623" t="str">
            <v>RPRO-260303-0004</v>
          </cell>
          <cell r="D623" t="str">
            <v>OIN</v>
          </cell>
          <cell r="E623" t="str">
            <v>BDB-000058</v>
          </cell>
          <cell r="F623" t="str">
            <v>PVN-003780</v>
          </cell>
          <cell r="G623" t="str">
            <v>[116-361] Ultra 25+/-4 Asker C 0.085D Green 16-5932 Tpx 1.10M X 2.00M 47mm</v>
          </cell>
          <cell r="H623">
            <v>25</v>
          </cell>
          <cell r="I623">
            <v>25</v>
          </cell>
          <cell r="J623">
            <v>25</v>
          </cell>
          <cell r="K623">
            <v>0</v>
          </cell>
          <cell r="L623" t="str">
            <v>Clarks</v>
          </cell>
          <cell r="M623" t="str">
            <v>PO-6755-SO-260227-0062</v>
          </cell>
          <cell r="N623" t="str">
            <v>FLAT SHEET</v>
          </cell>
          <cell r="O623">
            <v>2</v>
          </cell>
          <cell r="P623">
            <v>46080</v>
          </cell>
          <cell r="Q623">
            <v>46102</v>
          </cell>
          <cell r="R623">
            <v>46099</v>
          </cell>
          <cell r="S623">
            <v>22</v>
          </cell>
          <cell r="T623">
            <v>47</v>
          </cell>
          <cell r="U623">
            <v>3</v>
          </cell>
          <cell r="V623">
            <v>9</v>
          </cell>
          <cell r="W623" t="str">
            <v>0.085D</v>
          </cell>
          <cell r="X623" t="str">
            <v>3-2026</v>
          </cell>
          <cell r="Y623" t="str">
            <v>Week 11</v>
          </cell>
          <cell r="Z623">
            <v>46090</v>
          </cell>
          <cell r="AA623">
            <v>209</v>
          </cell>
          <cell r="AB623">
            <v>0.33333000000000002</v>
          </cell>
        </row>
        <row r="624">
          <cell r="A624" t="str">
            <v>OIN-2026.02.28-01</v>
          </cell>
          <cell r="B624" t="str">
            <v>Urgent/LCL</v>
          </cell>
          <cell r="C624" t="str">
            <v>RPRO-260303-0015</v>
          </cell>
          <cell r="D624" t="str">
            <v>OIN</v>
          </cell>
          <cell r="E624" t="str">
            <v>BDB-000058</v>
          </cell>
          <cell r="F624" t="str">
            <v>PVN-003780</v>
          </cell>
          <cell r="G624" t="str">
            <v>[116-361] Ultra 25+/-4 Asker C 0.085D Green 16-5932 Tpx 1.10M X 2.00M 47mm</v>
          </cell>
          <cell r="H624">
            <v>26</v>
          </cell>
          <cell r="I624">
            <v>26</v>
          </cell>
          <cell r="J624">
            <v>26</v>
          </cell>
          <cell r="K624">
            <v>0</v>
          </cell>
          <cell r="L624" t="str">
            <v>CLARKS</v>
          </cell>
          <cell r="M624" t="str">
            <v>PO-6779-SO-260303-1237</v>
          </cell>
          <cell r="N624" t="str">
            <v>FLAT SHEET</v>
          </cell>
          <cell r="O624">
            <v>2</v>
          </cell>
          <cell r="P624">
            <v>46081</v>
          </cell>
          <cell r="Q624">
            <v>46102</v>
          </cell>
          <cell r="R624">
            <v>46099</v>
          </cell>
          <cell r="S624">
            <v>21</v>
          </cell>
          <cell r="T624">
            <v>47</v>
          </cell>
          <cell r="U624">
            <v>3</v>
          </cell>
          <cell r="V624">
            <v>9</v>
          </cell>
          <cell r="W624" t="str">
            <v>0.085D</v>
          </cell>
          <cell r="X624" t="str">
            <v>3-2026</v>
          </cell>
          <cell r="Y624" t="str">
            <v>Week 11</v>
          </cell>
          <cell r="Z624">
            <v>46090</v>
          </cell>
          <cell r="AA624">
            <v>4</v>
          </cell>
          <cell r="AB624">
            <v>0.33333000000000002</v>
          </cell>
        </row>
        <row r="625">
          <cell r="A625" t="str">
            <v>OIN-2026.02.28-02</v>
          </cell>
          <cell r="B625" t="str">
            <v>Urgent/LCL</v>
          </cell>
          <cell r="C625" t="str">
            <v>RPRO-260303-0016</v>
          </cell>
          <cell r="D625" t="str">
            <v>OIN</v>
          </cell>
          <cell r="E625" t="str">
            <v>BDB-000128</v>
          </cell>
          <cell r="F625" t="str">
            <v>PVN-004305</v>
          </cell>
          <cell r="G625" t="str">
            <v>[116-14763] Regular Nike 25+/-4 Asker C 0.11D Lime Green 14-0452 Tpx 1.10M X 2.00M 47mm</v>
          </cell>
          <cell r="H625">
            <v>10</v>
          </cell>
          <cell r="I625">
            <v>10</v>
          </cell>
          <cell r="J625">
            <v>10</v>
          </cell>
          <cell r="K625">
            <v>0</v>
          </cell>
          <cell r="L625" t="str">
            <v>NIKE</v>
          </cell>
          <cell r="M625" t="str">
            <v>PO-6779-SO-260303-1238</v>
          </cell>
          <cell r="N625" t="str">
            <v>FLAT SHEET</v>
          </cell>
          <cell r="O625">
            <v>2</v>
          </cell>
          <cell r="P625">
            <v>46081</v>
          </cell>
          <cell r="Q625">
            <v>46102</v>
          </cell>
          <cell r="R625">
            <v>46099</v>
          </cell>
          <cell r="S625">
            <v>21</v>
          </cell>
          <cell r="T625">
            <v>47</v>
          </cell>
          <cell r="U625">
            <v>3</v>
          </cell>
          <cell r="V625">
            <v>4</v>
          </cell>
          <cell r="W625" t="str">
            <v>0.11D</v>
          </cell>
          <cell r="X625" t="str">
            <v>3-2026</v>
          </cell>
          <cell r="Y625" t="str">
            <v>Week 11</v>
          </cell>
          <cell r="Z625">
            <v>46090</v>
          </cell>
          <cell r="AA625">
            <v>2</v>
          </cell>
          <cell r="AB625">
            <v>0.33333000000000002</v>
          </cell>
        </row>
        <row r="626">
          <cell r="A626" t="str">
            <v>OIN-2026.02.28-03</v>
          </cell>
          <cell r="B626" t="str">
            <v>Urgent/LCL</v>
          </cell>
          <cell r="C626" t="str">
            <v>RPRO-260305-0002</v>
          </cell>
          <cell r="D626" t="str">
            <v>OIN</v>
          </cell>
          <cell r="E626" t="str">
            <v>BDB-000059</v>
          </cell>
          <cell r="F626" t="str">
            <v>PVN-004317</v>
          </cell>
          <cell r="G626" t="str">
            <v>[116-15587] Ultra 25+/-4 Asker C 0.085D Red 19-1764 Tpx 1.10M X 2.00M 47mm</v>
          </cell>
          <cell r="H626">
            <v>208</v>
          </cell>
          <cell r="I626">
            <v>208</v>
          </cell>
          <cell r="J626">
            <v>208</v>
          </cell>
          <cell r="K626">
            <v>0</v>
          </cell>
          <cell r="L626" t="str">
            <v>LLOYDS</v>
          </cell>
          <cell r="M626" t="str">
            <v>PO-6779-SO-260303-1239</v>
          </cell>
          <cell r="N626" t="str">
            <v>FLAT SHEET</v>
          </cell>
          <cell r="O626">
            <v>2</v>
          </cell>
          <cell r="P626">
            <v>46081</v>
          </cell>
          <cell r="Q626">
            <v>46102</v>
          </cell>
          <cell r="R626">
            <v>46099</v>
          </cell>
          <cell r="S626">
            <v>21</v>
          </cell>
          <cell r="T626">
            <v>47</v>
          </cell>
          <cell r="U626">
            <v>3</v>
          </cell>
          <cell r="V626">
            <v>70</v>
          </cell>
          <cell r="W626" t="str">
            <v>0.085D</v>
          </cell>
          <cell r="X626" t="str">
            <v>3-2026</v>
          </cell>
          <cell r="Y626" t="str">
            <v>Week 11</v>
          </cell>
          <cell r="Z626">
            <v>46090</v>
          </cell>
          <cell r="AA626">
            <v>8</v>
          </cell>
          <cell r="AB626">
            <v>0.33333000000000002</v>
          </cell>
        </row>
        <row r="627">
          <cell r="A627" t="str">
            <v>OIN-2026.02.28-04</v>
          </cell>
          <cell r="B627" t="str">
            <v>Urgent/LCL</v>
          </cell>
          <cell r="C627" t="str">
            <v>RPRO-260305-0024</v>
          </cell>
          <cell r="D627" t="str">
            <v>OIN</v>
          </cell>
          <cell r="E627" t="str">
            <v>BDB-000374</v>
          </cell>
          <cell r="F627" t="str">
            <v>PVN-004318</v>
          </cell>
          <cell r="G627" t="str">
            <v>[116-15588] Regular 45+/-4 Asker C 0.15D Fossil 17-0909 Tpx 1.10M X 2.00M 47mm</v>
          </cell>
          <cell r="H627">
            <v>8</v>
          </cell>
          <cell r="I627">
            <v>8</v>
          </cell>
          <cell r="J627">
            <v>8</v>
          </cell>
          <cell r="K627">
            <v>0</v>
          </cell>
          <cell r="L627" t="str">
            <v>LLOYDS</v>
          </cell>
          <cell r="M627" t="str">
            <v>PO-6779-SO-260303-1240</v>
          </cell>
          <cell r="N627" t="str">
            <v>FLAT SHEET</v>
          </cell>
          <cell r="O627">
            <v>2</v>
          </cell>
          <cell r="P627">
            <v>46081</v>
          </cell>
          <cell r="Q627">
            <v>46102</v>
          </cell>
          <cell r="R627">
            <v>46099</v>
          </cell>
          <cell r="S627">
            <v>21</v>
          </cell>
          <cell r="T627">
            <v>47</v>
          </cell>
          <cell r="U627">
            <v>3</v>
          </cell>
          <cell r="V627">
            <v>3</v>
          </cell>
          <cell r="W627" t="e">
            <v>#N/A</v>
          </cell>
          <cell r="X627" t="str">
            <v>3-2026</v>
          </cell>
          <cell r="Y627" t="str">
            <v>Week 11</v>
          </cell>
          <cell r="Z627">
            <v>46090</v>
          </cell>
          <cell r="AA627">
            <v>133</v>
          </cell>
          <cell r="AB627">
            <v>0.33333000000000002</v>
          </cell>
        </row>
        <row r="628">
          <cell r="A628" t="str">
            <v>F-2026-03-01</v>
          </cell>
          <cell r="B628"/>
          <cell r="C628" t="str">
            <v>RPRO-260302-1103</v>
          </cell>
          <cell r="D628" t="str">
            <v>MPS 27.02+28.02+01.03</v>
          </cell>
          <cell r="E628" t="str">
            <v>BDB-000077</v>
          </cell>
          <cell r="F628" t="str">
            <v>PVN-003513</v>
          </cell>
          <cell r="G628" t="str">
            <v>OrthoLite X-25 SEEDPEARL/12-0703TPX Flat Sheet 0.12D 20+/-4 Asker C 1.1M 2M 2mm</v>
          </cell>
          <cell r="H628">
            <v>70</v>
          </cell>
          <cell r="I628">
            <v>70</v>
          </cell>
          <cell r="J628">
            <v>70</v>
          </cell>
          <cell r="K628">
            <v>0</v>
          </cell>
          <cell r="L628"/>
          <cell r="M628" t="str">
            <v>MPS</v>
          </cell>
          <cell r="N628" t="str">
            <v>SPLITTING</v>
          </cell>
          <cell r="O628">
            <v>2</v>
          </cell>
          <cell r="P628">
            <v>46083</v>
          </cell>
          <cell r="Q628">
            <v>46098</v>
          </cell>
          <cell r="R628">
            <v>46095</v>
          </cell>
          <cell r="S628">
            <v>15</v>
          </cell>
          <cell r="T628">
            <v>2</v>
          </cell>
          <cell r="U628">
            <v>70</v>
          </cell>
          <cell r="V628">
            <v>2</v>
          </cell>
          <cell r="W628" t="str">
            <v>0.12D</v>
          </cell>
          <cell r="X628" t="str">
            <v>3-2026</v>
          </cell>
          <cell r="Y628" t="str">
            <v>Week 11</v>
          </cell>
          <cell r="Z628">
            <v>46090</v>
          </cell>
          <cell r="AA628">
            <v>8</v>
          </cell>
          <cell r="AB628">
            <v>1.4290000000000001E-2</v>
          </cell>
        </row>
        <row r="629">
          <cell r="A629" t="str">
            <v>F-2026-03-02</v>
          </cell>
          <cell r="B629"/>
          <cell r="C629" t="str">
            <v>RPRO-260302-1104</v>
          </cell>
          <cell r="D629" t="str">
            <v>MPS 27.02+28.02+01.03</v>
          </cell>
          <cell r="E629" t="str">
            <v>BDB-000117</v>
          </cell>
          <cell r="F629" t="str">
            <v>PVN-003596</v>
          </cell>
          <cell r="G629" t="str">
            <v>OrthoLite X-35-Hybrid SEEDPEARL/12-0703TPX Hybrid Flat Sheet 0.145D 25+/-4 Asker C 1.1M 2M 3mm</v>
          </cell>
          <cell r="H629">
            <v>46</v>
          </cell>
          <cell r="I629">
            <v>46</v>
          </cell>
          <cell r="J629">
            <v>46</v>
          </cell>
          <cell r="K629">
            <v>0</v>
          </cell>
          <cell r="L629"/>
          <cell r="M629" t="str">
            <v>MPS</v>
          </cell>
          <cell r="N629" t="str">
            <v>SPLITTING</v>
          </cell>
          <cell r="O629">
            <v>2</v>
          </cell>
          <cell r="P629">
            <v>46083</v>
          </cell>
          <cell r="Q629">
            <v>46098</v>
          </cell>
          <cell r="R629">
            <v>46095</v>
          </cell>
          <cell r="S629">
            <v>15</v>
          </cell>
          <cell r="T629">
            <v>3</v>
          </cell>
          <cell r="U629">
            <v>46</v>
          </cell>
          <cell r="V629">
            <v>2</v>
          </cell>
          <cell r="W629" t="str">
            <v>0.145D</v>
          </cell>
          <cell r="X629" t="str">
            <v>3-2026</v>
          </cell>
          <cell r="Y629" t="str">
            <v>Week 11</v>
          </cell>
          <cell r="Z629">
            <v>46090</v>
          </cell>
          <cell r="AA629">
            <v>5</v>
          </cell>
          <cell r="AB629">
            <v>2.1739999999999999E-2</v>
          </cell>
        </row>
        <row r="630">
          <cell r="A630" t="str">
            <v>F-2026-03-03</v>
          </cell>
          <cell r="B630"/>
          <cell r="C630" t="str">
            <v>RPRO-260302-1105</v>
          </cell>
          <cell r="D630" t="str">
            <v>MPS 27.02+28.02+01.03</v>
          </cell>
          <cell r="E630" t="str">
            <v>BDB-000305</v>
          </cell>
          <cell r="F630" t="str">
            <v>PVN-004000</v>
          </cell>
          <cell r="G630" t="str">
            <v>OrthoLite X-35-Nike YELLOW/13-0858TPX Flat Sheet 0.145D 25+/-4 Asker C 1.1M 2M 5.5mm</v>
          </cell>
          <cell r="H630">
            <v>175</v>
          </cell>
          <cell r="I630">
            <v>175</v>
          </cell>
          <cell r="J630">
            <v>175</v>
          </cell>
          <cell r="K630">
            <v>0</v>
          </cell>
          <cell r="L630"/>
          <cell r="M630" t="str">
            <v>MPS</v>
          </cell>
          <cell r="N630" t="str">
            <v>SPLITTING</v>
          </cell>
          <cell r="O630">
            <v>2</v>
          </cell>
          <cell r="P630">
            <v>46083</v>
          </cell>
          <cell r="Q630">
            <v>46093</v>
          </cell>
          <cell r="R630">
            <v>46090</v>
          </cell>
          <cell r="S630">
            <v>10</v>
          </cell>
          <cell r="T630">
            <v>5.5</v>
          </cell>
          <cell r="U630">
            <v>25</v>
          </cell>
          <cell r="V630">
            <v>7</v>
          </cell>
          <cell r="W630" t="str">
            <v>0.145D</v>
          </cell>
          <cell r="X630" t="str">
            <v>3-2026</v>
          </cell>
          <cell r="Y630" t="str">
            <v>Week 10</v>
          </cell>
          <cell r="Z630">
            <v>46083</v>
          </cell>
          <cell r="AA630">
            <v>36</v>
          </cell>
          <cell r="AB630">
            <v>0.04</v>
          </cell>
        </row>
        <row r="631">
          <cell r="A631" t="str">
            <v>F-2026-03-04</v>
          </cell>
          <cell r="B631"/>
          <cell r="C631" t="str">
            <v>RPRO-260302-1106</v>
          </cell>
          <cell r="D631" t="str">
            <v>Pro.sche.report 27.02+28.02+01.03</v>
          </cell>
          <cell r="E631" t="str">
            <v>BDB-000336</v>
          </cell>
          <cell r="F631" t="str">
            <v>PVN-004168</v>
          </cell>
          <cell r="G631" t="str">
            <v>OrthoLite X-40-Nike SEEDPEARL/12-0703TPX Flat Sheet 0.16D 35+/-4 Asker C 1.1M 2M 4.5mm</v>
          </cell>
          <cell r="H631">
            <v>189</v>
          </cell>
          <cell r="I631">
            <v>189</v>
          </cell>
          <cell r="J631">
            <v>189</v>
          </cell>
          <cell r="K631">
            <v>0</v>
          </cell>
          <cell r="L631" t="str">
            <v>NIKE</v>
          </cell>
          <cell r="M631" t="str">
            <v>Pr.Sch.R</v>
          </cell>
          <cell r="N631" t="str">
            <v>MOLDED</v>
          </cell>
          <cell r="O631">
            <v>1</v>
          </cell>
          <cell r="P631">
            <v>46083</v>
          </cell>
          <cell r="Q631">
            <v>46097</v>
          </cell>
          <cell r="R631">
            <v>46094</v>
          </cell>
          <cell r="S631">
            <v>14</v>
          </cell>
          <cell r="T631">
            <v>4.5</v>
          </cell>
          <cell r="U631">
            <v>31</v>
          </cell>
          <cell r="V631">
            <v>7</v>
          </cell>
          <cell r="W631" t="e">
            <v>#N/A</v>
          </cell>
          <cell r="X631" t="str">
            <v>3-2026</v>
          </cell>
          <cell r="Y631" t="str">
            <v>Week 11</v>
          </cell>
          <cell r="Z631">
            <v>46090</v>
          </cell>
          <cell r="AA631">
            <v>13</v>
          </cell>
          <cell r="AB631">
            <v>3.3329999999999999E-2</v>
          </cell>
        </row>
        <row r="632">
          <cell r="A632" t="str">
            <v>F-2026-03-05</v>
          </cell>
          <cell r="B632"/>
          <cell r="C632" t="str">
            <v>RPRO-260302-1107</v>
          </cell>
          <cell r="D632" t="str">
            <v>Pro.sche.report 27.02+28.02+01.03</v>
          </cell>
          <cell r="E632" t="str">
            <v>BDB-000339</v>
          </cell>
          <cell r="F632" t="str">
            <v>PVN-004178</v>
          </cell>
          <cell r="G632" t="str">
            <v>OrthoLite Float NEUTRAL GRAY/17-4402TPX Flat Sheet 0.12D 21+/-4 Asker C 1.1M 2M 5.5mm</v>
          </cell>
          <cell r="H632">
            <v>50</v>
          </cell>
          <cell r="I632">
            <v>50</v>
          </cell>
          <cell r="J632">
            <v>50</v>
          </cell>
          <cell r="K632">
            <v>0</v>
          </cell>
          <cell r="L632" t="str">
            <v>PUMA</v>
          </cell>
          <cell r="M632" t="str">
            <v>Pr.Sch.R</v>
          </cell>
          <cell r="N632" t="str">
            <v>MOLDED</v>
          </cell>
          <cell r="O632">
            <v>1</v>
          </cell>
          <cell r="P632">
            <v>46083</v>
          </cell>
          <cell r="Q632">
            <v>46098</v>
          </cell>
          <cell r="R632">
            <v>46095</v>
          </cell>
          <cell r="S632">
            <v>15</v>
          </cell>
          <cell r="T632">
            <v>5.5</v>
          </cell>
          <cell r="U632">
            <v>25</v>
          </cell>
          <cell r="V632">
            <v>2</v>
          </cell>
          <cell r="W632" t="e">
            <v>#N/A</v>
          </cell>
          <cell r="X632" t="str">
            <v>3-2026</v>
          </cell>
          <cell r="Y632" t="str">
            <v>Week 11</v>
          </cell>
          <cell r="Z632">
            <v>46090</v>
          </cell>
          <cell r="AA632">
            <v>36</v>
          </cell>
          <cell r="AB632">
            <v>0.04</v>
          </cell>
        </row>
        <row r="633">
          <cell r="A633" t="str">
            <v>F-2026-03-06</v>
          </cell>
          <cell r="B633"/>
          <cell r="C633" t="str">
            <v>RPRO-260302-1108</v>
          </cell>
          <cell r="D633" t="str">
            <v>Pro.sche.report 27.02+28.02+01.03</v>
          </cell>
          <cell r="E633" t="str">
            <v>BDB-000117</v>
          </cell>
          <cell r="F633" t="str">
            <v>PVN-003234</v>
          </cell>
          <cell r="G633" t="str">
            <v>OrthoLite X-35-Hybrid SEEDPEARL/12-0703TPX Hybrid Flat Sheet 0.145D 25+/-4 Asker C 1.1M 2M 5.5mm</v>
          </cell>
          <cell r="H633">
            <v>25</v>
          </cell>
          <cell r="I633">
            <v>25</v>
          </cell>
          <cell r="J633">
            <v>25</v>
          </cell>
          <cell r="K633">
            <v>0</v>
          </cell>
          <cell r="L633" t="str">
            <v>PUMA</v>
          </cell>
          <cell r="M633" t="str">
            <v>Pr.Sch.R</v>
          </cell>
          <cell r="N633" t="str">
            <v>MOLDED</v>
          </cell>
          <cell r="O633">
            <v>1</v>
          </cell>
          <cell r="P633">
            <v>46083</v>
          </cell>
          <cell r="Q633">
            <v>46093</v>
          </cell>
          <cell r="R633">
            <v>46090</v>
          </cell>
          <cell r="S633">
            <v>10</v>
          </cell>
          <cell r="T633">
            <v>5.5</v>
          </cell>
          <cell r="U633">
            <v>25</v>
          </cell>
          <cell r="V633">
            <v>1</v>
          </cell>
          <cell r="W633" t="str">
            <v>0.145D</v>
          </cell>
          <cell r="X633" t="str">
            <v>3-2026</v>
          </cell>
          <cell r="Y633" t="str">
            <v>Week 10</v>
          </cell>
          <cell r="Z633">
            <v>46083</v>
          </cell>
          <cell r="AA633">
            <v>116</v>
          </cell>
          <cell r="AB633">
            <v>0.04</v>
          </cell>
        </row>
        <row r="634">
          <cell r="A634" t="str">
            <v>F-2026-03-07</v>
          </cell>
          <cell r="B634"/>
          <cell r="C634" t="str">
            <v>RPRO-260302-1109</v>
          </cell>
          <cell r="D634" t="str">
            <v>Pro.sche.report 27.02+28.02+01.03</v>
          </cell>
          <cell r="E634" t="str">
            <v>BDB-000008</v>
          </cell>
          <cell r="F634" t="str">
            <v>PVN-000505</v>
          </cell>
          <cell r="G634" t="str">
            <v>OrthoLite Regular LIME GREEN/14-0452TPX Flat Sheet 0.11D 25+/-4 Asker C 1.1M 2M 12mm</v>
          </cell>
          <cell r="H634">
            <v>154</v>
          </cell>
          <cell r="I634">
            <v>154</v>
          </cell>
          <cell r="J634">
            <v>154</v>
          </cell>
          <cell r="K634">
            <v>0</v>
          </cell>
          <cell r="L634" t="str">
            <v>ASICS</v>
          </cell>
          <cell r="M634" t="str">
            <v>Pr.Sch.R</v>
          </cell>
          <cell r="N634" t="str">
            <v>MOLDED</v>
          </cell>
          <cell r="O634">
            <v>1</v>
          </cell>
          <cell r="P634">
            <v>46083</v>
          </cell>
          <cell r="Q634">
            <v>46098</v>
          </cell>
          <cell r="R634">
            <v>46095</v>
          </cell>
          <cell r="S634">
            <v>15</v>
          </cell>
          <cell r="T634">
            <v>12</v>
          </cell>
          <cell r="U634">
            <v>11.5</v>
          </cell>
          <cell r="V634">
            <v>14</v>
          </cell>
          <cell r="W634" t="str">
            <v>0.11D</v>
          </cell>
          <cell r="X634" t="str">
            <v>3-2026</v>
          </cell>
          <cell r="Y634" t="str">
            <v>Week 11</v>
          </cell>
          <cell r="Z634">
            <v>46090</v>
          </cell>
          <cell r="AA634">
            <v>114</v>
          </cell>
          <cell r="AB634">
            <v>8.6959999999999996E-2</v>
          </cell>
        </row>
        <row r="635">
          <cell r="A635" t="str">
            <v>F-2026-03-08</v>
          </cell>
          <cell r="B635"/>
          <cell r="C635" t="str">
            <v>RPRO-260302-1110</v>
          </cell>
          <cell r="D635" t="str">
            <v>Pro.sche.report 27.02+28.02+01.03</v>
          </cell>
          <cell r="E635" t="str">
            <v>BDB-000011</v>
          </cell>
          <cell r="F635" t="str">
            <v>PVN-000121</v>
          </cell>
          <cell r="G635" t="str">
            <v>OrthoLite Regular AIR BLUE/16-4134TPX Flat Sheet 0.13D 35+/-4 Asker C 1.1M 2M 12mm</v>
          </cell>
          <cell r="H635">
            <v>297</v>
          </cell>
          <cell r="I635">
            <v>297</v>
          </cell>
          <cell r="J635">
            <v>297</v>
          </cell>
          <cell r="K635">
            <v>0</v>
          </cell>
          <cell r="L635" t="str">
            <v>ASICS</v>
          </cell>
          <cell r="M635" t="str">
            <v>Pr.Sch.R</v>
          </cell>
          <cell r="N635" t="str">
            <v>MOLDED</v>
          </cell>
          <cell r="O635">
            <v>1</v>
          </cell>
          <cell r="P635">
            <v>46083</v>
          </cell>
          <cell r="Q635">
            <v>46095</v>
          </cell>
          <cell r="R635">
            <v>46092</v>
          </cell>
          <cell r="S635">
            <v>12</v>
          </cell>
          <cell r="T635">
            <v>12</v>
          </cell>
          <cell r="U635">
            <v>11.5</v>
          </cell>
          <cell r="V635">
            <v>26</v>
          </cell>
          <cell r="W635" t="str">
            <v>0.13D</v>
          </cell>
          <cell r="X635" t="str">
            <v>3-2026</v>
          </cell>
          <cell r="Y635" t="str">
            <v>Week 11</v>
          </cell>
          <cell r="Z635">
            <v>46090</v>
          </cell>
          <cell r="AA635">
            <v>114</v>
          </cell>
          <cell r="AB635">
            <v>8.6959999999999996E-2</v>
          </cell>
        </row>
        <row r="636">
          <cell r="A636" t="str">
            <v>F-2026-03-09-1</v>
          </cell>
          <cell r="B636" t="str">
            <v>color</v>
          </cell>
          <cell r="C636" t="str">
            <v>RPRO-260302-1111</v>
          </cell>
          <cell r="D636" t="str">
            <v>Pro.sche.report 27.02+28.02+01.03</v>
          </cell>
          <cell r="E636" t="str">
            <v>BDB-000039</v>
          </cell>
          <cell r="F636" t="str">
            <v>PVN-002019</v>
          </cell>
          <cell r="G636" t="str">
            <v>OrthoLite Regular NEUTRAL GRAY/17-4402TPX Flat Sheet 0.11D 25+/-4 Asker C 1.1M 2M 13mm</v>
          </cell>
          <cell r="H636">
            <v>470</v>
          </cell>
          <cell r="I636">
            <v>335</v>
          </cell>
          <cell r="J636">
            <v>335</v>
          </cell>
          <cell r="K636">
            <v>0</v>
          </cell>
          <cell r="L636" t="str">
            <v>NEW BALANCE</v>
          </cell>
          <cell r="M636" t="str">
            <v>Pr.Sch.R</v>
          </cell>
          <cell r="N636" t="str">
            <v>MOLDED</v>
          </cell>
          <cell r="O636">
            <v>1</v>
          </cell>
          <cell r="P636">
            <v>46083</v>
          </cell>
          <cell r="Q636">
            <v>46093</v>
          </cell>
          <cell r="R636">
            <v>46090</v>
          </cell>
          <cell r="S636">
            <v>10</v>
          </cell>
          <cell r="T636">
            <v>13</v>
          </cell>
          <cell r="U636">
            <v>10</v>
          </cell>
          <cell r="V636">
            <v>34</v>
          </cell>
          <cell r="W636" t="str">
            <v>0.11D</v>
          </cell>
          <cell r="X636" t="str">
            <v>3-2026</v>
          </cell>
          <cell r="Y636" t="str">
            <v>Week 10</v>
          </cell>
          <cell r="Z636">
            <v>46083</v>
          </cell>
          <cell r="AA636">
            <v>89</v>
          </cell>
          <cell r="AB636">
            <v>0.1</v>
          </cell>
        </row>
        <row r="637">
          <cell r="A637" t="str">
            <v>F-2026-03-09-2</v>
          </cell>
          <cell r="B637" t="str">
            <v>color</v>
          </cell>
          <cell r="C637" t="str">
            <v>RPRO-260302-1111</v>
          </cell>
          <cell r="D637" t="str">
            <v>Pro.sche.report 27.02+28.02+01.03</v>
          </cell>
          <cell r="E637" t="str">
            <v>BDB-000039</v>
          </cell>
          <cell r="F637" t="str">
            <v>PVN-002019</v>
          </cell>
          <cell r="G637" t="str">
            <v>OrthoLite Regular NEUTRAL GRAY/17-4402TPX Flat Sheet 0.11D 25+/-4 Asker C 1.1M 2M 13mm</v>
          </cell>
          <cell r="H637">
            <v>470</v>
          </cell>
          <cell r="I637">
            <v>135</v>
          </cell>
          <cell r="J637">
            <v>135</v>
          </cell>
          <cell r="K637">
            <v>0</v>
          </cell>
          <cell r="L637" t="str">
            <v>NEW BALANCE</v>
          </cell>
          <cell r="M637" t="str">
            <v>Pr.Sch.R</v>
          </cell>
          <cell r="N637" t="str">
            <v>MOLDED</v>
          </cell>
          <cell r="O637">
            <v>1</v>
          </cell>
          <cell r="P637">
            <v>46083</v>
          </cell>
          <cell r="Q637">
            <v>46093</v>
          </cell>
          <cell r="R637">
            <v>46090</v>
          </cell>
          <cell r="S637">
            <v>10</v>
          </cell>
          <cell r="T637">
            <v>13</v>
          </cell>
          <cell r="U637">
            <v>10</v>
          </cell>
          <cell r="V637">
            <v>14</v>
          </cell>
          <cell r="W637" t="str">
            <v>0.11D</v>
          </cell>
          <cell r="X637" t="str">
            <v>3-2026</v>
          </cell>
          <cell r="Y637" t="str">
            <v>Week 10</v>
          </cell>
          <cell r="Z637">
            <v>46083</v>
          </cell>
          <cell r="AA637">
            <v>60</v>
          </cell>
          <cell r="AB637">
            <v>0.1</v>
          </cell>
        </row>
        <row r="638">
          <cell r="A638" t="str">
            <v>F-2026-03-10</v>
          </cell>
          <cell r="B638"/>
          <cell r="C638" t="str">
            <v>RPRO-260302-1112</v>
          </cell>
          <cell r="D638" t="str">
            <v>Pro.sche.report 27.02+28.02+01.03</v>
          </cell>
          <cell r="E638" t="str">
            <v>BDB-000157</v>
          </cell>
          <cell r="F638" t="str">
            <v>PVN-003642</v>
          </cell>
          <cell r="G638" t="str">
            <v>OrthoLite X-35-Hybrid-Nike SEEDPEARL/12-0703TPX Hybrid Flat Sheet 0.145D 25+/-4 Asker C 1.1M 2M 6.2mm</v>
          </cell>
          <cell r="H638">
            <v>22</v>
          </cell>
          <cell r="I638">
            <v>22</v>
          </cell>
          <cell r="J638">
            <v>22</v>
          </cell>
          <cell r="K638">
            <v>0</v>
          </cell>
          <cell r="L638" t="str">
            <v>NIKE</v>
          </cell>
          <cell r="M638" t="str">
            <v>Pr.Sch.R</v>
          </cell>
          <cell r="N638" t="str">
            <v>MOLDED</v>
          </cell>
          <cell r="O638">
            <v>1</v>
          </cell>
          <cell r="P638">
            <v>46083</v>
          </cell>
          <cell r="Q638">
            <v>46097</v>
          </cell>
          <cell r="R638">
            <v>46094</v>
          </cell>
          <cell r="S638">
            <v>14</v>
          </cell>
          <cell r="T638">
            <v>6.2</v>
          </cell>
          <cell r="U638">
            <v>22</v>
          </cell>
          <cell r="V638">
            <v>1</v>
          </cell>
          <cell r="W638" t="str">
            <v>0.145D</v>
          </cell>
          <cell r="X638" t="str">
            <v>3-2026</v>
          </cell>
          <cell r="Y638" t="str">
            <v>Week 11</v>
          </cell>
          <cell r="Z638">
            <v>46090</v>
          </cell>
          <cell r="AA638">
            <v>60</v>
          </cell>
          <cell r="AB638">
            <v>4.5449999999999997E-2</v>
          </cell>
        </row>
        <row r="639">
          <cell r="A639" t="str">
            <v>F-2026-03-11</v>
          </cell>
          <cell r="B639"/>
          <cell r="C639" t="str">
            <v>RPRO-260302-1113</v>
          </cell>
          <cell r="D639" t="str">
            <v>Pro.sche.report 27.02+28.02+01.03</v>
          </cell>
          <cell r="E639" t="str">
            <v>BDB-000113</v>
          </cell>
          <cell r="F639" t="str">
            <v>PVN-002699</v>
          </cell>
          <cell r="G639" t="str">
            <v>OrthoLite Regular-Hybrid SEEDPEARL/12-0703TPX Hybrid Flat Sheet 0.11D 25+/-4 Asker C 1.1M 2M 4.5mm</v>
          </cell>
          <cell r="H639">
            <v>93</v>
          </cell>
          <cell r="I639">
            <v>93</v>
          </cell>
          <cell r="J639">
            <v>93</v>
          </cell>
          <cell r="K639">
            <v>0</v>
          </cell>
          <cell r="L639" t="str">
            <v>ASICS</v>
          </cell>
          <cell r="M639" t="str">
            <v>Pr.Sch.R</v>
          </cell>
          <cell r="N639" t="str">
            <v>DIE CUT</v>
          </cell>
          <cell r="O639">
            <v>1</v>
          </cell>
          <cell r="P639">
            <v>46083</v>
          </cell>
          <cell r="Q639">
            <v>46093</v>
          </cell>
          <cell r="R639">
            <v>46090</v>
          </cell>
          <cell r="S639">
            <v>10</v>
          </cell>
          <cell r="T639">
            <v>4.5</v>
          </cell>
          <cell r="U639">
            <v>31</v>
          </cell>
          <cell r="V639">
            <v>4</v>
          </cell>
          <cell r="W639" t="str">
            <v>0.11D</v>
          </cell>
          <cell r="X639" t="str">
            <v>3-2026</v>
          </cell>
          <cell r="Y639" t="str">
            <v>Week 10</v>
          </cell>
          <cell r="Z639">
            <v>46083</v>
          </cell>
          <cell r="AA639">
            <v>78</v>
          </cell>
          <cell r="AB639">
            <v>3.2259999999999997E-2</v>
          </cell>
        </row>
        <row r="640">
          <cell r="A640" t="str">
            <v>F-2026-03-12</v>
          </cell>
          <cell r="B640"/>
          <cell r="C640" t="str">
            <v>RPRO-260302-1114</v>
          </cell>
          <cell r="D640" t="str">
            <v>Pro.sche.report 27.02+28.02+01.03</v>
          </cell>
          <cell r="E640" t="str">
            <v>BDB-000113</v>
          </cell>
          <cell r="F640" t="str">
            <v>PVN-003796</v>
          </cell>
          <cell r="G640" t="str">
            <v>OrthoLite Regular-Hybrid SEEDPEARL/12-0703TPX Hybrid Flat Sheet 0.11D 25+/-4 Asker C 1.1M 2M 3.5mm</v>
          </cell>
          <cell r="H640">
            <v>120</v>
          </cell>
          <cell r="I640">
            <v>120</v>
          </cell>
          <cell r="J640">
            <v>120</v>
          </cell>
          <cell r="K640">
            <v>0</v>
          </cell>
          <cell r="L640" t="str">
            <v>ASICS</v>
          </cell>
          <cell r="M640" t="str">
            <v>Pr.Sch.R</v>
          </cell>
          <cell r="N640" t="str">
            <v>DIE CUT</v>
          </cell>
          <cell r="O640">
            <v>1</v>
          </cell>
          <cell r="P640">
            <v>46083</v>
          </cell>
          <cell r="Q640">
            <v>46093</v>
          </cell>
          <cell r="R640">
            <v>46090</v>
          </cell>
          <cell r="S640">
            <v>10</v>
          </cell>
          <cell r="T640">
            <v>3.5</v>
          </cell>
          <cell r="U640">
            <v>40</v>
          </cell>
          <cell r="V640">
            <v>3</v>
          </cell>
          <cell r="W640" t="str">
            <v>0.11D</v>
          </cell>
          <cell r="X640" t="str">
            <v>3-2026</v>
          </cell>
          <cell r="Y640" t="str">
            <v>Week 10</v>
          </cell>
          <cell r="Z640">
            <v>46083</v>
          </cell>
          <cell r="AA640">
            <v>87</v>
          </cell>
          <cell r="AB640">
            <v>2.5000000000000001E-2</v>
          </cell>
        </row>
        <row r="641">
          <cell r="A641" t="str">
            <v>F-2026-03-13</v>
          </cell>
          <cell r="B641"/>
          <cell r="C641" t="str">
            <v>RPRO-260302-1115</v>
          </cell>
          <cell r="D641" t="str">
            <v>Pro.sche.report 27.02+28.02+01.03</v>
          </cell>
          <cell r="E641" t="str">
            <v>BDB-000076</v>
          </cell>
          <cell r="F641" t="str">
            <v>PVN-004091</v>
          </cell>
          <cell r="G641" t="str">
            <v>OrthoLite X-25 BILLIARD/16-5427TPX Flat Sheet 0.12D 20+/-4 Asker C 1.1M 2M 3.5mm</v>
          </cell>
          <cell r="H641">
            <v>40</v>
          </cell>
          <cell r="I641">
            <v>40</v>
          </cell>
          <cell r="J641">
            <v>40</v>
          </cell>
          <cell r="K641">
            <v>0</v>
          </cell>
          <cell r="L641" t="str">
            <v>BROOKS</v>
          </cell>
          <cell r="M641" t="str">
            <v>Pr.Sch.R</v>
          </cell>
          <cell r="N641" t="str">
            <v>MOLDED</v>
          </cell>
          <cell r="O641">
            <v>1</v>
          </cell>
          <cell r="P641">
            <v>46083</v>
          </cell>
          <cell r="Q641">
            <v>46098</v>
          </cell>
          <cell r="R641">
            <v>46095</v>
          </cell>
          <cell r="S641">
            <v>15</v>
          </cell>
          <cell r="T641">
            <v>3.5</v>
          </cell>
          <cell r="U641">
            <v>40</v>
          </cell>
          <cell r="V641">
            <v>1</v>
          </cell>
          <cell r="W641" t="str">
            <v>0.12D</v>
          </cell>
          <cell r="X641" t="str">
            <v>3-2026</v>
          </cell>
          <cell r="Y641" t="str">
            <v>Week 11</v>
          </cell>
          <cell r="Z641">
            <v>46090</v>
          </cell>
          <cell r="AA641">
            <v>6</v>
          </cell>
          <cell r="AB641">
            <v>2.5000000000000001E-2</v>
          </cell>
        </row>
        <row r="642">
          <cell r="A642" t="str">
            <v>F-2026-03-14</v>
          </cell>
          <cell r="B642"/>
          <cell r="C642" t="str">
            <v>RPRO-260302-1116</v>
          </cell>
          <cell r="D642" t="str">
            <v>Pro.sche.report 27.02+28.02+01.03</v>
          </cell>
          <cell r="E642" t="str">
            <v>BDB-000313</v>
          </cell>
          <cell r="F642" t="str">
            <v>PVN-004061</v>
          </cell>
          <cell r="G642" t="str">
            <v>OrthoLite X-55 RED/19-1764TPX Flat Sheet 0.16D 25+/-4 Asker C 1.1M 1.47M 18mm</v>
          </cell>
          <cell r="H642">
            <v>42</v>
          </cell>
          <cell r="I642">
            <v>42</v>
          </cell>
          <cell r="J642">
            <v>42</v>
          </cell>
          <cell r="K642">
            <v>0</v>
          </cell>
          <cell r="L642" t="str">
            <v>WILSON</v>
          </cell>
          <cell r="M642" t="str">
            <v>Pr.Sch.R</v>
          </cell>
          <cell r="N642" t="str">
            <v>MOLDED</v>
          </cell>
          <cell r="O642">
            <v>1</v>
          </cell>
          <cell r="P642">
            <v>46083</v>
          </cell>
          <cell r="Q642">
            <v>46098</v>
          </cell>
          <cell r="R642">
            <v>46095</v>
          </cell>
          <cell r="S642">
            <v>15</v>
          </cell>
          <cell r="T642">
            <v>18</v>
          </cell>
          <cell r="U642">
            <v>7</v>
          </cell>
          <cell r="V642">
            <v>7</v>
          </cell>
          <cell r="W642" t="e">
            <v>#N/A</v>
          </cell>
          <cell r="X642" t="str">
            <v>3-2026</v>
          </cell>
          <cell r="Y642" t="str">
            <v>Week 11</v>
          </cell>
          <cell r="Z642">
            <v>46090</v>
          </cell>
          <cell r="AA642">
            <v>4</v>
          </cell>
          <cell r="AB642">
            <v>0.14285999999999999</v>
          </cell>
        </row>
        <row r="643">
          <cell r="A643" t="str">
            <v>F-2026-03-15</v>
          </cell>
          <cell r="B643"/>
          <cell r="C643" t="str">
            <v>RPRO-260302-1117</v>
          </cell>
          <cell r="D643" t="str">
            <v>Pro.sche.report 27.02+28.02+01.03</v>
          </cell>
          <cell r="E643" t="str">
            <v>BDB-000156</v>
          </cell>
          <cell r="F643" t="str">
            <v>PVN-003243</v>
          </cell>
          <cell r="G643" t="str">
            <v>OrthoLite X-35-Hybrid-Nike AMAZON/18-6024TPX Hybrid Flat Sheet 0.145D 25+/-4 Asker C 1.1M 2M 5.2mm</v>
          </cell>
          <cell r="H643">
            <v>78</v>
          </cell>
          <cell r="I643">
            <v>78</v>
          </cell>
          <cell r="J643">
            <v>78</v>
          </cell>
          <cell r="K643">
            <v>0</v>
          </cell>
          <cell r="L643" t="str">
            <v>NIKE</v>
          </cell>
          <cell r="M643" t="str">
            <v>Pr.Sch.R</v>
          </cell>
          <cell r="N643" t="str">
            <v>MOLDED</v>
          </cell>
          <cell r="O643">
            <v>1</v>
          </cell>
          <cell r="P643">
            <v>46083</v>
          </cell>
          <cell r="Q643">
            <v>46095</v>
          </cell>
          <cell r="R643">
            <v>46092</v>
          </cell>
          <cell r="S643">
            <v>12</v>
          </cell>
          <cell r="T643">
            <v>5.2</v>
          </cell>
          <cell r="U643">
            <v>26</v>
          </cell>
          <cell r="V643">
            <v>3</v>
          </cell>
          <cell r="W643" t="str">
            <v>0.145D</v>
          </cell>
          <cell r="X643" t="str">
            <v>3-2026</v>
          </cell>
          <cell r="Y643" t="str">
            <v>Week 11</v>
          </cell>
          <cell r="Z643">
            <v>46090</v>
          </cell>
          <cell r="AA643">
            <v>24</v>
          </cell>
          <cell r="AB643">
            <v>3.8460000000000001E-2</v>
          </cell>
        </row>
        <row r="644">
          <cell r="A644" t="str">
            <v>F-2026-03-16</v>
          </cell>
          <cell r="B644"/>
          <cell r="C644" t="str">
            <v>RPRO-260302-1118</v>
          </cell>
          <cell r="D644" t="str">
            <v>Pro.sche.report 27.02+28.02+01.03</v>
          </cell>
          <cell r="E644" t="str">
            <v>BDB-000107</v>
          </cell>
          <cell r="F644" t="str">
            <v>PVN-003482</v>
          </cell>
          <cell r="G644" t="str">
            <v>OrthoLite Eco LT-Hybrid SEEDPEARL/12-0703TPX Hybrid Flat Sheet 0.11D 25+/-4 Asker C 1.1M 1.47M 4mm</v>
          </cell>
          <cell r="H644">
            <v>280</v>
          </cell>
          <cell r="I644">
            <v>280</v>
          </cell>
          <cell r="J644">
            <v>280</v>
          </cell>
          <cell r="K644">
            <v>0</v>
          </cell>
          <cell r="L644" t="str">
            <v>NEW BALANCE</v>
          </cell>
          <cell r="M644" t="str">
            <v>Pr.Sch.R</v>
          </cell>
          <cell r="N644" t="str">
            <v>DIE CUT</v>
          </cell>
          <cell r="O644">
            <v>1</v>
          </cell>
          <cell r="P644">
            <v>46083</v>
          </cell>
          <cell r="Q644">
            <v>46098</v>
          </cell>
          <cell r="R644">
            <v>46095</v>
          </cell>
          <cell r="S644">
            <v>15</v>
          </cell>
          <cell r="T644">
            <v>4</v>
          </cell>
          <cell r="U644">
            <v>35</v>
          </cell>
          <cell r="V644">
            <v>8</v>
          </cell>
          <cell r="W644" t="str">
            <v>0.11D</v>
          </cell>
          <cell r="X644" t="str">
            <v>3-2026</v>
          </cell>
          <cell r="Y644" t="str">
            <v>Week 11</v>
          </cell>
          <cell r="Z644">
            <v>46090</v>
          </cell>
          <cell r="AA644">
            <v>21</v>
          </cell>
          <cell r="AB644">
            <v>2.8570000000000002E-2</v>
          </cell>
        </row>
        <row r="645">
          <cell r="A645" t="str">
            <v>F-2026-03-17</v>
          </cell>
          <cell r="B645"/>
          <cell r="C645" t="str">
            <v>RPRO-260302-1119</v>
          </cell>
          <cell r="D645" t="str">
            <v>Pro.sche.report 27.02+28.02+01.03</v>
          </cell>
          <cell r="E645" t="str">
            <v>BDB-000373</v>
          </cell>
          <cell r="F645" t="str">
            <v>PVN-004315</v>
          </cell>
          <cell r="G645" t="str">
            <v>OrthoLite X-25-Nike BILLIARD/16-5427TPX Flat Sheet 0.12D 20+/-4 Asker C 1.1M 2M 5mm</v>
          </cell>
          <cell r="H645">
            <v>1092</v>
          </cell>
          <cell r="I645">
            <v>1092</v>
          </cell>
          <cell r="J645">
            <v>1092</v>
          </cell>
          <cell r="K645">
            <v>0</v>
          </cell>
          <cell r="L645" t="str">
            <v>NIKE</v>
          </cell>
          <cell r="M645" t="str">
            <v>Pr.Sch.R</v>
          </cell>
          <cell r="N645" t="str">
            <v>DIE CUT</v>
          </cell>
          <cell r="O645">
            <v>1</v>
          </cell>
          <cell r="P645">
            <v>46083</v>
          </cell>
          <cell r="Q645">
            <v>46098</v>
          </cell>
          <cell r="R645">
            <v>46095</v>
          </cell>
          <cell r="S645">
            <v>15</v>
          </cell>
          <cell r="T645">
            <v>5</v>
          </cell>
          <cell r="U645">
            <v>28</v>
          </cell>
          <cell r="V645">
            <v>39</v>
          </cell>
          <cell r="W645" t="e">
            <v>#N/A</v>
          </cell>
          <cell r="X645" t="str">
            <v>3-2026</v>
          </cell>
          <cell r="Y645" t="str">
            <v>Week 11</v>
          </cell>
          <cell r="Z645">
            <v>46090</v>
          </cell>
          <cell r="AA645">
            <v>168</v>
          </cell>
          <cell r="AB645">
            <v>3.5709999999999999E-2</v>
          </cell>
        </row>
        <row r="646">
          <cell r="A646" t="str">
            <v>F-2026-03-18</v>
          </cell>
          <cell r="B646"/>
          <cell r="C646" t="str">
            <v>RPRO-260303-0186</v>
          </cell>
          <cell r="D646" t="str">
            <v>MPS 02.03</v>
          </cell>
          <cell r="E646" t="str">
            <v>BDB-000010</v>
          </cell>
          <cell r="F646" t="str">
            <v>PVN-000101</v>
          </cell>
          <cell r="G646" t="str">
            <v>OrthoLite Regular AIR BLUE/16-4134TPX Flat Sheet 0.11D 25+/-4 Asker C 1.1M 2M 3mm</v>
          </cell>
          <cell r="H646">
            <v>184</v>
          </cell>
          <cell r="I646">
            <v>184</v>
          </cell>
          <cell r="J646">
            <v>184</v>
          </cell>
          <cell r="K646">
            <v>0</v>
          </cell>
          <cell r="L646"/>
          <cell r="M646" t="str">
            <v>MPS</v>
          </cell>
          <cell r="N646" t="str">
            <v>SPLITTING</v>
          </cell>
          <cell r="O646">
            <v>2</v>
          </cell>
          <cell r="P646">
            <v>46084</v>
          </cell>
          <cell r="Q646">
            <v>46094</v>
          </cell>
          <cell r="R646">
            <v>46091</v>
          </cell>
          <cell r="S646">
            <v>10</v>
          </cell>
          <cell r="T646">
            <v>3</v>
          </cell>
          <cell r="U646">
            <v>46</v>
          </cell>
          <cell r="V646">
            <v>5</v>
          </cell>
          <cell r="W646" t="str">
            <v>0.11D</v>
          </cell>
          <cell r="X646" t="str">
            <v>3-2026</v>
          </cell>
          <cell r="Y646" t="str">
            <v>Week 11</v>
          </cell>
          <cell r="Z646">
            <v>46090</v>
          </cell>
          <cell r="AA646">
            <v>65</v>
          </cell>
          <cell r="AB646">
            <v>2.1739999999999999E-2</v>
          </cell>
        </row>
        <row r="647">
          <cell r="A647" t="str">
            <v>F-2026-03-19</v>
          </cell>
          <cell r="B647"/>
          <cell r="C647" t="str">
            <v>RPRO-260303-0187</v>
          </cell>
          <cell r="D647" t="str">
            <v>MPS 02.03</v>
          </cell>
          <cell r="E647" t="str">
            <v>BDB-000011</v>
          </cell>
          <cell r="F647" t="str">
            <v>PVN-000127</v>
          </cell>
          <cell r="G647" t="str">
            <v>OrthoLite Regular AIR BLUE/16-4134TPX Flat Sheet 0.13D 35+/-4 Asker C 1.1M 2M 5mm</v>
          </cell>
          <cell r="H647">
            <v>84</v>
          </cell>
          <cell r="I647">
            <v>84</v>
          </cell>
          <cell r="J647">
            <v>84</v>
          </cell>
          <cell r="K647">
            <v>0</v>
          </cell>
          <cell r="L647"/>
          <cell r="M647" t="str">
            <v>MPS</v>
          </cell>
          <cell r="N647" t="str">
            <v>SPLITTING</v>
          </cell>
          <cell r="O647">
            <v>2</v>
          </cell>
          <cell r="P647">
            <v>46084</v>
          </cell>
          <cell r="Q647">
            <v>46093</v>
          </cell>
          <cell r="R647">
            <v>46090</v>
          </cell>
          <cell r="S647">
            <v>9</v>
          </cell>
          <cell r="T647">
            <v>5</v>
          </cell>
          <cell r="U647">
            <v>28</v>
          </cell>
          <cell r="V647">
            <v>3</v>
          </cell>
          <cell r="W647" t="str">
            <v>0.13D</v>
          </cell>
          <cell r="X647" t="str">
            <v>3-2026</v>
          </cell>
          <cell r="Y647" t="str">
            <v>Week 10</v>
          </cell>
          <cell r="Z647">
            <v>46083</v>
          </cell>
          <cell r="AA647">
            <v>15</v>
          </cell>
          <cell r="AB647">
            <v>3.5709999999999999E-2</v>
          </cell>
        </row>
        <row r="648">
          <cell r="A648" t="str">
            <v>F-2026-03-20</v>
          </cell>
          <cell r="B648"/>
          <cell r="C648" t="str">
            <v>RPRO-260303-0188</v>
          </cell>
          <cell r="D648" t="str">
            <v>MPS 02.03</v>
          </cell>
          <cell r="E648" t="str">
            <v>BDB-000083</v>
          </cell>
          <cell r="F648" t="str">
            <v>PVN-000930</v>
          </cell>
          <cell r="G648" t="str">
            <v>OrthoLite Eco LT 300C(ADIDAS BLUEBIRD) Flat Sheet 0.11D 25+/-4 Asker C 1.1M 2M 3mm</v>
          </cell>
          <cell r="H648">
            <v>552</v>
          </cell>
          <cell r="I648">
            <v>552</v>
          </cell>
          <cell r="J648">
            <v>552</v>
          </cell>
          <cell r="K648">
            <v>0</v>
          </cell>
          <cell r="L648"/>
          <cell r="M648" t="str">
            <v>MPS</v>
          </cell>
          <cell r="N648" t="str">
            <v>SPLITTING</v>
          </cell>
          <cell r="O648">
            <v>2</v>
          </cell>
          <cell r="P648">
            <v>46084</v>
          </cell>
          <cell r="Q648">
            <v>46102</v>
          </cell>
          <cell r="R648">
            <v>46099</v>
          </cell>
          <cell r="S648">
            <v>18</v>
          </cell>
          <cell r="T648">
            <v>3</v>
          </cell>
          <cell r="U648">
            <v>46</v>
          </cell>
          <cell r="V648">
            <v>13</v>
          </cell>
          <cell r="W648" t="str">
            <v>0.11D</v>
          </cell>
          <cell r="X648" t="str">
            <v>3-2026</v>
          </cell>
          <cell r="Y648" t="str">
            <v>Week 11</v>
          </cell>
          <cell r="Z648">
            <v>46090</v>
          </cell>
          <cell r="AA648">
            <v>16</v>
          </cell>
          <cell r="AB648">
            <v>2.1739999999999999E-2</v>
          </cell>
        </row>
        <row r="649">
          <cell r="A649" t="str">
            <v>F-2026-03-21</v>
          </cell>
          <cell r="B649"/>
          <cell r="C649" t="str">
            <v>RPRO-260303-0189</v>
          </cell>
          <cell r="D649" t="str">
            <v>MPS 02.03</v>
          </cell>
          <cell r="E649" t="str">
            <v>BDB-000085</v>
          </cell>
          <cell r="F649" t="str">
            <v>PVN-001091</v>
          </cell>
          <cell r="G649" t="str">
            <v>OrthoLite Eco LT GREY/17-1501TPX Flat Sheet 0.11D 25+/-4 Asker C 1.1M 2M 4mm</v>
          </cell>
          <cell r="H649">
            <v>105</v>
          </cell>
          <cell r="I649">
            <v>105</v>
          </cell>
          <cell r="J649">
            <v>105</v>
          </cell>
          <cell r="K649">
            <v>0</v>
          </cell>
          <cell r="L649"/>
          <cell r="M649" t="str">
            <v>MPS</v>
          </cell>
          <cell r="N649" t="str">
            <v>SPLITTING</v>
          </cell>
          <cell r="O649">
            <v>2</v>
          </cell>
          <cell r="P649">
            <v>46084</v>
          </cell>
          <cell r="Q649">
            <v>46093</v>
          </cell>
          <cell r="R649">
            <v>46090</v>
          </cell>
          <cell r="S649">
            <v>9</v>
          </cell>
          <cell r="T649">
            <v>4</v>
          </cell>
          <cell r="U649">
            <v>35</v>
          </cell>
          <cell r="V649">
            <v>3</v>
          </cell>
          <cell r="W649" t="str">
            <v>0.11D</v>
          </cell>
          <cell r="X649" t="str">
            <v>3-2026</v>
          </cell>
          <cell r="Y649" t="str">
            <v>Week 10</v>
          </cell>
          <cell r="Z649">
            <v>46083</v>
          </cell>
          <cell r="AA649">
            <v>23</v>
          </cell>
          <cell r="AB649">
            <v>2.8570000000000002E-2</v>
          </cell>
        </row>
        <row r="650">
          <cell r="A650" t="str">
            <v>F-2026-03-22</v>
          </cell>
          <cell r="B650"/>
          <cell r="C650" t="str">
            <v>RPRO-260303-0190</v>
          </cell>
          <cell r="D650" t="str">
            <v>MPS 02.03</v>
          </cell>
          <cell r="E650" t="str">
            <v>BDB-000084</v>
          </cell>
          <cell r="F650" t="str">
            <v>PVN-001111</v>
          </cell>
          <cell r="G650" t="str">
            <v>OrthoLite Eco LT YELLOW/13-0858TPX 0.11D 25+/-4 Asker C 1.1M 2M 4mm</v>
          </cell>
          <cell r="H650">
            <v>35</v>
          </cell>
          <cell r="I650">
            <v>35</v>
          </cell>
          <cell r="J650">
            <v>35</v>
          </cell>
          <cell r="K650">
            <v>0</v>
          </cell>
          <cell r="L650"/>
          <cell r="M650" t="str">
            <v>MPS</v>
          </cell>
          <cell r="N650" t="str">
            <v>SPLITTING</v>
          </cell>
          <cell r="O650">
            <v>2</v>
          </cell>
          <cell r="P650">
            <v>46084</v>
          </cell>
          <cell r="Q650">
            <v>46093</v>
          </cell>
          <cell r="R650">
            <v>46090</v>
          </cell>
          <cell r="S650">
            <v>9</v>
          </cell>
          <cell r="T650">
            <v>4</v>
          </cell>
          <cell r="U650">
            <v>35</v>
          </cell>
          <cell r="V650">
            <v>1</v>
          </cell>
          <cell r="W650" t="str">
            <v>0.11D</v>
          </cell>
          <cell r="X650" t="str">
            <v>3-2026</v>
          </cell>
          <cell r="Y650" t="str">
            <v>Week 10</v>
          </cell>
          <cell r="Z650">
            <v>46083</v>
          </cell>
          <cell r="AA650">
            <v>16</v>
          </cell>
          <cell r="AB650">
            <v>2.8570000000000002E-2</v>
          </cell>
        </row>
        <row r="651">
          <cell r="A651" t="str">
            <v>F-2026-03-23</v>
          </cell>
          <cell r="B651"/>
          <cell r="C651" t="str">
            <v>RPRO-260303-0191</v>
          </cell>
          <cell r="D651" t="str">
            <v>MPS 02.03</v>
          </cell>
          <cell r="E651" t="str">
            <v>BDB-000058</v>
          </cell>
          <cell r="F651" t="str">
            <v>PVN-001277</v>
          </cell>
          <cell r="G651" t="str">
            <v>OrthoLite Ultra GREEN/16-5932TPX Flat Sheet 0.085D 25+/-4 Asker C 1.1M 2M 4mm</v>
          </cell>
          <cell r="H651">
            <v>4445</v>
          </cell>
          <cell r="I651">
            <v>4445</v>
          </cell>
          <cell r="J651">
            <v>4445</v>
          </cell>
          <cell r="K651">
            <v>0</v>
          </cell>
          <cell r="L651"/>
          <cell r="M651" t="str">
            <v>MPS</v>
          </cell>
          <cell r="N651" t="str">
            <v>SPLITTING</v>
          </cell>
          <cell r="O651">
            <v>2</v>
          </cell>
          <cell r="P651">
            <v>46084</v>
          </cell>
          <cell r="Q651">
            <v>46099</v>
          </cell>
          <cell r="R651">
            <v>46096</v>
          </cell>
          <cell r="S651">
            <v>15</v>
          </cell>
          <cell r="T651">
            <v>4</v>
          </cell>
          <cell r="U651">
            <v>35</v>
          </cell>
          <cell r="V651">
            <v>127</v>
          </cell>
          <cell r="W651" t="str">
            <v>0.085D</v>
          </cell>
          <cell r="X651" t="str">
            <v>3-2026</v>
          </cell>
          <cell r="Y651" t="str">
            <v>Week 11</v>
          </cell>
          <cell r="Z651">
            <v>46090</v>
          </cell>
          <cell r="AA651">
            <v>70</v>
          </cell>
          <cell r="AB651">
            <v>2.8570000000000002E-2</v>
          </cell>
        </row>
        <row r="652">
          <cell r="A652" t="str">
            <v>F-2026-03-24</v>
          </cell>
          <cell r="B652"/>
          <cell r="C652" t="str">
            <v>RPRO-260303-0192</v>
          </cell>
          <cell r="D652" t="str">
            <v>MPS 02.03</v>
          </cell>
          <cell r="E652" t="str">
            <v>BDB-000033</v>
          </cell>
          <cell r="F652" t="str">
            <v>PVN-001471</v>
          </cell>
          <cell r="G652" t="str">
            <v>OrthoLite Regular SEEDPEARL/12-0703TPX 0.13D 35+/-4 Asker C 1.1M 2M 4mm</v>
          </cell>
          <cell r="H652">
            <v>70</v>
          </cell>
          <cell r="I652">
            <v>70</v>
          </cell>
          <cell r="J652">
            <v>70</v>
          </cell>
          <cell r="K652">
            <v>0</v>
          </cell>
          <cell r="L652"/>
          <cell r="M652" t="str">
            <v>MPS</v>
          </cell>
          <cell r="N652" t="str">
            <v>SPLITTING</v>
          </cell>
          <cell r="O652">
            <v>2</v>
          </cell>
          <cell r="P652">
            <v>46084</v>
          </cell>
          <cell r="Q652">
            <v>46094</v>
          </cell>
          <cell r="R652">
            <v>46091</v>
          </cell>
          <cell r="S652">
            <v>10</v>
          </cell>
          <cell r="T652">
            <v>4</v>
          </cell>
          <cell r="U652">
            <v>35</v>
          </cell>
          <cell r="V652">
            <v>2</v>
          </cell>
          <cell r="W652" t="str">
            <v>0.13D</v>
          </cell>
          <cell r="X652" t="str">
            <v>3-2026</v>
          </cell>
          <cell r="Y652" t="str">
            <v>Week 11</v>
          </cell>
          <cell r="Z652">
            <v>46090</v>
          </cell>
          <cell r="AA652">
            <v>138</v>
          </cell>
          <cell r="AB652">
            <v>2.8570000000000002E-2</v>
          </cell>
        </row>
        <row r="653">
          <cell r="A653" t="str">
            <v>F-2026-03-25</v>
          </cell>
          <cell r="B653"/>
          <cell r="C653" t="str">
            <v>RPRO-260303-0193</v>
          </cell>
          <cell r="D653" t="str">
            <v>MPS 02.03</v>
          </cell>
          <cell r="E653" t="str">
            <v>BDB-000123</v>
          </cell>
          <cell r="F653" t="str">
            <v>PVN-003300</v>
          </cell>
          <cell r="G653" t="str">
            <v>OrthoLite Ultra-Hybrid SEEDPEARL/12-0703TPX Hybrid Flat Sheet 0.085D 25+/-4 Asker C 1.1M 2M 2mm</v>
          </cell>
          <cell r="H653">
            <v>70</v>
          </cell>
          <cell r="I653">
            <v>70</v>
          </cell>
          <cell r="J653">
            <v>70</v>
          </cell>
          <cell r="K653">
            <v>0</v>
          </cell>
          <cell r="L653"/>
          <cell r="M653" t="str">
            <v>MPS</v>
          </cell>
          <cell r="N653" t="str">
            <v>SPLITTING</v>
          </cell>
          <cell r="O653">
            <v>2</v>
          </cell>
          <cell r="P653">
            <v>46084</v>
          </cell>
          <cell r="Q653">
            <v>46102</v>
          </cell>
          <cell r="R653">
            <v>46099</v>
          </cell>
          <cell r="S653">
            <v>18</v>
          </cell>
          <cell r="T653">
            <v>2</v>
          </cell>
          <cell r="U653">
            <v>70</v>
          </cell>
          <cell r="V653">
            <v>2</v>
          </cell>
          <cell r="W653" t="str">
            <v>0.085D</v>
          </cell>
          <cell r="X653" t="str">
            <v>3-2026</v>
          </cell>
          <cell r="Y653" t="str">
            <v>Week 11</v>
          </cell>
          <cell r="Z653">
            <v>46090</v>
          </cell>
          <cell r="AA653">
            <v>100</v>
          </cell>
          <cell r="AB653">
            <v>1.4290000000000001E-2</v>
          </cell>
        </row>
        <row r="654">
          <cell r="A654" t="str">
            <v>F-2026-03-26</v>
          </cell>
          <cell r="B654"/>
          <cell r="C654" t="str">
            <v>RPRO-260303-0194</v>
          </cell>
          <cell r="D654" t="str">
            <v>MPS 02.03</v>
          </cell>
          <cell r="E654" t="str">
            <v>BDB-000077</v>
          </cell>
          <cell r="F654" t="str">
            <v>PVN-003478</v>
          </cell>
          <cell r="G654" t="str">
            <v>Ortholite X-25 SEEDPEARL/12-0703TPX Flat Sheet 0.12D 20+/-4 Asker C 1.1M 2M 4mm</v>
          </cell>
          <cell r="H654">
            <v>665</v>
          </cell>
          <cell r="I654">
            <v>665</v>
          </cell>
          <cell r="J654">
            <v>665</v>
          </cell>
          <cell r="K654">
            <v>0</v>
          </cell>
          <cell r="L654"/>
          <cell r="M654" t="str">
            <v>MPS</v>
          </cell>
          <cell r="N654" t="str">
            <v>SPLITTING</v>
          </cell>
          <cell r="O654">
            <v>2</v>
          </cell>
          <cell r="P654">
            <v>46084</v>
          </cell>
          <cell r="Q654">
            <v>46095</v>
          </cell>
          <cell r="R654">
            <v>46092</v>
          </cell>
          <cell r="S654">
            <v>11</v>
          </cell>
          <cell r="T654">
            <v>4</v>
          </cell>
          <cell r="U654">
            <v>35</v>
          </cell>
          <cell r="V654">
            <v>19</v>
          </cell>
          <cell r="W654" t="str">
            <v>0.12D</v>
          </cell>
          <cell r="X654" t="str">
            <v>3-2026</v>
          </cell>
          <cell r="Y654" t="str">
            <v>Week 11</v>
          </cell>
          <cell r="Z654">
            <v>46090</v>
          </cell>
          <cell r="AA654">
            <v>18</v>
          </cell>
          <cell r="AB654">
            <v>2.8570000000000002E-2</v>
          </cell>
        </row>
        <row r="655">
          <cell r="A655" t="str">
            <v>F-2026-03-27</v>
          </cell>
          <cell r="B655"/>
          <cell r="C655" t="str">
            <v>RPRO-260303-0195</v>
          </cell>
          <cell r="D655" t="str">
            <v>MPS 02.03</v>
          </cell>
          <cell r="E655" t="str">
            <v>BDB-000077</v>
          </cell>
          <cell r="F655" t="str">
            <v>PVN-003513</v>
          </cell>
          <cell r="G655" t="str">
            <v>OrthoLite X-25 SEEDPEARL/12-0703TPX Flat Sheet 0.12D 20+/-4 Asker C 1.1M 2M 2mm</v>
          </cell>
          <cell r="H655">
            <v>70</v>
          </cell>
          <cell r="I655">
            <v>70</v>
          </cell>
          <cell r="J655">
            <v>70</v>
          </cell>
          <cell r="K655">
            <v>0</v>
          </cell>
          <cell r="L655"/>
          <cell r="M655" t="str">
            <v>MPS</v>
          </cell>
          <cell r="N655" t="str">
            <v>SPLITTING</v>
          </cell>
          <cell r="O655">
            <v>2</v>
          </cell>
          <cell r="P655">
            <v>46084</v>
          </cell>
          <cell r="Q655">
            <v>46102</v>
          </cell>
          <cell r="R655">
            <v>46099</v>
          </cell>
          <cell r="S655">
            <v>18</v>
          </cell>
          <cell r="T655">
            <v>2</v>
          </cell>
          <cell r="U655">
            <v>70</v>
          </cell>
          <cell r="V655">
            <v>2</v>
          </cell>
          <cell r="W655" t="str">
            <v>0.12D</v>
          </cell>
          <cell r="X655" t="str">
            <v>3-2026</v>
          </cell>
          <cell r="Y655" t="str">
            <v>Week 11</v>
          </cell>
          <cell r="Z655">
            <v>46090</v>
          </cell>
          <cell r="AA655">
            <v>43</v>
          </cell>
          <cell r="AB655">
            <v>1.4290000000000001E-2</v>
          </cell>
        </row>
        <row r="656">
          <cell r="A656" t="str">
            <v>F-2026-03-28</v>
          </cell>
          <cell r="B656"/>
          <cell r="C656" t="str">
            <v>RPRO-260303-0196</v>
          </cell>
          <cell r="D656" t="str">
            <v>MPS 02.03</v>
          </cell>
          <cell r="E656" t="str">
            <v>BDB-000194</v>
          </cell>
          <cell r="F656" t="str">
            <v>PVN-003967</v>
          </cell>
          <cell r="G656" t="str">
            <v>OrthoLite Ultra-Hybrid SEEDPEARL/12-0703TPX Hybrid Flat Sheet 0.085D 15+/-4 Asker C 1.1M 2M 3mm</v>
          </cell>
          <cell r="H656">
            <v>46</v>
          </cell>
          <cell r="I656">
            <v>46</v>
          </cell>
          <cell r="J656">
            <v>46</v>
          </cell>
          <cell r="K656">
            <v>0</v>
          </cell>
          <cell r="L656"/>
          <cell r="M656" t="str">
            <v>MPS</v>
          </cell>
          <cell r="N656" t="str">
            <v>SPLITTING</v>
          </cell>
          <cell r="O656">
            <v>2</v>
          </cell>
          <cell r="P656">
            <v>46084</v>
          </cell>
          <cell r="Q656">
            <v>46102</v>
          </cell>
          <cell r="R656">
            <v>46099</v>
          </cell>
          <cell r="S656">
            <v>18</v>
          </cell>
          <cell r="T656">
            <v>3</v>
          </cell>
          <cell r="U656">
            <v>46</v>
          </cell>
          <cell r="V656">
            <v>2</v>
          </cell>
          <cell r="W656" t="str">
            <v>0.085D</v>
          </cell>
          <cell r="X656" t="str">
            <v>3-2026</v>
          </cell>
          <cell r="Y656" t="str">
            <v>Week 11</v>
          </cell>
          <cell r="Z656">
            <v>46090</v>
          </cell>
          <cell r="AA656">
            <v>8</v>
          </cell>
          <cell r="AB656">
            <v>2.1739999999999999E-2</v>
          </cell>
        </row>
        <row r="657">
          <cell r="A657" t="str">
            <v>F-2026-03-29</v>
          </cell>
          <cell r="B657"/>
          <cell r="C657" t="str">
            <v>RPRO-260303-0197</v>
          </cell>
          <cell r="D657" t="str">
            <v>MPS 02.03</v>
          </cell>
          <cell r="E657" t="str">
            <v>BDB-000118</v>
          </cell>
          <cell r="F657" t="str">
            <v>PVN-004001</v>
          </cell>
          <cell r="G657" t="str">
            <v>OrthoLite X-40-Hybrid SEEDPEARL/12-0703TPX Hybrid Flat Sheet 0.16D 25+/-4 Asker C 1.1M 1.7M 3mm</v>
          </cell>
          <cell r="H657">
            <v>46</v>
          </cell>
          <cell r="I657">
            <v>46</v>
          </cell>
          <cell r="J657">
            <v>46</v>
          </cell>
          <cell r="K657">
            <v>0</v>
          </cell>
          <cell r="L657"/>
          <cell r="M657" t="str">
            <v>MPS</v>
          </cell>
          <cell r="N657" t="str">
            <v>SPLITTING</v>
          </cell>
          <cell r="O657">
            <v>2</v>
          </cell>
          <cell r="P657">
            <v>46084</v>
          </cell>
          <cell r="Q657">
            <v>46102</v>
          </cell>
          <cell r="R657">
            <v>46099</v>
          </cell>
          <cell r="S657">
            <v>18</v>
          </cell>
          <cell r="T657">
            <v>3</v>
          </cell>
          <cell r="U657">
            <v>46</v>
          </cell>
          <cell r="V657">
            <v>2</v>
          </cell>
          <cell r="W657" t="str">
            <v>0.16D</v>
          </cell>
          <cell r="X657" t="str">
            <v>3-2026</v>
          </cell>
          <cell r="Y657" t="str">
            <v>Week 11</v>
          </cell>
          <cell r="Z657">
            <v>46090</v>
          </cell>
          <cell r="AA657">
            <v>209</v>
          </cell>
          <cell r="AB657">
            <v>2.1739999999999999E-2</v>
          </cell>
        </row>
        <row r="658">
          <cell r="A658" t="str">
            <v>F-2026-03-30</v>
          </cell>
          <cell r="B658"/>
          <cell r="C658" t="str">
            <v>RPRO-260303-0198</v>
          </cell>
          <cell r="D658" t="str">
            <v>Pro.sche.report 02.03</v>
          </cell>
          <cell r="E658" t="str">
            <v>BDB-000054</v>
          </cell>
          <cell r="F658" t="str">
            <v>PVN-003895</v>
          </cell>
          <cell r="G658" t="str">
            <v>OrthoLite X-40 RED/19-1764TPX Flat Sheet 0.16D 25+/-4 Asker C 1.1M 1.7M 5mm</v>
          </cell>
          <cell r="H658">
            <v>196</v>
          </cell>
          <cell r="I658">
            <v>196</v>
          </cell>
          <cell r="J658">
            <v>196</v>
          </cell>
          <cell r="K658">
            <v>0</v>
          </cell>
          <cell r="L658" t="str">
            <v>PAYNTR</v>
          </cell>
          <cell r="M658" t="str">
            <v>Pr.Sch.R</v>
          </cell>
          <cell r="N658" t="str">
            <v>MOLDED</v>
          </cell>
          <cell r="O658">
            <v>1</v>
          </cell>
          <cell r="P658">
            <v>46084</v>
          </cell>
          <cell r="Q658">
            <v>46102</v>
          </cell>
          <cell r="R658">
            <v>46099</v>
          </cell>
          <cell r="S658">
            <v>18</v>
          </cell>
          <cell r="T658">
            <v>5</v>
          </cell>
          <cell r="U658">
            <v>28</v>
          </cell>
          <cell r="V658">
            <v>7</v>
          </cell>
          <cell r="W658" t="str">
            <v>0.16D</v>
          </cell>
          <cell r="X658" t="str">
            <v>3-2026</v>
          </cell>
          <cell r="Y658" t="str">
            <v>Week 11</v>
          </cell>
          <cell r="Z658">
            <v>46090</v>
          </cell>
          <cell r="AA658">
            <v>4</v>
          </cell>
          <cell r="AB658">
            <v>3.5709999999999999E-2</v>
          </cell>
        </row>
        <row r="659">
          <cell r="A659" t="str">
            <v>F-2026-03-31-1</v>
          </cell>
          <cell r="B659" t="str">
            <v>Color</v>
          </cell>
          <cell r="C659" t="str">
            <v>RPRO-260303-0199</v>
          </cell>
          <cell r="D659" t="str">
            <v>Pro.sche.report 02.03</v>
          </cell>
          <cell r="E659" t="str">
            <v>BDB-000123</v>
          </cell>
          <cell r="F659" t="str">
            <v>PVN-002884</v>
          </cell>
          <cell r="G659" t="str">
            <v>OrthoLite Ultra-Hybrid SEEDPEARL/12-0703TPX Hybrid Flat Sheet 0.085D 25+/-4 Asker C 1.1M 2M 10mm</v>
          </cell>
          <cell r="H659">
            <v>325</v>
          </cell>
          <cell r="I659">
            <v>166</v>
          </cell>
          <cell r="J659">
            <v>166</v>
          </cell>
          <cell r="K659">
            <v>0</v>
          </cell>
          <cell r="L659" t="str">
            <v>ADIDAS</v>
          </cell>
          <cell r="M659" t="str">
            <v>Pr.Sch.R</v>
          </cell>
          <cell r="N659" t="str">
            <v>MOLDED</v>
          </cell>
          <cell r="O659">
            <v>1</v>
          </cell>
          <cell r="P659">
            <v>46084</v>
          </cell>
          <cell r="Q659">
            <v>46098</v>
          </cell>
          <cell r="R659">
            <v>46095</v>
          </cell>
          <cell r="S659">
            <v>14</v>
          </cell>
          <cell r="T659">
            <v>10</v>
          </cell>
          <cell r="U659">
            <v>13</v>
          </cell>
          <cell r="V659">
            <v>13</v>
          </cell>
          <cell r="W659" t="str">
            <v>0.085D</v>
          </cell>
          <cell r="X659" t="str">
            <v>3-2026</v>
          </cell>
          <cell r="Y659" t="str">
            <v>Week 11</v>
          </cell>
          <cell r="Z659">
            <v>46090</v>
          </cell>
          <cell r="AA659">
            <v>2</v>
          </cell>
          <cell r="AB659">
            <v>7.6920000000000002E-2</v>
          </cell>
        </row>
        <row r="660">
          <cell r="A660" t="str">
            <v>F-2026-03-31-2</v>
          </cell>
          <cell r="B660" t="str">
            <v>Color</v>
          </cell>
          <cell r="C660" t="str">
            <v>RPRO-260303-0199</v>
          </cell>
          <cell r="D660" t="str">
            <v>Pro.sche.report 02.03</v>
          </cell>
          <cell r="E660" t="str">
            <v>BDB-000123</v>
          </cell>
          <cell r="F660" t="str">
            <v>PVN-002884</v>
          </cell>
          <cell r="G660" t="str">
            <v>OrthoLite Ultra-Hybrid SEEDPEARL/12-0703TPX Hybrid Flat Sheet 0.085D 25+/-4 Asker C 1.1M 2M 10mm</v>
          </cell>
          <cell r="H660">
            <v>325</v>
          </cell>
          <cell r="I660">
            <v>159</v>
          </cell>
          <cell r="J660">
            <v>159</v>
          </cell>
          <cell r="K660">
            <v>0</v>
          </cell>
          <cell r="L660" t="str">
            <v>ADIDAS</v>
          </cell>
          <cell r="M660" t="str">
            <v>Pr.Sch.R</v>
          </cell>
          <cell r="N660" t="str">
            <v>MOLDED</v>
          </cell>
          <cell r="O660">
            <v>1</v>
          </cell>
          <cell r="P660">
            <v>46084</v>
          </cell>
          <cell r="Q660">
            <v>46098</v>
          </cell>
          <cell r="R660">
            <v>46095</v>
          </cell>
          <cell r="S660">
            <v>14</v>
          </cell>
          <cell r="T660">
            <v>10</v>
          </cell>
          <cell r="U660">
            <v>13</v>
          </cell>
          <cell r="V660">
            <v>13</v>
          </cell>
          <cell r="W660" t="str">
            <v>0.085D</v>
          </cell>
          <cell r="X660" t="str">
            <v>3-2026</v>
          </cell>
          <cell r="Y660" t="str">
            <v>Week 11</v>
          </cell>
          <cell r="Z660">
            <v>46090</v>
          </cell>
          <cell r="AA660">
            <v>8</v>
          </cell>
          <cell r="AB660">
            <v>7.6920000000000002E-2</v>
          </cell>
        </row>
        <row r="661">
          <cell r="A661" t="str">
            <v>F-2026-03-32</v>
          </cell>
          <cell r="B661"/>
          <cell r="C661" t="str">
            <v>RPRO-260303-0200</v>
          </cell>
          <cell r="D661" t="str">
            <v>Pro.sche.report 02.03</v>
          </cell>
          <cell r="E661" t="str">
            <v>BDB-000011</v>
          </cell>
          <cell r="F661" t="str">
            <v>PVN-000184</v>
          </cell>
          <cell r="G661" t="str">
            <v>OrthoLite Regular AIR BLUE/16-4134TPX Flat Sheet 0.13D 35+/-4 Asker C 1.1M 2M 14mm</v>
          </cell>
          <cell r="H661">
            <v>54</v>
          </cell>
          <cell r="I661">
            <v>54</v>
          </cell>
          <cell r="J661">
            <v>54</v>
          </cell>
          <cell r="K661">
            <v>0</v>
          </cell>
          <cell r="L661" t="str">
            <v>ADIDAS</v>
          </cell>
          <cell r="M661" t="str">
            <v>Pr.Sch.R</v>
          </cell>
          <cell r="N661" t="str">
            <v>MOLDED</v>
          </cell>
          <cell r="O661">
            <v>1</v>
          </cell>
          <cell r="P661">
            <v>46084</v>
          </cell>
          <cell r="Q661">
            <v>46093</v>
          </cell>
          <cell r="R661">
            <v>46090</v>
          </cell>
          <cell r="S661">
            <v>9</v>
          </cell>
          <cell r="T661">
            <v>14</v>
          </cell>
          <cell r="U661">
            <v>9</v>
          </cell>
          <cell r="V661">
            <v>6</v>
          </cell>
          <cell r="W661" t="str">
            <v>0.13D</v>
          </cell>
          <cell r="X661" t="str">
            <v>3-2026</v>
          </cell>
          <cell r="Y661" t="str">
            <v>Week 10</v>
          </cell>
          <cell r="Z661">
            <v>46083</v>
          </cell>
          <cell r="AA661">
            <v>8</v>
          </cell>
          <cell r="AB661">
            <v>0.11111</v>
          </cell>
        </row>
        <row r="662">
          <cell r="A662" t="str">
            <v>F-2026-03-33</v>
          </cell>
          <cell r="B662"/>
          <cell r="C662" t="str">
            <v>RPRO-260303-0201</v>
          </cell>
          <cell r="D662" t="str">
            <v>Pro.sche.report 02.03</v>
          </cell>
          <cell r="E662" t="str">
            <v>BDB-000055</v>
          </cell>
          <cell r="F662" t="str">
            <v>PVN-003326</v>
          </cell>
          <cell r="G662" t="str">
            <v>OrthoLite X-40 TRUE BLUE/19-4057TPX Flat Sheet 0.16D 35+/-4 Asker C 1.1M 1.7M 14mm</v>
          </cell>
          <cell r="H662">
            <v>180</v>
          </cell>
          <cell r="I662">
            <v>180</v>
          </cell>
          <cell r="J662">
            <v>180</v>
          </cell>
          <cell r="K662">
            <v>0</v>
          </cell>
          <cell r="L662" t="str">
            <v>ADIDAS</v>
          </cell>
          <cell r="M662" t="str">
            <v>Pr.Sch.R</v>
          </cell>
          <cell r="N662" t="str">
            <v>MOLDED</v>
          </cell>
          <cell r="O662">
            <v>1</v>
          </cell>
          <cell r="P662">
            <v>46084</v>
          </cell>
          <cell r="Q662">
            <v>46093</v>
          </cell>
          <cell r="R662">
            <v>46090</v>
          </cell>
          <cell r="S662">
            <v>9</v>
          </cell>
          <cell r="T662">
            <v>14</v>
          </cell>
          <cell r="U662">
            <v>9</v>
          </cell>
          <cell r="V662">
            <v>20</v>
          </cell>
          <cell r="W662" t="str">
            <v>0.16D</v>
          </cell>
          <cell r="X662" t="str">
            <v>3-2026</v>
          </cell>
          <cell r="Y662" t="str">
            <v>Week 10</v>
          </cell>
          <cell r="Z662">
            <v>46083</v>
          </cell>
          <cell r="AA662">
            <v>133</v>
          </cell>
          <cell r="AB662">
            <v>0.11111</v>
          </cell>
        </row>
        <row r="663">
          <cell r="A663" t="str">
            <v>F-2026-03-34</v>
          </cell>
          <cell r="B663"/>
          <cell r="C663" t="str">
            <v>RPRO-260303-0202</v>
          </cell>
          <cell r="D663" t="str">
            <v>Pro.sche.report 02.03</v>
          </cell>
          <cell r="E663" t="str">
            <v>BDB-000209</v>
          </cell>
          <cell r="F663" t="str">
            <v>PVN-003461</v>
          </cell>
          <cell r="G663" t="str">
            <v>OrthoLite HybridPlus-Recycled MINT GREEN/11-4805TPX Hybrid Flat Sheet 0.12D 25+/-4 Asker C 1.1M 2M 11mm</v>
          </cell>
          <cell r="H663">
            <v>12</v>
          </cell>
          <cell r="I663">
            <v>12</v>
          </cell>
          <cell r="J663">
            <v>12</v>
          </cell>
          <cell r="K663">
            <v>0</v>
          </cell>
          <cell r="L663" t="str">
            <v>AKU</v>
          </cell>
          <cell r="M663" t="str">
            <v>Pr.Sch.R</v>
          </cell>
          <cell r="N663" t="str">
            <v>MOLDED</v>
          </cell>
          <cell r="O663">
            <v>1</v>
          </cell>
          <cell r="P663">
            <v>46084</v>
          </cell>
          <cell r="Q663">
            <v>46097</v>
          </cell>
          <cell r="R663">
            <v>46094</v>
          </cell>
          <cell r="S663">
            <v>13</v>
          </cell>
          <cell r="T663">
            <v>11</v>
          </cell>
          <cell r="U663">
            <v>12</v>
          </cell>
          <cell r="V663">
            <v>1</v>
          </cell>
          <cell r="W663" t="str">
            <v>0.12D</v>
          </cell>
          <cell r="X663" t="str">
            <v>3-2026</v>
          </cell>
          <cell r="Y663" t="str">
            <v>Week 11</v>
          </cell>
          <cell r="Z663">
            <v>46090</v>
          </cell>
          <cell r="AA663">
            <v>45</v>
          </cell>
          <cell r="AB663">
            <v>8.3330000000000001E-2</v>
          </cell>
        </row>
        <row r="664">
          <cell r="A664" t="str">
            <v>F-2026-03-35</v>
          </cell>
          <cell r="B664"/>
          <cell r="C664" t="str">
            <v>RPRO-260303-0203</v>
          </cell>
          <cell r="D664" t="str">
            <v>Pro.sche.report 02.03</v>
          </cell>
          <cell r="E664" t="str">
            <v>BDB-000008</v>
          </cell>
          <cell r="F664" t="str">
            <v>PVN-000505</v>
          </cell>
          <cell r="G664" t="str">
            <v>OrthoLite Regular LIME GREEN/14-0452TPX Flat Sheet 0.11D 25+/-4 Asker C 1.1M 2M 12mm</v>
          </cell>
          <cell r="H664">
            <v>649</v>
          </cell>
          <cell r="I664">
            <v>649</v>
          </cell>
          <cell r="J664">
            <v>649</v>
          </cell>
          <cell r="K664">
            <v>0</v>
          </cell>
          <cell r="L664" t="str">
            <v>ASICS</v>
          </cell>
          <cell r="M664" t="str">
            <v>Pr.Sch.R</v>
          </cell>
          <cell r="N664" t="str">
            <v>MOLDED</v>
          </cell>
          <cell r="O664">
            <v>1</v>
          </cell>
          <cell r="P664">
            <v>46084</v>
          </cell>
          <cell r="Q664">
            <v>46101</v>
          </cell>
          <cell r="R664">
            <v>46098</v>
          </cell>
          <cell r="S664">
            <v>17</v>
          </cell>
          <cell r="T664">
            <v>12</v>
          </cell>
          <cell r="U664">
            <v>11.5</v>
          </cell>
          <cell r="V664">
            <v>57</v>
          </cell>
          <cell r="W664" t="str">
            <v>0.11D</v>
          </cell>
          <cell r="X664" t="str">
            <v>3-2026</v>
          </cell>
          <cell r="Y664" t="str">
            <v>Week 11</v>
          </cell>
          <cell r="Z664">
            <v>46090</v>
          </cell>
          <cell r="AA664">
            <v>23</v>
          </cell>
          <cell r="AB664">
            <v>8.6959999999999996E-2</v>
          </cell>
        </row>
        <row r="665">
          <cell r="A665" t="str">
            <v>F-2026-03-36</v>
          </cell>
          <cell r="B665"/>
          <cell r="C665" t="str">
            <v>RPRO-260303-0204</v>
          </cell>
          <cell r="D665" t="str">
            <v>Pro.sche.report 02.03</v>
          </cell>
          <cell r="E665" t="str">
            <v>BDB-000011</v>
          </cell>
          <cell r="F665" t="str">
            <v>PVN-000121</v>
          </cell>
          <cell r="G665" t="str">
            <v>OrthoLite Regular AIR BLUE/16-4134TPX Flat Sheet 0.13D 35+/-4 Asker C 1.1M 2M 12mm</v>
          </cell>
          <cell r="H665">
            <v>528</v>
          </cell>
          <cell r="I665">
            <v>528</v>
          </cell>
          <cell r="J665">
            <v>528</v>
          </cell>
          <cell r="K665">
            <v>0</v>
          </cell>
          <cell r="L665" t="str">
            <v>ASICS</v>
          </cell>
          <cell r="M665" t="str">
            <v>Pr.Sch.R</v>
          </cell>
          <cell r="N665" t="str">
            <v>MOLDED</v>
          </cell>
          <cell r="O665">
            <v>1</v>
          </cell>
          <cell r="P665">
            <v>46084</v>
          </cell>
          <cell r="Q665">
            <v>46101</v>
          </cell>
          <cell r="R665">
            <v>46098</v>
          </cell>
          <cell r="S665">
            <v>17</v>
          </cell>
          <cell r="T665">
            <v>12</v>
          </cell>
          <cell r="U665">
            <v>11.5</v>
          </cell>
          <cell r="V665">
            <v>46</v>
          </cell>
          <cell r="W665" t="str">
            <v>0.13D</v>
          </cell>
          <cell r="X665" t="str">
            <v>3-2026</v>
          </cell>
          <cell r="Y665" t="str">
            <v>Week 11</v>
          </cell>
          <cell r="Z665">
            <v>46090</v>
          </cell>
          <cell r="AA665">
            <v>26</v>
          </cell>
          <cell r="AB665">
            <v>8.6959999999999996E-2</v>
          </cell>
        </row>
        <row r="666">
          <cell r="A666" t="str">
            <v>F-2026-03-37</v>
          </cell>
          <cell r="B666"/>
          <cell r="C666" t="str">
            <v>RPRO-260303-0205</v>
          </cell>
          <cell r="D666" t="str">
            <v>Pro.sche.report 02.03</v>
          </cell>
          <cell r="E666" t="str">
            <v>BDB-000234</v>
          </cell>
          <cell r="F666" t="str">
            <v>PVN-003575</v>
          </cell>
          <cell r="G666" t="str">
            <v>OrthoLite X-30-Hybrid BROWN SUGAR/17-1134TPX Hybrid Flat Sheet 0.13D 25+/-4 Asker C 1.1M 2M 10mm</v>
          </cell>
          <cell r="H666">
            <v>26</v>
          </cell>
          <cell r="I666">
            <v>26</v>
          </cell>
          <cell r="J666">
            <v>26</v>
          </cell>
          <cell r="K666">
            <v>0</v>
          </cell>
          <cell r="L666" t="str">
            <v>ASICS</v>
          </cell>
          <cell r="M666" t="str">
            <v>Pr.Sch.R</v>
          </cell>
          <cell r="N666" t="str">
            <v>MOLDED</v>
          </cell>
          <cell r="O666">
            <v>1</v>
          </cell>
          <cell r="P666">
            <v>46084</v>
          </cell>
          <cell r="Q666">
            <v>46094</v>
          </cell>
          <cell r="R666">
            <v>46091</v>
          </cell>
          <cell r="S666">
            <v>10</v>
          </cell>
          <cell r="T666">
            <v>10</v>
          </cell>
          <cell r="U666">
            <v>13</v>
          </cell>
          <cell r="V666">
            <v>2</v>
          </cell>
          <cell r="W666" t="str">
            <v>0.13D</v>
          </cell>
          <cell r="X666" t="str">
            <v>3-2026</v>
          </cell>
          <cell r="Y666" t="str">
            <v>Week 11</v>
          </cell>
          <cell r="Z666">
            <v>46090</v>
          </cell>
          <cell r="AA666">
            <v>37</v>
          </cell>
          <cell r="AB666">
            <v>7.6920000000000002E-2</v>
          </cell>
        </row>
        <row r="667">
          <cell r="A667" t="str">
            <v>F-2026-03-38</v>
          </cell>
          <cell r="B667"/>
          <cell r="C667" t="str">
            <v>RPRO-260303-0206</v>
          </cell>
          <cell r="D667" t="str">
            <v>Pro.sche.report 02.03</v>
          </cell>
          <cell r="E667" t="str">
            <v>BDB-000235</v>
          </cell>
          <cell r="F667" t="str">
            <v>PVN-003577</v>
          </cell>
          <cell r="G667" t="str">
            <v>OrthoLite X-55-Hybrid FOSSIL/17-0909TPX Hybrid Flat Sheet 0.16D 25+/-4 Asker C 1.1M 1.7M 10mm</v>
          </cell>
          <cell r="H667">
            <v>13</v>
          </cell>
          <cell r="I667">
            <v>13</v>
          </cell>
          <cell r="J667">
            <v>13</v>
          </cell>
          <cell r="K667">
            <v>0</v>
          </cell>
          <cell r="L667" t="str">
            <v>ASICS</v>
          </cell>
          <cell r="M667" t="str">
            <v>Pr.Sch.R</v>
          </cell>
          <cell r="N667" t="str">
            <v>MOLDED</v>
          </cell>
          <cell r="O667">
            <v>1</v>
          </cell>
          <cell r="P667">
            <v>46084</v>
          </cell>
          <cell r="Q667">
            <v>46100</v>
          </cell>
          <cell r="R667">
            <v>46097</v>
          </cell>
          <cell r="S667">
            <v>16</v>
          </cell>
          <cell r="T667">
            <v>10</v>
          </cell>
          <cell r="U667">
            <v>13</v>
          </cell>
          <cell r="V667">
            <v>1</v>
          </cell>
          <cell r="W667" t="str">
            <v>0.16D</v>
          </cell>
          <cell r="X667" t="str">
            <v>3-2026</v>
          </cell>
          <cell r="Y667" t="str">
            <v>Week 11</v>
          </cell>
          <cell r="Z667">
            <v>46090</v>
          </cell>
          <cell r="AA667">
            <v>50</v>
          </cell>
          <cell r="AB667">
            <v>7.6920000000000002E-2</v>
          </cell>
        </row>
        <row r="668">
          <cell r="A668" t="str">
            <v>F-2026-03-39</v>
          </cell>
          <cell r="B668"/>
          <cell r="C668" t="str">
            <v>RPRO-260303-0207</v>
          </cell>
          <cell r="D668" t="str">
            <v>Pro.sche.report 02.03</v>
          </cell>
          <cell r="E668" t="str">
            <v>BDB-000217</v>
          </cell>
          <cell r="F668" t="str">
            <v>PVN-003733</v>
          </cell>
          <cell r="G668" t="str">
            <v>OrthoLite X-40-Hybrid SEEDPEARL/12-0703TPX Hybrid Flat Sheet 0.16D 35+/-4 Asker C 1.1M 1.7M 12.5mm</v>
          </cell>
          <cell r="H668">
            <v>10</v>
          </cell>
          <cell r="I668">
            <v>10</v>
          </cell>
          <cell r="J668">
            <v>10</v>
          </cell>
          <cell r="K668">
            <v>0</v>
          </cell>
          <cell r="L668" t="str">
            <v>OBOZ</v>
          </cell>
          <cell r="M668" t="str">
            <v>Pr.Sch.R</v>
          </cell>
          <cell r="N668" t="str">
            <v>MOLDED</v>
          </cell>
          <cell r="O668">
            <v>1</v>
          </cell>
          <cell r="P668">
            <v>46084</v>
          </cell>
          <cell r="Q668">
            <v>46093</v>
          </cell>
          <cell r="R668">
            <v>46090</v>
          </cell>
          <cell r="S668">
            <v>9</v>
          </cell>
          <cell r="T668">
            <v>12.5</v>
          </cell>
          <cell r="U668">
            <v>10</v>
          </cell>
          <cell r="V668">
            <v>1</v>
          </cell>
          <cell r="W668" t="str">
            <v>0.16D</v>
          </cell>
          <cell r="X668" t="str">
            <v>3-2026</v>
          </cell>
          <cell r="Y668" t="str">
            <v>Week 10</v>
          </cell>
          <cell r="Z668">
            <v>46083</v>
          </cell>
          <cell r="AA668">
            <v>32</v>
          </cell>
          <cell r="AB668">
            <v>0.1</v>
          </cell>
        </row>
        <row r="669">
          <cell r="A669" t="str">
            <v>F-2026-03-40</v>
          </cell>
          <cell r="B669"/>
          <cell r="C669" t="str">
            <v>RPRO-260303-0208</v>
          </cell>
          <cell r="D669" t="str">
            <v>Pro.sche.report 02.03</v>
          </cell>
          <cell r="E669" t="str">
            <v>BDB-000055</v>
          </cell>
          <cell r="F669" t="str">
            <v>PVN-003387</v>
          </cell>
          <cell r="G669" t="str">
            <v>OrthoLite X-40 TRUE BLUE/19-4057TPX Flat Sheet 0.16D 35+/-4 Asker C 1.1M 1.7M 13.5mm</v>
          </cell>
          <cell r="H669">
            <v>99</v>
          </cell>
          <cell r="I669">
            <v>99</v>
          </cell>
          <cell r="J669">
            <v>99</v>
          </cell>
          <cell r="K669">
            <v>0</v>
          </cell>
          <cell r="L669" t="str">
            <v>ADIDAS</v>
          </cell>
          <cell r="M669" t="str">
            <v>Pr.Sch.R</v>
          </cell>
          <cell r="N669" t="str">
            <v>MOLDED</v>
          </cell>
          <cell r="O669">
            <v>1</v>
          </cell>
          <cell r="P669">
            <v>46084</v>
          </cell>
          <cell r="Q669">
            <v>46094</v>
          </cell>
          <cell r="R669">
            <v>46091</v>
          </cell>
          <cell r="S669">
            <v>10</v>
          </cell>
          <cell r="T669">
            <v>13.5</v>
          </cell>
          <cell r="U669">
            <v>9</v>
          </cell>
          <cell r="V669">
            <v>11</v>
          </cell>
          <cell r="W669" t="str">
            <v>0.16D</v>
          </cell>
          <cell r="X669" t="str">
            <v>3-2026</v>
          </cell>
          <cell r="Y669" t="str">
            <v>Week 11</v>
          </cell>
          <cell r="Z669">
            <v>46090</v>
          </cell>
          <cell r="AA669">
            <v>8</v>
          </cell>
          <cell r="AB669">
            <v>0.11111</v>
          </cell>
        </row>
        <row r="670">
          <cell r="A670" t="str">
            <v>F-2026-03-41</v>
          </cell>
          <cell r="B670"/>
          <cell r="C670" t="str">
            <v>RPRO-260303-0209</v>
          </cell>
          <cell r="D670" t="str">
            <v>Pro.sche.report 02.03</v>
          </cell>
          <cell r="E670" t="str">
            <v>BDB-000125</v>
          </cell>
          <cell r="F670" t="str">
            <v>PVN-001579</v>
          </cell>
          <cell r="G670" t="str">
            <v>OrthoLite Regular-Nike AIR BLUE/16-4134TPX Flat Sheet 0.11D 25+/-4 Asker C 1.1M 2M 4mm</v>
          </cell>
          <cell r="H670">
            <v>350</v>
          </cell>
          <cell r="I670">
            <v>350</v>
          </cell>
          <cell r="J670">
            <v>350</v>
          </cell>
          <cell r="K670">
            <v>0</v>
          </cell>
          <cell r="L670" t="str">
            <v>NIKE</v>
          </cell>
          <cell r="M670" t="str">
            <v>Pr.Sch.R</v>
          </cell>
          <cell r="N670" t="str">
            <v>LAMINATING</v>
          </cell>
          <cell r="O670">
            <v>1</v>
          </cell>
          <cell r="P670">
            <v>46084</v>
          </cell>
          <cell r="Q670">
            <v>46101</v>
          </cell>
          <cell r="R670">
            <v>46098</v>
          </cell>
          <cell r="S670">
            <v>17</v>
          </cell>
          <cell r="T670">
            <v>4</v>
          </cell>
          <cell r="U670">
            <v>35</v>
          </cell>
          <cell r="V670">
            <v>10</v>
          </cell>
          <cell r="W670" t="str">
            <v>0.11D</v>
          </cell>
          <cell r="X670" t="str">
            <v>3-2026</v>
          </cell>
          <cell r="Y670" t="str">
            <v>Week 11</v>
          </cell>
          <cell r="Z670">
            <v>46090</v>
          </cell>
          <cell r="AA670">
            <v>163</v>
          </cell>
          <cell r="AB670">
            <v>2.8570000000000002E-2</v>
          </cell>
        </row>
        <row r="671">
          <cell r="A671" t="str">
            <v>F-2026-03-42</v>
          </cell>
          <cell r="B671"/>
          <cell r="C671" t="str">
            <v>RPRO-260303-0210</v>
          </cell>
          <cell r="D671" t="str">
            <v>Pro.sche.report 02.03</v>
          </cell>
          <cell r="E671" t="str">
            <v>BDB-000076</v>
          </cell>
          <cell r="F671" t="str">
            <v>PVN-004091</v>
          </cell>
          <cell r="G671" t="str">
            <v>OrthoLite X-25 BILLIARD/16-5427TPX Flat Sheet 0.12D 20+/-4 Asker C 1.1M 2M 3.5mm</v>
          </cell>
          <cell r="H671">
            <v>160</v>
          </cell>
          <cell r="I671">
            <v>160</v>
          </cell>
          <cell r="J671">
            <v>160</v>
          </cell>
          <cell r="K671">
            <v>0</v>
          </cell>
          <cell r="L671" t="str">
            <v>BROOKS</v>
          </cell>
          <cell r="M671" t="str">
            <v>Pr.Sch.R</v>
          </cell>
          <cell r="N671" t="str">
            <v>MOLDED</v>
          </cell>
          <cell r="O671">
            <v>1</v>
          </cell>
          <cell r="P671">
            <v>46084</v>
          </cell>
          <cell r="Q671">
            <v>46102</v>
          </cell>
          <cell r="R671">
            <v>46099</v>
          </cell>
          <cell r="S671">
            <v>18</v>
          </cell>
          <cell r="T671">
            <v>3.5</v>
          </cell>
          <cell r="U671">
            <v>40</v>
          </cell>
          <cell r="V671">
            <v>4</v>
          </cell>
          <cell r="W671" t="str">
            <v>0.12D</v>
          </cell>
          <cell r="X671" t="str">
            <v>3-2026</v>
          </cell>
          <cell r="Y671" t="str">
            <v>Week 11</v>
          </cell>
          <cell r="Z671">
            <v>46090</v>
          </cell>
          <cell r="AA671">
            <v>14</v>
          </cell>
          <cell r="AB671">
            <v>2.5000000000000001E-2</v>
          </cell>
        </row>
        <row r="672">
          <cell r="A672" t="str">
            <v>F-2026-03-43</v>
          </cell>
          <cell r="B672"/>
          <cell r="C672" t="str">
            <v>RPRO-260303-0211</v>
          </cell>
          <cell r="D672" t="str">
            <v>Pro.sche.report 02.03</v>
          </cell>
          <cell r="E672" t="str">
            <v>BDB-000067</v>
          </cell>
          <cell r="F672" t="str">
            <v>PVN-003691</v>
          </cell>
          <cell r="G672" t="str">
            <v>OrthoLite Ultra SEEDPEARL/12-0703TPX Flat Sheet 0.085D 25+/-4 Asker C 1.1M 2M 5.2mm</v>
          </cell>
          <cell r="H672">
            <v>78</v>
          </cell>
          <cell r="I672">
            <v>78</v>
          </cell>
          <cell r="J672">
            <v>78</v>
          </cell>
          <cell r="K672">
            <v>0</v>
          </cell>
          <cell r="L672" t="str">
            <v>PUMA</v>
          </cell>
          <cell r="M672" t="str">
            <v>Pr.Sch.R</v>
          </cell>
          <cell r="N672" t="str">
            <v>MOLDED</v>
          </cell>
          <cell r="O672">
            <v>1</v>
          </cell>
          <cell r="P672">
            <v>46084</v>
          </cell>
          <cell r="Q672">
            <v>46097</v>
          </cell>
          <cell r="R672">
            <v>46094</v>
          </cell>
          <cell r="S672">
            <v>13</v>
          </cell>
          <cell r="T672">
            <v>5.2</v>
          </cell>
          <cell r="U672">
            <v>26</v>
          </cell>
          <cell r="V672">
            <v>3</v>
          </cell>
          <cell r="W672" t="str">
            <v>0.085D</v>
          </cell>
          <cell r="X672" t="str">
            <v>3-2026</v>
          </cell>
          <cell r="Y672" t="str">
            <v>Week 11</v>
          </cell>
          <cell r="Z672">
            <v>46090</v>
          </cell>
          <cell r="AA672">
            <v>1</v>
          </cell>
          <cell r="AB672">
            <v>3.8460000000000001E-2</v>
          </cell>
        </row>
        <row r="673">
          <cell r="A673" t="str">
            <v>F-2026-03-44</v>
          </cell>
          <cell r="B673"/>
          <cell r="C673" t="str">
            <v>RPRO-260303-0212</v>
          </cell>
          <cell r="D673" t="str">
            <v>Pro.sche.report 02.03</v>
          </cell>
          <cell r="E673" t="str">
            <v>BDB-000175</v>
          </cell>
          <cell r="F673" t="str">
            <v>PVN-003018</v>
          </cell>
          <cell r="G673" t="str">
            <v>OrthoLite Ultra-Hybrid-Nike SEEDPEARL/12-0703TPX Hybrid Flat Sheet 0.085D 25+/-4 Asker C 1.1M 2M 2mm</v>
          </cell>
          <cell r="H673">
            <v>140</v>
          </cell>
          <cell r="I673">
            <v>140</v>
          </cell>
          <cell r="J673">
            <v>140</v>
          </cell>
          <cell r="K673">
            <v>0</v>
          </cell>
          <cell r="L673" t="str">
            <v>NIKE</v>
          </cell>
          <cell r="M673" t="str">
            <v>Pr.Sch.R</v>
          </cell>
          <cell r="N673" t="str">
            <v>DIE CUT</v>
          </cell>
          <cell r="O673">
            <v>1</v>
          </cell>
          <cell r="P673">
            <v>46084</v>
          </cell>
          <cell r="Q673">
            <v>46097</v>
          </cell>
          <cell r="R673">
            <v>46094</v>
          </cell>
          <cell r="S673">
            <v>13</v>
          </cell>
          <cell r="T673">
            <v>2</v>
          </cell>
          <cell r="U673">
            <v>70</v>
          </cell>
          <cell r="V673">
            <v>3</v>
          </cell>
          <cell r="W673" t="str">
            <v>0.085D</v>
          </cell>
          <cell r="X673" t="str">
            <v>3-2026</v>
          </cell>
          <cell r="Y673" t="str">
            <v>Week 11</v>
          </cell>
          <cell r="Z673">
            <v>46090</v>
          </cell>
          <cell r="AA673">
            <v>16</v>
          </cell>
          <cell r="AB673">
            <v>1.4290000000000001E-2</v>
          </cell>
        </row>
        <row r="674">
          <cell r="A674" t="str">
            <v>F-2026-03-45</v>
          </cell>
          <cell r="B674"/>
          <cell r="C674" t="str">
            <v>RPRO-260303-0213</v>
          </cell>
          <cell r="D674" t="str">
            <v>Pro.sche.report 02.03</v>
          </cell>
          <cell r="E674" t="str">
            <v>BDB-000107</v>
          </cell>
          <cell r="F674" t="str">
            <v>PVN-003482</v>
          </cell>
          <cell r="G674" t="str">
            <v>OrthoLite Eco LT-Hybrid SEEDPEARL/12-0703TPX Hybrid Flat Sheet 0.11D 25+/-4 Asker C 1.1M 1.47M 4mm</v>
          </cell>
          <cell r="H674">
            <v>385</v>
          </cell>
          <cell r="I674">
            <v>385</v>
          </cell>
          <cell r="J674">
            <v>385</v>
          </cell>
          <cell r="K674">
            <v>0</v>
          </cell>
          <cell r="L674" t="str">
            <v>NEW BALANCE</v>
          </cell>
          <cell r="M674" t="str">
            <v>Pr.Sch.R</v>
          </cell>
          <cell r="N674" t="str">
            <v>DIE CUT</v>
          </cell>
          <cell r="O674">
            <v>1</v>
          </cell>
          <cell r="P674">
            <v>46084</v>
          </cell>
          <cell r="Q674">
            <v>46101</v>
          </cell>
          <cell r="R674">
            <v>46098</v>
          </cell>
          <cell r="S674">
            <v>17</v>
          </cell>
          <cell r="T674">
            <v>4</v>
          </cell>
          <cell r="U674">
            <v>35</v>
          </cell>
          <cell r="V674">
            <v>11</v>
          </cell>
          <cell r="W674" t="str">
            <v>0.11D</v>
          </cell>
          <cell r="X674" t="str">
            <v>3-2026</v>
          </cell>
          <cell r="Y674" t="str">
            <v>Week 11</v>
          </cell>
          <cell r="Z674">
            <v>46090</v>
          </cell>
          <cell r="AA674">
            <v>0</v>
          </cell>
          <cell r="AB674">
            <v>2.8570000000000002E-2</v>
          </cell>
        </row>
        <row r="675">
          <cell r="A675" t="str">
            <v>F-2026-03-46</v>
          </cell>
          <cell r="B675"/>
          <cell r="C675" t="str">
            <v>RPRO-260303-0214</v>
          </cell>
          <cell r="D675" t="str">
            <v>Pro.sche.report 02.03</v>
          </cell>
          <cell r="E675" t="str">
            <v>BDB-000113</v>
          </cell>
          <cell r="F675" t="str">
            <v>PVN-003601</v>
          </cell>
          <cell r="G675" t="str">
            <v>OrthoLite Regular-Hybrid SEEDPEARL/12-0703TPX Hybrid Flat Sheet 0.11D 25+/-4 Asker C 1.1M 2M 20mm</v>
          </cell>
          <cell r="H675">
            <v>42</v>
          </cell>
          <cell r="I675">
            <v>42</v>
          </cell>
          <cell r="J675">
            <v>42</v>
          </cell>
          <cell r="K675">
            <v>0</v>
          </cell>
          <cell r="L675" t="str">
            <v>ASICS</v>
          </cell>
          <cell r="M675" t="str">
            <v>Pr.Sch.R</v>
          </cell>
          <cell r="N675" t="str">
            <v>MOLDED</v>
          </cell>
          <cell r="O675">
            <v>1</v>
          </cell>
          <cell r="P675">
            <v>46084</v>
          </cell>
          <cell r="Q675">
            <v>46102</v>
          </cell>
          <cell r="R675">
            <v>46099</v>
          </cell>
          <cell r="S675">
            <v>18</v>
          </cell>
          <cell r="T675">
            <v>20</v>
          </cell>
          <cell r="U675">
            <v>6</v>
          </cell>
          <cell r="V675">
            <v>8</v>
          </cell>
          <cell r="W675" t="str">
            <v>0.11D</v>
          </cell>
          <cell r="X675" t="str">
            <v>3-2026</v>
          </cell>
          <cell r="Y675" t="str">
            <v>Week 11</v>
          </cell>
          <cell r="Z675">
            <v>46090</v>
          </cell>
          <cell r="AA675">
            <v>0</v>
          </cell>
          <cell r="AB675">
            <v>0.16667000000000001</v>
          </cell>
        </row>
        <row r="676">
          <cell r="A676" t="str">
            <v>F-2026-03-47</v>
          </cell>
          <cell r="B676"/>
          <cell r="C676" t="str">
            <v>RPRO-260303-0215</v>
          </cell>
          <cell r="D676" t="str">
            <v>Pro.sche.report 02.03</v>
          </cell>
          <cell r="E676" t="str">
            <v>BDB-000212</v>
          </cell>
          <cell r="F676" t="str">
            <v>PVN-004002</v>
          </cell>
          <cell r="G676" t="str">
            <v>OrthoLite X-25-Hybrid SEEDPEARL/12-0703TPX Hybrid Flat Sheet 0.12D 20+/-4 Asker C 1.1M 2M 14mm</v>
          </cell>
          <cell r="H676">
            <v>117</v>
          </cell>
          <cell r="I676">
            <v>117</v>
          </cell>
          <cell r="J676">
            <v>117</v>
          </cell>
          <cell r="K676">
            <v>0</v>
          </cell>
          <cell r="L676" t="str">
            <v>FOOTJOY</v>
          </cell>
          <cell r="M676" t="str">
            <v>Pr.Sch.R</v>
          </cell>
          <cell r="N676" t="str">
            <v>MOLDED</v>
          </cell>
          <cell r="O676">
            <v>1</v>
          </cell>
          <cell r="P676">
            <v>46084</v>
          </cell>
          <cell r="Q676">
            <v>46102</v>
          </cell>
          <cell r="R676">
            <v>46099</v>
          </cell>
          <cell r="S676">
            <v>18</v>
          </cell>
          <cell r="T676">
            <v>14</v>
          </cell>
          <cell r="U676">
            <v>9</v>
          </cell>
          <cell r="V676">
            <v>13</v>
          </cell>
          <cell r="W676" t="str">
            <v>0.12D</v>
          </cell>
          <cell r="X676" t="str">
            <v>3-2026</v>
          </cell>
          <cell r="Y676" t="str">
            <v>Week 11</v>
          </cell>
          <cell r="Z676">
            <v>46090</v>
          </cell>
          <cell r="AA676">
            <v>0</v>
          </cell>
          <cell r="AB676">
            <v>0.11111</v>
          </cell>
        </row>
        <row r="677">
          <cell r="A677" t="str">
            <v>F-2026-03-48</v>
          </cell>
          <cell r="B677"/>
          <cell r="C677" t="str">
            <v>RPRO-260303-0216</v>
          </cell>
          <cell r="D677" t="str">
            <v>Pro.sche.report 02.03</v>
          </cell>
          <cell r="E677" t="str">
            <v>BDB-000373</v>
          </cell>
          <cell r="F677" t="str">
            <v>PVN-004315</v>
          </cell>
          <cell r="G677" t="str">
            <v>OrthoLite X-25-Nike BILLIARD/16-5427TPX Flat Sheet 0.12D 20+/-4 Asker C 1.1M 2M 5mm</v>
          </cell>
          <cell r="H677">
            <v>84</v>
          </cell>
          <cell r="I677">
            <v>84</v>
          </cell>
          <cell r="J677">
            <v>84</v>
          </cell>
          <cell r="K677">
            <v>0</v>
          </cell>
          <cell r="L677" t="str">
            <v>NIKE</v>
          </cell>
          <cell r="M677" t="str">
            <v>Pr.Sch.R</v>
          </cell>
          <cell r="N677" t="str">
            <v>DIE CUT</v>
          </cell>
          <cell r="O677">
            <v>1</v>
          </cell>
          <cell r="P677">
            <v>46084</v>
          </cell>
          <cell r="Q677">
            <v>46102</v>
          </cell>
          <cell r="R677">
            <v>46099</v>
          </cell>
          <cell r="S677">
            <v>18</v>
          </cell>
          <cell r="T677">
            <v>5</v>
          </cell>
          <cell r="U677">
            <v>28</v>
          </cell>
          <cell r="V677">
            <v>3</v>
          </cell>
          <cell r="W677" t="e">
            <v>#N/A</v>
          </cell>
          <cell r="X677" t="str">
            <v>3-2026</v>
          </cell>
          <cell r="Y677" t="str">
            <v>Week 11</v>
          </cell>
          <cell r="Z677">
            <v>46090</v>
          </cell>
          <cell r="AA677">
            <v>8</v>
          </cell>
          <cell r="AB677">
            <v>3.5709999999999999E-2</v>
          </cell>
        </row>
        <row r="678">
          <cell r="A678" t="str">
            <v>F-2026-03-49</v>
          </cell>
          <cell r="B678"/>
          <cell r="C678" t="str">
            <v>RPRO-260303-0217</v>
          </cell>
          <cell r="D678" t="str">
            <v>Pro.sche.report 02.03</v>
          </cell>
          <cell r="E678" t="str">
            <v>BDB-000188</v>
          </cell>
          <cell r="F678" t="str">
            <v>PVN-003479</v>
          </cell>
          <cell r="G678" t="str">
            <v>OrthoLite Ultra-Hybrid SEEDPEARL/12-0703TPX Hybrid Flat Sheet 0.085D 25+/-4 Asker C 1.1M 1.47M 4mm</v>
          </cell>
          <cell r="H678">
            <v>700</v>
          </cell>
          <cell r="I678">
            <v>700</v>
          </cell>
          <cell r="J678">
            <v>700</v>
          </cell>
          <cell r="K678">
            <v>0</v>
          </cell>
          <cell r="L678" t="str">
            <v>SALOMON</v>
          </cell>
          <cell r="M678" t="str">
            <v>Pr.Sch.R</v>
          </cell>
          <cell r="N678" t="str">
            <v>LAMINATING</v>
          </cell>
          <cell r="O678">
            <v>1</v>
          </cell>
          <cell r="P678">
            <v>46084</v>
          </cell>
          <cell r="Q678">
            <v>46102</v>
          </cell>
          <cell r="R678">
            <v>46099</v>
          </cell>
          <cell r="S678">
            <v>18</v>
          </cell>
          <cell r="T678">
            <v>4</v>
          </cell>
          <cell r="U678">
            <v>35</v>
          </cell>
          <cell r="V678">
            <v>20</v>
          </cell>
          <cell r="W678" t="str">
            <v>0.085D</v>
          </cell>
          <cell r="X678" t="str">
            <v>3-2026</v>
          </cell>
          <cell r="Y678" t="str">
            <v>Week 11</v>
          </cell>
          <cell r="Z678">
            <v>46090</v>
          </cell>
          <cell r="AA678">
            <v>0</v>
          </cell>
          <cell r="AB678">
            <v>2.8570000000000002E-2</v>
          </cell>
        </row>
        <row r="679">
          <cell r="A679" t="str">
            <v>F-2026-03-50</v>
          </cell>
          <cell r="B679"/>
          <cell r="C679" t="str">
            <v>RPRO-260303-0218</v>
          </cell>
          <cell r="D679" t="str">
            <v>Pro.sche.report 02.03</v>
          </cell>
          <cell r="E679" t="str">
            <v>BDB-000051</v>
          </cell>
          <cell r="F679" t="str">
            <v>PVN-003328</v>
          </cell>
          <cell r="G679" t="str">
            <v>OrthoLite X-40 TRUE BLUE/19-4057TPX Flat Sheet 0.16D 25+/-4 Asker C 1.1M 1.7M 5mm</v>
          </cell>
          <cell r="H679">
            <v>28</v>
          </cell>
          <cell r="I679">
            <v>28</v>
          </cell>
          <cell r="J679">
            <v>28</v>
          </cell>
          <cell r="K679">
            <v>0</v>
          </cell>
          <cell r="L679" t="str">
            <v>PAYNTR</v>
          </cell>
          <cell r="M679" t="str">
            <v>Pr.Sch.R</v>
          </cell>
          <cell r="N679" t="str">
            <v>MOLDED</v>
          </cell>
          <cell r="O679">
            <v>1</v>
          </cell>
          <cell r="P679">
            <v>46084</v>
          </cell>
          <cell r="Q679">
            <v>46102</v>
          </cell>
          <cell r="R679">
            <v>46099</v>
          </cell>
          <cell r="S679">
            <v>18</v>
          </cell>
          <cell r="T679">
            <v>5</v>
          </cell>
          <cell r="U679">
            <v>28</v>
          </cell>
          <cell r="V679">
            <v>1</v>
          </cell>
          <cell r="W679" t="str">
            <v>0.16D</v>
          </cell>
          <cell r="X679" t="str">
            <v>3-2026</v>
          </cell>
          <cell r="Y679" t="str">
            <v>Week 11</v>
          </cell>
          <cell r="Z679">
            <v>46090</v>
          </cell>
          <cell r="AA679">
            <v>15</v>
          </cell>
          <cell r="AB679">
            <v>3.5709999999999999E-2</v>
          </cell>
        </row>
        <row r="680">
          <cell r="A680" t="str">
            <v>F-2026-03-51</v>
          </cell>
          <cell r="B680"/>
          <cell r="C680" t="str">
            <v>FPRO-260303-0004</v>
          </cell>
          <cell r="D680" t="str">
            <v>Firm plan 03.03</v>
          </cell>
          <cell r="E680" t="str">
            <v>BDB-000200</v>
          </cell>
          <cell r="F680" t="str">
            <v>PVN-003420</v>
          </cell>
          <cell r="G680" t="str">
            <v>OrthoLite Ultra SEEDPEARL/12-0703TPX Flat Sheet 0.085D 78-90 Asker F 1.1M 2M 6mm</v>
          </cell>
          <cell r="H680">
            <v>550</v>
          </cell>
          <cell r="I680">
            <v>550</v>
          </cell>
          <cell r="J680">
            <v>0</v>
          </cell>
          <cell r="K680">
            <v>550</v>
          </cell>
          <cell r="L680" t="str">
            <v>ADIDAS</v>
          </cell>
          <cell r="M680" t="str">
            <v>Forecast</v>
          </cell>
          <cell r="N680" t="str">
            <v>SPLITTING</v>
          </cell>
          <cell r="O680">
            <v>2</v>
          </cell>
          <cell r="P680">
            <v>46084</v>
          </cell>
          <cell r="Q680">
            <v>46116</v>
          </cell>
          <cell r="R680">
            <v>46113</v>
          </cell>
          <cell r="S680">
            <v>32</v>
          </cell>
          <cell r="T680">
            <v>6</v>
          </cell>
          <cell r="U680">
            <v>23</v>
          </cell>
          <cell r="V680">
            <v>24</v>
          </cell>
          <cell r="W680" t="str">
            <v>0.085D</v>
          </cell>
          <cell r="X680" t="str">
            <v>4-2026</v>
          </cell>
          <cell r="Y680" t="str">
            <v>Week 14</v>
          </cell>
          <cell r="Z680">
            <v>46111</v>
          </cell>
          <cell r="AA680">
            <v>15</v>
          </cell>
          <cell r="AB680">
            <v>4.3479999999999998E-2</v>
          </cell>
        </row>
        <row r="681">
          <cell r="A681" t="str">
            <v>F-2026-03-52</v>
          </cell>
          <cell r="B681"/>
          <cell r="C681" t="str">
            <v>FPRO-260303-0005</v>
          </cell>
          <cell r="D681" t="str">
            <v>Firm plan 03.03</v>
          </cell>
          <cell r="E681" t="str">
            <v>BDB-000200</v>
          </cell>
          <cell r="F681" t="str">
            <v>PVN-003425</v>
          </cell>
          <cell r="G681" t="str">
            <v>OrthoLite Ultra SEEDPEARL/12-0703TPX Flat Sheet 0.085D 78-90 Asker F 1.1M 2M 4mm</v>
          </cell>
          <cell r="H681">
            <v>600</v>
          </cell>
          <cell r="I681">
            <v>600</v>
          </cell>
          <cell r="J681">
            <v>600</v>
          </cell>
          <cell r="K681">
            <v>0</v>
          </cell>
          <cell r="L681" t="str">
            <v>ADIDAS</v>
          </cell>
          <cell r="M681" t="str">
            <v>Forecast</v>
          </cell>
          <cell r="N681" t="str">
            <v>SPLITTING</v>
          </cell>
          <cell r="O681">
            <v>2</v>
          </cell>
          <cell r="P681">
            <v>46084</v>
          </cell>
          <cell r="Q681">
            <v>46102</v>
          </cell>
          <cell r="R681">
            <v>46099</v>
          </cell>
          <cell r="S681">
            <v>18</v>
          </cell>
          <cell r="T681">
            <v>4</v>
          </cell>
          <cell r="U681">
            <v>35</v>
          </cell>
          <cell r="V681">
            <v>18</v>
          </cell>
          <cell r="W681" t="str">
            <v>0.085D</v>
          </cell>
          <cell r="X681" t="str">
            <v>3-2026</v>
          </cell>
          <cell r="Y681" t="str">
            <v>Week 11</v>
          </cell>
          <cell r="Z681">
            <v>46090</v>
          </cell>
          <cell r="AA681">
            <v>138</v>
          </cell>
          <cell r="AB681">
            <v>2.8570000000000002E-2</v>
          </cell>
        </row>
        <row r="682">
          <cell r="A682" t="str">
            <v>F-2026-03-53</v>
          </cell>
          <cell r="B682"/>
          <cell r="C682" t="str">
            <v>RPRO-260305-0698</v>
          </cell>
          <cell r="D682" t="str">
            <v>MPS 3.3.+4.3</v>
          </cell>
          <cell r="E682" t="str">
            <v>BDB-000264</v>
          </cell>
          <cell r="F682" t="str">
            <v>PVN-003881</v>
          </cell>
          <cell r="G682" t="str">
            <v>OrthoLite Ultra YELLOW/13-0858TPX Flat Sheet 0.085D 25+/-4 Asker C 1.1M 1.47M 5mm</v>
          </cell>
          <cell r="H682">
            <v>28</v>
          </cell>
          <cell r="I682">
            <v>28</v>
          </cell>
          <cell r="J682">
            <v>28</v>
          </cell>
          <cell r="K682">
            <v>0</v>
          </cell>
          <cell r="L682"/>
          <cell r="M682" t="str">
            <v>MPS</v>
          </cell>
          <cell r="N682" t="str">
            <v>SPLITTING</v>
          </cell>
          <cell r="O682">
            <v>2</v>
          </cell>
          <cell r="P682">
            <v>46086</v>
          </cell>
          <cell r="Q682">
            <v>46104</v>
          </cell>
          <cell r="R682">
            <v>46101</v>
          </cell>
          <cell r="S682">
            <v>18</v>
          </cell>
          <cell r="T682">
            <v>5</v>
          </cell>
          <cell r="U682">
            <v>28</v>
          </cell>
          <cell r="V682">
            <v>1</v>
          </cell>
          <cell r="W682" t="str">
            <v>0.085D</v>
          </cell>
          <cell r="X682" t="str">
            <v>3-2026</v>
          </cell>
          <cell r="Y682" t="str">
            <v>Week 12</v>
          </cell>
          <cell r="Z682">
            <v>46097</v>
          </cell>
          <cell r="AA682">
            <v>168</v>
          </cell>
          <cell r="AB682">
            <v>3.5709999999999999E-2</v>
          </cell>
        </row>
        <row r="683">
          <cell r="A683" t="str">
            <v>F-2026-03-54</v>
          </cell>
          <cell r="B683"/>
          <cell r="C683" t="str">
            <v>RPRO-260305-0704</v>
          </cell>
          <cell r="D683" t="str">
            <v>MPS 3.3.+4.3</v>
          </cell>
          <cell r="E683" t="str">
            <v>BDB-000011</v>
          </cell>
          <cell r="F683" t="str">
            <v>PVN-000127</v>
          </cell>
          <cell r="G683" t="str">
            <v>OrthoLite Regular AIR BLUE/16-4134TPX Flat Sheet 0.13D 35+/-4 Asker C 1.1M 2M 5mm</v>
          </cell>
          <cell r="H683">
            <v>224</v>
          </cell>
          <cell r="I683">
            <v>224</v>
          </cell>
          <cell r="J683">
            <v>224</v>
          </cell>
          <cell r="K683">
            <v>0</v>
          </cell>
          <cell r="L683"/>
          <cell r="M683" t="str">
            <v>MPS</v>
          </cell>
          <cell r="N683" t="str">
            <v>SPLITTING</v>
          </cell>
          <cell r="O683">
            <v>2</v>
          </cell>
          <cell r="P683">
            <v>46086</v>
          </cell>
          <cell r="Q683">
            <v>46104</v>
          </cell>
          <cell r="R683">
            <v>46101</v>
          </cell>
          <cell r="S683">
            <v>18</v>
          </cell>
          <cell r="T683">
            <v>5</v>
          </cell>
          <cell r="U683">
            <v>28</v>
          </cell>
          <cell r="V683">
            <v>8</v>
          </cell>
          <cell r="W683" t="str">
            <v>0.13D</v>
          </cell>
          <cell r="X683" t="str">
            <v>3-2026</v>
          </cell>
          <cell r="Y683" t="str">
            <v>Week 12</v>
          </cell>
          <cell r="Z683">
            <v>46097</v>
          </cell>
          <cell r="AA683">
            <v>23</v>
          </cell>
          <cell r="AB683">
            <v>3.5709999999999999E-2</v>
          </cell>
        </row>
        <row r="684">
          <cell r="A684" t="str">
            <v>F-2026-03-55</v>
          </cell>
          <cell r="B684"/>
          <cell r="C684" t="str">
            <v>RPRO-260305-1141</v>
          </cell>
          <cell r="D684" t="str">
            <v>MPS 3.3.+4.3</v>
          </cell>
          <cell r="E684" t="str">
            <v>BDB-000057</v>
          </cell>
          <cell r="F684" t="str">
            <v>PVN-000925</v>
          </cell>
          <cell r="G684" t="str">
            <v>OrthoLite Ultra YELLOW/13-0858TPX Flat Sheet 0.085D 25+/-4 Asker C 1.1M 2M 5mm</v>
          </cell>
          <cell r="H684">
            <v>1428</v>
          </cell>
          <cell r="I684">
            <v>1428</v>
          </cell>
          <cell r="J684">
            <v>1428</v>
          </cell>
          <cell r="K684">
            <v>0</v>
          </cell>
          <cell r="L684"/>
          <cell r="M684" t="str">
            <v>MPS</v>
          </cell>
          <cell r="N684" t="str">
            <v>SPLITTING</v>
          </cell>
          <cell r="O684">
            <v>2</v>
          </cell>
          <cell r="P684">
            <v>46086</v>
          </cell>
          <cell r="Q684">
            <v>46097</v>
          </cell>
          <cell r="R684">
            <v>46094</v>
          </cell>
          <cell r="S684">
            <v>11</v>
          </cell>
          <cell r="T684">
            <v>5</v>
          </cell>
          <cell r="U684">
            <v>28</v>
          </cell>
          <cell r="V684">
            <v>51</v>
          </cell>
          <cell r="W684" t="str">
            <v>0.085D</v>
          </cell>
          <cell r="X684" t="str">
            <v>3-2026</v>
          </cell>
          <cell r="Y684" t="str">
            <v>Week 11</v>
          </cell>
          <cell r="Z684">
            <v>46090</v>
          </cell>
          <cell r="AA684">
            <v>23</v>
          </cell>
          <cell r="AB684">
            <v>3.5709999999999999E-2</v>
          </cell>
        </row>
        <row r="685">
          <cell r="A685" t="str">
            <v>F-2026-03-56</v>
          </cell>
          <cell r="B685"/>
          <cell r="C685" t="str">
            <v>RPRO-260305-1253</v>
          </cell>
          <cell r="D685" t="str">
            <v>MPS 3.3.+4.3</v>
          </cell>
          <cell r="E685" t="str">
            <v>BDB-000083</v>
          </cell>
          <cell r="F685" t="str">
            <v>PVN-000930</v>
          </cell>
          <cell r="G685" t="str">
            <v>OrthoLite Eco LT 300C(ADIDAS BLUEBIRD) Flat Sheet 0.11D 25+/-4 Asker C 1.1M 2M 3mm</v>
          </cell>
          <cell r="H685">
            <v>460</v>
          </cell>
          <cell r="I685">
            <v>460</v>
          </cell>
          <cell r="J685">
            <v>460</v>
          </cell>
          <cell r="K685">
            <v>0</v>
          </cell>
          <cell r="L685"/>
          <cell r="M685" t="str">
            <v>MPS</v>
          </cell>
          <cell r="N685" t="str">
            <v>SPLITTING</v>
          </cell>
          <cell r="O685">
            <v>2</v>
          </cell>
          <cell r="P685">
            <v>46086</v>
          </cell>
          <cell r="Q685">
            <v>46104</v>
          </cell>
          <cell r="R685">
            <v>46101</v>
          </cell>
          <cell r="S685">
            <v>18</v>
          </cell>
          <cell r="T685">
            <v>3</v>
          </cell>
          <cell r="U685">
            <v>46</v>
          </cell>
          <cell r="V685">
            <v>11</v>
          </cell>
          <cell r="W685" t="str">
            <v>0.11D</v>
          </cell>
          <cell r="X685" t="str">
            <v>3-2026</v>
          </cell>
          <cell r="Y685" t="str">
            <v>Week 12</v>
          </cell>
          <cell r="Z685">
            <v>46097</v>
          </cell>
          <cell r="AA685">
            <v>8</v>
          </cell>
          <cell r="AB685">
            <v>2.1739999999999999E-2</v>
          </cell>
        </row>
        <row r="686">
          <cell r="A686" t="str">
            <v>F-2026-03-57</v>
          </cell>
          <cell r="B686"/>
          <cell r="C686" t="str">
            <v>RPRO-260305-1151</v>
          </cell>
          <cell r="D686" t="str">
            <v>MPS 3.3.+4.3</v>
          </cell>
          <cell r="E686" t="str">
            <v>BDB-000058</v>
          </cell>
          <cell r="F686" t="str">
            <v>PVN-001277</v>
          </cell>
          <cell r="G686" t="str">
            <v>OrthoLite Ultra GREEN/16-5932TPX Flat Sheet 0.085D 25+/-4 Asker C 1.1M 2M 4mm</v>
          </cell>
          <cell r="H686">
            <v>1270</v>
          </cell>
          <cell r="I686">
            <v>1270</v>
          </cell>
          <cell r="J686">
            <v>1270</v>
          </cell>
          <cell r="K686">
            <v>0</v>
          </cell>
          <cell r="L686"/>
          <cell r="M686" t="str">
            <v>MPS</v>
          </cell>
          <cell r="N686" t="str">
            <v>SPLITTING</v>
          </cell>
          <cell r="O686">
            <v>2</v>
          </cell>
          <cell r="P686">
            <v>46086</v>
          </cell>
          <cell r="Q686">
            <v>46102</v>
          </cell>
          <cell r="R686">
            <v>46099</v>
          </cell>
          <cell r="S686">
            <v>16</v>
          </cell>
          <cell r="T686">
            <v>4</v>
          </cell>
          <cell r="U686">
            <v>35</v>
          </cell>
          <cell r="V686">
            <v>37</v>
          </cell>
          <cell r="W686" t="str">
            <v>0.085D</v>
          </cell>
          <cell r="X686" t="str">
            <v>3-2026</v>
          </cell>
          <cell r="Y686" t="str">
            <v>Week 12</v>
          </cell>
          <cell r="Z686">
            <v>46097</v>
          </cell>
          <cell r="AA686">
            <v>11</v>
          </cell>
          <cell r="AB686">
            <v>2.8570000000000002E-2</v>
          </cell>
        </row>
        <row r="687">
          <cell r="A687" t="str">
            <v>F-2026-03-58</v>
          </cell>
          <cell r="B687"/>
          <cell r="C687" t="str">
            <v>RPRO-260305-0724</v>
          </cell>
          <cell r="D687" t="str">
            <v>MPS 3.3.+4.3</v>
          </cell>
          <cell r="E687" t="str">
            <v>BDB-000056</v>
          </cell>
          <cell r="F687" t="str">
            <v>PVN-001983</v>
          </cell>
          <cell r="G687" t="str">
            <v>OrthoLite X-40 SEEDPEARL/12-0703TPX Flat Sheet 0.16D 25+/-4 Asker C 1.1M 1.7M 5mm</v>
          </cell>
          <cell r="H687">
            <v>56</v>
          </cell>
          <cell r="I687">
            <v>56</v>
          </cell>
          <cell r="J687">
            <v>56</v>
          </cell>
          <cell r="K687">
            <v>0</v>
          </cell>
          <cell r="L687"/>
          <cell r="M687" t="str">
            <v>MPS</v>
          </cell>
          <cell r="N687" t="str">
            <v>SPLITTING</v>
          </cell>
          <cell r="O687">
            <v>2</v>
          </cell>
          <cell r="P687">
            <v>46086</v>
          </cell>
          <cell r="Q687">
            <v>46104</v>
          </cell>
          <cell r="R687">
            <v>46101</v>
          </cell>
          <cell r="S687">
            <v>18</v>
          </cell>
          <cell r="T687">
            <v>5</v>
          </cell>
          <cell r="U687">
            <v>28</v>
          </cell>
          <cell r="V687">
            <v>2</v>
          </cell>
          <cell r="W687" t="str">
            <v>0.16D</v>
          </cell>
          <cell r="X687" t="str">
            <v>3-2026</v>
          </cell>
          <cell r="Y687" t="str">
            <v>Week 12</v>
          </cell>
          <cell r="Z687">
            <v>46097</v>
          </cell>
          <cell r="AA687">
            <v>11</v>
          </cell>
          <cell r="AB687">
            <v>3.5709999999999999E-2</v>
          </cell>
        </row>
        <row r="688">
          <cell r="A688" t="str">
            <v>F-2026-03-59</v>
          </cell>
          <cell r="B688"/>
          <cell r="C688" t="str">
            <v>RPRO-260305-1156</v>
          </cell>
          <cell r="D688" t="str">
            <v>MPS 3.3.+4.3</v>
          </cell>
          <cell r="E688" t="str">
            <v>BDB-000105</v>
          </cell>
          <cell r="F688" t="str">
            <v>PVN-003127</v>
          </cell>
          <cell r="G688" t="str">
            <v>OrthoLite Eco LT-Hybrid AIR BLUE/16-4134TPX Hybrid Flat Sheet 0.13D 35+/-4 Asker C 1.1M 2M 3mm</v>
          </cell>
          <cell r="H688">
            <v>44</v>
          </cell>
          <cell r="I688">
            <v>44</v>
          </cell>
          <cell r="J688">
            <v>44</v>
          </cell>
          <cell r="K688">
            <v>0</v>
          </cell>
          <cell r="L688"/>
          <cell r="M688" t="str">
            <v>MPS</v>
          </cell>
          <cell r="N688" t="str">
            <v>SPLITTING</v>
          </cell>
          <cell r="O688">
            <v>2</v>
          </cell>
          <cell r="P688">
            <v>46086</v>
          </cell>
          <cell r="Q688">
            <v>46094</v>
          </cell>
          <cell r="R688">
            <v>46091</v>
          </cell>
          <cell r="S688">
            <v>8</v>
          </cell>
          <cell r="T688">
            <v>3</v>
          </cell>
          <cell r="U688">
            <v>46</v>
          </cell>
          <cell r="V688">
            <v>1</v>
          </cell>
          <cell r="W688" t="str">
            <v>0.13D</v>
          </cell>
          <cell r="X688" t="str">
            <v>3-2026</v>
          </cell>
          <cell r="Y688" t="str">
            <v>Week 11</v>
          </cell>
          <cell r="Z688">
            <v>46090</v>
          </cell>
          <cell r="AA688">
            <v>2</v>
          </cell>
          <cell r="AB688">
            <v>2.1739999999999999E-2</v>
          </cell>
        </row>
        <row r="689">
          <cell r="A689" t="str">
            <v>F-2026-03-60</v>
          </cell>
          <cell r="B689"/>
          <cell r="C689" t="str">
            <v>RPRO-260305-0734</v>
          </cell>
          <cell r="D689" t="str">
            <v>MPS 3.3.+4.3</v>
          </cell>
          <cell r="E689" t="str">
            <v>BDB-000113</v>
          </cell>
          <cell r="F689" t="str">
            <v>PVN-003161</v>
          </cell>
          <cell r="G689" t="str">
            <v>OrthoLite Regular-Hybrid SEEDPEARL/12-0703TPX Hybrid Flat Sheet 0.11D 25+/-4 Asker C 1.1M 2M 2.5mm</v>
          </cell>
          <cell r="H689">
            <v>112</v>
          </cell>
          <cell r="I689">
            <v>112</v>
          </cell>
          <cell r="J689">
            <v>112</v>
          </cell>
          <cell r="K689">
            <v>0</v>
          </cell>
          <cell r="L689"/>
          <cell r="M689" t="str">
            <v>MPS</v>
          </cell>
          <cell r="N689" t="str">
            <v>SPLITTING</v>
          </cell>
          <cell r="O689">
            <v>2</v>
          </cell>
          <cell r="P689">
            <v>46086</v>
          </cell>
          <cell r="Q689">
            <v>46097</v>
          </cell>
          <cell r="R689">
            <v>46094</v>
          </cell>
          <cell r="S689">
            <v>11</v>
          </cell>
          <cell r="T689">
            <v>2.5</v>
          </cell>
          <cell r="U689">
            <v>56</v>
          </cell>
          <cell r="V689">
            <v>3</v>
          </cell>
          <cell r="W689" t="str">
            <v>0.11D</v>
          </cell>
          <cell r="X689" t="str">
            <v>3-2026</v>
          </cell>
          <cell r="Y689" t="str">
            <v>Week 11</v>
          </cell>
          <cell r="Z689">
            <v>46090</v>
          </cell>
          <cell r="AA689">
            <v>1</v>
          </cell>
          <cell r="AB689">
            <v>1.7860000000000001E-2</v>
          </cell>
        </row>
        <row r="690">
          <cell r="A690" t="str">
            <v>F-2026-03-61</v>
          </cell>
          <cell r="B690"/>
          <cell r="C690" t="str">
            <v>RPRO-260305-0742</v>
          </cell>
          <cell r="D690" t="str">
            <v>MPS 3.3.+4.3</v>
          </cell>
          <cell r="E690" t="str">
            <v>BDB-000123</v>
          </cell>
          <cell r="F690" t="str">
            <v>PVN-003300</v>
          </cell>
          <cell r="G690" t="str">
            <v>OrthoLite Ultra-Hybrid SEEDPEARL/12-0703TPX Hybrid Flat Sheet 0.085D 25+/-4 Asker C 1.1M 2M 2mm</v>
          </cell>
          <cell r="H690">
            <v>770</v>
          </cell>
          <cell r="I690">
            <v>770</v>
          </cell>
          <cell r="J690">
            <v>770</v>
          </cell>
          <cell r="K690">
            <v>0</v>
          </cell>
          <cell r="L690"/>
          <cell r="M690" t="str">
            <v>MPS</v>
          </cell>
          <cell r="N690" t="str">
            <v>SPLITTING</v>
          </cell>
          <cell r="O690">
            <v>2</v>
          </cell>
          <cell r="P690">
            <v>46086</v>
          </cell>
          <cell r="Q690">
            <v>46101</v>
          </cell>
          <cell r="R690">
            <v>46098</v>
          </cell>
          <cell r="S690">
            <v>15</v>
          </cell>
          <cell r="T690">
            <v>2</v>
          </cell>
          <cell r="U690">
            <v>70</v>
          </cell>
          <cell r="V690">
            <v>12</v>
          </cell>
          <cell r="W690" t="str">
            <v>0.085D</v>
          </cell>
          <cell r="X690" t="str">
            <v>3-2026</v>
          </cell>
          <cell r="Y690" t="str">
            <v>Week 12</v>
          </cell>
          <cell r="Z690">
            <v>46097</v>
          </cell>
          <cell r="AA690">
            <v>1</v>
          </cell>
          <cell r="AB690">
            <v>1.4290000000000001E-2</v>
          </cell>
        </row>
        <row r="691">
          <cell r="A691" t="str">
            <v>F-2026-03-62</v>
          </cell>
          <cell r="B691"/>
          <cell r="C691" t="str">
            <v>RPRO-260305-0749</v>
          </cell>
          <cell r="D691" t="str">
            <v>MPS 3.3.+4.3</v>
          </cell>
          <cell r="E691" t="str">
            <v>BDB-000123</v>
          </cell>
          <cell r="F691" t="str">
            <v>PVN-003315</v>
          </cell>
          <cell r="G691" t="str">
            <v>OrthoLite Ultra-Hybrid SEEDPEARL/12-0703TPX Hybrid 0.085D 25+/-4 Asker C 1.1M 2M 3.5mm</v>
          </cell>
          <cell r="H691">
            <v>200</v>
          </cell>
          <cell r="I691">
            <v>200</v>
          </cell>
          <cell r="J691">
            <v>200</v>
          </cell>
          <cell r="K691">
            <v>0</v>
          </cell>
          <cell r="L691"/>
          <cell r="M691" t="str">
            <v>MPS</v>
          </cell>
          <cell r="N691" t="str">
            <v>SPLITTING</v>
          </cell>
          <cell r="O691">
            <v>2</v>
          </cell>
          <cell r="P691">
            <v>46086</v>
          </cell>
          <cell r="Q691">
            <v>46104</v>
          </cell>
          <cell r="R691">
            <v>46101</v>
          </cell>
          <cell r="S691">
            <v>18</v>
          </cell>
          <cell r="T691">
            <v>3.5</v>
          </cell>
          <cell r="U691">
            <v>40</v>
          </cell>
          <cell r="V691">
            <v>5</v>
          </cell>
          <cell r="W691" t="str">
            <v>0.085D</v>
          </cell>
          <cell r="X691" t="str">
            <v>3-2026</v>
          </cell>
          <cell r="Y691" t="str">
            <v>Week 12</v>
          </cell>
          <cell r="Z691">
            <v>46097</v>
          </cell>
          <cell r="AA691">
            <v>73</v>
          </cell>
          <cell r="AB691">
            <v>2.5000000000000001E-2</v>
          </cell>
        </row>
        <row r="692">
          <cell r="A692" t="str">
            <v>F-2026-03-63</v>
          </cell>
          <cell r="B692"/>
          <cell r="C692" t="str">
            <v>RPRO-260305-1161</v>
          </cell>
          <cell r="D692" t="str">
            <v>MPS 3.3.+4.3</v>
          </cell>
          <cell r="E692" t="str">
            <v>BDB-000154</v>
          </cell>
          <cell r="F692" t="str">
            <v>PVN-003347</v>
          </cell>
          <cell r="G692" t="str">
            <v>OrthoLite X-40-Nike TRUE BLUE/19-4057TPX Flat Sheet 0.16D 35+/-4 Asker C 1.1M 1.7M 4mm</v>
          </cell>
          <cell r="H692">
            <v>140</v>
          </cell>
          <cell r="I692">
            <v>140</v>
          </cell>
          <cell r="J692">
            <v>140</v>
          </cell>
          <cell r="K692">
            <v>0</v>
          </cell>
          <cell r="L692"/>
          <cell r="M692" t="str">
            <v>MPS</v>
          </cell>
          <cell r="N692" t="str">
            <v>SPLITTING</v>
          </cell>
          <cell r="O692">
            <v>2</v>
          </cell>
          <cell r="P692">
            <v>46086</v>
          </cell>
          <cell r="Q692">
            <v>46097</v>
          </cell>
          <cell r="R692">
            <v>46094</v>
          </cell>
          <cell r="S692">
            <v>11</v>
          </cell>
          <cell r="T692">
            <v>4</v>
          </cell>
          <cell r="U692">
            <v>35</v>
          </cell>
          <cell r="V692">
            <v>4</v>
          </cell>
          <cell r="W692" t="str">
            <v>0.16D</v>
          </cell>
          <cell r="X692" t="str">
            <v>3-2026</v>
          </cell>
          <cell r="Y692" t="str">
            <v>Week 11</v>
          </cell>
          <cell r="Z692">
            <v>46090</v>
          </cell>
          <cell r="AA692">
            <v>5</v>
          </cell>
          <cell r="AB692">
            <v>2.8570000000000002E-2</v>
          </cell>
        </row>
        <row r="693">
          <cell r="A693" t="str">
            <v>F-2026-03-64</v>
          </cell>
          <cell r="B693"/>
          <cell r="C693" t="str">
            <v>RPRO-260305-0756</v>
          </cell>
          <cell r="D693" t="str">
            <v>MPS 3.3.+4.3</v>
          </cell>
          <cell r="E693" t="str">
            <v>BDB-000286</v>
          </cell>
          <cell r="F693" t="str">
            <v>PVN-003863</v>
          </cell>
          <cell r="G693" t="str">
            <v>OrthoLite Regular-Hybrid SEEDPEARL/12-0703TPX Hybrid Flat Sheet 0.13D 25+/-4 Asker C 1.1M 1.7M 2mm</v>
          </cell>
          <cell r="H693">
            <v>350</v>
          </cell>
          <cell r="I693">
            <v>350</v>
          </cell>
          <cell r="J693">
            <v>350</v>
          </cell>
          <cell r="K693">
            <v>0</v>
          </cell>
          <cell r="L693"/>
          <cell r="M693" t="str">
            <v>MPS</v>
          </cell>
          <cell r="N693" t="str">
            <v>SPLITTING</v>
          </cell>
          <cell r="O693">
            <v>2</v>
          </cell>
          <cell r="P693">
            <v>46086</v>
          </cell>
          <cell r="Q693">
            <v>46104</v>
          </cell>
          <cell r="R693">
            <v>46101</v>
          </cell>
          <cell r="S693">
            <v>18</v>
          </cell>
          <cell r="T693">
            <v>2</v>
          </cell>
          <cell r="U693">
            <v>70</v>
          </cell>
          <cell r="V693">
            <v>6</v>
          </cell>
          <cell r="W693" t="str">
            <v>0.13D</v>
          </cell>
          <cell r="X693" t="str">
            <v>3-2026</v>
          </cell>
          <cell r="Y693" t="str">
            <v>Week 12</v>
          </cell>
          <cell r="Z693">
            <v>46097</v>
          </cell>
          <cell r="AA693">
            <v>15</v>
          </cell>
          <cell r="AB693">
            <v>1.4290000000000001E-2</v>
          </cell>
        </row>
        <row r="694">
          <cell r="A694" t="str">
            <v>F-2026-03-65</v>
          </cell>
          <cell r="B694"/>
          <cell r="C694" t="str">
            <v>RPRO-260305-0762</v>
          </cell>
          <cell r="D694" t="str">
            <v>Pro.sche.report 3.3.+4.3</v>
          </cell>
          <cell r="E694" t="str">
            <v>BDB-000113</v>
          </cell>
          <cell r="F694" t="str">
            <v>PVN-002465</v>
          </cell>
          <cell r="G694" t="str">
            <v>OrthoLite Regular-Hybrid SEEDPEARL/12-0703TPX Hybrid Flat Sheet 0.11D 25+/-4 Asker C 1.1M 2M 5mm</v>
          </cell>
          <cell r="H694">
            <v>3892</v>
          </cell>
          <cell r="I694">
            <v>3892</v>
          </cell>
          <cell r="J694">
            <v>3892</v>
          </cell>
          <cell r="K694">
            <v>0</v>
          </cell>
          <cell r="L694" t="str">
            <v>ASICS</v>
          </cell>
          <cell r="M694" t="str">
            <v>Pr.Sch.R</v>
          </cell>
          <cell r="N694" t="str">
            <v>DIE CUT</v>
          </cell>
          <cell r="O694">
            <v>1</v>
          </cell>
          <cell r="P694">
            <v>46086</v>
          </cell>
          <cell r="Q694">
            <v>46102</v>
          </cell>
          <cell r="R694">
            <v>46099</v>
          </cell>
          <cell r="S694">
            <v>16</v>
          </cell>
          <cell r="T694">
            <v>5</v>
          </cell>
          <cell r="U694">
            <v>28</v>
          </cell>
          <cell r="V694">
            <v>139</v>
          </cell>
          <cell r="W694" t="str">
            <v>0.11D</v>
          </cell>
          <cell r="X694" t="str">
            <v>3-2026</v>
          </cell>
          <cell r="Y694" t="str">
            <v>Week 12</v>
          </cell>
          <cell r="Z694">
            <v>46097</v>
          </cell>
          <cell r="AA694">
            <v>21</v>
          </cell>
          <cell r="AB694">
            <v>3.5709999999999999E-2</v>
          </cell>
        </row>
        <row r="695">
          <cell r="A695" t="str">
            <v>F-2026-03-66</v>
          </cell>
          <cell r="B695"/>
          <cell r="C695" t="str">
            <v>RPRO-260305-0769</v>
          </cell>
          <cell r="D695" t="str">
            <v>Pro.sche.report 3.3.+4.3</v>
          </cell>
          <cell r="E695" t="str">
            <v>BDB-000212</v>
          </cell>
          <cell r="F695" t="str">
            <v>PVN-003460</v>
          </cell>
          <cell r="G695" t="str">
            <v>OrthoLite X-25-Hybrid SEEDPEARL/12-0703TPX Hybrid Flat Sheet 0.12D 20+/-4 Asker C 1.1M 2M 5.5mm</v>
          </cell>
          <cell r="H695">
            <v>200</v>
          </cell>
          <cell r="I695">
            <v>200</v>
          </cell>
          <cell r="J695">
            <v>200</v>
          </cell>
          <cell r="K695">
            <v>0</v>
          </cell>
          <cell r="L695" t="str">
            <v>ON RUNNING</v>
          </cell>
          <cell r="M695" t="str">
            <v>Pr.Sch.R</v>
          </cell>
          <cell r="N695" t="str">
            <v>MOLDED</v>
          </cell>
          <cell r="O695">
            <v>1</v>
          </cell>
          <cell r="P695">
            <v>46086</v>
          </cell>
          <cell r="Q695">
            <v>46098</v>
          </cell>
          <cell r="R695">
            <v>46095</v>
          </cell>
          <cell r="S695">
            <v>12</v>
          </cell>
          <cell r="T695">
            <v>5.5</v>
          </cell>
          <cell r="U695">
            <v>25</v>
          </cell>
          <cell r="V695">
            <v>8</v>
          </cell>
          <cell r="W695" t="str">
            <v>0.12D</v>
          </cell>
          <cell r="X695" t="str">
            <v>3-2026</v>
          </cell>
          <cell r="Y695" t="str">
            <v>Week 11</v>
          </cell>
          <cell r="Z695">
            <v>46090</v>
          </cell>
          <cell r="AA695">
            <v>27</v>
          </cell>
          <cell r="AB695">
            <v>0.04</v>
          </cell>
        </row>
        <row r="696">
          <cell r="A696" t="str">
            <v>F-2026-03-67</v>
          </cell>
          <cell r="B696"/>
          <cell r="C696" t="str">
            <v>RPRO-260305-0773</v>
          </cell>
          <cell r="D696" t="str">
            <v>Pro.sche.report 3.3.+4.3</v>
          </cell>
          <cell r="E696" t="str">
            <v>BDB-000324</v>
          </cell>
          <cell r="F696" t="str">
            <v>PVN-004110</v>
          </cell>
          <cell r="G696" t="str">
            <v>OrthoLite X-40 TRUE BLUE/19-4057TPX Flat Sheet 0.16D 25+/-4 Asker C 1.1M 2M 14.5mm</v>
          </cell>
          <cell r="H696">
            <v>27</v>
          </cell>
          <cell r="I696">
            <v>27</v>
          </cell>
          <cell r="J696">
            <v>27</v>
          </cell>
          <cell r="K696">
            <v>0</v>
          </cell>
          <cell r="L696" t="str">
            <v>LOWA</v>
          </cell>
          <cell r="M696" t="str">
            <v>Pr.Sch.R</v>
          </cell>
          <cell r="N696" t="str">
            <v>MOLDED</v>
          </cell>
          <cell r="O696">
            <v>1</v>
          </cell>
          <cell r="P696">
            <v>46086</v>
          </cell>
          <cell r="Q696">
            <v>46105</v>
          </cell>
          <cell r="R696">
            <v>46102</v>
          </cell>
          <cell r="S696">
            <v>19</v>
          </cell>
          <cell r="T696">
            <v>14.5</v>
          </cell>
          <cell r="U696">
            <v>9</v>
          </cell>
          <cell r="V696">
            <v>3</v>
          </cell>
          <cell r="W696" t="e">
            <v>#N/A</v>
          </cell>
          <cell r="X696" t="str">
            <v>3-2026</v>
          </cell>
          <cell r="Y696" t="str">
            <v>Week 12</v>
          </cell>
          <cell r="Z696">
            <v>46097</v>
          </cell>
          <cell r="AA696">
            <v>115</v>
          </cell>
          <cell r="AB696">
            <v>0.11111</v>
          </cell>
        </row>
        <row r="697">
          <cell r="A697" t="str">
            <v>F-2026-03-68</v>
          </cell>
          <cell r="B697"/>
          <cell r="C697" t="str">
            <v>RPRO-260305-1165</v>
          </cell>
          <cell r="D697" t="str">
            <v>Pro.sche.report 3.3.+4.3</v>
          </cell>
          <cell r="E697" t="str">
            <v>BDB-000339</v>
          </cell>
          <cell r="F697" t="str">
            <v>PVN-004178</v>
          </cell>
          <cell r="G697" t="str">
            <v>OrthoLite Float NEUTRAL GRAY/17-4402TPX Flat Sheet 0.12D 21+/-4 Asker C 1.1M 2M 5.5mm</v>
          </cell>
          <cell r="H697">
            <v>575</v>
          </cell>
          <cell r="I697">
            <v>575</v>
          </cell>
          <cell r="J697">
            <v>575</v>
          </cell>
          <cell r="K697">
            <v>0</v>
          </cell>
          <cell r="L697" t="str">
            <v>PUMA</v>
          </cell>
          <cell r="M697" t="str">
            <v>Pr.Sch.R</v>
          </cell>
          <cell r="N697" t="str">
            <v>MOLDED</v>
          </cell>
          <cell r="O697">
            <v>1</v>
          </cell>
          <cell r="P697">
            <v>46086</v>
          </cell>
          <cell r="Q697">
            <v>46099</v>
          </cell>
          <cell r="R697">
            <v>46096</v>
          </cell>
          <cell r="S697">
            <v>13</v>
          </cell>
          <cell r="T697">
            <v>5.5</v>
          </cell>
          <cell r="U697">
            <v>25</v>
          </cell>
          <cell r="V697">
            <v>23</v>
          </cell>
          <cell r="W697" t="e">
            <v>#N/A</v>
          </cell>
          <cell r="X697" t="str">
            <v>3-2026</v>
          </cell>
          <cell r="Y697" t="str">
            <v>Week 11</v>
          </cell>
          <cell r="Z697">
            <v>46090</v>
          </cell>
          <cell r="AA697">
            <v>71</v>
          </cell>
          <cell r="AB697">
            <v>0.04</v>
          </cell>
        </row>
        <row r="698">
          <cell r="A698" t="str">
            <v>F-2026-03-69</v>
          </cell>
          <cell r="B698"/>
          <cell r="C698" t="str">
            <v>RPRO-260305-0783</v>
          </cell>
          <cell r="D698" t="str">
            <v>Pro.sche.report 3.3.+4.3</v>
          </cell>
          <cell r="E698" t="str">
            <v>BDB-000055</v>
          </cell>
          <cell r="F698" t="str">
            <v>PVN-004155</v>
          </cell>
          <cell r="G698" t="str">
            <v>OrthoLite X-40 TRUE BLUE/19-4057TPX Flat Sheet 0.16D 35+/-4 Asker C 1.1M 1.7M 3.2mm</v>
          </cell>
          <cell r="H698">
            <v>215</v>
          </cell>
          <cell r="I698">
            <v>215</v>
          </cell>
          <cell r="J698">
            <v>215</v>
          </cell>
          <cell r="K698">
            <v>0</v>
          </cell>
          <cell r="L698" t="str">
            <v>ADIDAS</v>
          </cell>
          <cell r="M698" t="str">
            <v>Pr.Sch.R</v>
          </cell>
          <cell r="N698" t="str">
            <v>MOLDED</v>
          </cell>
          <cell r="O698">
            <v>1</v>
          </cell>
          <cell r="P698">
            <v>46086</v>
          </cell>
          <cell r="Q698">
            <v>46100</v>
          </cell>
          <cell r="R698">
            <v>46097</v>
          </cell>
          <cell r="S698">
            <v>14</v>
          </cell>
          <cell r="T698">
            <v>3.2</v>
          </cell>
          <cell r="U698">
            <v>43</v>
          </cell>
          <cell r="V698">
            <v>6</v>
          </cell>
          <cell r="W698" t="str">
            <v>0.16D</v>
          </cell>
          <cell r="X698" t="str">
            <v>3-2026</v>
          </cell>
          <cell r="Y698" t="str">
            <v>Week 11</v>
          </cell>
          <cell r="Z698">
            <v>46090</v>
          </cell>
          <cell r="AA698">
            <v>108</v>
          </cell>
          <cell r="AB698">
            <v>2.3259999999999999E-2</v>
          </cell>
        </row>
        <row r="699">
          <cell r="A699" t="str">
            <v>F-2026-03-70</v>
          </cell>
          <cell r="B699"/>
          <cell r="C699" t="str">
            <v>RPRO-260305-1169</v>
          </cell>
          <cell r="D699" t="str">
            <v>Pro.sche.report 3.3.+4.3</v>
          </cell>
          <cell r="E699" t="str">
            <v>BDB-000123</v>
          </cell>
          <cell r="F699" t="str">
            <v>PVN-002884</v>
          </cell>
          <cell r="G699" t="str">
            <v>OrthoLite Ultra-Hybrid SEEDPEARL/12-0703TPX Hybrid Flat Sheet 0.085D 25+/-4 Asker C 1.1M 2M 10mm</v>
          </cell>
          <cell r="H699">
            <v>481</v>
          </cell>
          <cell r="I699">
            <v>481</v>
          </cell>
          <cell r="J699">
            <v>481</v>
          </cell>
          <cell r="K699">
            <v>0</v>
          </cell>
          <cell r="L699" t="str">
            <v>ADIDAS</v>
          </cell>
          <cell r="M699" t="str">
            <v>Pr.Sch.R</v>
          </cell>
          <cell r="N699" t="str">
            <v>MOLDED</v>
          </cell>
          <cell r="O699">
            <v>1</v>
          </cell>
          <cell r="P699">
            <v>46086</v>
          </cell>
          <cell r="Q699">
            <v>46098</v>
          </cell>
          <cell r="R699">
            <v>46095</v>
          </cell>
          <cell r="S699">
            <v>12</v>
          </cell>
          <cell r="T699">
            <v>10</v>
          </cell>
          <cell r="U699">
            <v>13</v>
          </cell>
          <cell r="V699">
            <v>37</v>
          </cell>
          <cell r="W699" t="str">
            <v>0.085D</v>
          </cell>
          <cell r="X699" t="str">
            <v>3-2026</v>
          </cell>
          <cell r="Y699" t="str">
            <v>Week 11</v>
          </cell>
          <cell r="Z699">
            <v>46090</v>
          </cell>
          <cell r="AA699">
            <v>129</v>
          </cell>
          <cell r="AB699">
            <v>7.6920000000000002E-2</v>
          </cell>
        </row>
        <row r="700">
          <cell r="A700" t="str">
            <v>F-2026-03-71</v>
          </cell>
          <cell r="B700"/>
          <cell r="C700" t="str">
            <v>RPRO-260305-0792</v>
          </cell>
          <cell r="D700" t="str">
            <v>Pro.sche.report 3.3.+4.3</v>
          </cell>
          <cell r="E700" t="str">
            <v>BDB-000055</v>
          </cell>
          <cell r="F700" t="str">
            <v>PVN-003326</v>
          </cell>
          <cell r="G700" t="str">
            <v>OrthoLite X-40 TRUE BLUE/19-4057TPX Flat Sheet 0.16D 35+/-4 Asker C 1.1M 1.7M 14mm</v>
          </cell>
          <cell r="H700">
            <v>9</v>
          </cell>
          <cell r="I700">
            <v>9</v>
          </cell>
          <cell r="J700">
            <v>9</v>
          </cell>
          <cell r="K700">
            <v>0</v>
          </cell>
          <cell r="L700" t="str">
            <v>ADIDAS</v>
          </cell>
          <cell r="M700" t="str">
            <v>Pr.Sch.R</v>
          </cell>
          <cell r="N700" t="str">
            <v>MOLDED</v>
          </cell>
          <cell r="O700">
            <v>1</v>
          </cell>
          <cell r="P700">
            <v>46086</v>
          </cell>
          <cell r="Q700">
            <v>46094</v>
          </cell>
          <cell r="R700">
            <v>46091</v>
          </cell>
          <cell r="S700">
            <v>8</v>
          </cell>
          <cell r="T700">
            <v>14</v>
          </cell>
          <cell r="U700">
            <v>9</v>
          </cell>
          <cell r="V700">
            <v>1</v>
          </cell>
          <cell r="W700" t="str">
            <v>0.16D</v>
          </cell>
          <cell r="X700" t="str">
            <v>3-2026</v>
          </cell>
          <cell r="Y700" t="str">
            <v>Week 11</v>
          </cell>
          <cell r="Z700">
            <v>46090</v>
          </cell>
          <cell r="AA700">
            <v>70</v>
          </cell>
          <cell r="AB700">
            <v>0.11111</v>
          </cell>
        </row>
        <row r="701">
          <cell r="A701" t="str">
            <v>F-2026-03-72</v>
          </cell>
          <cell r="B701"/>
          <cell r="C701" t="str">
            <v>RPRO-260305-0799</v>
          </cell>
          <cell r="D701" t="str">
            <v>Pro.sche.report 3.3.+4.3</v>
          </cell>
          <cell r="E701" t="str">
            <v>BDB-000125</v>
          </cell>
          <cell r="F701" t="str">
            <v>PVN-002413</v>
          </cell>
          <cell r="G701" t="str">
            <v>OrthoLite Regular-Nike AIR BLUE/16-4134TPX Flat Sheet 0.11D 25+/-4 Asker C 1.1M 2M 4.2mm</v>
          </cell>
          <cell r="H701">
            <v>1483</v>
          </cell>
          <cell r="I701">
            <v>1483</v>
          </cell>
          <cell r="J701">
            <v>1483</v>
          </cell>
          <cell r="K701">
            <v>0</v>
          </cell>
          <cell r="L701" t="str">
            <v>NIKE</v>
          </cell>
          <cell r="M701" t="str">
            <v>Pr.Sch.R</v>
          </cell>
          <cell r="N701" t="str">
            <v>MOLDED</v>
          </cell>
          <cell r="O701">
            <v>1</v>
          </cell>
          <cell r="P701">
            <v>46086</v>
          </cell>
          <cell r="Q701">
            <v>46100</v>
          </cell>
          <cell r="R701">
            <v>46097</v>
          </cell>
          <cell r="S701">
            <v>14</v>
          </cell>
          <cell r="T701">
            <v>4.2</v>
          </cell>
          <cell r="U701">
            <v>33</v>
          </cell>
          <cell r="V701">
            <v>45</v>
          </cell>
          <cell r="W701" t="str">
            <v>0.11D</v>
          </cell>
          <cell r="X701" t="str">
            <v>3-2026</v>
          </cell>
          <cell r="Y701" t="str">
            <v>Week 11</v>
          </cell>
          <cell r="Z701">
            <v>46090</v>
          </cell>
          <cell r="AA701">
            <v>45</v>
          </cell>
          <cell r="AB701">
            <v>3.0300000000000001E-2</v>
          </cell>
        </row>
        <row r="702">
          <cell r="A702" t="str">
            <v>F-2026-03-73</v>
          </cell>
          <cell r="B702"/>
          <cell r="C702" t="str">
            <v>RPRO-260305-0806</v>
          </cell>
          <cell r="D702" t="str">
            <v>Pro.sche.report 3.3.+4.3</v>
          </cell>
          <cell r="E702" t="str">
            <v>BDB-000011</v>
          </cell>
          <cell r="F702" t="str">
            <v>PVN-000121</v>
          </cell>
          <cell r="G702" t="str">
            <v>OrthoLite Regular AIR BLUE/16-4134TPX Flat Sheet 0.13D 35+/-4 Asker C 1.1M 2M 12mm</v>
          </cell>
          <cell r="H702">
            <v>11</v>
          </cell>
          <cell r="I702">
            <v>11</v>
          </cell>
          <cell r="J702">
            <v>11</v>
          </cell>
          <cell r="K702">
            <v>0</v>
          </cell>
          <cell r="L702" t="str">
            <v>ASICS</v>
          </cell>
          <cell r="M702" t="str">
            <v>Pr.Sch.R</v>
          </cell>
          <cell r="N702" t="str">
            <v>MOLDED</v>
          </cell>
          <cell r="O702">
            <v>1</v>
          </cell>
          <cell r="P702">
            <v>46086</v>
          </cell>
          <cell r="Q702">
            <v>46104</v>
          </cell>
          <cell r="R702">
            <v>46101</v>
          </cell>
          <cell r="S702">
            <v>18</v>
          </cell>
          <cell r="T702">
            <v>12</v>
          </cell>
          <cell r="U702">
            <v>11.5</v>
          </cell>
          <cell r="V702">
            <v>1</v>
          </cell>
          <cell r="W702" t="str">
            <v>0.13D</v>
          </cell>
          <cell r="X702" t="str">
            <v>3-2026</v>
          </cell>
          <cell r="Y702" t="str">
            <v>Week 12</v>
          </cell>
          <cell r="Z702">
            <v>46097</v>
          </cell>
          <cell r="AA702">
            <v>32</v>
          </cell>
          <cell r="AB702">
            <v>8.6959999999999996E-2</v>
          </cell>
        </row>
        <row r="703">
          <cell r="A703" t="str">
            <v>F-2026-03-74</v>
          </cell>
          <cell r="B703"/>
          <cell r="C703" t="str">
            <v>RPRO-260305-1174</v>
          </cell>
          <cell r="D703" t="str">
            <v>Pro.sche.report 3.3.+4.3</v>
          </cell>
          <cell r="E703" t="str">
            <v>BDB-000248</v>
          </cell>
          <cell r="F703" t="str">
            <v>PVN-003931</v>
          </cell>
          <cell r="G703" t="str">
            <v>OrthoLite X-40-Hybrid RED/19-1764TPX Hybrid Flat Sheet 0.16D 25+/-4 Asker C 1.1M 1.7M 6.5mm</v>
          </cell>
          <cell r="H703">
            <v>63</v>
          </cell>
          <cell r="I703">
            <v>63</v>
          </cell>
          <cell r="J703">
            <v>63</v>
          </cell>
          <cell r="K703">
            <v>0</v>
          </cell>
          <cell r="L703" t="str">
            <v>REDWING</v>
          </cell>
          <cell r="M703" t="str">
            <v>Pr.Sch.R</v>
          </cell>
          <cell r="N703" t="str">
            <v>MOLDED</v>
          </cell>
          <cell r="O703">
            <v>1</v>
          </cell>
          <cell r="P703">
            <v>46086</v>
          </cell>
          <cell r="Q703">
            <v>46106</v>
          </cell>
          <cell r="R703">
            <v>46103</v>
          </cell>
          <cell r="S703">
            <v>20</v>
          </cell>
          <cell r="T703">
            <v>6.5</v>
          </cell>
          <cell r="U703">
            <v>21</v>
          </cell>
          <cell r="V703">
            <v>4</v>
          </cell>
          <cell r="W703" t="str">
            <v>0.16D</v>
          </cell>
          <cell r="X703" t="str">
            <v>3-2026</v>
          </cell>
          <cell r="Y703" t="str">
            <v>Week 12</v>
          </cell>
          <cell r="Z703">
            <v>46097</v>
          </cell>
          <cell r="AA703">
            <v>8</v>
          </cell>
          <cell r="AB703">
            <v>4.7620000000000003E-2</v>
          </cell>
        </row>
        <row r="704">
          <cell r="A704" t="str">
            <v>F-2026-03-75</v>
          </cell>
          <cell r="B704"/>
          <cell r="C704" t="str">
            <v>RPRO-260305-0818</v>
          </cell>
          <cell r="D704" t="str">
            <v>Pro.sche.report 3.3.+4.3</v>
          </cell>
          <cell r="E704" t="str">
            <v>BDB-000094</v>
          </cell>
          <cell r="F704" t="str">
            <v>PVN-004255</v>
          </cell>
          <cell r="G704" t="str">
            <v>OrthoLite Eco LT 300C(ADIDAS BLUEBIRD) Flat Sheet 0.11D 25+/-4 Asker C 1.1M 1.47M 12mm</v>
          </cell>
          <cell r="H704">
            <v>88</v>
          </cell>
          <cell r="I704">
            <v>88</v>
          </cell>
          <cell r="J704">
            <v>88</v>
          </cell>
          <cell r="K704">
            <v>0</v>
          </cell>
          <cell r="L704" t="str">
            <v>ADIDAS</v>
          </cell>
          <cell r="M704" t="str">
            <v>Pr.Sch.R</v>
          </cell>
          <cell r="N704" t="str">
            <v>MOLDED</v>
          </cell>
          <cell r="O704">
            <v>1</v>
          </cell>
          <cell r="P704">
            <v>46086</v>
          </cell>
          <cell r="Q704">
            <v>46105</v>
          </cell>
          <cell r="R704">
            <v>46102</v>
          </cell>
          <cell r="S704">
            <v>19</v>
          </cell>
          <cell r="T704">
            <v>12</v>
          </cell>
          <cell r="U704">
            <v>11</v>
          </cell>
          <cell r="V704">
            <v>9</v>
          </cell>
          <cell r="W704" t="str">
            <v>0.11D</v>
          </cell>
          <cell r="X704" t="str">
            <v>3-2026</v>
          </cell>
          <cell r="Y704" t="str">
            <v>Week 12</v>
          </cell>
          <cell r="Z704">
            <v>46097</v>
          </cell>
          <cell r="AA704">
            <v>20</v>
          </cell>
          <cell r="AB704">
            <v>9.0910000000000005E-2</v>
          </cell>
        </row>
        <row r="705">
          <cell r="A705" t="str">
            <v>F-2026-03-76</v>
          </cell>
          <cell r="B705"/>
          <cell r="C705" t="str">
            <v>RPRO-260305-1178</v>
          </cell>
          <cell r="D705" t="str">
            <v>Pro.sche.report 3.3.+4.3</v>
          </cell>
          <cell r="E705" t="str">
            <v>BDB-000052</v>
          </cell>
          <cell r="F705" t="str">
            <v>PVN-003603</v>
          </cell>
          <cell r="G705" t="str">
            <v>OrthoLite X-40 TRUE BLUE/19-4057TPX Flat Sheet 0.16D 25+/-4 Asker C 1.1M 1.47M 12mm</v>
          </cell>
          <cell r="H705">
            <v>1309</v>
          </cell>
          <cell r="I705">
            <v>1309</v>
          </cell>
          <cell r="J705">
            <v>1309</v>
          </cell>
          <cell r="K705">
            <v>0</v>
          </cell>
          <cell r="L705" t="str">
            <v>ASICS</v>
          </cell>
          <cell r="M705" t="str">
            <v>Pr.Sch.R</v>
          </cell>
          <cell r="N705" t="str">
            <v>MOLDED</v>
          </cell>
          <cell r="O705">
            <v>1</v>
          </cell>
          <cell r="P705">
            <v>46086</v>
          </cell>
          <cell r="Q705">
            <v>46106</v>
          </cell>
          <cell r="R705">
            <v>46103</v>
          </cell>
          <cell r="S705">
            <v>20</v>
          </cell>
          <cell r="T705">
            <v>12</v>
          </cell>
          <cell r="U705">
            <v>11.5</v>
          </cell>
          <cell r="V705">
            <v>114</v>
          </cell>
          <cell r="W705" t="str">
            <v>0.16D</v>
          </cell>
          <cell r="X705" t="str">
            <v>3-2026</v>
          </cell>
          <cell r="Y705" t="str">
            <v>Week 12</v>
          </cell>
          <cell r="Z705">
            <v>46097</v>
          </cell>
          <cell r="AA705">
            <v>163</v>
          </cell>
          <cell r="AB705">
            <v>8.6959999999999996E-2</v>
          </cell>
        </row>
        <row r="706">
          <cell r="A706" t="str">
            <v>F-2026-03-77</v>
          </cell>
          <cell r="B706"/>
          <cell r="C706" t="str">
            <v>RPRO-260305-0829</v>
          </cell>
          <cell r="D706" t="str">
            <v>Pro.sche.report 3.3.+4.3</v>
          </cell>
          <cell r="E706" t="str">
            <v>BDB-000051</v>
          </cell>
          <cell r="F706" t="str">
            <v>PVN-003319</v>
          </cell>
          <cell r="G706" t="str">
            <v>OrthoLite X-40 TRUE BLUE/19-4057TPX Flat Sheet 0.16D 25+/-4 Asker C 1.1M 1.7M 12mm</v>
          </cell>
          <cell r="H706">
            <v>165</v>
          </cell>
          <cell r="I706">
            <v>165</v>
          </cell>
          <cell r="J706">
            <v>165</v>
          </cell>
          <cell r="K706">
            <v>0</v>
          </cell>
          <cell r="L706" t="str">
            <v>ASICS</v>
          </cell>
          <cell r="M706" t="str">
            <v>Pr.Sch.R</v>
          </cell>
          <cell r="N706" t="str">
            <v>MOLDED</v>
          </cell>
          <cell r="O706">
            <v>1</v>
          </cell>
          <cell r="P706">
            <v>46086</v>
          </cell>
          <cell r="Q706">
            <v>46106</v>
          </cell>
          <cell r="R706">
            <v>46103</v>
          </cell>
          <cell r="S706">
            <v>20</v>
          </cell>
          <cell r="T706">
            <v>12</v>
          </cell>
          <cell r="U706">
            <v>11.5</v>
          </cell>
          <cell r="V706">
            <v>15</v>
          </cell>
          <cell r="W706" t="str">
            <v>0.16D</v>
          </cell>
          <cell r="X706" t="str">
            <v>3-2026</v>
          </cell>
          <cell r="Y706" t="str">
            <v>Week 12</v>
          </cell>
          <cell r="Z706">
            <v>46097</v>
          </cell>
          <cell r="AA706">
            <v>85</v>
          </cell>
          <cell r="AB706">
            <v>8.6959999999999996E-2</v>
          </cell>
        </row>
        <row r="707">
          <cell r="A707" t="str">
            <v>F-2026-03-78</v>
          </cell>
          <cell r="B707"/>
          <cell r="C707" t="str">
            <v>RPRO-260305-0836</v>
          </cell>
          <cell r="D707" t="str">
            <v>Pro.sche.report 3.3.+4.3</v>
          </cell>
          <cell r="E707" t="str">
            <v>BDB-000113</v>
          </cell>
          <cell r="F707" t="str">
            <v>PVN-002699</v>
          </cell>
          <cell r="G707" t="str">
            <v>OrthoLite Regular-Hybrid SEEDPEARL/12-0703TPX Hybrid Flat Sheet 0.11D 25+/-4 Asker C 1.1M 2M 4.5mm</v>
          </cell>
          <cell r="H707">
            <v>124</v>
          </cell>
          <cell r="I707">
            <v>124</v>
          </cell>
          <cell r="J707">
            <v>124</v>
          </cell>
          <cell r="K707">
            <v>0</v>
          </cell>
          <cell r="L707" t="str">
            <v>ASICS</v>
          </cell>
          <cell r="M707" t="str">
            <v>Pr.Sch.R</v>
          </cell>
          <cell r="N707" t="str">
            <v>DIE CUT</v>
          </cell>
          <cell r="O707">
            <v>1</v>
          </cell>
          <cell r="P707">
            <v>46086</v>
          </cell>
          <cell r="Q707">
            <v>46097</v>
          </cell>
          <cell r="R707">
            <v>46094</v>
          </cell>
          <cell r="S707">
            <v>11</v>
          </cell>
          <cell r="T707">
            <v>4.5</v>
          </cell>
          <cell r="U707">
            <v>31</v>
          </cell>
          <cell r="V707">
            <v>5</v>
          </cell>
          <cell r="W707" t="str">
            <v>0.11D</v>
          </cell>
          <cell r="X707" t="str">
            <v>3-2026</v>
          </cell>
          <cell r="Y707" t="str">
            <v>Week 11</v>
          </cell>
          <cell r="Z707">
            <v>46090</v>
          </cell>
          <cell r="AA707">
            <v>3</v>
          </cell>
          <cell r="AB707">
            <v>3.2259999999999997E-2</v>
          </cell>
        </row>
        <row r="708">
          <cell r="A708" t="str">
            <v>F-2026-03-79</v>
          </cell>
          <cell r="B708"/>
          <cell r="C708" t="str">
            <v>RPRO-260305-0842</v>
          </cell>
          <cell r="D708" t="str">
            <v>Pro.sche.report 3.3.+4.3</v>
          </cell>
          <cell r="E708" t="str">
            <v>BDB-000057</v>
          </cell>
          <cell r="F708" t="str">
            <v>PVN-000825</v>
          </cell>
          <cell r="G708" t="str">
            <v>OrthoLite Ultra YELLOW/13-0858TPX Flat Sheet 0.085D 25+/-4 Asker C 1.1M 2M 12mm</v>
          </cell>
          <cell r="H708">
            <v>11</v>
          </cell>
          <cell r="I708">
            <v>11</v>
          </cell>
          <cell r="J708">
            <v>11</v>
          </cell>
          <cell r="K708">
            <v>0</v>
          </cell>
          <cell r="L708" t="str">
            <v>ASICS</v>
          </cell>
          <cell r="M708" t="str">
            <v>Pr.Sch.R</v>
          </cell>
          <cell r="N708" t="str">
            <v>MOLDED</v>
          </cell>
          <cell r="O708">
            <v>1</v>
          </cell>
          <cell r="P708">
            <v>46086</v>
          </cell>
          <cell r="Q708">
            <v>46094</v>
          </cell>
          <cell r="R708">
            <v>46091</v>
          </cell>
          <cell r="S708">
            <v>8</v>
          </cell>
          <cell r="T708">
            <v>12</v>
          </cell>
          <cell r="U708">
            <v>11.5</v>
          </cell>
          <cell r="V708">
            <v>1</v>
          </cell>
          <cell r="W708" t="str">
            <v>0.085D</v>
          </cell>
          <cell r="X708" t="str">
            <v>3-2026</v>
          </cell>
          <cell r="Y708" t="str">
            <v>Week 11</v>
          </cell>
          <cell r="Z708">
            <v>46090</v>
          </cell>
          <cell r="AA708">
            <v>116</v>
          </cell>
          <cell r="AB708">
            <v>8.6959999999999996E-2</v>
          </cell>
        </row>
        <row r="709">
          <cell r="A709" t="str">
            <v>F-2026-03-80</v>
          </cell>
          <cell r="B709"/>
          <cell r="C709" t="str">
            <v>RPRO-260305-0849</v>
          </cell>
          <cell r="D709" t="str">
            <v>Pro.sche.report 3.3.+4.3</v>
          </cell>
          <cell r="E709" t="str">
            <v>BDB-000229</v>
          </cell>
          <cell r="F709" t="str">
            <v>PVN-003692</v>
          </cell>
          <cell r="G709" t="str">
            <v>OrthoLite Ultra-Hybrid SEEDPEARL/12-0703TPX Hybrid Flat Sheet 0.095D 33+/-4 Asker C 1.1M 2M 15.5mm</v>
          </cell>
          <cell r="H709">
            <v>48</v>
          </cell>
          <cell r="I709">
            <v>48</v>
          </cell>
          <cell r="J709">
            <v>48</v>
          </cell>
          <cell r="K709">
            <v>0</v>
          </cell>
          <cell r="L709" t="str">
            <v>GARMONT</v>
          </cell>
          <cell r="M709" t="str">
            <v>Pr.Sch.R</v>
          </cell>
          <cell r="N709" t="str">
            <v>MOLDED</v>
          </cell>
          <cell r="O709">
            <v>1</v>
          </cell>
          <cell r="P709">
            <v>46086</v>
          </cell>
          <cell r="Q709">
            <v>46098</v>
          </cell>
          <cell r="R709">
            <v>46095</v>
          </cell>
          <cell r="S709">
            <v>12</v>
          </cell>
          <cell r="T709">
            <v>15.5</v>
          </cell>
          <cell r="U709">
            <v>8</v>
          </cell>
          <cell r="V709">
            <v>6</v>
          </cell>
          <cell r="W709" t="str">
            <v>0.095D</v>
          </cell>
          <cell r="X709" t="str">
            <v>3-2026</v>
          </cell>
          <cell r="Y709" t="str">
            <v>Week 11</v>
          </cell>
          <cell r="Z709">
            <v>46090</v>
          </cell>
          <cell r="AA709">
            <v>56</v>
          </cell>
          <cell r="AB709">
            <v>0.125</v>
          </cell>
        </row>
        <row r="710">
          <cell r="A710" t="str">
            <v>F-2026-03-81</v>
          </cell>
          <cell r="B710"/>
          <cell r="C710" t="str">
            <v>RPRO-260305-1182</v>
          </cell>
          <cell r="D710" t="str">
            <v>Pro.sche.report 3.3.+4.3</v>
          </cell>
          <cell r="E710" t="str">
            <v>BDB-000355</v>
          </cell>
          <cell r="F710" t="str">
            <v>PVN-004231</v>
          </cell>
          <cell r="G710" t="str">
            <v>OrthoLite HybridPlus-Recycled CASTLEROCK/18-0201TPX Hybrid Flat Sheet 0.12D 25+/-4 Asker C 1.1M 2M 4.5mm</v>
          </cell>
          <cell r="H710">
            <v>62</v>
          </cell>
          <cell r="I710">
            <v>62</v>
          </cell>
          <cell r="J710">
            <v>62</v>
          </cell>
          <cell r="K710">
            <v>0</v>
          </cell>
          <cell r="L710" t="str">
            <v>ON RUNNING</v>
          </cell>
          <cell r="M710" t="str">
            <v>Pr.Sch.R</v>
          </cell>
          <cell r="N710" t="str">
            <v>MOLDED</v>
          </cell>
          <cell r="O710">
            <v>1</v>
          </cell>
          <cell r="P710">
            <v>46086</v>
          </cell>
          <cell r="Q710">
            <v>46113</v>
          </cell>
          <cell r="R710">
            <v>46110</v>
          </cell>
          <cell r="S710">
            <v>27</v>
          </cell>
          <cell r="T710">
            <v>4.5</v>
          </cell>
          <cell r="U710">
            <v>31</v>
          </cell>
          <cell r="V710">
            <v>3</v>
          </cell>
          <cell r="W710" t="e">
            <v>#N/A</v>
          </cell>
          <cell r="X710" t="str">
            <v>4-2026</v>
          </cell>
          <cell r="Y710" t="str">
            <v>Week 12</v>
          </cell>
          <cell r="Z710">
            <v>46097</v>
          </cell>
          <cell r="AA710">
            <v>284</v>
          </cell>
          <cell r="AB710">
            <v>3.2259999999999997E-2</v>
          </cell>
        </row>
        <row r="711">
          <cell r="A711" t="str">
            <v>F-2026-03-82</v>
          </cell>
          <cell r="B711"/>
          <cell r="C711" t="str">
            <v>RPRO-260305-0858</v>
          </cell>
          <cell r="D711" t="str">
            <v>Pro.sche.report 3.3.+4.3</v>
          </cell>
          <cell r="E711" t="str">
            <v>BDB-000125</v>
          </cell>
          <cell r="F711" t="str">
            <v>PVN-001579</v>
          </cell>
          <cell r="G711" t="str">
            <v>OrthoLite Regular-Nike AIR BLUE/16-4134TPX Flat Sheet 0.11D 25+/-4 Asker C 1.1M 2M 4mm</v>
          </cell>
          <cell r="H711">
            <v>175</v>
          </cell>
          <cell r="I711">
            <v>175</v>
          </cell>
          <cell r="J711">
            <v>175</v>
          </cell>
          <cell r="K711">
            <v>0</v>
          </cell>
          <cell r="L711" t="str">
            <v>NIKE</v>
          </cell>
          <cell r="M711" t="str">
            <v>Pr.Sch.R</v>
          </cell>
          <cell r="N711" t="str">
            <v>LAMINATING</v>
          </cell>
          <cell r="O711">
            <v>1</v>
          </cell>
          <cell r="P711">
            <v>46086</v>
          </cell>
          <cell r="Q711">
            <v>46099</v>
          </cell>
          <cell r="R711">
            <v>46096</v>
          </cell>
          <cell r="S711">
            <v>13</v>
          </cell>
          <cell r="T711">
            <v>4</v>
          </cell>
          <cell r="U711">
            <v>35</v>
          </cell>
          <cell r="V711">
            <v>5</v>
          </cell>
          <cell r="W711" t="str">
            <v>0.11D</v>
          </cell>
          <cell r="X711" t="str">
            <v>3-2026</v>
          </cell>
          <cell r="Y711" t="str">
            <v>Week 11</v>
          </cell>
          <cell r="Z711">
            <v>46090</v>
          </cell>
          <cell r="AA711">
            <v>52</v>
          </cell>
          <cell r="AB711">
            <v>2.8570000000000002E-2</v>
          </cell>
        </row>
        <row r="712">
          <cell r="A712" t="str">
            <v>F-2026-03-83</v>
          </cell>
          <cell r="B712"/>
          <cell r="C712" t="str">
            <v>RPRO-260305-0866</v>
          </cell>
          <cell r="D712" t="str">
            <v>Pro.sche.report 3.3.+4.3</v>
          </cell>
          <cell r="E712" t="str">
            <v>BDB-000175</v>
          </cell>
          <cell r="F712" t="str">
            <v>PVN-003018</v>
          </cell>
          <cell r="G712" t="str">
            <v>OrthoLite Ultra-Hybrid-Nike SEEDPEARL/12-0703TPX Hybrid Flat Sheet 0.085D 25+/-4 Asker C 1.1M 2M 2mm</v>
          </cell>
          <cell r="H712">
            <v>70</v>
          </cell>
          <cell r="I712">
            <v>70</v>
          </cell>
          <cell r="J712">
            <v>70</v>
          </cell>
          <cell r="K712">
            <v>0</v>
          </cell>
          <cell r="L712" t="str">
            <v>NIKE</v>
          </cell>
          <cell r="M712" t="str">
            <v>Pr.Sch.R</v>
          </cell>
          <cell r="N712" t="str">
            <v>DIE CUT</v>
          </cell>
          <cell r="O712">
            <v>1</v>
          </cell>
          <cell r="P712">
            <v>46086</v>
          </cell>
          <cell r="Q712">
            <v>46097</v>
          </cell>
          <cell r="R712">
            <v>46094</v>
          </cell>
          <cell r="S712">
            <v>11</v>
          </cell>
          <cell r="T712">
            <v>2</v>
          </cell>
          <cell r="U712">
            <v>70</v>
          </cell>
          <cell r="V712">
            <v>2</v>
          </cell>
          <cell r="W712" t="str">
            <v>0.085D</v>
          </cell>
          <cell r="X712" t="str">
            <v>3-2026</v>
          </cell>
          <cell r="Y712" t="str">
            <v>Week 11</v>
          </cell>
          <cell r="Z712">
            <v>46090</v>
          </cell>
          <cell r="AA712">
            <v>85</v>
          </cell>
          <cell r="AB712">
            <v>1.4290000000000001E-2</v>
          </cell>
        </row>
        <row r="713">
          <cell r="A713" t="str">
            <v>F-2026-03-84</v>
          </cell>
          <cell r="B713"/>
          <cell r="C713" t="str">
            <v>RPRO-260305-0872</v>
          </cell>
          <cell r="D713" t="str">
            <v>Pro.sche.report 3.3.+4.3</v>
          </cell>
          <cell r="E713" t="str">
            <v>BDB-000149</v>
          </cell>
          <cell r="F713" t="str">
            <v>PVN-002773</v>
          </cell>
          <cell r="G713" t="str">
            <v>OrthoLite Regular-Hybrid-Nike SEEDPEARL/12-0703TPX Hybrid Flat Sheet 0.11D 25+/-4 Asker C 1.1M 2M 4mm</v>
          </cell>
          <cell r="H713">
            <v>105</v>
          </cell>
          <cell r="I713">
            <v>105</v>
          </cell>
          <cell r="J713">
            <v>105</v>
          </cell>
          <cell r="K713">
            <v>0</v>
          </cell>
          <cell r="L713" t="str">
            <v>NIKE</v>
          </cell>
          <cell r="M713" t="str">
            <v>Pr.Sch.R</v>
          </cell>
          <cell r="N713" t="str">
            <v>DIE CUT</v>
          </cell>
          <cell r="O713">
            <v>1</v>
          </cell>
          <cell r="P713">
            <v>46086</v>
          </cell>
          <cell r="Q713">
            <v>46098</v>
          </cell>
          <cell r="R713">
            <v>46095</v>
          </cell>
          <cell r="S713">
            <v>12</v>
          </cell>
          <cell r="T713">
            <v>4</v>
          </cell>
          <cell r="U713">
            <v>35</v>
          </cell>
          <cell r="V713">
            <v>3</v>
          </cell>
          <cell r="W713" t="str">
            <v>0.11D</v>
          </cell>
          <cell r="X713" t="str">
            <v>3-2026</v>
          </cell>
          <cell r="Y713" t="str">
            <v>Week 11</v>
          </cell>
          <cell r="Z713">
            <v>46090</v>
          </cell>
          <cell r="AA713">
            <v>114</v>
          </cell>
          <cell r="AB713">
            <v>2.8570000000000002E-2</v>
          </cell>
        </row>
        <row r="714">
          <cell r="A714" t="str">
            <v>F-2026-03-85</v>
          </cell>
          <cell r="B714"/>
          <cell r="C714" t="str">
            <v>RPRO-260305-0878</v>
          </cell>
          <cell r="D714" t="str">
            <v>Pro.sche.report 3.3.+4.3</v>
          </cell>
          <cell r="E714" t="str">
            <v>BDB-000156</v>
          </cell>
          <cell r="F714" t="str">
            <v>PVN-003243</v>
          </cell>
          <cell r="G714" t="str">
            <v>OrthoLite X-35-Hybrid-Nike AMAZON/18-6024TPX Hybrid Flat Sheet 0.145D 25+/-4 Asker C 1.1M 2M 5.2mm</v>
          </cell>
          <cell r="H714">
            <v>1690</v>
          </cell>
          <cell r="I714">
            <v>1690</v>
          </cell>
          <cell r="J714">
            <v>1690</v>
          </cell>
          <cell r="K714">
            <v>0</v>
          </cell>
          <cell r="L714" t="str">
            <v>NIKE</v>
          </cell>
          <cell r="M714" t="str">
            <v>Pr.Sch.R</v>
          </cell>
          <cell r="N714" t="str">
            <v>MOLDED</v>
          </cell>
          <cell r="O714">
            <v>1</v>
          </cell>
          <cell r="P714">
            <v>46086</v>
          </cell>
          <cell r="Q714">
            <v>46101</v>
          </cell>
          <cell r="R714">
            <v>46098</v>
          </cell>
          <cell r="S714">
            <v>15</v>
          </cell>
          <cell r="T714">
            <v>5.2</v>
          </cell>
          <cell r="U714">
            <v>26</v>
          </cell>
          <cell r="V714">
            <v>65</v>
          </cell>
          <cell r="W714" t="str">
            <v>0.145D</v>
          </cell>
          <cell r="X714" t="str">
            <v>3-2026</v>
          </cell>
          <cell r="Y714" t="str">
            <v>Week 11</v>
          </cell>
          <cell r="Z714">
            <v>46090</v>
          </cell>
          <cell r="AA714">
            <v>41</v>
          </cell>
          <cell r="AB714">
            <v>3.8460000000000001E-2</v>
          </cell>
        </row>
        <row r="715">
          <cell r="A715" t="str">
            <v>F-2026-03-86</v>
          </cell>
          <cell r="B715"/>
          <cell r="C715" t="str">
            <v>RPRO-260305-0880</v>
          </cell>
          <cell r="D715" t="str">
            <v>Pro.sche.report 3.3.+4.3</v>
          </cell>
          <cell r="E715" t="str">
            <v>BDB-000076</v>
          </cell>
          <cell r="F715" t="str">
            <v>PVN-003740</v>
          </cell>
          <cell r="G715" t="str">
            <v>OrthoLite X-25 BILLIARD/16-5427TPX Flat Sheet 0.12D 20+/-4 Asker C 1.1M 2M 10.5mm</v>
          </cell>
          <cell r="H715">
            <v>12</v>
          </cell>
          <cell r="I715">
            <v>12</v>
          </cell>
          <cell r="J715">
            <v>12</v>
          </cell>
          <cell r="K715">
            <v>0</v>
          </cell>
          <cell r="L715" t="str">
            <v>FOOTJOY</v>
          </cell>
          <cell r="M715" t="str">
            <v>Pr.Sch.R</v>
          </cell>
          <cell r="N715" t="str">
            <v>MOLDED</v>
          </cell>
          <cell r="O715">
            <v>1</v>
          </cell>
          <cell r="P715">
            <v>46086</v>
          </cell>
          <cell r="Q715">
            <v>46094</v>
          </cell>
          <cell r="R715">
            <v>46091</v>
          </cell>
          <cell r="S715">
            <v>8</v>
          </cell>
          <cell r="T715">
            <v>10.5</v>
          </cell>
          <cell r="U715">
            <v>12</v>
          </cell>
          <cell r="V715">
            <v>1</v>
          </cell>
          <cell r="W715" t="str">
            <v>0.12D</v>
          </cell>
          <cell r="X715" t="str">
            <v>3-2026</v>
          </cell>
          <cell r="Y715" t="str">
            <v>Week 11</v>
          </cell>
          <cell r="Z715">
            <v>46090</v>
          </cell>
          <cell r="AA715">
            <v>89</v>
          </cell>
          <cell r="AB715">
            <v>8.3330000000000001E-2</v>
          </cell>
        </row>
        <row r="716">
          <cell r="A716" t="str">
            <v>F-2026-03-87</v>
          </cell>
          <cell r="B716"/>
          <cell r="C716" t="str">
            <v>RPRO-260305-1186</v>
          </cell>
          <cell r="D716" t="str">
            <v>Pro.sche.report 3.3.+4.3</v>
          </cell>
          <cell r="E716" t="str">
            <v>BDB-000145</v>
          </cell>
          <cell r="F716" t="str">
            <v>PVN-002811</v>
          </cell>
          <cell r="G716" t="str">
            <v>OrthoLite Regular-Hybrid-Nike YELLOW/13-0858TPX Hybrid Flat Sheet 0.11D 25+/-4 Asker C 1.1M 1.7M 2mm</v>
          </cell>
          <cell r="H716">
            <v>630</v>
          </cell>
          <cell r="I716">
            <v>630</v>
          </cell>
          <cell r="J716">
            <v>630</v>
          </cell>
          <cell r="K716">
            <v>0</v>
          </cell>
          <cell r="L716" t="str">
            <v>NIKE</v>
          </cell>
          <cell r="M716" t="str">
            <v>Pr.Sch.R</v>
          </cell>
          <cell r="N716" t="str">
            <v>DIE CUT</v>
          </cell>
          <cell r="O716">
            <v>1</v>
          </cell>
          <cell r="P716">
            <v>46086</v>
          </cell>
          <cell r="Q716">
            <v>46099</v>
          </cell>
          <cell r="R716">
            <v>46096</v>
          </cell>
          <cell r="S716">
            <v>13</v>
          </cell>
          <cell r="T716">
            <v>2</v>
          </cell>
          <cell r="U716">
            <v>70</v>
          </cell>
          <cell r="V716">
            <v>10</v>
          </cell>
          <cell r="W716" t="str">
            <v>0.11D</v>
          </cell>
          <cell r="X716" t="str">
            <v>3-2026</v>
          </cell>
          <cell r="Y716" t="str">
            <v>Week 11</v>
          </cell>
          <cell r="Z716">
            <v>46090</v>
          </cell>
          <cell r="AA716">
            <v>134</v>
          </cell>
          <cell r="AB716">
            <v>1.4290000000000001E-2</v>
          </cell>
        </row>
        <row r="717">
          <cell r="A717" t="str">
            <v>F-2026-03-88</v>
          </cell>
          <cell r="B717"/>
          <cell r="C717" t="str">
            <v>RPRO-260305-0891</v>
          </cell>
          <cell r="D717" t="str">
            <v>Pro.sche.report 3.3.+4.3</v>
          </cell>
          <cell r="E717" t="str">
            <v>BDB-000317</v>
          </cell>
          <cell r="F717" t="str">
            <v>PVN-004076</v>
          </cell>
          <cell r="G717" t="str">
            <v>OrthoLite Regular NEUTRAL GRAY/17-4402TPX Flat Sheet 0.13D 15+/-4 Asker C 1.1M 2M 24mm</v>
          </cell>
          <cell r="H717">
            <v>60</v>
          </cell>
          <cell r="I717">
            <v>60</v>
          </cell>
          <cell r="J717">
            <v>60</v>
          </cell>
          <cell r="K717">
            <v>0</v>
          </cell>
          <cell r="L717" t="str">
            <v>ASICS</v>
          </cell>
          <cell r="M717" t="str">
            <v>Pr.Sch.R</v>
          </cell>
          <cell r="N717" t="str">
            <v>MOLDED</v>
          </cell>
          <cell r="O717">
            <v>1</v>
          </cell>
          <cell r="P717">
            <v>46086</v>
          </cell>
          <cell r="Q717">
            <v>46099</v>
          </cell>
          <cell r="R717">
            <v>46096</v>
          </cell>
          <cell r="S717">
            <v>13</v>
          </cell>
          <cell r="T717">
            <v>24</v>
          </cell>
          <cell r="U717">
            <v>5</v>
          </cell>
          <cell r="V717">
            <v>12</v>
          </cell>
          <cell r="W717" t="e">
            <v>#N/A</v>
          </cell>
          <cell r="X717" t="str">
            <v>3-2026</v>
          </cell>
          <cell r="Y717" t="str">
            <v>Week 11</v>
          </cell>
          <cell r="Z717">
            <v>46090</v>
          </cell>
          <cell r="AA717">
            <v>73</v>
          </cell>
          <cell r="AB717">
            <v>0.2</v>
          </cell>
        </row>
        <row r="718">
          <cell r="A718" t="str">
            <v>F-2026-03-89</v>
          </cell>
          <cell r="B718"/>
          <cell r="C718" t="str">
            <v>RPRO-260305-0897</v>
          </cell>
          <cell r="D718" t="str">
            <v>Pro.sche.report 3.3.+4.3</v>
          </cell>
          <cell r="E718" t="str">
            <v>BDB-000325</v>
          </cell>
          <cell r="F718" t="str">
            <v>PVN-004115</v>
          </cell>
          <cell r="G718" t="str">
            <v>OrthoLite X-40 TRUE BLUE/19-4057TPX Flat Sheet 0.16D 35+/-4 Asker C 1.1M 2M 4mm</v>
          </cell>
          <cell r="H718">
            <v>105</v>
          </cell>
          <cell r="I718">
            <v>105</v>
          </cell>
          <cell r="J718">
            <v>105</v>
          </cell>
          <cell r="K718">
            <v>0</v>
          </cell>
          <cell r="L718" t="str">
            <v>ASICS</v>
          </cell>
          <cell r="M718" t="str">
            <v>Pr.Sch.R</v>
          </cell>
          <cell r="N718" t="str">
            <v>MOLDED</v>
          </cell>
          <cell r="O718">
            <v>1</v>
          </cell>
          <cell r="P718">
            <v>46086</v>
          </cell>
          <cell r="Q718">
            <v>46099</v>
          </cell>
          <cell r="R718">
            <v>46096</v>
          </cell>
          <cell r="S718">
            <v>13</v>
          </cell>
          <cell r="T718">
            <v>4</v>
          </cell>
          <cell r="U718">
            <v>35</v>
          </cell>
          <cell r="V718">
            <v>3</v>
          </cell>
          <cell r="W718" t="e">
            <v>#N/A</v>
          </cell>
          <cell r="X718" t="str">
            <v>3-2026</v>
          </cell>
          <cell r="Y718" t="str">
            <v>Week 11</v>
          </cell>
          <cell r="Z718">
            <v>46090</v>
          </cell>
          <cell r="AA718">
            <v>11</v>
          </cell>
          <cell r="AB718">
            <v>2.8570000000000002E-2</v>
          </cell>
        </row>
        <row r="719">
          <cell r="A719" t="str">
            <v>F-2026-03-90</v>
          </cell>
          <cell r="B719"/>
          <cell r="C719" t="str">
            <v>RPRO-260305-0902</v>
          </cell>
          <cell r="D719" t="str">
            <v>Pro.sche.report 3.3.+4.3</v>
          </cell>
          <cell r="E719" t="str">
            <v>BDB-000052</v>
          </cell>
          <cell r="F719" t="str">
            <v>PVN-004308</v>
          </cell>
          <cell r="G719" t="str">
            <v>OrthoLite X-40 TRUE BLUE/19-4057TPX Flat Sheet 0.16D 25+/-4 Asker C 1.1M 1.47M 3mm</v>
          </cell>
          <cell r="H719">
            <v>552</v>
          </cell>
          <cell r="I719">
            <v>552</v>
          </cell>
          <cell r="J719">
            <v>552</v>
          </cell>
          <cell r="K719">
            <v>0</v>
          </cell>
          <cell r="L719" t="str">
            <v>ASICS</v>
          </cell>
          <cell r="M719" t="str">
            <v>Pr.Sch.R</v>
          </cell>
          <cell r="N719" t="str">
            <v>DIE CUT</v>
          </cell>
          <cell r="O719">
            <v>1</v>
          </cell>
          <cell r="P719">
            <v>46086</v>
          </cell>
          <cell r="Q719">
            <v>46106</v>
          </cell>
          <cell r="R719">
            <v>46103</v>
          </cell>
          <cell r="S719">
            <v>20</v>
          </cell>
          <cell r="T719">
            <v>3</v>
          </cell>
          <cell r="U719">
            <v>46</v>
          </cell>
          <cell r="V719">
            <v>13</v>
          </cell>
          <cell r="W719" t="str">
            <v>0.16D</v>
          </cell>
          <cell r="X719" t="str">
            <v>3-2026</v>
          </cell>
          <cell r="Y719" t="str">
            <v>Week 12</v>
          </cell>
          <cell r="Z719">
            <v>46097</v>
          </cell>
          <cell r="AA719">
            <v>8</v>
          </cell>
          <cell r="AB719">
            <v>2.1739999999999999E-2</v>
          </cell>
        </row>
        <row r="720">
          <cell r="A720" t="str">
            <v>F-2026-03-91</v>
          </cell>
          <cell r="B720"/>
          <cell r="C720" t="str">
            <v>RPRO-260305-0907</v>
          </cell>
          <cell r="D720" t="str">
            <v>Pro.sche.report 3.3.+4.3</v>
          </cell>
          <cell r="E720" t="str">
            <v>BDB-000347</v>
          </cell>
          <cell r="F720" t="str">
            <v>PVN-004193</v>
          </cell>
          <cell r="G720" t="str">
            <v>OrthoLite X-55-Hybrid SEEDPEARL/12-0703TPX Hybrid Flat Sheet 0.16D 25+/-4 Asker C 1.1M 2M 11mm</v>
          </cell>
          <cell r="H720">
            <v>24</v>
          </cell>
          <cell r="I720">
            <v>24</v>
          </cell>
          <cell r="J720">
            <v>24</v>
          </cell>
          <cell r="K720">
            <v>0</v>
          </cell>
          <cell r="L720" t="str">
            <v>DESCENTE</v>
          </cell>
          <cell r="M720" t="str">
            <v>Pr.Sch.R</v>
          </cell>
          <cell r="N720" t="str">
            <v>MOLDED</v>
          </cell>
          <cell r="O720">
            <v>1</v>
          </cell>
          <cell r="P720">
            <v>46086</v>
          </cell>
          <cell r="Q720">
            <v>46106</v>
          </cell>
          <cell r="R720">
            <v>46103</v>
          </cell>
          <cell r="S720">
            <v>20</v>
          </cell>
          <cell r="T720">
            <v>11</v>
          </cell>
          <cell r="U720">
            <v>12</v>
          </cell>
          <cell r="V720">
            <v>2</v>
          </cell>
          <cell r="W720" t="e">
            <v>#N/A</v>
          </cell>
          <cell r="X720" t="str">
            <v>3-2026</v>
          </cell>
          <cell r="Y720" t="str">
            <v>Week 12</v>
          </cell>
          <cell r="Z720">
            <v>46097</v>
          </cell>
          <cell r="AA720">
            <v>37</v>
          </cell>
          <cell r="AB720">
            <v>8.3330000000000001E-2</v>
          </cell>
        </row>
        <row r="721">
          <cell r="A721" t="str">
            <v>F-2026-03-92</v>
          </cell>
          <cell r="B721"/>
          <cell r="C721" t="str">
            <v>RPRO-260305-0912-doen delete firm plan</v>
          </cell>
          <cell r="D721" t="str">
            <v>Pro.sche.report 3.3.+4.3</v>
          </cell>
          <cell r="E721" t="str">
            <v>BDB-000373</v>
          </cell>
          <cell r="F721" t="str">
            <v>PVN-004315</v>
          </cell>
          <cell r="G721" t="str">
            <v>OrthoLite X-25-Nike BILLIARD/16-5427TPX Flat Sheet 0.12D 20+/-4 Asker C 1.1M 2M 5mm</v>
          </cell>
          <cell r="H721">
            <v>420</v>
          </cell>
          <cell r="I721">
            <v>420</v>
          </cell>
          <cell r="J721">
            <v>0</v>
          </cell>
          <cell r="K721">
            <v>420</v>
          </cell>
          <cell r="L721" t="str">
            <v>NIKE</v>
          </cell>
          <cell r="M721" t="str">
            <v>Pr.Sch.R</v>
          </cell>
          <cell r="N721" t="str">
            <v>DIE CUT</v>
          </cell>
          <cell r="O721">
            <v>1</v>
          </cell>
          <cell r="P721">
            <v>46086</v>
          </cell>
          <cell r="Q721" t="str">
            <v>delete firm plan 19.3 (hold material is no demand)</v>
          </cell>
          <cell r="R721" t="e">
            <v>#VALUE!</v>
          </cell>
          <cell r="S721" t="e">
            <v>#VALUE!</v>
          </cell>
          <cell r="T721">
            <v>5</v>
          </cell>
          <cell r="U721">
            <v>28</v>
          </cell>
          <cell r="V721">
            <v>15</v>
          </cell>
          <cell r="W721" t="e">
            <v>#N/A</v>
          </cell>
          <cell r="X721" t="e">
            <v>#VALUE!</v>
          </cell>
          <cell r="Y721" t="str">
            <v>Week 12</v>
          </cell>
          <cell r="Z721">
            <v>46097</v>
          </cell>
          <cell r="AA721">
            <v>16</v>
          </cell>
          <cell r="AB721">
            <v>3.5709999999999999E-2</v>
          </cell>
        </row>
        <row r="722">
          <cell r="A722" t="str">
            <v>F-2026-03-93</v>
          </cell>
          <cell r="B722"/>
          <cell r="C722" t="str">
            <v>RPRO-260305-0917</v>
          </cell>
          <cell r="D722" t="str">
            <v>Pro.sche.report 3.3.+4.3</v>
          </cell>
          <cell r="E722" t="str">
            <v>BDB-000308</v>
          </cell>
          <cell r="F722" t="str">
            <v>PVN-004018</v>
          </cell>
          <cell r="G722" t="str">
            <v>OrthoLite X-30 CASTLEROCK/18-0201TPX Flat Sheet 0.13D 25+/-4 Asker C 1.1M 1.47M 12mm</v>
          </cell>
          <cell r="H722">
            <v>11</v>
          </cell>
          <cell r="I722">
            <v>11</v>
          </cell>
          <cell r="J722">
            <v>11</v>
          </cell>
          <cell r="K722">
            <v>0</v>
          </cell>
          <cell r="L722" t="str">
            <v>ASICS</v>
          </cell>
          <cell r="M722" t="str">
            <v>Pr.Sch.R</v>
          </cell>
          <cell r="N722" t="str">
            <v>MOLDED</v>
          </cell>
          <cell r="O722">
            <v>1</v>
          </cell>
          <cell r="P722">
            <v>46086</v>
          </cell>
          <cell r="Q722">
            <v>46106</v>
          </cell>
          <cell r="R722">
            <v>46103</v>
          </cell>
          <cell r="S722">
            <v>20</v>
          </cell>
          <cell r="T722">
            <v>12</v>
          </cell>
          <cell r="U722">
            <v>11.5</v>
          </cell>
          <cell r="V722">
            <v>1</v>
          </cell>
          <cell r="W722" t="str">
            <v>0.13D</v>
          </cell>
          <cell r="X722" t="str">
            <v>3-2026</v>
          </cell>
          <cell r="Y722" t="str">
            <v>Week 12</v>
          </cell>
          <cell r="Z722">
            <v>46097</v>
          </cell>
          <cell r="AA722">
            <v>29</v>
          </cell>
          <cell r="AB722">
            <v>8.6959999999999996E-2</v>
          </cell>
        </row>
        <row r="723">
          <cell r="A723" t="str">
            <v>OIN-2026.03.03-01</v>
          </cell>
          <cell r="B723" t="str">
            <v>Urgent/FCL</v>
          </cell>
          <cell r="C723" t="str">
            <v>RPRO-260309-0378</v>
          </cell>
          <cell r="D723" t="str">
            <v>OIN</v>
          </cell>
          <cell r="E723" t="str">
            <v>BDB-000123</v>
          </cell>
          <cell r="F723" t="str">
            <v>PVN-003784</v>
          </cell>
          <cell r="G723" t="str">
            <v>[116-311] Ultra Hybrid 25+/-4 Asker C 0.085D Seedpearl 12-0703 Tpx 1.10M X 2.00M 47mm</v>
          </cell>
          <cell r="H723">
            <v>1319</v>
          </cell>
          <cell r="I723">
            <v>1319</v>
          </cell>
          <cell r="J723">
            <v>0</v>
          </cell>
          <cell r="K723">
            <v>1319</v>
          </cell>
          <cell r="L723" t="str">
            <v>KICKERS</v>
          </cell>
          <cell r="M723" t="str">
            <v>PO-6793-SO-260304-0106</v>
          </cell>
          <cell r="N723" t="str">
            <v>FLAT SHEET</v>
          </cell>
          <cell r="O723">
            <v>2</v>
          </cell>
          <cell r="P723">
            <v>46084</v>
          </cell>
          <cell r="Q723">
            <v>46111</v>
          </cell>
          <cell r="R723">
            <v>46108</v>
          </cell>
          <cell r="S723">
            <v>27</v>
          </cell>
          <cell r="T723">
            <v>47</v>
          </cell>
          <cell r="U723">
            <v>3</v>
          </cell>
          <cell r="V723">
            <v>440</v>
          </cell>
          <cell r="W723" t="str">
            <v>0.085D</v>
          </cell>
          <cell r="X723" t="str">
            <v>3-2026</v>
          </cell>
          <cell r="Y723" t="str">
            <v>Week 13</v>
          </cell>
          <cell r="Z723">
            <v>46104</v>
          </cell>
          <cell r="AA723">
            <v>133</v>
          </cell>
          <cell r="AB723">
            <v>0.33333000000000002</v>
          </cell>
        </row>
        <row r="724">
          <cell r="A724" t="str">
            <v>OIN-2026.03.03-02</v>
          </cell>
          <cell r="B724" t="str">
            <v>Urgent/FCL</v>
          </cell>
          <cell r="C724" t="str">
            <v>RPRO-260309-0394</v>
          </cell>
          <cell r="D724" t="str">
            <v>OIN</v>
          </cell>
          <cell r="E724" t="str">
            <v>BDB-000058</v>
          </cell>
          <cell r="F724" t="str">
            <v>PVN-003780</v>
          </cell>
          <cell r="G724" t="str">
            <v>[116-361] Ultra 25+/-4 Asker C 0.085D Green 16-5932 Tpx 1.10M X 2.00M 47mm</v>
          </cell>
          <cell r="H724">
            <v>531</v>
          </cell>
          <cell r="I724">
            <v>531</v>
          </cell>
          <cell r="J724">
            <v>0</v>
          </cell>
          <cell r="K724">
            <v>531</v>
          </cell>
          <cell r="L724" t="str">
            <v>CLARKS</v>
          </cell>
          <cell r="M724" t="str">
            <v>PO-6793-SO-260304-0107</v>
          </cell>
          <cell r="N724" t="str">
            <v>FLAT SHEET</v>
          </cell>
          <cell r="O724">
            <v>2</v>
          </cell>
          <cell r="P724">
            <v>46084</v>
          </cell>
          <cell r="Q724">
            <v>46112</v>
          </cell>
          <cell r="R724">
            <v>46109</v>
          </cell>
          <cell r="S724">
            <v>28</v>
          </cell>
          <cell r="T724">
            <v>47</v>
          </cell>
          <cell r="U724">
            <v>3</v>
          </cell>
          <cell r="V724">
            <v>177</v>
          </cell>
          <cell r="W724" t="str">
            <v>0.085D</v>
          </cell>
          <cell r="X724" t="str">
            <v>3-2026</v>
          </cell>
          <cell r="Y724" t="str">
            <v>Week 13</v>
          </cell>
          <cell r="Z724">
            <v>46104</v>
          </cell>
          <cell r="AA724">
            <v>50</v>
          </cell>
          <cell r="AB724">
            <v>0.33333000000000002</v>
          </cell>
        </row>
        <row r="725">
          <cell r="A725" t="str">
            <v>OIN-2026.03.03-03</v>
          </cell>
          <cell r="B725" t="str">
            <v>Urgent/LCL</v>
          </cell>
          <cell r="C725" t="str">
            <v>RPRO-260309-0395</v>
          </cell>
          <cell r="D725" t="str">
            <v>OIN</v>
          </cell>
          <cell r="E725" t="str">
            <v>BDB-000364</v>
          </cell>
          <cell r="F725" t="str">
            <v>PVN-004262</v>
          </cell>
          <cell r="G725" t="str">
            <v>[116-12921] Ultra Hybrid 15+/-4 Asker C 0.085D Neutral Grey 17-4402 Tpx 1.10M X 2.00M 47mm</v>
          </cell>
          <cell r="H725">
            <v>53</v>
          </cell>
          <cell r="I725">
            <v>53</v>
          </cell>
          <cell r="J725">
            <v>0</v>
          </cell>
          <cell r="K725">
            <v>53</v>
          </cell>
          <cell r="L725" t="str">
            <v>BUGATTI</v>
          </cell>
          <cell r="M725" t="str">
            <v>PO-6793-SO-260304-0108</v>
          </cell>
          <cell r="N725" t="str">
            <v>FLAT SHEET</v>
          </cell>
          <cell r="O725">
            <v>2</v>
          </cell>
          <cell r="P725">
            <v>46084</v>
          </cell>
          <cell r="Q725">
            <v>46111</v>
          </cell>
          <cell r="R725">
            <v>46108</v>
          </cell>
          <cell r="S725">
            <v>27</v>
          </cell>
          <cell r="T725">
            <v>47</v>
          </cell>
          <cell r="U725">
            <v>3</v>
          </cell>
          <cell r="V725">
            <v>18</v>
          </cell>
          <cell r="W725" t="e">
            <v>#N/A</v>
          </cell>
          <cell r="X725" t="str">
            <v>3-2026</v>
          </cell>
          <cell r="Y725" t="str">
            <v>Week 13</v>
          </cell>
          <cell r="Z725">
            <v>46104</v>
          </cell>
          <cell r="AA725">
            <v>71</v>
          </cell>
          <cell r="AB725">
            <v>0.33333000000000002</v>
          </cell>
        </row>
        <row r="726">
          <cell r="A726" t="str">
            <v>OIN-2026.03.03-04</v>
          </cell>
          <cell r="B726" t="str">
            <v>Urgent/LCL</v>
          </cell>
          <cell r="C726" t="str">
            <v>RPRO-260309-0396</v>
          </cell>
          <cell r="D726" t="str">
            <v>OIN</v>
          </cell>
          <cell r="E726" t="str">
            <v>BDB-000025</v>
          </cell>
          <cell r="F726" t="str">
            <v>PVN-003785</v>
          </cell>
          <cell r="G726" t="str">
            <v>[116-247] Regular 25+/-4 Asker C 0.11D Green 16-5932 Tpx 1.10M X 2.00M 47mm</v>
          </cell>
          <cell r="H726">
            <v>31</v>
          </cell>
          <cell r="I726">
            <v>31</v>
          </cell>
          <cell r="J726">
            <v>0</v>
          </cell>
          <cell r="K726">
            <v>31</v>
          </cell>
          <cell r="L726" t="str">
            <v>BARKER</v>
          </cell>
          <cell r="M726" t="str">
            <v>PO-6793-SO-260304-0110</v>
          </cell>
          <cell r="N726" t="str">
            <v>FLAT SHEET</v>
          </cell>
          <cell r="O726">
            <v>2</v>
          </cell>
          <cell r="P726">
            <v>46084</v>
          </cell>
          <cell r="Q726">
            <v>46111</v>
          </cell>
          <cell r="R726">
            <v>46108</v>
          </cell>
          <cell r="S726">
            <v>27</v>
          </cell>
          <cell r="T726">
            <v>47</v>
          </cell>
          <cell r="U726">
            <v>3</v>
          </cell>
          <cell r="V726">
            <v>11</v>
          </cell>
          <cell r="W726" t="str">
            <v>0.11D</v>
          </cell>
          <cell r="X726" t="str">
            <v>3-2026</v>
          </cell>
          <cell r="Y726" t="str">
            <v>Week 13</v>
          </cell>
          <cell r="Z726">
            <v>46104</v>
          </cell>
          <cell r="AA726">
            <v>108</v>
          </cell>
          <cell r="AB726">
            <v>0.33333000000000002</v>
          </cell>
        </row>
        <row r="727">
          <cell r="A727" t="str">
            <v>F-2026-03-94</v>
          </cell>
          <cell r="B727"/>
          <cell r="C727" t="str">
            <v>RPRO-260306-1598</v>
          </cell>
          <cell r="D727" t="str">
            <v>MPS 05.3</v>
          </cell>
          <cell r="E727" t="str">
            <v>BDB-000286</v>
          </cell>
          <cell r="F727" t="str">
            <v>PVN-003924</v>
          </cell>
          <cell r="G727" t="str">
            <v>OrthoLite Regular-Hybrid SEEDPEARL/12-0703TPX Hybrid Flat Sheet 0.13D 25+/-4 Asker C 1.1M 1.7M 5mm</v>
          </cell>
          <cell r="H727">
            <v>532</v>
          </cell>
          <cell r="I727">
            <v>532</v>
          </cell>
          <cell r="J727">
            <v>532</v>
          </cell>
          <cell r="K727">
            <v>0</v>
          </cell>
          <cell r="L727"/>
          <cell r="M727" t="str">
            <v>MPS</v>
          </cell>
          <cell r="N727" t="str">
            <v>SPLITTING</v>
          </cell>
          <cell r="O727">
            <v>2</v>
          </cell>
          <cell r="P727">
            <v>46087</v>
          </cell>
          <cell r="Q727">
            <v>46105</v>
          </cell>
          <cell r="R727">
            <v>46102</v>
          </cell>
          <cell r="S727">
            <v>18</v>
          </cell>
          <cell r="T727">
            <v>5</v>
          </cell>
          <cell r="U727">
            <v>28</v>
          </cell>
          <cell r="V727">
            <v>19</v>
          </cell>
          <cell r="W727" t="str">
            <v>0.13D</v>
          </cell>
          <cell r="X727" t="str">
            <v>3-2026</v>
          </cell>
          <cell r="Y727" t="str">
            <v>Week 12</v>
          </cell>
          <cell r="Z727">
            <v>46097</v>
          </cell>
          <cell r="AA727">
            <v>22</v>
          </cell>
          <cell r="AB727">
            <v>3.5709999999999999E-2</v>
          </cell>
        </row>
        <row r="728">
          <cell r="A728" t="str">
            <v>F-2026-03-95</v>
          </cell>
          <cell r="B728"/>
          <cell r="C728" t="str">
            <v>RPRO-260306-1599</v>
          </cell>
          <cell r="D728" t="str">
            <v>MPS 05.3</v>
          </cell>
          <cell r="E728" t="str">
            <v>BDB-000224</v>
          </cell>
          <cell r="F728" t="str">
            <v>PVN-004258</v>
          </cell>
          <cell r="G728" t="str">
            <v>OrthoLite R&amp;R CASTLEROCK/18-0201TPX Flat Sheet 0.16D 15+/-4 Asker C 1.1M 1.7M 3mm</v>
          </cell>
          <cell r="H728">
            <v>92</v>
          </cell>
          <cell r="I728">
            <v>92</v>
          </cell>
          <cell r="J728">
            <v>92</v>
          </cell>
          <cell r="K728">
            <v>0</v>
          </cell>
          <cell r="L728"/>
          <cell r="M728" t="str">
            <v>MPS</v>
          </cell>
          <cell r="N728" t="str">
            <v>SPLITTING</v>
          </cell>
          <cell r="O728">
            <v>2</v>
          </cell>
          <cell r="P728">
            <v>46087</v>
          </cell>
          <cell r="Q728">
            <v>46101</v>
          </cell>
          <cell r="R728">
            <v>46098</v>
          </cell>
          <cell r="S728">
            <v>14</v>
          </cell>
          <cell r="T728">
            <v>3</v>
          </cell>
          <cell r="U728">
            <v>46</v>
          </cell>
          <cell r="V728">
            <v>3</v>
          </cell>
          <cell r="W728" t="str">
            <v>0.16D</v>
          </cell>
          <cell r="X728" t="str">
            <v>3-2026</v>
          </cell>
          <cell r="Y728" t="str">
            <v>Week 12</v>
          </cell>
          <cell r="Z728">
            <v>46097</v>
          </cell>
          <cell r="AA728">
            <v>22</v>
          </cell>
          <cell r="AB728">
            <v>2.1739999999999999E-2</v>
          </cell>
        </row>
        <row r="729">
          <cell r="A729" t="str">
            <v>F-2026-03-96</v>
          </cell>
          <cell r="B729"/>
          <cell r="C729" t="str">
            <v>RPRO-260306-1600</v>
          </cell>
          <cell r="D729" t="str">
            <v>MPS 05.3</v>
          </cell>
          <cell r="E729" t="str">
            <v>BDB-000016</v>
          </cell>
          <cell r="F729" t="str">
            <v>PVN-000338</v>
          </cell>
          <cell r="G729" t="str">
            <v>OrthoLite Regular GREEN/16-5932TPX 0.13D 35+/-4 Asker C 1.1M 2M 4mm</v>
          </cell>
          <cell r="H729">
            <v>35</v>
          </cell>
          <cell r="I729">
            <v>35</v>
          </cell>
          <cell r="J729">
            <v>35</v>
          </cell>
          <cell r="K729">
            <v>0</v>
          </cell>
          <cell r="L729"/>
          <cell r="M729" t="str">
            <v>MPS</v>
          </cell>
          <cell r="N729" t="str">
            <v>SPLITTING</v>
          </cell>
          <cell r="O729">
            <v>2</v>
          </cell>
          <cell r="P729">
            <v>46087</v>
          </cell>
          <cell r="Q729">
            <v>46104</v>
          </cell>
          <cell r="R729">
            <v>46101</v>
          </cell>
          <cell r="S729">
            <v>17</v>
          </cell>
          <cell r="T729">
            <v>4</v>
          </cell>
          <cell r="U729">
            <v>35</v>
          </cell>
          <cell r="V729">
            <v>1</v>
          </cell>
          <cell r="W729" t="str">
            <v>0.13D</v>
          </cell>
          <cell r="X729" t="str">
            <v>3-2026</v>
          </cell>
          <cell r="Y729" t="str">
            <v>Week 12</v>
          </cell>
          <cell r="Z729">
            <v>46097</v>
          </cell>
          <cell r="AA729">
            <v>58</v>
          </cell>
          <cell r="AB729">
            <v>2.8570000000000002E-2</v>
          </cell>
        </row>
        <row r="730">
          <cell r="A730" t="str">
            <v>F-2026-03-97</v>
          </cell>
          <cell r="B730"/>
          <cell r="C730" t="str">
            <v>RPRO-260306-1601</v>
          </cell>
          <cell r="D730" t="str">
            <v>MPS 05.3</v>
          </cell>
          <cell r="E730" t="str">
            <v>BDB-000083</v>
          </cell>
          <cell r="F730" t="str">
            <v>PVN-000930</v>
          </cell>
          <cell r="G730" t="str">
            <v>OrthoLite Eco LT 300C(ADIDAS BLUEBIRD) Flat Sheet 0.11D 25+/-4 Asker C 1.1M 2M 3mm</v>
          </cell>
          <cell r="H730">
            <v>184</v>
          </cell>
          <cell r="I730">
            <v>184</v>
          </cell>
          <cell r="J730">
            <v>184</v>
          </cell>
          <cell r="K730">
            <v>0</v>
          </cell>
          <cell r="L730"/>
          <cell r="M730" t="str">
            <v>MPS</v>
          </cell>
          <cell r="N730" t="str">
            <v>SPLITTING</v>
          </cell>
          <cell r="O730">
            <v>2</v>
          </cell>
          <cell r="P730">
            <v>46087</v>
          </cell>
          <cell r="Q730">
            <v>46105</v>
          </cell>
          <cell r="R730">
            <v>46102</v>
          </cell>
          <cell r="S730">
            <v>18</v>
          </cell>
          <cell r="T730">
            <v>3</v>
          </cell>
          <cell r="U730">
            <v>46</v>
          </cell>
          <cell r="V730">
            <v>5</v>
          </cell>
          <cell r="W730" t="str">
            <v>0.11D</v>
          </cell>
          <cell r="X730" t="str">
            <v>3-2026</v>
          </cell>
          <cell r="Y730" t="str">
            <v>Week 12</v>
          </cell>
          <cell r="Z730">
            <v>46097</v>
          </cell>
          <cell r="AA730">
            <v>87</v>
          </cell>
          <cell r="AB730">
            <v>2.1739999999999999E-2</v>
          </cell>
        </row>
        <row r="731">
          <cell r="A731" t="str">
            <v>F-2026-03-98</v>
          </cell>
          <cell r="B731"/>
          <cell r="C731" t="str">
            <v>RPRO-260306-1602</v>
          </cell>
          <cell r="D731" t="str">
            <v>MPS 05.3</v>
          </cell>
          <cell r="E731" t="str">
            <v>BDB-000123</v>
          </cell>
          <cell r="F731" t="str">
            <v>PVN-003300</v>
          </cell>
          <cell r="G731" t="str">
            <v>OrthoLite Ultra-Hybrid SEEDPEARL/12-0703TPX Hybrid Flat Sheet 0.085D 25+/-4 Asker C 1.1M 2M 2mm</v>
          </cell>
          <cell r="H731">
            <v>70</v>
          </cell>
          <cell r="I731">
            <v>70</v>
          </cell>
          <cell r="J731">
            <v>70</v>
          </cell>
          <cell r="K731">
            <v>0</v>
          </cell>
          <cell r="L731"/>
          <cell r="M731" t="str">
            <v>MPS</v>
          </cell>
          <cell r="N731" t="str">
            <v>SPLITTING</v>
          </cell>
          <cell r="O731">
            <v>2</v>
          </cell>
          <cell r="P731">
            <v>46087</v>
          </cell>
          <cell r="Q731">
            <v>46105</v>
          </cell>
          <cell r="R731">
            <v>46102</v>
          </cell>
          <cell r="S731">
            <v>18</v>
          </cell>
          <cell r="T731">
            <v>2</v>
          </cell>
          <cell r="U731">
            <v>70</v>
          </cell>
          <cell r="V731">
            <v>2</v>
          </cell>
          <cell r="W731" t="str">
            <v>0.085D</v>
          </cell>
          <cell r="X731" t="str">
            <v>3-2026</v>
          </cell>
          <cell r="Y731" t="str">
            <v>Week 12</v>
          </cell>
          <cell r="Z731">
            <v>46097</v>
          </cell>
          <cell r="AA731">
            <v>254</v>
          </cell>
          <cell r="AB731">
            <v>1.4290000000000001E-2</v>
          </cell>
        </row>
        <row r="732">
          <cell r="A732" t="str">
            <v>F-2026-03-99</v>
          </cell>
          <cell r="B732"/>
          <cell r="C732" t="str">
            <v>RPRO-260306-1603</v>
          </cell>
          <cell r="D732" t="str">
            <v>MPS 05.3</v>
          </cell>
          <cell r="E732" t="str">
            <v>BDB-000286</v>
          </cell>
          <cell r="F732" t="str">
            <v>PVN-003864</v>
          </cell>
          <cell r="G732" t="str">
            <v>OrthoLite Regular-Hybrid SEEDPEARL/12-0703TPX Hybrid Flat Sheet 0.13D 25+/-4 Asker C 1.1M 1.7M 3mm</v>
          </cell>
          <cell r="H732">
            <v>736</v>
          </cell>
          <cell r="I732">
            <v>736</v>
          </cell>
          <cell r="J732">
            <v>736</v>
          </cell>
          <cell r="K732">
            <v>0</v>
          </cell>
          <cell r="L732"/>
          <cell r="M732" t="str">
            <v>MPS</v>
          </cell>
          <cell r="N732" t="str">
            <v>SPLITTING</v>
          </cell>
          <cell r="O732">
            <v>2</v>
          </cell>
          <cell r="P732">
            <v>46087</v>
          </cell>
          <cell r="Q732">
            <v>46105</v>
          </cell>
          <cell r="R732">
            <v>46102</v>
          </cell>
          <cell r="S732">
            <v>18</v>
          </cell>
          <cell r="T732">
            <v>3</v>
          </cell>
          <cell r="U732">
            <v>46</v>
          </cell>
          <cell r="V732">
            <v>17</v>
          </cell>
          <cell r="W732" t="str">
            <v>0.13D</v>
          </cell>
          <cell r="X732" t="str">
            <v>3-2026</v>
          </cell>
          <cell r="Y732" t="str">
            <v>Week 12</v>
          </cell>
          <cell r="Z732">
            <v>46097</v>
          </cell>
          <cell r="AA732">
            <v>8</v>
          </cell>
          <cell r="AB732">
            <v>2.1739999999999999E-2</v>
          </cell>
        </row>
        <row r="733">
          <cell r="A733" t="str">
            <v>F-2026-03-100</v>
          </cell>
          <cell r="B733"/>
          <cell r="C733" t="str">
            <v>RPRO-260306-1604</v>
          </cell>
          <cell r="D733" t="str">
            <v>MPS 05.3</v>
          </cell>
          <cell r="E733" t="str">
            <v>BDB-000305</v>
          </cell>
          <cell r="F733" t="str">
            <v>PVN-004000</v>
          </cell>
          <cell r="G733" t="str">
            <v>OrthoLite X-35-Nike YELLOW/13-0858TPX Flat Sheet 0.145D 25+/-4 Asker C 1.1M 2M 5.5mm</v>
          </cell>
          <cell r="H733">
            <v>100</v>
          </cell>
          <cell r="I733">
            <v>100</v>
          </cell>
          <cell r="J733">
            <v>100</v>
          </cell>
          <cell r="K733">
            <v>0</v>
          </cell>
          <cell r="L733"/>
          <cell r="M733" t="str">
            <v>MPS</v>
          </cell>
          <cell r="N733" t="str">
            <v>SPLITTING</v>
          </cell>
          <cell r="O733">
            <v>2</v>
          </cell>
          <cell r="P733">
            <v>46087</v>
          </cell>
          <cell r="Q733">
            <v>46101</v>
          </cell>
          <cell r="R733">
            <v>46098</v>
          </cell>
          <cell r="S733">
            <v>14</v>
          </cell>
          <cell r="T733">
            <v>5.5</v>
          </cell>
          <cell r="U733">
            <v>25</v>
          </cell>
          <cell r="V733">
            <v>4</v>
          </cell>
          <cell r="W733" t="str">
            <v>0.145D</v>
          </cell>
          <cell r="X733" t="str">
            <v>3-2026</v>
          </cell>
          <cell r="Y733" t="str">
            <v>Week 11</v>
          </cell>
          <cell r="Z733">
            <v>46090</v>
          </cell>
          <cell r="AA733">
            <v>32</v>
          </cell>
          <cell r="AB733">
            <v>0.04</v>
          </cell>
        </row>
        <row r="734">
          <cell r="A734" t="str">
            <v>F-2026-03-101</v>
          </cell>
          <cell r="B734"/>
          <cell r="C734" t="str">
            <v>RPRO-260306-1605</v>
          </cell>
          <cell r="D734" t="str">
            <v>Pro.sche.report 05.3</v>
          </cell>
          <cell r="E734" t="str">
            <v>BDB-000113</v>
          </cell>
          <cell r="F734" t="str">
            <v>PVN-002465</v>
          </cell>
          <cell r="G734" t="str">
            <v>OrthoLite Regular-Hybrid SEEDPEARL/12-0703TPX Hybrid Flat Sheet 0.11D 25+/-4 Asker C 1.1M 2M 5mm</v>
          </cell>
          <cell r="H734">
            <v>252</v>
          </cell>
          <cell r="I734">
            <v>252</v>
          </cell>
          <cell r="J734">
            <v>252</v>
          </cell>
          <cell r="K734">
            <v>0</v>
          </cell>
          <cell r="L734" t="str">
            <v>ASICS</v>
          </cell>
          <cell r="M734" t="str">
            <v>Pr.Sch.R</v>
          </cell>
          <cell r="N734" t="str">
            <v>DIE CUT</v>
          </cell>
          <cell r="O734">
            <v>1</v>
          </cell>
          <cell r="P734">
            <v>46087</v>
          </cell>
          <cell r="Q734">
            <v>46105</v>
          </cell>
          <cell r="R734">
            <v>46102</v>
          </cell>
          <cell r="S734">
            <v>18</v>
          </cell>
          <cell r="T734">
            <v>5</v>
          </cell>
          <cell r="U734">
            <v>28</v>
          </cell>
          <cell r="V734">
            <v>9</v>
          </cell>
          <cell r="W734" t="str">
            <v>0.11D</v>
          </cell>
          <cell r="X734" t="str">
            <v>3-2026</v>
          </cell>
          <cell r="Y734" t="str">
            <v>Week 12</v>
          </cell>
          <cell r="Z734">
            <v>46097</v>
          </cell>
          <cell r="AA734">
            <v>43</v>
          </cell>
          <cell r="AB734">
            <v>3.5709999999999999E-2</v>
          </cell>
        </row>
        <row r="735">
          <cell r="A735" t="str">
            <v>F-2026-03-102</v>
          </cell>
          <cell r="B735"/>
          <cell r="C735" t="str">
            <v>RPRO-260306-1606</v>
          </cell>
          <cell r="D735" t="str">
            <v>Pro.sche.report 05.3</v>
          </cell>
          <cell r="E735" t="str">
            <v>BDB-000346</v>
          </cell>
          <cell r="F735" t="str">
            <v>PVN-004188</v>
          </cell>
          <cell r="G735" t="str">
            <v>OrthoLite Float NEUTRAL GRAY/17-4402TPX Flat Sheet 0.12D 21+/-4 Asker C 1.1M 1.47M 5.5mm</v>
          </cell>
          <cell r="H735">
            <v>675</v>
          </cell>
          <cell r="I735">
            <v>675</v>
          </cell>
          <cell r="J735">
            <v>675</v>
          </cell>
          <cell r="K735">
            <v>0</v>
          </cell>
          <cell r="L735" t="str">
            <v>PUMA</v>
          </cell>
          <cell r="M735" t="str">
            <v>Pr.Sch.R</v>
          </cell>
          <cell r="N735" t="str">
            <v>MOLDED</v>
          </cell>
          <cell r="O735">
            <v>1</v>
          </cell>
          <cell r="P735">
            <v>46087</v>
          </cell>
          <cell r="Q735">
            <v>46106</v>
          </cell>
          <cell r="R735">
            <v>46103</v>
          </cell>
          <cell r="S735">
            <v>19</v>
          </cell>
          <cell r="T735">
            <v>5.5</v>
          </cell>
          <cell r="U735">
            <v>25</v>
          </cell>
          <cell r="V735">
            <v>27</v>
          </cell>
          <cell r="W735" t="e">
            <v>#N/A</v>
          </cell>
          <cell r="X735" t="str">
            <v>3-2026</v>
          </cell>
          <cell r="Y735" t="str">
            <v>Week 12</v>
          </cell>
          <cell r="Z735">
            <v>46097</v>
          </cell>
          <cell r="AA735">
            <v>85</v>
          </cell>
          <cell r="AB735">
            <v>0.04</v>
          </cell>
        </row>
        <row r="736">
          <cell r="A736" t="str">
            <v>F-2026-03-103</v>
          </cell>
          <cell r="B736"/>
          <cell r="C736" t="str">
            <v>RPRO-260306-1607</v>
          </cell>
          <cell r="D736" t="str">
            <v>Pro.sche.report 05.3</v>
          </cell>
          <cell r="E736" t="str">
            <v>BDB-000339</v>
          </cell>
          <cell r="F736" t="str">
            <v>PVN-004178</v>
          </cell>
          <cell r="G736" t="str">
            <v>OrthoLite Float NEUTRAL GRAY/17-4402TPX Flat Sheet 0.12D 21+/-4 Asker C 1.1M 2M 5.5mm</v>
          </cell>
          <cell r="H736">
            <v>750</v>
          </cell>
          <cell r="I736">
            <v>750</v>
          </cell>
          <cell r="J736">
            <v>750</v>
          </cell>
          <cell r="K736">
            <v>0</v>
          </cell>
          <cell r="L736" t="str">
            <v>PUMA</v>
          </cell>
          <cell r="M736" t="str">
            <v>Pr.Sch.R</v>
          </cell>
          <cell r="N736" t="str">
            <v>MOLDED</v>
          </cell>
          <cell r="O736">
            <v>1</v>
          </cell>
          <cell r="P736">
            <v>46087</v>
          </cell>
          <cell r="Q736">
            <v>46101</v>
          </cell>
          <cell r="R736">
            <v>46098</v>
          </cell>
          <cell r="S736">
            <v>14</v>
          </cell>
          <cell r="T736">
            <v>5.5</v>
          </cell>
          <cell r="U736">
            <v>25</v>
          </cell>
          <cell r="V736">
            <v>30</v>
          </cell>
          <cell r="W736" t="e">
            <v>#N/A</v>
          </cell>
          <cell r="X736" t="str">
            <v>3-2026</v>
          </cell>
          <cell r="Y736" t="str">
            <v>Week 12</v>
          </cell>
          <cell r="Z736">
            <v>46097</v>
          </cell>
          <cell r="AA736">
            <v>14</v>
          </cell>
          <cell r="AB736">
            <v>0.04</v>
          </cell>
        </row>
        <row r="737">
          <cell r="A737" t="str">
            <v>F-2026-03-104</v>
          </cell>
          <cell r="B737"/>
          <cell r="C737" t="str">
            <v>RPRO-260306-1608</v>
          </cell>
          <cell r="D737" t="str">
            <v>Pro.sche.report 05.3</v>
          </cell>
          <cell r="E737" t="str">
            <v>BDB-000123</v>
          </cell>
          <cell r="F737" t="str">
            <v>PVN-002539</v>
          </cell>
          <cell r="G737" t="str">
            <v>OrthoLite Ultra-Hybrid SEEDPEARL/12-0703TPX Hybrid Flat Sheet 0.085D 25+/-4 Asker C 1.1M 2M 5mm</v>
          </cell>
          <cell r="H737">
            <v>252</v>
          </cell>
          <cell r="I737">
            <v>252</v>
          </cell>
          <cell r="J737">
            <v>252</v>
          </cell>
          <cell r="K737">
            <v>0</v>
          </cell>
          <cell r="L737" t="str">
            <v>BROOKS</v>
          </cell>
          <cell r="M737" t="str">
            <v>Pr.Sch.R</v>
          </cell>
          <cell r="N737" t="str">
            <v>DIE CUT</v>
          </cell>
          <cell r="O737">
            <v>1</v>
          </cell>
          <cell r="P737">
            <v>46087</v>
          </cell>
          <cell r="Q737">
            <v>46102</v>
          </cell>
          <cell r="R737">
            <v>46099</v>
          </cell>
          <cell r="S737">
            <v>15</v>
          </cell>
          <cell r="T737">
            <v>5</v>
          </cell>
          <cell r="U737">
            <v>28</v>
          </cell>
          <cell r="V737">
            <v>9</v>
          </cell>
          <cell r="W737" t="str">
            <v>0.085D</v>
          </cell>
          <cell r="X737" t="str">
            <v>3-2026</v>
          </cell>
          <cell r="Y737" t="str">
            <v>Week 12</v>
          </cell>
          <cell r="Z737">
            <v>46097</v>
          </cell>
          <cell r="AA737">
            <v>1</v>
          </cell>
          <cell r="AB737">
            <v>3.5709999999999999E-2</v>
          </cell>
        </row>
        <row r="738">
          <cell r="A738" t="str">
            <v>F-2026-03-105</v>
          </cell>
          <cell r="B738"/>
          <cell r="C738" t="str">
            <v>RPRO-260306-1609</v>
          </cell>
          <cell r="D738" t="str">
            <v>Pro.sche.report 05.3</v>
          </cell>
          <cell r="E738" t="str">
            <v>BDB-000117</v>
          </cell>
          <cell r="F738" t="str">
            <v>PVN-003234</v>
          </cell>
          <cell r="G738" t="str">
            <v>OrthoLite X-35-Hybrid SEEDPEARL/12-0703TPX Hybrid Flat Sheet 0.145D 25+/-4 Asker C 1.1M 2M 5.5mm</v>
          </cell>
          <cell r="H738">
            <v>125</v>
          </cell>
          <cell r="I738">
            <v>125</v>
          </cell>
          <cell r="J738">
            <v>125</v>
          </cell>
          <cell r="K738">
            <v>0</v>
          </cell>
          <cell r="L738" t="str">
            <v>PUMA</v>
          </cell>
          <cell r="M738" t="str">
            <v>Pr.Sch.R</v>
          </cell>
          <cell r="N738" t="str">
            <v>MOLDED</v>
          </cell>
          <cell r="O738">
            <v>1</v>
          </cell>
          <cell r="P738">
            <v>46087</v>
          </cell>
          <cell r="Q738">
            <v>46097</v>
          </cell>
          <cell r="R738">
            <v>46094</v>
          </cell>
          <cell r="S738">
            <v>10</v>
          </cell>
          <cell r="T738">
            <v>5.5</v>
          </cell>
          <cell r="U738">
            <v>25</v>
          </cell>
          <cell r="V738">
            <v>5</v>
          </cell>
          <cell r="W738" t="str">
            <v>0.145D</v>
          </cell>
          <cell r="X738" t="str">
            <v>3-2026</v>
          </cell>
          <cell r="Y738" t="str">
            <v>Week 11</v>
          </cell>
          <cell r="Z738">
            <v>46090</v>
          </cell>
          <cell r="AA738">
            <v>3</v>
          </cell>
          <cell r="AB738">
            <v>0.04</v>
          </cell>
        </row>
        <row r="739">
          <cell r="A739" t="str">
            <v>F-2026-03-106</v>
          </cell>
          <cell r="B739"/>
          <cell r="C739" t="str">
            <v>RPRO-260306-1610</v>
          </cell>
          <cell r="D739" t="str">
            <v>Pro.sche.report 05.3</v>
          </cell>
          <cell r="E739" t="str">
            <v>BDB-000010</v>
          </cell>
          <cell r="F739" t="str">
            <v>PVN-003437</v>
          </cell>
          <cell r="G739" t="str">
            <v>OrthoLite Regular AIR BLUE/16-4134TPX Flat Sheet 0.11D 25+/-4 Asker C 1.1M 2M 10.5mm</v>
          </cell>
          <cell r="H739">
            <v>132</v>
          </cell>
          <cell r="I739">
            <v>132</v>
          </cell>
          <cell r="J739">
            <v>132</v>
          </cell>
          <cell r="K739">
            <v>0</v>
          </cell>
          <cell r="L739" t="str">
            <v>TRAVIS MATHEW</v>
          </cell>
          <cell r="M739" t="str">
            <v>Pr.Sch.R</v>
          </cell>
          <cell r="N739" t="str">
            <v>MOLDED</v>
          </cell>
          <cell r="O739">
            <v>1</v>
          </cell>
          <cell r="P739">
            <v>46087</v>
          </cell>
          <cell r="Q739">
            <v>46106</v>
          </cell>
          <cell r="R739">
            <v>46103</v>
          </cell>
          <cell r="S739">
            <v>19</v>
          </cell>
          <cell r="T739">
            <v>10.5</v>
          </cell>
          <cell r="U739">
            <v>12</v>
          </cell>
          <cell r="V739">
            <v>11</v>
          </cell>
          <cell r="W739" t="str">
            <v>0.11D</v>
          </cell>
          <cell r="X739" t="str">
            <v>3-2026</v>
          </cell>
          <cell r="Y739" t="str">
            <v>Week 12</v>
          </cell>
          <cell r="Z739">
            <v>46097</v>
          </cell>
          <cell r="AA739">
            <v>26</v>
          </cell>
          <cell r="AB739">
            <v>8.3330000000000001E-2</v>
          </cell>
        </row>
        <row r="740">
          <cell r="A740" t="str">
            <v>F-2026-03-107</v>
          </cell>
          <cell r="B740"/>
          <cell r="C740" t="str">
            <v>RPRO-260306-1611</v>
          </cell>
          <cell r="D740" t="str">
            <v>Pro.sche.report 05.3</v>
          </cell>
          <cell r="E740" t="str">
            <v>BDB-000242</v>
          </cell>
          <cell r="F740" t="str">
            <v>PVN-003614</v>
          </cell>
          <cell r="G740" t="str">
            <v>OrthoLite Regular GREY/17-1501TPX Flat Sheet 0.11D 5-10 Asker C 1.1M 2M 3.5mm</v>
          </cell>
          <cell r="H740">
            <v>280</v>
          </cell>
          <cell r="I740">
            <v>280</v>
          </cell>
          <cell r="J740">
            <v>280</v>
          </cell>
          <cell r="K740">
            <v>0</v>
          </cell>
          <cell r="L740" t="str">
            <v>TRAVIS MATHEW</v>
          </cell>
          <cell r="M740" t="str">
            <v>Pr.Sch.R</v>
          </cell>
          <cell r="N740" t="str">
            <v>MOLDED</v>
          </cell>
          <cell r="O740">
            <v>1</v>
          </cell>
          <cell r="P740">
            <v>46087</v>
          </cell>
          <cell r="Q740">
            <v>46107</v>
          </cell>
          <cell r="R740">
            <v>46104</v>
          </cell>
          <cell r="S740">
            <v>20</v>
          </cell>
          <cell r="T740">
            <v>3.5</v>
          </cell>
          <cell r="U740">
            <v>40</v>
          </cell>
          <cell r="V740">
            <v>7</v>
          </cell>
          <cell r="W740" t="str">
            <v>0.11D</v>
          </cell>
          <cell r="X740" t="str">
            <v>3-2026</v>
          </cell>
          <cell r="Y740" t="str">
            <v>Week 12</v>
          </cell>
          <cell r="Z740">
            <v>46097</v>
          </cell>
          <cell r="AA740">
            <v>12</v>
          </cell>
          <cell r="AB740">
            <v>2.5000000000000001E-2</v>
          </cell>
        </row>
        <row r="741">
          <cell r="A741" t="str">
            <v>F-2026-03-108</v>
          </cell>
          <cell r="B741"/>
          <cell r="C741" t="str">
            <v>RPRO-260306-1612</v>
          </cell>
          <cell r="D741" t="str">
            <v>Pro.sche.report 05.3</v>
          </cell>
          <cell r="E741" t="str">
            <v>BDB-000011</v>
          </cell>
          <cell r="F741" t="str">
            <v>PVN-000121</v>
          </cell>
          <cell r="G741" t="str">
            <v>OrthoLite Regular AIR BLUE/16-4134TPX Flat Sheet 0.13D 35+/-4 Asker C 1.1M 2M 12mm</v>
          </cell>
          <cell r="H741">
            <v>121</v>
          </cell>
          <cell r="I741">
            <v>121</v>
          </cell>
          <cell r="J741">
            <v>121</v>
          </cell>
          <cell r="K741">
            <v>0</v>
          </cell>
          <cell r="L741" t="str">
            <v>ASICS</v>
          </cell>
          <cell r="M741" t="str">
            <v>Pr.Sch.R</v>
          </cell>
          <cell r="N741" t="str">
            <v>MOLDED</v>
          </cell>
          <cell r="O741">
            <v>1</v>
          </cell>
          <cell r="P741">
            <v>46087</v>
          </cell>
          <cell r="Q741">
            <v>46104</v>
          </cell>
          <cell r="R741">
            <v>46101</v>
          </cell>
          <cell r="S741">
            <v>17</v>
          </cell>
          <cell r="T741">
            <v>12</v>
          </cell>
          <cell r="U741">
            <v>11.5</v>
          </cell>
          <cell r="V741">
            <v>11</v>
          </cell>
          <cell r="W741" t="str">
            <v>0.13D</v>
          </cell>
          <cell r="X741" t="str">
            <v>3-2026</v>
          </cell>
          <cell r="Y741" t="str">
            <v>Week 12</v>
          </cell>
          <cell r="Z741">
            <v>46097</v>
          </cell>
          <cell r="AA741">
            <v>87</v>
          </cell>
          <cell r="AB741">
            <v>8.6959999999999996E-2</v>
          </cell>
        </row>
        <row r="742">
          <cell r="A742" t="str">
            <v>F-2026-03-109</v>
          </cell>
          <cell r="B742"/>
          <cell r="C742" t="str">
            <v>RPRO-260306-1613</v>
          </cell>
          <cell r="D742" t="str">
            <v>Pro.sche.report 05.3</v>
          </cell>
          <cell r="E742" t="str">
            <v>BDB-000008</v>
          </cell>
          <cell r="F742" t="str">
            <v>PVN-000505</v>
          </cell>
          <cell r="G742" t="str">
            <v>OrthoLite Regular LIME GREEN/14-0452TPX Flat Sheet 0.11D 25+/-4 Asker C 1.1M 2M 12mm</v>
          </cell>
          <cell r="H742">
            <v>11</v>
          </cell>
          <cell r="I742">
            <v>11</v>
          </cell>
          <cell r="J742">
            <v>11</v>
          </cell>
          <cell r="K742">
            <v>0</v>
          </cell>
          <cell r="L742" t="str">
            <v>ASICS</v>
          </cell>
          <cell r="M742" t="str">
            <v>Pr.Sch.R</v>
          </cell>
          <cell r="N742" t="str">
            <v>MOLDED</v>
          </cell>
          <cell r="O742">
            <v>1</v>
          </cell>
          <cell r="P742">
            <v>46087</v>
          </cell>
          <cell r="Q742">
            <v>46105</v>
          </cell>
          <cell r="R742">
            <v>46102</v>
          </cell>
          <cell r="S742">
            <v>18</v>
          </cell>
          <cell r="T742">
            <v>12</v>
          </cell>
          <cell r="U742">
            <v>11.5</v>
          </cell>
          <cell r="V742">
            <v>1</v>
          </cell>
          <cell r="W742" t="str">
            <v>0.11D</v>
          </cell>
          <cell r="X742" t="str">
            <v>3-2026</v>
          </cell>
          <cell r="Y742" t="str">
            <v>Week 12</v>
          </cell>
          <cell r="Z742">
            <v>46097</v>
          </cell>
          <cell r="AA742">
            <v>136</v>
          </cell>
          <cell r="AB742">
            <v>8.6959999999999996E-2</v>
          </cell>
        </row>
        <row r="743">
          <cell r="A743" t="str">
            <v>F-2026-03-110</v>
          </cell>
          <cell r="B743"/>
          <cell r="C743" t="str">
            <v>RPRO-260306-1614</v>
          </cell>
          <cell r="D743" t="str">
            <v>Pro.sche.report 05.3</v>
          </cell>
          <cell r="E743" t="str">
            <v>BDB-000026</v>
          </cell>
          <cell r="F743" t="str">
            <v>PVN-000369</v>
          </cell>
          <cell r="G743" t="str">
            <v>OrthoLite Regular YELLOW/13-0858TPX Flat Sheet 0.13D 35+/-4 Asker C 1.1M 2M 2mm</v>
          </cell>
          <cell r="H743">
            <v>70</v>
          </cell>
          <cell r="I743">
            <v>70</v>
          </cell>
          <cell r="J743">
            <v>70</v>
          </cell>
          <cell r="K743">
            <v>0</v>
          </cell>
          <cell r="L743" t="str">
            <v>SALOMON</v>
          </cell>
          <cell r="M743" t="str">
            <v>Pr.Sch.R</v>
          </cell>
          <cell r="N743" t="str">
            <v>MOLDED</v>
          </cell>
          <cell r="O743">
            <v>1</v>
          </cell>
          <cell r="P743">
            <v>46087</v>
          </cell>
          <cell r="Q743">
            <v>46107</v>
          </cell>
          <cell r="R743">
            <v>46104</v>
          </cell>
          <cell r="S743">
            <v>20</v>
          </cell>
          <cell r="T743">
            <v>2</v>
          </cell>
          <cell r="U743">
            <v>70</v>
          </cell>
          <cell r="V743">
            <v>2</v>
          </cell>
          <cell r="W743" t="str">
            <v>0.13D</v>
          </cell>
          <cell r="X743" t="str">
            <v>3-2026</v>
          </cell>
          <cell r="Y743" t="str">
            <v>Week 12</v>
          </cell>
          <cell r="Z743">
            <v>46097</v>
          </cell>
          <cell r="AA743">
            <v>18</v>
          </cell>
          <cell r="AB743">
            <v>1.4290000000000001E-2</v>
          </cell>
        </row>
        <row r="744">
          <cell r="A744" t="str">
            <v>F-2026-03-111</v>
          </cell>
          <cell r="B744"/>
          <cell r="C744" t="str">
            <v>RPRO-260306-1615</v>
          </cell>
          <cell r="D744" t="str">
            <v>Pro.sche.report 05.3</v>
          </cell>
          <cell r="E744" t="str">
            <v>BDB-000123</v>
          </cell>
          <cell r="F744" t="str">
            <v>PVN-004024</v>
          </cell>
          <cell r="G744" t="str">
            <v>OrthoLite Ultra-Hybrid SEEDPEARL/12-0703TPX Hybrid Flat Sheet 0.085D 25+/-4 Asker C 1.1M 2M 5.2mm</v>
          </cell>
          <cell r="H744">
            <v>78</v>
          </cell>
          <cell r="I744">
            <v>78</v>
          </cell>
          <cell r="J744">
            <v>78</v>
          </cell>
          <cell r="K744">
            <v>0</v>
          </cell>
          <cell r="L744" t="str">
            <v>SALOMON</v>
          </cell>
          <cell r="M744" t="str">
            <v>Pr.Sch.R</v>
          </cell>
          <cell r="N744" t="str">
            <v>MOLDED</v>
          </cell>
          <cell r="O744">
            <v>1</v>
          </cell>
          <cell r="P744">
            <v>46087</v>
          </cell>
          <cell r="Q744">
            <v>46106</v>
          </cell>
          <cell r="R744">
            <v>46103</v>
          </cell>
          <cell r="S744">
            <v>19</v>
          </cell>
          <cell r="T744">
            <v>5.2</v>
          </cell>
          <cell r="U744">
            <v>26</v>
          </cell>
          <cell r="V744">
            <v>3</v>
          </cell>
          <cell r="W744" t="str">
            <v>0.085D</v>
          </cell>
          <cell r="X744" t="str">
            <v>3-2026</v>
          </cell>
          <cell r="Y744" t="str">
            <v>Week 12</v>
          </cell>
          <cell r="Z744">
            <v>46097</v>
          </cell>
          <cell r="AA744">
            <v>56</v>
          </cell>
          <cell r="AB744">
            <v>3.8460000000000001E-2</v>
          </cell>
        </row>
        <row r="745">
          <cell r="A745" t="str">
            <v>F-2026-03-112</v>
          </cell>
          <cell r="B745"/>
          <cell r="C745" t="str">
            <v>RPRO-260306-1616</v>
          </cell>
          <cell r="D745" t="str">
            <v>Pro.sche.report 05.3</v>
          </cell>
          <cell r="E745" t="str">
            <v>BDB-000052</v>
          </cell>
          <cell r="F745" t="str">
            <v>PVN-003603</v>
          </cell>
          <cell r="G745" t="str">
            <v>OrthoLite X-40 TRUE BLUE/19-4057TPX Flat Sheet 0.16D 25+/-4 Asker C 1.1M 1.47M 12mm</v>
          </cell>
          <cell r="H745">
            <v>110</v>
          </cell>
          <cell r="I745">
            <v>110</v>
          </cell>
          <cell r="J745">
            <v>110</v>
          </cell>
          <cell r="K745">
            <v>0</v>
          </cell>
          <cell r="L745" t="str">
            <v>ASICS</v>
          </cell>
          <cell r="M745" t="str">
            <v>Pr.Sch.R</v>
          </cell>
          <cell r="N745" t="str">
            <v>MOLDED</v>
          </cell>
          <cell r="O745">
            <v>1</v>
          </cell>
          <cell r="P745">
            <v>46087</v>
          </cell>
          <cell r="Q745">
            <v>46107</v>
          </cell>
          <cell r="R745">
            <v>46104</v>
          </cell>
          <cell r="S745">
            <v>20</v>
          </cell>
          <cell r="T745">
            <v>12</v>
          </cell>
          <cell r="U745">
            <v>11.5</v>
          </cell>
          <cell r="V745">
            <v>10</v>
          </cell>
          <cell r="W745" t="str">
            <v>0.16D</v>
          </cell>
          <cell r="X745" t="str">
            <v>3-2026</v>
          </cell>
          <cell r="Y745" t="str">
            <v>Week 12</v>
          </cell>
          <cell r="Z745">
            <v>46097</v>
          </cell>
          <cell r="AA745">
            <v>57</v>
          </cell>
          <cell r="AB745">
            <v>8.6959999999999996E-2</v>
          </cell>
        </row>
        <row r="746">
          <cell r="A746" t="str">
            <v>F-2026-03-113</v>
          </cell>
          <cell r="B746"/>
          <cell r="C746" t="str">
            <v>RPRO-260306-1617</v>
          </cell>
          <cell r="D746" t="str">
            <v>Pro.sche.report 05.3</v>
          </cell>
          <cell r="E746" t="str">
            <v>BDB-000113</v>
          </cell>
          <cell r="F746" t="str">
            <v>PVN-002699</v>
          </cell>
          <cell r="G746" t="str">
            <v>OrthoLite Regular-Hybrid SEEDPEARL/12-0703TPX Hybrid Flat Sheet 0.11D 25+/-4 Asker C 1.1M 2M 4.5mm</v>
          </cell>
          <cell r="H746">
            <v>217</v>
          </cell>
          <cell r="I746">
            <v>217</v>
          </cell>
          <cell r="J746">
            <v>217</v>
          </cell>
          <cell r="K746">
            <v>0</v>
          </cell>
          <cell r="L746" t="str">
            <v>ASICS</v>
          </cell>
          <cell r="M746" t="str">
            <v>Pr.Sch.R</v>
          </cell>
          <cell r="N746" t="str">
            <v>DIE CUT</v>
          </cell>
          <cell r="O746">
            <v>1</v>
          </cell>
          <cell r="P746">
            <v>46087</v>
          </cell>
          <cell r="Q746">
            <v>46097</v>
          </cell>
          <cell r="R746">
            <v>46094</v>
          </cell>
          <cell r="S746">
            <v>10</v>
          </cell>
          <cell r="T746">
            <v>4.5</v>
          </cell>
          <cell r="U746">
            <v>31</v>
          </cell>
          <cell r="V746">
            <v>8</v>
          </cell>
          <cell r="W746" t="str">
            <v>0.11D</v>
          </cell>
          <cell r="X746" t="str">
            <v>3-2026</v>
          </cell>
          <cell r="Y746" t="str">
            <v>Week 11</v>
          </cell>
          <cell r="Z746">
            <v>46090</v>
          </cell>
          <cell r="AA746">
            <v>284</v>
          </cell>
          <cell r="AB746">
            <v>3.2259999999999997E-2</v>
          </cell>
        </row>
        <row r="747">
          <cell r="A747" t="str">
            <v>F-2026-03-114</v>
          </cell>
          <cell r="B747"/>
          <cell r="C747" t="str">
            <v>RPRO-260306-1618</v>
          </cell>
          <cell r="D747" t="str">
            <v>Pro.sche.report 05.3</v>
          </cell>
          <cell r="E747" t="str">
            <v>BDB-000051</v>
          </cell>
          <cell r="F747" t="str">
            <v>PVN-003319</v>
          </cell>
          <cell r="G747" t="str">
            <v>OrthoLite X-40 TRUE BLUE/19-4057TPX Flat Sheet 0.16D 25+/-4 Asker C 1.1M 1.7M 12mm</v>
          </cell>
          <cell r="H747">
            <v>66</v>
          </cell>
          <cell r="I747">
            <v>66</v>
          </cell>
          <cell r="J747">
            <v>66</v>
          </cell>
          <cell r="K747">
            <v>0</v>
          </cell>
          <cell r="L747" t="str">
            <v>ASICS</v>
          </cell>
          <cell r="M747" t="str">
            <v>Pr.Sch.R</v>
          </cell>
          <cell r="N747" t="str">
            <v>MOLDED</v>
          </cell>
          <cell r="O747">
            <v>1</v>
          </cell>
          <cell r="P747">
            <v>46087</v>
          </cell>
          <cell r="Q747">
            <v>46107</v>
          </cell>
          <cell r="R747">
            <v>46104</v>
          </cell>
          <cell r="S747">
            <v>20</v>
          </cell>
          <cell r="T747">
            <v>12</v>
          </cell>
          <cell r="U747">
            <v>11.5</v>
          </cell>
          <cell r="V747">
            <v>6</v>
          </cell>
          <cell r="W747" t="str">
            <v>0.16D</v>
          </cell>
          <cell r="X747" t="str">
            <v>3-2026</v>
          </cell>
          <cell r="Y747" t="str">
            <v>Week 12</v>
          </cell>
          <cell r="Z747">
            <v>46097</v>
          </cell>
          <cell r="AA747">
            <v>114</v>
          </cell>
          <cell r="AB747">
            <v>8.6959999999999996E-2</v>
          </cell>
        </row>
        <row r="748">
          <cell r="A748" t="str">
            <v>F-2026-03-115</v>
          </cell>
          <cell r="B748"/>
          <cell r="C748" t="str">
            <v>RPRO-260306-1619</v>
          </cell>
          <cell r="D748" t="str">
            <v>Pro.sche.report 05.3</v>
          </cell>
          <cell r="E748" t="str">
            <v>BDB-000229</v>
          </cell>
          <cell r="F748" t="str">
            <v>PVN-003692</v>
          </cell>
          <cell r="G748" t="str">
            <v>OrthoLite Ultra-Hybrid SEEDPEARL/12-0703TPX Hybrid Flat Sheet 0.095D 33+/-4 Asker C 1.1M 2M 15.5mm</v>
          </cell>
          <cell r="H748">
            <v>112</v>
          </cell>
          <cell r="I748">
            <v>112</v>
          </cell>
          <cell r="J748">
            <v>112</v>
          </cell>
          <cell r="K748">
            <v>0</v>
          </cell>
          <cell r="L748" t="str">
            <v>GARMONT</v>
          </cell>
          <cell r="M748" t="str">
            <v>Pr.Sch.R</v>
          </cell>
          <cell r="N748" t="str">
            <v>MOLDED</v>
          </cell>
          <cell r="O748">
            <v>1</v>
          </cell>
          <cell r="P748">
            <v>46087</v>
          </cell>
          <cell r="Q748">
            <v>46106</v>
          </cell>
          <cell r="R748">
            <v>46103</v>
          </cell>
          <cell r="S748">
            <v>19</v>
          </cell>
          <cell r="T748">
            <v>15.5</v>
          </cell>
          <cell r="U748">
            <v>8</v>
          </cell>
          <cell r="V748">
            <v>14</v>
          </cell>
          <cell r="W748" t="str">
            <v>0.095D</v>
          </cell>
          <cell r="X748" t="str">
            <v>3-2026</v>
          </cell>
          <cell r="Y748" t="str">
            <v>Week 12</v>
          </cell>
          <cell r="Z748">
            <v>46097</v>
          </cell>
          <cell r="AA748">
            <v>25</v>
          </cell>
          <cell r="AB748">
            <v>0.125</v>
          </cell>
        </row>
        <row r="749">
          <cell r="A749" t="str">
            <v>F-2026-03-116</v>
          </cell>
          <cell r="B749"/>
          <cell r="C749" t="str">
            <v>RPRO-260306-1620</v>
          </cell>
          <cell r="D749" t="str">
            <v>Pro.sche.report 05.3</v>
          </cell>
          <cell r="E749" t="str">
            <v>BDB-000339</v>
          </cell>
          <cell r="F749" t="str">
            <v>PVN-004223</v>
          </cell>
          <cell r="G749" t="str">
            <v>OrthoLite Float NEUTRAL GRAY/17-4402TPX Flat Sheet 0.12D 21+/-4 Asker C 1.1M 2M 5mm</v>
          </cell>
          <cell r="H749">
            <v>112</v>
          </cell>
          <cell r="I749">
            <v>112</v>
          </cell>
          <cell r="J749">
            <v>112</v>
          </cell>
          <cell r="K749">
            <v>0</v>
          </cell>
          <cell r="L749" t="str">
            <v>PUMA</v>
          </cell>
          <cell r="M749" t="str">
            <v>Pr.Sch.R</v>
          </cell>
          <cell r="N749" t="str">
            <v>DIE CUT</v>
          </cell>
          <cell r="O749">
            <v>1</v>
          </cell>
          <cell r="P749">
            <v>46087</v>
          </cell>
          <cell r="Q749">
            <v>46107</v>
          </cell>
          <cell r="R749">
            <v>46104</v>
          </cell>
          <cell r="S749">
            <v>20</v>
          </cell>
          <cell r="T749">
            <v>5</v>
          </cell>
          <cell r="U749">
            <v>28</v>
          </cell>
          <cell r="V749">
            <v>4</v>
          </cell>
          <cell r="W749" t="e">
            <v>#N/A</v>
          </cell>
          <cell r="X749" t="str">
            <v>3-2026</v>
          </cell>
          <cell r="Y749" t="str">
            <v>Week 12</v>
          </cell>
          <cell r="Z749">
            <v>46097</v>
          </cell>
          <cell r="AA749">
            <v>14</v>
          </cell>
          <cell r="AB749">
            <v>3.5709999999999999E-2</v>
          </cell>
        </row>
        <row r="750">
          <cell r="A750" t="str">
            <v>F-2026-03-117</v>
          </cell>
          <cell r="B750"/>
          <cell r="C750" t="str">
            <v>RPRO-260306-1621</v>
          </cell>
          <cell r="D750" t="str">
            <v>Pro.sche.report 05.3</v>
          </cell>
          <cell r="E750" t="str">
            <v>BDB-000229</v>
          </cell>
          <cell r="F750" t="str">
            <v>PVN-003878</v>
          </cell>
          <cell r="G750" t="str">
            <v>OrthoLite Ultra-Hybrid SEEDPEARL/12-0703TPX Hybrid Flat Sheet 0.095D 33+/-4 Asker C 1.1M 2M 4mm</v>
          </cell>
          <cell r="H750">
            <v>105</v>
          </cell>
          <cell r="I750">
            <v>105</v>
          </cell>
          <cell r="J750">
            <v>105</v>
          </cell>
          <cell r="K750">
            <v>0</v>
          </cell>
          <cell r="L750" t="str">
            <v>ON RUNNING</v>
          </cell>
          <cell r="M750" t="str">
            <v>Pr.Sch.R</v>
          </cell>
          <cell r="N750" t="str">
            <v>DIE CUT</v>
          </cell>
          <cell r="O750">
            <v>1</v>
          </cell>
          <cell r="P750">
            <v>46087</v>
          </cell>
          <cell r="Q750">
            <v>46099</v>
          </cell>
          <cell r="R750">
            <v>46096</v>
          </cell>
          <cell r="S750">
            <v>12</v>
          </cell>
          <cell r="T750">
            <v>4</v>
          </cell>
          <cell r="U750">
            <v>35</v>
          </cell>
          <cell r="V750">
            <v>3</v>
          </cell>
          <cell r="W750" t="str">
            <v>0.095D</v>
          </cell>
          <cell r="X750" t="str">
            <v>3-2026</v>
          </cell>
          <cell r="Y750" t="str">
            <v>Week 11</v>
          </cell>
          <cell r="Z750">
            <v>46090</v>
          </cell>
          <cell r="AA750">
            <v>37</v>
          </cell>
          <cell r="AB750">
            <v>2.8570000000000002E-2</v>
          </cell>
        </row>
        <row r="751">
          <cell r="A751" t="str">
            <v>F-2026-03-118</v>
          </cell>
          <cell r="B751"/>
          <cell r="C751" t="str">
            <v>RPRO-260306-1622</v>
          </cell>
          <cell r="D751" t="str">
            <v>Pro.sche.report 05.3</v>
          </cell>
          <cell r="E751" t="str">
            <v>BDB-000332</v>
          </cell>
          <cell r="F751" t="str">
            <v>PVN-004146</v>
          </cell>
          <cell r="G751" t="str">
            <v>OrthoLite X-25 CASTLEROCK/18-0201TPX Flat Sheet 0.12D 20+/-4 Asker C 1.1M 2M 5.5mm</v>
          </cell>
          <cell r="H751">
            <v>550</v>
          </cell>
          <cell r="I751">
            <v>550</v>
          </cell>
          <cell r="J751">
            <v>550</v>
          </cell>
          <cell r="K751">
            <v>0</v>
          </cell>
          <cell r="L751" t="str">
            <v>ON RUNNING</v>
          </cell>
          <cell r="M751" t="str">
            <v>Pr.Sch.R</v>
          </cell>
          <cell r="N751" t="str">
            <v>MOLDED</v>
          </cell>
          <cell r="O751">
            <v>1</v>
          </cell>
          <cell r="P751">
            <v>46087</v>
          </cell>
          <cell r="Q751">
            <v>46100</v>
          </cell>
          <cell r="R751">
            <v>46097</v>
          </cell>
          <cell r="S751">
            <v>13</v>
          </cell>
          <cell r="T751">
            <v>5.5</v>
          </cell>
          <cell r="U751">
            <v>25</v>
          </cell>
          <cell r="V751">
            <v>22</v>
          </cell>
          <cell r="W751" t="e">
            <v>#N/A</v>
          </cell>
          <cell r="X751" t="str">
            <v>3-2026</v>
          </cell>
          <cell r="Y751" t="str">
            <v>Week 11</v>
          </cell>
          <cell r="Z751">
            <v>46090</v>
          </cell>
          <cell r="AA751">
            <v>89</v>
          </cell>
          <cell r="AB751">
            <v>0.04</v>
          </cell>
        </row>
        <row r="752">
          <cell r="A752" t="str">
            <v>F-2026-03-119</v>
          </cell>
          <cell r="B752"/>
          <cell r="C752" t="str">
            <v>RPRO-260306-1623</v>
          </cell>
          <cell r="D752" t="str">
            <v>Pro.sche.report 05.3</v>
          </cell>
          <cell r="E752" t="str">
            <v>BDB-000355</v>
          </cell>
          <cell r="F752" t="str">
            <v>PVN-004231</v>
          </cell>
          <cell r="G752" t="str">
            <v>OrthoLite HybridPlus-Recycled CASTLEROCK/18-0201TPX Hybrid Flat Sheet 0.12D 25+/-4 Asker C 1.1M 2M 4.5mm</v>
          </cell>
          <cell r="H752">
            <v>1500</v>
          </cell>
          <cell r="I752">
            <v>1500</v>
          </cell>
          <cell r="J752">
            <v>1500</v>
          </cell>
          <cell r="K752">
            <v>0</v>
          </cell>
          <cell r="L752" t="str">
            <v>ON RUNNING</v>
          </cell>
          <cell r="M752" t="str">
            <v>Pr.Sch.R</v>
          </cell>
          <cell r="N752" t="str">
            <v>MOLDED</v>
          </cell>
          <cell r="O752">
            <v>1</v>
          </cell>
          <cell r="P752">
            <v>46087</v>
          </cell>
          <cell r="Q752">
            <v>46097</v>
          </cell>
          <cell r="R752">
            <v>46094</v>
          </cell>
          <cell r="S752">
            <v>10</v>
          </cell>
          <cell r="T752">
            <v>4.5</v>
          </cell>
          <cell r="U752">
            <v>31</v>
          </cell>
          <cell r="V752">
            <v>49</v>
          </cell>
          <cell r="W752" t="e">
            <v>#N/A</v>
          </cell>
          <cell r="X752" t="str">
            <v>3-2026</v>
          </cell>
          <cell r="Y752" t="str">
            <v>Week 11</v>
          </cell>
          <cell r="Z752">
            <v>46090</v>
          </cell>
          <cell r="AA752">
            <v>60</v>
          </cell>
          <cell r="AB752">
            <v>3.2259999999999997E-2</v>
          </cell>
        </row>
        <row r="753">
          <cell r="A753" t="str">
            <v>F-2026-03-120</v>
          </cell>
          <cell r="B753"/>
          <cell r="C753" t="str">
            <v>RPRO-260306-1624</v>
          </cell>
          <cell r="D753" t="str">
            <v>Pro.sche.report 05.3</v>
          </cell>
          <cell r="E753" t="str">
            <v>BDB-000355</v>
          </cell>
          <cell r="F753" t="str">
            <v>PVN-004231</v>
          </cell>
          <cell r="G753" t="str">
            <v>OrthoLite HybridPlus-Recycled CASTLEROCK/18-0201TPX Hybrid Flat Sheet 0.12D 25+/-4 Asker C 1.1M 2M 4.5mm</v>
          </cell>
          <cell r="H753">
            <v>1662</v>
          </cell>
          <cell r="I753">
            <v>1662</v>
          </cell>
          <cell r="J753">
            <v>1662</v>
          </cell>
          <cell r="K753">
            <v>0</v>
          </cell>
          <cell r="L753" t="str">
            <v>ON RUNNING</v>
          </cell>
          <cell r="M753" t="str">
            <v>Pr.Sch.R</v>
          </cell>
          <cell r="N753" t="str">
            <v>MOLDED</v>
          </cell>
          <cell r="O753">
            <v>1</v>
          </cell>
          <cell r="P753">
            <v>46087</v>
          </cell>
          <cell r="Q753">
            <v>46107</v>
          </cell>
          <cell r="R753">
            <v>46104</v>
          </cell>
          <cell r="S753">
            <v>20</v>
          </cell>
          <cell r="T753">
            <v>4.5</v>
          </cell>
          <cell r="U753">
            <v>31</v>
          </cell>
          <cell r="V753">
            <v>54</v>
          </cell>
          <cell r="W753" t="e">
            <v>#N/A</v>
          </cell>
          <cell r="X753" t="str">
            <v>3-2026</v>
          </cell>
          <cell r="Y753" t="str">
            <v>Week 12</v>
          </cell>
          <cell r="Z753">
            <v>46097</v>
          </cell>
          <cell r="AA753">
            <v>93</v>
          </cell>
          <cell r="AB753">
            <v>3.2259999999999997E-2</v>
          </cell>
        </row>
        <row r="754">
          <cell r="A754" t="str">
            <v>F-2026-03-121</v>
          </cell>
          <cell r="B754"/>
          <cell r="C754" t="str">
            <v>RPRO-260306-1625</v>
          </cell>
          <cell r="D754" t="str">
            <v>Pro.sche.report 05.3</v>
          </cell>
          <cell r="E754" t="str">
            <v>BDB-000317</v>
          </cell>
          <cell r="F754" t="str">
            <v>PVN-004076</v>
          </cell>
          <cell r="G754" t="str">
            <v>OrthoLite Regular NEUTRAL GRAY/17-4402TPX Flat Sheet 0.13D 15+/-4 Asker C 1.1M 2M 24mm</v>
          </cell>
          <cell r="H754">
            <v>40</v>
          </cell>
          <cell r="I754">
            <v>40</v>
          </cell>
          <cell r="J754">
            <v>40</v>
          </cell>
          <cell r="K754">
            <v>0</v>
          </cell>
          <cell r="L754" t="str">
            <v>ASICS</v>
          </cell>
          <cell r="M754" t="str">
            <v>Pr.Sch.R</v>
          </cell>
          <cell r="N754" t="str">
            <v>MOLDED</v>
          </cell>
          <cell r="O754">
            <v>1</v>
          </cell>
          <cell r="P754">
            <v>46087</v>
          </cell>
          <cell r="Q754">
            <v>46099</v>
          </cell>
          <cell r="R754">
            <v>46096</v>
          </cell>
          <cell r="S754">
            <v>12</v>
          </cell>
          <cell r="T754">
            <v>24</v>
          </cell>
          <cell r="U754">
            <v>5</v>
          </cell>
          <cell r="V754">
            <v>8</v>
          </cell>
          <cell r="W754" t="e">
            <v>#N/A</v>
          </cell>
          <cell r="X754" t="str">
            <v>3-2026</v>
          </cell>
          <cell r="Y754" t="str">
            <v>Week 11</v>
          </cell>
          <cell r="Z754">
            <v>46090</v>
          </cell>
          <cell r="AA754">
            <v>8</v>
          </cell>
          <cell r="AB754">
            <v>0.2</v>
          </cell>
        </row>
        <row r="755">
          <cell r="A755" t="str">
            <v>F-2026-03-122</v>
          </cell>
          <cell r="B755"/>
          <cell r="C755" t="str">
            <v>RPRO-260306-1626</v>
          </cell>
          <cell r="D755" t="str">
            <v>Pro.sche.report 05.3</v>
          </cell>
          <cell r="E755" t="str">
            <v>BDB-000325</v>
          </cell>
          <cell r="F755" t="str">
            <v>PVN-004115</v>
          </cell>
          <cell r="G755" t="str">
            <v>OrthoLite X-40 TRUE BLUE/19-4057TPX Flat Sheet 0.16D 35+/-4 Asker C 1.1M 2M 4mm</v>
          </cell>
          <cell r="H755">
            <v>70</v>
          </cell>
          <cell r="I755">
            <v>70</v>
          </cell>
          <cell r="J755">
            <v>70</v>
          </cell>
          <cell r="K755">
            <v>0</v>
          </cell>
          <cell r="L755" t="str">
            <v>ASICS</v>
          </cell>
          <cell r="M755" t="str">
            <v>Pr.Sch.R</v>
          </cell>
          <cell r="N755" t="str">
            <v>MOLDED</v>
          </cell>
          <cell r="O755">
            <v>1</v>
          </cell>
          <cell r="P755">
            <v>46087</v>
          </cell>
          <cell r="Q755">
            <v>46099</v>
          </cell>
          <cell r="R755">
            <v>46096</v>
          </cell>
          <cell r="S755">
            <v>12</v>
          </cell>
          <cell r="T755">
            <v>4</v>
          </cell>
          <cell r="U755">
            <v>35</v>
          </cell>
          <cell r="V755">
            <v>2</v>
          </cell>
          <cell r="W755" t="e">
            <v>#N/A</v>
          </cell>
          <cell r="X755" t="str">
            <v>3-2026</v>
          </cell>
          <cell r="Y755" t="str">
            <v>Week 11</v>
          </cell>
          <cell r="Z755">
            <v>46090</v>
          </cell>
          <cell r="AA755">
            <v>136</v>
          </cell>
          <cell r="AB755">
            <v>2.8570000000000002E-2</v>
          </cell>
        </row>
        <row r="756">
          <cell r="A756" t="str">
            <v>F-2026-03-123</v>
          </cell>
          <cell r="B756"/>
          <cell r="C756" t="str">
            <v>RPRO-260306-1627</v>
          </cell>
          <cell r="D756" t="str">
            <v>Pro.sche.report 05.3</v>
          </cell>
          <cell r="E756" t="str">
            <v>BDB-000154</v>
          </cell>
          <cell r="F756" t="str">
            <v>PVN-003347</v>
          </cell>
          <cell r="G756" t="str">
            <v>OrthoLite X-40-Nike TRUE BLUE/19-4057TPX Flat Sheet 0.16D 35+/-4 Asker C 1.1M 1.7M 4mm</v>
          </cell>
          <cell r="H756">
            <v>595</v>
          </cell>
          <cell r="I756">
            <v>595</v>
          </cell>
          <cell r="J756">
            <v>595</v>
          </cell>
          <cell r="K756">
            <v>0</v>
          </cell>
          <cell r="L756" t="str">
            <v>NIKE</v>
          </cell>
          <cell r="M756" t="str">
            <v>Pr.Sch.R</v>
          </cell>
          <cell r="N756" t="str">
            <v>LAMINATING</v>
          </cell>
          <cell r="O756">
            <v>1</v>
          </cell>
          <cell r="P756">
            <v>46087</v>
          </cell>
          <cell r="Q756">
            <v>46105</v>
          </cell>
          <cell r="R756">
            <v>46102</v>
          </cell>
          <cell r="S756">
            <v>18</v>
          </cell>
          <cell r="T756">
            <v>4</v>
          </cell>
          <cell r="U756">
            <v>35</v>
          </cell>
          <cell r="V756">
            <v>17</v>
          </cell>
          <cell r="W756" t="str">
            <v>0.16D</v>
          </cell>
          <cell r="X756" t="str">
            <v>3-2026</v>
          </cell>
          <cell r="Y756" t="str">
            <v>Week 12</v>
          </cell>
          <cell r="Z756">
            <v>46097</v>
          </cell>
          <cell r="AA756">
            <v>51</v>
          </cell>
          <cell r="AB756">
            <v>2.8570000000000002E-2</v>
          </cell>
        </row>
        <row r="757">
          <cell r="A757" t="str">
            <v>OIN-2026.03.06-01</v>
          </cell>
          <cell r="B757" t="str">
            <v>Urgent/LCL</v>
          </cell>
          <cell r="C757" t="str">
            <v>RPRO-260309-0397</v>
          </cell>
          <cell r="D757" t="str">
            <v>OIN</v>
          </cell>
          <cell r="E757" t="str">
            <v>BDB-000164</v>
          </cell>
          <cell r="F757" t="str">
            <v>PVN-004253</v>
          </cell>
          <cell r="G757" t="str">
            <v>[116-12728] Ultra Nike 25+/-4 Asker C 0.085D Grey 17-1501 Tpx 1.10M X 2.00M 47mm</v>
          </cell>
          <cell r="H757">
            <v>16</v>
          </cell>
          <cell r="I757">
            <v>16</v>
          </cell>
          <cell r="J757">
            <v>0</v>
          </cell>
          <cell r="K757">
            <v>16</v>
          </cell>
          <cell r="L757" t="str">
            <v>NIKE</v>
          </cell>
          <cell r="M757" t="str">
            <v>PO-6808-SO-260306-0152</v>
          </cell>
          <cell r="N757" t="str">
            <v>FLAT SHEET</v>
          </cell>
          <cell r="O757">
            <v>2</v>
          </cell>
          <cell r="P757">
            <v>46087</v>
          </cell>
          <cell r="Q757">
            <v>46111</v>
          </cell>
          <cell r="R757">
            <v>46108</v>
          </cell>
          <cell r="S757">
            <v>24</v>
          </cell>
          <cell r="T757">
            <v>47</v>
          </cell>
          <cell r="U757">
            <v>3</v>
          </cell>
          <cell r="V757">
            <v>6</v>
          </cell>
          <cell r="W757" t="str">
            <v>0.085D</v>
          </cell>
          <cell r="X757" t="str">
            <v>3-2026</v>
          </cell>
          <cell r="Y757" t="str">
            <v>Week 13</v>
          </cell>
          <cell r="Z757">
            <v>46104</v>
          </cell>
          <cell r="AA757">
            <v>10</v>
          </cell>
          <cell r="AB757">
            <v>0.33333000000000002</v>
          </cell>
        </row>
        <row r="758">
          <cell r="A758" t="str">
            <v>F-2026-03-124</v>
          </cell>
          <cell r="B758"/>
          <cell r="C758" t="str">
            <v>RPRO-260309-0634</v>
          </cell>
          <cell r="D758" t="str">
            <v>MPS 06.03+07.03+08.03</v>
          </cell>
          <cell r="E758" t="str">
            <v>BDB-000016</v>
          </cell>
          <cell r="F758" t="str">
            <v>PVN-000458</v>
          </cell>
          <cell r="G758" t="str">
            <v>OrthoLite Regular GREEN/16-5932TPX Flat Sheet 0.13D 35+/-4 Asker C 1.1M 2M 3mm</v>
          </cell>
          <cell r="H758">
            <v>727</v>
          </cell>
          <cell r="I758">
            <v>727</v>
          </cell>
          <cell r="J758">
            <v>727</v>
          </cell>
          <cell r="K758">
            <v>0</v>
          </cell>
          <cell r="L758"/>
          <cell r="M758" t="str">
            <v>MPS</v>
          </cell>
          <cell r="N758" t="str">
            <v>SPLITTING</v>
          </cell>
          <cell r="O758">
            <v>2</v>
          </cell>
          <cell r="P758">
            <v>46090</v>
          </cell>
          <cell r="Q758">
            <v>46106</v>
          </cell>
          <cell r="R758">
            <v>46103</v>
          </cell>
          <cell r="S758">
            <v>16</v>
          </cell>
          <cell r="T758">
            <v>3</v>
          </cell>
          <cell r="U758">
            <v>46</v>
          </cell>
          <cell r="V758">
            <v>16</v>
          </cell>
          <cell r="W758" t="str">
            <v>0.13D</v>
          </cell>
          <cell r="X758" t="str">
            <v>3-2026</v>
          </cell>
          <cell r="Y758" t="str">
            <v>Week 12</v>
          </cell>
          <cell r="Z758">
            <v>46097</v>
          </cell>
          <cell r="AA758">
            <v>27</v>
          </cell>
          <cell r="AB758">
            <v>2.1739999999999999E-2</v>
          </cell>
        </row>
        <row r="759">
          <cell r="A759" t="str">
            <v>F-2026-03-125</v>
          </cell>
          <cell r="B759"/>
          <cell r="C759" t="str">
            <v>RPRO-260309-0635</v>
          </cell>
          <cell r="D759" t="str">
            <v>MPS 06.03+07.03+08.03</v>
          </cell>
          <cell r="E759" t="str">
            <v>BDB-000083</v>
          </cell>
          <cell r="F759" t="str">
            <v>PVN-000930</v>
          </cell>
          <cell r="G759" t="str">
            <v>OrthoLite Eco LT 300C(ADIDAS BLUEBIRD) Flat Sheet 0.11D 25+/-4 Asker C 1.1M 2M 3mm</v>
          </cell>
          <cell r="H759">
            <v>824</v>
          </cell>
          <cell r="I759">
            <v>824</v>
          </cell>
          <cell r="J759">
            <v>824</v>
          </cell>
          <cell r="K759">
            <v>0</v>
          </cell>
          <cell r="L759"/>
          <cell r="M759" t="str">
            <v>MPS</v>
          </cell>
          <cell r="N759" t="str">
            <v>SPLITTING</v>
          </cell>
          <cell r="O759">
            <v>2</v>
          </cell>
          <cell r="P759">
            <v>46090</v>
          </cell>
          <cell r="Q759">
            <v>46109</v>
          </cell>
          <cell r="R759">
            <v>46106</v>
          </cell>
          <cell r="S759">
            <v>19</v>
          </cell>
          <cell r="T759">
            <v>3</v>
          </cell>
          <cell r="U759">
            <v>46</v>
          </cell>
          <cell r="V759">
            <v>18</v>
          </cell>
          <cell r="W759" t="str">
            <v>0.11D</v>
          </cell>
          <cell r="X759" t="str">
            <v>3-2026</v>
          </cell>
          <cell r="Y759" t="str">
            <v>Week 12</v>
          </cell>
          <cell r="Z759">
            <v>46097</v>
          </cell>
          <cell r="AA759">
            <v>9</v>
          </cell>
          <cell r="AB759">
            <v>2.1739999999999999E-2</v>
          </cell>
        </row>
        <row r="760">
          <cell r="A760" t="str">
            <v>F-2026-03-126</v>
          </cell>
          <cell r="B760" t="str">
            <v>coa hang som</v>
          </cell>
          <cell r="C760" t="str">
            <v>RPRO-260309-0636</v>
          </cell>
          <cell r="D760" t="str">
            <v>MPS 06.03+07.03+08.03</v>
          </cell>
          <cell r="E760" t="str">
            <v>BDB-000123</v>
          </cell>
          <cell r="F760" t="str">
            <v>PVN-003300</v>
          </cell>
          <cell r="G760" t="str">
            <v>OrthoLite Ultra-Hybrid SEEDPEARL/12-0703TPX Hybrid Flat Sheet 0.085D 25+/-4 Asker C 1.1M 2M 2mm</v>
          </cell>
          <cell r="H760">
            <v>980</v>
          </cell>
          <cell r="I760">
            <v>980</v>
          </cell>
          <cell r="J760">
            <v>980</v>
          </cell>
          <cell r="K760">
            <v>0</v>
          </cell>
          <cell r="L760"/>
          <cell r="M760" t="str">
            <v>MPS</v>
          </cell>
          <cell r="N760" t="str">
            <v>SPLITTING</v>
          </cell>
          <cell r="O760">
            <v>2</v>
          </cell>
          <cell r="P760">
            <v>46090</v>
          </cell>
          <cell r="Q760">
            <v>46104</v>
          </cell>
          <cell r="R760">
            <v>46101</v>
          </cell>
          <cell r="S760">
            <v>14</v>
          </cell>
          <cell r="T760">
            <v>2</v>
          </cell>
          <cell r="U760">
            <v>70</v>
          </cell>
          <cell r="V760">
            <v>15</v>
          </cell>
          <cell r="W760" t="str">
            <v>0.085D</v>
          </cell>
          <cell r="X760" t="str">
            <v>3-2026</v>
          </cell>
          <cell r="Y760" t="str">
            <v>Week 12</v>
          </cell>
          <cell r="Z760">
            <v>46097</v>
          </cell>
          <cell r="AA760">
            <v>16</v>
          </cell>
          <cell r="AB760">
            <v>1.4290000000000001E-2</v>
          </cell>
        </row>
        <row r="761">
          <cell r="A761" t="str">
            <v>F-2026-03-127</v>
          </cell>
          <cell r="B761"/>
          <cell r="C761" t="str">
            <v>RPRO-260309-0637</v>
          </cell>
          <cell r="D761" t="str">
            <v>MPS 06.03+07.03+08.03</v>
          </cell>
          <cell r="E761" t="str">
            <v>BDB-000200</v>
          </cell>
          <cell r="F761" t="str">
            <v>PVN-003418</v>
          </cell>
          <cell r="G761" t="str">
            <v>OrthoLite Ultra SEEDPEARL/12-0703TPX Flat Sheet 0.085D 78-90 Asker F 1.1M 2M 5mm</v>
          </cell>
          <cell r="H761">
            <v>336</v>
          </cell>
          <cell r="I761">
            <v>336</v>
          </cell>
          <cell r="J761">
            <v>336</v>
          </cell>
          <cell r="K761">
            <v>0</v>
          </cell>
          <cell r="L761"/>
          <cell r="M761" t="str">
            <v>MPS</v>
          </cell>
          <cell r="N761" t="str">
            <v>SPLITTING</v>
          </cell>
          <cell r="O761">
            <v>2</v>
          </cell>
          <cell r="P761">
            <v>46090</v>
          </cell>
          <cell r="Q761">
            <v>46107</v>
          </cell>
          <cell r="R761">
            <v>46104</v>
          </cell>
          <cell r="S761">
            <v>17</v>
          </cell>
          <cell r="T761">
            <v>5</v>
          </cell>
          <cell r="U761">
            <v>28</v>
          </cell>
          <cell r="V761">
            <v>12</v>
          </cell>
          <cell r="W761" t="str">
            <v>0.085D</v>
          </cell>
          <cell r="X761" t="str">
            <v>3-2026</v>
          </cell>
          <cell r="Y761" t="str">
            <v>Week 12</v>
          </cell>
          <cell r="Z761">
            <v>46097</v>
          </cell>
          <cell r="AA761">
            <v>133</v>
          </cell>
          <cell r="AB761">
            <v>3.5709999999999999E-2</v>
          </cell>
        </row>
        <row r="762">
          <cell r="A762" t="str">
            <v>F-2026-03-128</v>
          </cell>
          <cell r="B762"/>
          <cell r="C762" t="str">
            <v>RPRO-260309-0638</v>
          </cell>
          <cell r="D762" t="str">
            <v>MPS 06.03+07.03+08.03</v>
          </cell>
          <cell r="E762" t="str">
            <v>BDB-000200</v>
          </cell>
          <cell r="F762" t="str">
            <v>PVN-003425</v>
          </cell>
          <cell r="G762" t="str">
            <v>OrthoLite Ultra SEEDPEARL/12-0703TPX Flat Sheet 0.085D 78-90 Asker F 1.1M 2M 4mm</v>
          </cell>
          <cell r="H762">
            <v>700</v>
          </cell>
          <cell r="I762">
            <v>700</v>
          </cell>
          <cell r="J762">
            <v>700</v>
          </cell>
          <cell r="K762">
            <v>0</v>
          </cell>
          <cell r="L762"/>
          <cell r="M762" t="str">
            <v>MPS</v>
          </cell>
          <cell r="N762" t="str">
            <v>SPLITTING</v>
          </cell>
          <cell r="O762">
            <v>2</v>
          </cell>
          <cell r="P762">
            <v>46090</v>
          </cell>
          <cell r="Q762">
            <v>46106</v>
          </cell>
          <cell r="R762">
            <v>46103</v>
          </cell>
          <cell r="S762">
            <v>16</v>
          </cell>
          <cell r="T762">
            <v>4</v>
          </cell>
          <cell r="U762">
            <v>35</v>
          </cell>
          <cell r="V762">
            <v>20</v>
          </cell>
          <cell r="W762" t="str">
            <v>0.085D</v>
          </cell>
          <cell r="X762" t="str">
            <v>3-2026</v>
          </cell>
          <cell r="Y762" t="str">
            <v>Week 12</v>
          </cell>
          <cell r="Z762">
            <v>46097</v>
          </cell>
          <cell r="AA762">
            <v>215</v>
          </cell>
          <cell r="AB762">
            <v>2.8570000000000002E-2</v>
          </cell>
        </row>
        <row r="763">
          <cell r="A763" t="str">
            <v>F-2026-03-129</v>
          </cell>
          <cell r="B763"/>
          <cell r="C763" t="str">
            <v>RPRO-260309-0639</v>
          </cell>
          <cell r="D763" t="str">
            <v>MPS 06.03+07.03+08.03</v>
          </cell>
          <cell r="E763" t="str">
            <v>BDB-000348</v>
          </cell>
          <cell r="F763" t="str">
            <v>PVN-004210</v>
          </cell>
          <cell r="G763" t="str">
            <v>OrthoLite IMPERIAL SEEDPEARL/12-0703TPX Flat Sheet 0.22D 25+/-4 Asker C 1.1M 1.47M 5mm</v>
          </cell>
          <cell r="H763">
            <v>1904</v>
          </cell>
          <cell r="I763">
            <v>1904</v>
          </cell>
          <cell r="J763">
            <v>1904</v>
          </cell>
          <cell r="K763">
            <v>0</v>
          </cell>
          <cell r="L763"/>
          <cell r="M763" t="str">
            <v>MPS</v>
          </cell>
          <cell r="N763" t="str">
            <v>SPLITTING</v>
          </cell>
          <cell r="O763">
            <v>2</v>
          </cell>
          <cell r="P763">
            <v>46090</v>
          </cell>
          <cell r="Q763">
            <v>46107</v>
          </cell>
          <cell r="R763">
            <v>46104</v>
          </cell>
          <cell r="S763">
            <v>17</v>
          </cell>
          <cell r="T763">
            <v>5</v>
          </cell>
          <cell r="U763">
            <v>28</v>
          </cell>
          <cell r="V763">
            <v>68</v>
          </cell>
          <cell r="W763" t="e">
            <v>#N/A</v>
          </cell>
          <cell r="X763" t="str">
            <v>3-2026</v>
          </cell>
          <cell r="Y763" t="str">
            <v>Week 12</v>
          </cell>
          <cell r="Z763">
            <v>46097</v>
          </cell>
          <cell r="AA763">
            <v>108</v>
          </cell>
          <cell r="AB763">
            <v>3.5709999999999999E-2</v>
          </cell>
        </row>
        <row r="764">
          <cell r="A764" t="str">
            <v>F-2026-03-130</v>
          </cell>
          <cell r="B764"/>
          <cell r="C764" t="str">
            <v>RPRO-260309-0640</v>
          </cell>
          <cell r="D764" t="str">
            <v>Pro.sche.report 06.03+07.03+08.03</v>
          </cell>
          <cell r="E764" t="str">
            <v>BDB-000076</v>
          </cell>
          <cell r="F764" t="str">
            <v>PVN-003448</v>
          </cell>
          <cell r="G764" t="str">
            <v>OrthoLite X-25 BILLIARD/16-5427TPX Flat Sheet 0.12D 20+/-4 Asker C 1.1M 2M 6.2mm</v>
          </cell>
          <cell r="H764">
            <v>44</v>
          </cell>
          <cell r="I764">
            <v>44</v>
          </cell>
          <cell r="J764">
            <v>44</v>
          </cell>
          <cell r="K764">
            <v>0</v>
          </cell>
          <cell r="L764" t="str">
            <v>ADIDAS</v>
          </cell>
          <cell r="M764" t="str">
            <v>Pr.Sch.R</v>
          </cell>
          <cell r="N764" t="str">
            <v>MOLDED</v>
          </cell>
          <cell r="O764">
            <v>1</v>
          </cell>
          <cell r="P764">
            <v>46090</v>
          </cell>
          <cell r="Q764">
            <v>46105</v>
          </cell>
          <cell r="R764">
            <v>46102</v>
          </cell>
          <cell r="S764">
            <v>15</v>
          </cell>
          <cell r="T764">
            <v>6.2</v>
          </cell>
          <cell r="U764">
            <v>22</v>
          </cell>
          <cell r="V764">
            <v>2</v>
          </cell>
          <cell r="W764" t="str">
            <v>0.12D</v>
          </cell>
          <cell r="X764" t="str">
            <v>3-2026</v>
          </cell>
          <cell r="Y764" t="str">
            <v>Week 12</v>
          </cell>
          <cell r="Z764">
            <v>46097</v>
          </cell>
          <cell r="AA764">
            <v>11</v>
          </cell>
          <cell r="AB764">
            <v>4.5449999999999997E-2</v>
          </cell>
        </row>
        <row r="765">
          <cell r="A765" t="str">
            <v>F-2026-03-131</v>
          </cell>
          <cell r="B765"/>
          <cell r="C765" t="str">
            <v>RPRO-260309-0641</v>
          </cell>
          <cell r="D765" t="str">
            <v>Pro.sche.report 06.03+07.03+08.03</v>
          </cell>
          <cell r="E765" t="str">
            <v>BDB-000212</v>
          </cell>
          <cell r="F765" t="str">
            <v>PVN-003530</v>
          </cell>
          <cell r="G765" t="str">
            <v>OrthoLite X-25-Hybrid SEEDPEARL/12-0703TPX Hybrid Flat Sheet 0.12D 20+/-4 Asker C 1.1M 2M 8.2mm</v>
          </cell>
          <cell r="H765">
            <v>68</v>
          </cell>
          <cell r="I765">
            <v>68</v>
          </cell>
          <cell r="J765">
            <v>68</v>
          </cell>
          <cell r="K765">
            <v>0</v>
          </cell>
          <cell r="L765" t="str">
            <v>BABOLAT</v>
          </cell>
          <cell r="M765" t="str">
            <v>Pr.Sch.R</v>
          </cell>
          <cell r="N765" t="str">
            <v>MOLDED</v>
          </cell>
          <cell r="O765">
            <v>1</v>
          </cell>
          <cell r="P765">
            <v>46090</v>
          </cell>
          <cell r="Q765">
            <v>46107</v>
          </cell>
          <cell r="R765">
            <v>46104</v>
          </cell>
          <cell r="S765">
            <v>17</v>
          </cell>
          <cell r="T765">
            <v>8.1999999999999993</v>
          </cell>
          <cell r="U765">
            <v>17</v>
          </cell>
          <cell r="V765">
            <v>4</v>
          </cell>
          <cell r="W765" t="str">
            <v>0.12D</v>
          </cell>
          <cell r="X765" t="str">
            <v>3-2026</v>
          </cell>
          <cell r="Y765" t="str">
            <v>Week 12</v>
          </cell>
          <cell r="Z765">
            <v>46097</v>
          </cell>
          <cell r="AA765">
            <v>3</v>
          </cell>
          <cell r="AB765">
            <v>5.8819999999999997E-2</v>
          </cell>
        </row>
        <row r="766">
          <cell r="A766" t="str">
            <v>F-2026-03-132</v>
          </cell>
          <cell r="B766"/>
          <cell r="C766" t="str">
            <v>RPRO-260309-0642</v>
          </cell>
          <cell r="D766" t="str">
            <v>Pro.sche.report 06.03+07.03+08.03</v>
          </cell>
          <cell r="E766" t="str">
            <v>BDB-000113</v>
          </cell>
          <cell r="F766" t="str">
            <v>PVN-002465</v>
          </cell>
          <cell r="G766" t="str">
            <v>OrthoLite Regular-Hybrid SEEDPEARL/12-0703TPX Hybrid Flat Sheet 0.11D 25+/-4 Asker C 1.1M 2M 5mm</v>
          </cell>
          <cell r="H766">
            <v>448</v>
          </cell>
          <cell r="I766">
            <v>448</v>
          </cell>
          <cell r="J766">
            <v>448</v>
          </cell>
          <cell r="K766">
            <v>0</v>
          </cell>
          <cell r="L766" t="str">
            <v>ASICS</v>
          </cell>
          <cell r="M766" t="str">
            <v>Pr.Sch.R</v>
          </cell>
          <cell r="N766" t="str">
            <v>DIE CUT</v>
          </cell>
          <cell r="O766">
            <v>1</v>
          </cell>
          <cell r="P766">
            <v>46090</v>
          </cell>
          <cell r="Q766">
            <v>46104</v>
          </cell>
          <cell r="R766">
            <v>46101</v>
          </cell>
          <cell r="S766">
            <v>14</v>
          </cell>
          <cell r="T766">
            <v>5</v>
          </cell>
          <cell r="U766">
            <v>28</v>
          </cell>
          <cell r="V766">
            <v>16</v>
          </cell>
          <cell r="W766" t="str">
            <v>0.11D</v>
          </cell>
          <cell r="X766" t="str">
            <v>3-2026</v>
          </cell>
          <cell r="Y766" t="str">
            <v>Week 12</v>
          </cell>
          <cell r="Z766">
            <v>46097</v>
          </cell>
          <cell r="AA766">
            <v>65</v>
          </cell>
          <cell r="AB766">
            <v>3.5709999999999999E-2</v>
          </cell>
        </row>
        <row r="767">
          <cell r="A767" t="str">
            <v>F-2026-03-133</v>
          </cell>
          <cell r="B767"/>
          <cell r="C767" t="str">
            <v>RPRO-260309-0643</v>
          </cell>
          <cell r="D767" t="str">
            <v>Pro.sche.report 06.03+07.03+08.03</v>
          </cell>
          <cell r="E767" t="str">
            <v>BDB-000339</v>
          </cell>
          <cell r="F767" t="str">
            <v>PVN-004178</v>
          </cell>
          <cell r="G767" t="str">
            <v>OrthoLite Float NEUTRAL GRAY/17-4402TPX Flat Sheet 0.12D 21+/-4 Asker C 1.1M 2M 5.5mm</v>
          </cell>
          <cell r="H767">
            <v>500</v>
          </cell>
          <cell r="I767">
            <v>500</v>
          </cell>
          <cell r="J767">
            <v>500</v>
          </cell>
          <cell r="K767">
            <v>0</v>
          </cell>
          <cell r="L767" t="str">
            <v>PUMA</v>
          </cell>
          <cell r="M767" t="str">
            <v>Pr.Sch.R</v>
          </cell>
          <cell r="N767" t="str">
            <v>MOLDED</v>
          </cell>
          <cell r="O767">
            <v>1</v>
          </cell>
          <cell r="P767">
            <v>46090</v>
          </cell>
          <cell r="Q767">
            <v>46107</v>
          </cell>
          <cell r="R767">
            <v>46104</v>
          </cell>
          <cell r="S767">
            <v>17</v>
          </cell>
          <cell r="T767">
            <v>5.5</v>
          </cell>
          <cell r="U767">
            <v>25</v>
          </cell>
          <cell r="V767">
            <v>20</v>
          </cell>
          <cell r="W767" t="e">
            <v>#N/A</v>
          </cell>
          <cell r="X767" t="str">
            <v>3-2026</v>
          </cell>
          <cell r="Y767" t="str">
            <v>Week 12</v>
          </cell>
          <cell r="Z767">
            <v>46097</v>
          </cell>
          <cell r="AA767">
            <v>20</v>
          </cell>
          <cell r="AB767">
            <v>0.04</v>
          </cell>
        </row>
        <row r="768">
          <cell r="A768" t="str">
            <v>F-2026-03-134</v>
          </cell>
          <cell r="B768"/>
          <cell r="C768" t="str">
            <v>RPRO-260309-0644</v>
          </cell>
          <cell r="D768" t="str">
            <v>Pro.sche.report 06.03+07.03+08.03</v>
          </cell>
          <cell r="E768" t="str">
            <v>BDB-000123</v>
          </cell>
          <cell r="F768" t="str">
            <v>PVN-002539</v>
          </cell>
          <cell r="G768" t="str">
            <v>OrthoLite Ultra-Hybrid SEEDPEARL/12-0703TPX Hybrid Flat Sheet 0.085D 25+/-4 Asker C 1.1M 2M 5mm</v>
          </cell>
          <cell r="H768">
            <v>560</v>
          </cell>
          <cell r="I768">
            <v>560</v>
          </cell>
          <cell r="J768">
            <v>560</v>
          </cell>
          <cell r="K768">
            <v>0</v>
          </cell>
          <cell r="L768" t="str">
            <v>BROOKS</v>
          </cell>
          <cell r="M768" t="str">
            <v>Pr.Sch.R</v>
          </cell>
          <cell r="N768" t="str">
            <v>DIE CUT</v>
          </cell>
          <cell r="O768">
            <v>1</v>
          </cell>
          <cell r="P768">
            <v>46090</v>
          </cell>
          <cell r="Q768">
            <v>46107</v>
          </cell>
          <cell r="R768">
            <v>46104</v>
          </cell>
          <cell r="S768">
            <v>17</v>
          </cell>
          <cell r="T768">
            <v>5</v>
          </cell>
          <cell r="U768">
            <v>28</v>
          </cell>
          <cell r="V768">
            <v>20</v>
          </cell>
          <cell r="W768" t="str">
            <v>0.085D</v>
          </cell>
          <cell r="X768" t="str">
            <v>3-2026</v>
          </cell>
          <cell r="Y768" t="str">
            <v>Week 12</v>
          </cell>
          <cell r="Z768">
            <v>46097</v>
          </cell>
          <cell r="AA768">
            <v>45</v>
          </cell>
          <cell r="AB768">
            <v>3.5709999999999999E-2</v>
          </cell>
        </row>
        <row r="769">
          <cell r="A769" t="str">
            <v>F-2026-03-135</v>
          </cell>
          <cell r="B769"/>
          <cell r="C769" t="str">
            <v>RPRO-260309-0645</v>
          </cell>
          <cell r="D769" t="str">
            <v>Pro.sche.report 06.03+07.03+08.03</v>
          </cell>
          <cell r="E769" t="str">
            <v>BDB-000039</v>
          </cell>
          <cell r="F769" t="str">
            <v>PVN-002019</v>
          </cell>
          <cell r="G769" t="str">
            <v>OrthoLite Regular NEUTRAL GRAY/17-4402TPX Flat Sheet 0.11D 25+/-4 Asker C 1.1M 2M 13mm</v>
          </cell>
          <cell r="H769">
            <v>10</v>
          </cell>
          <cell r="I769">
            <v>10</v>
          </cell>
          <cell r="J769">
            <v>10</v>
          </cell>
          <cell r="K769">
            <v>0</v>
          </cell>
          <cell r="L769" t="str">
            <v>NEW BALANCE</v>
          </cell>
          <cell r="M769" t="str">
            <v>Pr.Sch.R</v>
          </cell>
          <cell r="N769" t="str">
            <v>MOLDED</v>
          </cell>
          <cell r="O769">
            <v>1</v>
          </cell>
          <cell r="P769">
            <v>46090</v>
          </cell>
          <cell r="Q769">
            <v>46104</v>
          </cell>
          <cell r="R769">
            <v>46101</v>
          </cell>
          <cell r="S769">
            <v>14</v>
          </cell>
          <cell r="T769">
            <v>13</v>
          </cell>
          <cell r="U769">
            <v>10</v>
          </cell>
          <cell r="V769">
            <v>1</v>
          </cell>
          <cell r="W769" t="str">
            <v>0.11D</v>
          </cell>
          <cell r="X769" t="str">
            <v>3-2026</v>
          </cell>
          <cell r="Y769" t="str">
            <v>Week 12</v>
          </cell>
          <cell r="Z769">
            <v>46097</v>
          </cell>
          <cell r="AA769">
            <v>45</v>
          </cell>
          <cell r="AB769">
            <v>0.1</v>
          </cell>
        </row>
        <row r="770">
          <cell r="A770" t="str">
            <v>F-2026-03-136</v>
          </cell>
          <cell r="B770"/>
          <cell r="C770" t="str">
            <v>RPRO-260309-0646</v>
          </cell>
          <cell r="D770" t="str">
            <v>Pro.sche.report 06.03+07.03+08.03</v>
          </cell>
          <cell r="E770" t="str">
            <v>BDB-000011</v>
          </cell>
          <cell r="F770" t="str">
            <v>PVN-000121</v>
          </cell>
          <cell r="G770" t="str">
            <v>OrthoLite Regular AIR BLUE/16-4134TPX Flat Sheet 0.13D 35+/-4 Asker C 1.1M 2M 12mm</v>
          </cell>
          <cell r="H770">
            <v>132</v>
          </cell>
          <cell r="I770">
            <v>132</v>
          </cell>
          <cell r="J770">
            <v>132</v>
          </cell>
          <cell r="K770">
            <v>0</v>
          </cell>
          <cell r="L770" t="str">
            <v>ASICS</v>
          </cell>
          <cell r="M770" t="str">
            <v>Pr.Sch.R</v>
          </cell>
          <cell r="N770" t="str">
            <v>MOLDED</v>
          </cell>
          <cell r="O770">
            <v>1</v>
          </cell>
          <cell r="P770">
            <v>46090</v>
          </cell>
          <cell r="Q770">
            <v>46108</v>
          </cell>
          <cell r="R770">
            <v>46105</v>
          </cell>
          <cell r="S770">
            <v>18</v>
          </cell>
          <cell r="T770">
            <v>12</v>
          </cell>
          <cell r="U770">
            <v>11.5</v>
          </cell>
          <cell r="V770">
            <v>12</v>
          </cell>
          <cell r="W770" t="str">
            <v>0.13D</v>
          </cell>
          <cell r="X770" t="str">
            <v>3-2026</v>
          </cell>
          <cell r="Y770" t="str">
            <v>Week 12</v>
          </cell>
          <cell r="Z770">
            <v>46097</v>
          </cell>
          <cell r="AA770">
            <v>45</v>
          </cell>
          <cell r="AB770">
            <v>8.6959999999999996E-2</v>
          </cell>
        </row>
        <row r="771">
          <cell r="A771" t="str">
            <v>F-2026-03-137</v>
          </cell>
          <cell r="B771"/>
          <cell r="C771" t="str">
            <v>RPRO-260309-0647</v>
          </cell>
          <cell r="D771" t="str">
            <v>Pro.sche.report 06.03+07.03+08.03</v>
          </cell>
          <cell r="E771" t="str">
            <v>BDB-000008</v>
          </cell>
          <cell r="F771" t="str">
            <v>PVN-000505</v>
          </cell>
          <cell r="G771" t="str">
            <v>OrthoLite Regular LIME GREEN/14-0452TPX Flat Sheet 0.11D 25+/-4 Asker C 1.1M 2M 12mm</v>
          </cell>
          <cell r="H771">
            <v>99</v>
          </cell>
          <cell r="I771">
            <v>99</v>
          </cell>
          <cell r="J771">
            <v>99</v>
          </cell>
          <cell r="K771">
            <v>0</v>
          </cell>
          <cell r="L771" t="str">
            <v>ASICS</v>
          </cell>
          <cell r="M771" t="str">
            <v>Pr.Sch.R</v>
          </cell>
          <cell r="N771" t="str">
            <v>MOLDED</v>
          </cell>
          <cell r="O771">
            <v>1</v>
          </cell>
          <cell r="P771">
            <v>46090</v>
          </cell>
          <cell r="Q771">
            <v>46107</v>
          </cell>
          <cell r="R771">
            <v>46104</v>
          </cell>
          <cell r="S771">
            <v>17</v>
          </cell>
          <cell r="T771">
            <v>12</v>
          </cell>
          <cell r="U771">
            <v>11.5</v>
          </cell>
          <cell r="V771">
            <v>9</v>
          </cell>
          <cell r="W771" t="str">
            <v>0.11D</v>
          </cell>
          <cell r="X771" t="str">
            <v>3-2026</v>
          </cell>
          <cell r="Y771" t="str">
            <v>Week 12</v>
          </cell>
          <cell r="Z771">
            <v>46097</v>
          </cell>
          <cell r="AA771">
            <v>7</v>
          </cell>
          <cell r="AB771">
            <v>8.6959999999999996E-2</v>
          </cell>
        </row>
        <row r="772">
          <cell r="A772" t="str">
            <v>F-2026-03-138</v>
          </cell>
          <cell r="B772"/>
          <cell r="C772" t="str">
            <v>RPRO-260309-0648</v>
          </cell>
          <cell r="D772" t="str">
            <v>Pro.sche.report 06.03+07.03+08.03</v>
          </cell>
          <cell r="E772" t="str">
            <v>BDB-000248</v>
          </cell>
          <cell r="F772" t="str">
            <v>PVN-003931</v>
          </cell>
          <cell r="G772" t="str">
            <v>OrthoLite X-40-Hybrid RED/19-1764TPX Hybrid Flat Sheet 0.16D 25+/-4 Asker C 1.1M 1.7M 6.5mm</v>
          </cell>
          <cell r="H772">
            <v>21</v>
          </cell>
          <cell r="I772">
            <v>21</v>
          </cell>
          <cell r="J772">
            <v>21</v>
          </cell>
          <cell r="K772">
            <v>0</v>
          </cell>
          <cell r="L772" t="str">
            <v>REDWING</v>
          </cell>
          <cell r="M772" t="str">
            <v>Pr.Sch.R</v>
          </cell>
          <cell r="N772" t="str">
            <v>MOLDED</v>
          </cell>
          <cell r="O772">
            <v>1</v>
          </cell>
          <cell r="P772">
            <v>46090</v>
          </cell>
          <cell r="Q772">
            <v>46108</v>
          </cell>
          <cell r="R772">
            <v>46105</v>
          </cell>
          <cell r="S772">
            <v>18</v>
          </cell>
          <cell r="T772">
            <v>6.5</v>
          </cell>
          <cell r="U772">
            <v>21</v>
          </cell>
          <cell r="V772">
            <v>2</v>
          </cell>
          <cell r="W772" t="str">
            <v>0.16D</v>
          </cell>
          <cell r="X772" t="str">
            <v>3-2026</v>
          </cell>
          <cell r="Y772" t="str">
            <v>Week 12</v>
          </cell>
          <cell r="Z772">
            <v>46097</v>
          </cell>
          <cell r="AA772">
            <v>254</v>
          </cell>
          <cell r="AB772">
            <v>4.7620000000000003E-2</v>
          </cell>
        </row>
        <row r="773">
          <cell r="A773" t="str">
            <v>F-2026-03-139</v>
          </cell>
          <cell r="B773"/>
          <cell r="C773" t="str">
            <v>RPRO-260309-0649</v>
          </cell>
          <cell r="D773" t="str">
            <v>Pro.sche.report 06.03+07.03+08.03</v>
          </cell>
          <cell r="E773" t="str">
            <v>BDB-000309</v>
          </cell>
          <cell r="F773" t="str">
            <v>PVN-004033</v>
          </cell>
          <cell r="G773" t="str">
            <v>OrthoLite X-40-Hybrid NEUTRAL GRAY/17-4402TPX Hybrid Flat Sheet 0.16D 35+/-4 Asker C 1.1M 2M 2mm</v>
          </cell>
          <cell r="H773">
            <v>70</v>
          </cell>
          <cell r="I773">
            <v>70</v>
          </cell>
          <cell r="J773">
            <v>70</v>
          </cell>
          <cell r="K773">
            <v>0</v>
          </cell>
          <cell r="L773" t="str">
            <v>REDWING</v>
          </cell>
          <cell r="M773" t="str">
            <v>Pr.Sch.R</v>
          </cell>
          <cell r="N773" t="str">
            <v>MOLDED</v>
          </cell>
          <cell r="O773">
            <v>1</v>
          </cell>
          <cell r="P773">
            <v>46090</v>
          </cell>
          <cell r="Q773">
            <v>46108</v>
          </cell>
          <cell r="R773">
            <v>46105</v>
          </cell>
          <cell r="S773">
            <v>18</v>
          </cell>
          <cell r="T773">
            <v>2</v>
          </cell>
          <cell r="U773">
            <v>70</v>
          </cell>
          <cell r="V773">
            <v>2</v>
          </cell>
          <cell r="W773" t="e">
            <v>#N/A</v>
          </cell>
          <cell r="X773" t="str">
            <v>3-2026</v>
          </cell>
          <cell r="Y773" t="str">
            <v>Week 12</v>
          </cell>
          <cell r="Z773">
            <v>46097</v>
          </cell>
          <cell r="AA773">
            <v>43</v>
          </cell>
          <cell r="AB773">
            <v>1.4290000000000001E-2</v>
          </cell>
        </row>
        <row r="774">
          <cell r="A774" t="str">
            <v>F-2026-03-140</v>
          </cell>
          <cell r="B774"/>
          <cell r="C774" t="str">
            <v>RPRO-260309-0650</v>
          </cell>
          <cell r="D774" t="str">
            <v>Pro.sche.report 06.03+07.03+08.03</v>
          </cell>
          <cell r="E774" t="str">
            <v>BDB-000094</v>
          </cell>
          <cell r="F774" t="str">
            <v>PVN-004255</v>
          </cell>
          <cell r="G774" t="str">
            <v>OrthoLite Eco LT 300C(ADIDAS BLUEBIRD) Flat Sheet 0.11D 25+/-4 Asker C 1.1M 1.47M 12mm</v>
          </cell>
          <cell r="H774">
            <v>11</v>
          </cell>
          <cell r="I774">
            <v>11</v>
          </cell>
          <cell r="J774">
            <v>11</v>
          </cell>
          <cell r="K774">
            <v>0</v>
          </cell>
          <cell r="L774" t="str">
            <v>ADIDAS</v>
          </cell>
          <cell r="M774" t="str">
            <v>Pr.Sch.R</v>
          </cell>
          <cell r="N774" t="str">
            <v>MOLDED</v>
          </cell>
          <cell r="O774">
            <v>1</v>
          </cell>
          <cell r="P774">
            <v>46090</v>
          </cell>
          <cell r="Q774">
            <v>46105</v>
          </cell>
          <cell r="R774">
            <v>46102</v>
          </cell>
          <cell r="S774">
            <v>15</v>
          </cell>
          <cell r="T774">
            <v>12</v>
          </cell>
          <cell r="U774">
            <v>11</v>
          </cell>
          <cell r="V774">
            <v>2</v>
          </cell>
          <cell r="W774" t="str">
            <v>0.11D</v>
          </cell>
          <cell r="X774" t="str">
            <v>3-2026</v>
          </cell>
          <cell r="Y774" t="str">
            <v>Week 12</v>
          </cell>
          <cell r="Z774">
            <v>46097</v>
          </cell>
          <cell r="AA774">
            <v>127</v>
          </cell>
          <cell r="AB774">
            <v>9.0910000000000005E-2</v>
          </cell>
        </row>
        <row r="775">
          <cell r="A775" t="str">
            <v>F-2026-03-141</v>
          </cell>
          <cell r="B775"/>
          <cell r="C775" t="str">
            <v>RPRO-260309-0651</v>
          </cell>
          <cell r="D775" t="str">
            <v>Pro.sche.report 06.03+07.03+08.03</v>
          </cell>
          <cell r="E775" t="str">
            <v>BDB-000051</v>
          </cell>
          <cell r="F775" t="str">
            <v>PVN-003319</v>
          </cell>
          <cell r="G775" t="str">
            <v>OrthoLite X-40 TRUE BLUE/19-4057TPX Flat Sheet 0.16D 25+/-4 Asker C 1.1M 1.7M 12mm</v>
          </cell>
          <cell r="H775">
            <v>550</v>
          </cell>
          <cell r="I775">
            <v>550</v>
          </cell>
          <cell r="J775">
            <v>550</v>
          </cell>
          <cell r="K775">
            <v>0</v>
          </cell>
          <cell r="L775" t="str">
            <v>ASICS</v>
          </cell>
          <cell r="M775" t="str">
            <v>Pr.Sch.R</v>
          </cell>
          <cell r="N775" t="str">
            <v>MOLDED</v>
          </cell>
          <cell r="O775">
            <v>1</v>
          </cell>
          <cell r="P775">
            <v>46090</v>
          </cell>
          <cell r="Q775">
            <v>46108</v>
          </cell>
          <cell r="R775">
            <v>46105</v>
          </cell>
          <cell r="S775">
            <v>18</v>
          </cell>
          <cell r="T775">
            <v>12</v>
          </cell>
          <cell r="U775">
            <v>11.5</v>
          </cell>
          <cell r="V775">
            <v>48</v>
          </cell>
          <cell r="W775" t="str">
            <v>0.16D</v>
          </cell>
          <cell r="X775" t="str">
            <v>3-2026</v>
          </cell>
          <cell r="Y775" t="str">
            <v>Week 12</v>
          </cell>
          <cell r="Z775">
            <v>46097</v>
          </cell>
          <cell r="AA775">
            <v>163</v>
          </cell>
          <cell r="AB775">
            <v>8.6959999999999996E-2</v>
          </cell>
        </row>
        <row r="776">
          <cell r="A776" t="str">
            <v>F-2026-03-142</v>
          </cell>
          <cell r="B776"/>
          <cell r="C776" t="str">
            <v>RPRO-260309-0652</v>
          </cell>
          <cell r="D776" t="str">
            <v>Pro.sche.report 06.03+07.03+08.03</v>
          </cell>
          <cell r="E776" t="str">
            <v>BDB-000067</v>
          </cell>
          <cell r="F776" t="str">
            <v>PVN-002129</v>
          </cell>
          <cell r="G776" t="str">
            <v>OrthoLite Ultra SEEDPEARL/12-0703TPX Flat Sheet 0.085D 25+/-4 Asker C 1.1M 2M 6mm</v>
          </cell>
          <cell r="H776">
            <v>92</v>
          </cell>
          <cell r="I776">
            <v>92</v>
          </cell>
          <cell r="J776">
            <v>92</v>
          </cell>
          <cell r="K776">
            <v>0</v>
          </cell>
          <cell r="L776" t="str">
            <v>BABOLAT</v>
          </cell>
          <cell r="M776" t="str">
            <v>Pr.Sch.R</v>
          </cell>
          <cell r="N776" t="str">
            <v>DIE CUT</v>
          </cell>
          <cell r="O776">
            <v>1</v>
          </cell>
          <cell r="P776">
            <v>46090</v>
          </cell>
          <cell r="Q776">
            <v>46108</v>
          </cell>
          <cell r="R776">
            <v>46105</v>
          </cell>
          <cell r="S776">
            <v>18</v>
          </cell>
          <cell r="T776">
            <v>6</v>
          </cell>
          <cell r="U776">
            <v>23</v>
          </cell>
          <cell r="V776">
            <v>5</v>
          </cell>
          <cell r="W776" t="str">
            <v>0.085D</v>
          </cell>
          <cell r="X776" t="str">
            <v>3-2026</v>
          </cell>
          <cell r="Y776" t="str">
            <v>Week 12</v>
          </cell>
          <cell r="Z776">
            <v>46097</v>
          </cell>
          <cell r="AA776">
            <v>10</v>
          </cell>
          <cell r="AB776">
            <v>4.3479999999999998E-2</v>
          </cell>
        </row>
        <row r="777">
          <cell r="A777" t="str">
            <v>F-2026-03-143</v>
          </cell>
          <cell r="B777"/>
          <cell r="C777" t="str">
            <v>RPRO-260309-0653</v>
          </cell>
          <cell r="D777" t="str">
            <v>Pro.sche.report 06.03+07.03+08.03</v>
          </cell>
          <cell r="E777" t="str">
            <v>BDB-000332</v>
          </cell>
          <cell r="F777" t="str">
            <v>PVN-004146</v>
          </cell>
          <cell r="G777" t="str">
            <v>OrthoLite X-25 CASTLEROCK/18-0201TPX Flat Sheet 0.12D 20+/-4 Asker C 1.1M 2M 5.5mm</v>
          </cell>
          <cell r="H777">
            <v>250</v>
          </cell>
          <cell r="I777">
            <v>250</v>
          </cell>
          <cell r="J777">
            <v>250</v>
          </cell>
          <cell r="K777">
            <v>0</v>
          </cell>
          <cell r="L777" t="str">
            <v>ON RUNNING</v>
          </cell>
          <cell r="M777" t="str">
            <v>Pr.Sch.R</v>
          </cell>
          <cell r="N777" t="str">
            <v>MOLDED</v>
          </cell>
          <cell r="O777">
            <v>1</v>
          </cell>
          <cell r="P777">
            <v>46090</v>
          </cell>
          <cell r="Q777">
            <v>46108</v>
          </cell>
          <cell r="R777">
            <v>46105</v>
          </cell>
          <cell r="S777">
            <v>18</v>
          </cell>
          <cell r="T777">
            <v>5.5</v>
          </cell>
          <cell r="U777">
            <v>25</v>
          </cell>
          <cell r="V777">
            <v>10</v>
          </cell>
          <cell r="W777" t="e">
            <v>#N/A</v>
          </cell>
          <cell r="X777" t="str">
            <v>3-2026</v>
          </cell>
          <cell r="Y777" t="str">
            <v>Week 12</v>
          </cell>
          <cell r="Z777">
            <v>46097</v>
          </cell>
          <cell r="AA777">
            <v>114</v>
          </cell>
          <cell r="AB777">
            <v>0.04</v>
          </cell>
        </row>
        <row r="778">
          <cell r="A778" t="str">
            <v>F-2026-03-144</v>
          </cell>
          <cell r="B778"/>
          <cell r="C778" t="str">
            <v>RPRO-260309-0654</v>
          </cell>
          <cell r="D778" t="str">
            <v>Pro.sche.report 06.03+07.03+08.03</v>
          </cell>
          <cell r="E778" t="str">
            <v>BDB-000076</v>
          </cell>
          <cell r="F778" t="str">
            <v>PVN-004091</v>
          </cell>
          <cell r="G778" t="str">
            <v>OrthoLite X-25 BILLIARD/16-5427TPX Flat Sheet 0.12D 20+/-4 Asker C 1.1M 2M 3.5mm</v>
          </cell>
          <cell r="H778">
            <v>200</v>
          </cell>
          <cell r="I778">
            <v>200</v>
          </cell>
          <cell r="J778">
            <v>200</v>
          </cell>
          <cell r="K778">
            <v>0</v>
          </cell>
          <cell r="L778" t="str">
            <v>BROOKS</v>
          </cell>
          <cell r="M778" t="str">
            <v>Pr.Sch.R</v>
          </cell>
          <cell r="N778" t="str">
            <v>MOLDED</v>
          </cell>
          <cell r="O778">
            <v>1</v>
          </cell>
          <cell r="P778">
            <v>46090</v>
          </cell>
          <cell r="Q778">
            <v>46108</v>
          </cell>
          <cell r="R778">
            <v>46105</v>
          </cell>
          <cell r="S778">
            <v>18</v>
          </cell>
          <cell r="T778">
            <v>3.5</v>
          </cell>
          <cell r="U778">
            <v>40</v>
          </cell>
          <cell r="V778">
            <v>5</v>
          </cell>
          <cell r="W778" t="str">
            <v>0.12D</v>
          </cell>
          <cell r="X778" t="str">
            <v>3-2026</v>
          </cell>
          <cell r="Y778" t="str">
            <v>Week 12</v>
          </cell>
          <cell r="Z778">
            <v>46097</v>
          </cell>
          <cell r="AA778">
            <v>23</v>
          </cell>
          <cell r="AB778">
            <v>2.5000000000000001E-2</v>
          </cell>
        </row>
        <row r="779">
          <cell r="A779" t="str">
            <v>F-2026-03-145</v>
          </cell>
          <cell r="B779"/>
          <cell r="C779" t="str">
            <v>RPRO-260309-0655</v>
          </cell>
          <cell r="D779" t="str">
            <v>Pro.sche.report 06.03+07.03+08.03</v>
          </cell>
          <cell r="E779" t="str">
            <v>BDB-000067</v>
          </cell>
          <cell r="F779" t="str">
            <v>PVN-001394</v>
          </cell>
          <cell r="G779" t="str">
            <v>OrthoLite Ultra SEEDPEARL/12-0703TPX Flat Sheet 0.085D 25+/-4 Asker C 1.1M 2M 5mm</v>
          </cell>
          <cell r="H779">
            <v>56</v>
          </cell>
          <cell r="I779">
            <v>56</v>
          </cell>
          <cell r="J779">
            <v>56</v>
          </cell>
          <cell r="K779">
            <v>0</v>
          </cell>
          <cell r="L779" t="str">
            <v>PUMA</v>
          </cell>
          <cell r="M779" t="str">
            <v>Pr.Sch.R</v>
          </cell>
          <cell r="N779" t="str">
            <v>DIE CUT</v>
          </cell>
          <cell r="O779">
            <v>1</v>
          </cell>
          <cell r="P779">
            <v>46090</v>
          </cell>
          <cell r="Q779">
            <v>46104</v>
          </cell>
          <cell r="R779">
            <v>46101</v>
          </cell>
          <cell r="S779">
            <v>14</v>
          </cell>
          <cell r="T779">
            <v>5</v>
          </cell>
          <cell r="U779">
            <v>28</v>
          </cell>
          <cell r="V779">
            <v>2</v>
          </cell>
          <cell r="W779" t="str">
            <v>0.085D</v>
          </cell>
          <cell r="X779" t="str">
            <v>3-2026</v>
          </cell>
          <cell r="Y779" t="str">
            <v>Week 12</v>
          </cell>
          <cell r="Z779">
            <v>46097</v>
          </cell>
          <cell r="AA779">
            <v>19</v>
          </cell>
          <cell r="AB779">
            <v>3.5709999999999999E-2</v>
          </cell>
        </row>
        <row r="780">
          <cell r="A780" t="str">
            <v>F-2026-03-146</v>
          </cell>
          <cell r="B780"/>
          <cell r="C780" t="str">
            <v>RPRO-260309-0656</v>
          </cell>
          <cell r="D780" t="str">
            <v>Pro.sche.report 06.03+07.03+08.03</v>
          </cell>
          <cell r="E780" t="str">
            <v>BDB-000008</v>
          </cell>
          <cell r="F780" t="str">
            <v>PVN-000412</v>
          </cell>
          <cell r="G780" t="str">
            <v>OrthoLite Regular LIME GREEN/14-0452TPX Flat Sheet 0.11D 25+/-4 Asker C 1.1M 2M 5mm</v>
          </cell>
          <cell r="H780">
            <v>84</v>
          </cell>
          <cell r="I780">
            <v>84</v>
          </cell>
          <cell r="J780">
            <v>84</v>
          </cell>
          <cell r="K780">
            <v>0</v>
          </cell>
          <cell r="L780" t="str">
            <v>ASICS</v>
          </cell>
          <cell r="M780" t="str">
            <v>Pr.Sch.R</v>
          </cell>
          <cell r="N780" t="str">
            <v>DIE CUT</v>
          </cell>
          <cell r="O780">
            <v>1</v>
          </cell>
          <cell r="P780">
            <v>46090</v>
          </cell>
          <cell r="Q780">
            <v>46108</v>
          </cell>
          <cell r="R780">
            <v>46105</v>
          </cell>
          <cell r="S780">
            <v>18</v>
          </cell>
          <cell r="T780">
            <v>5</v>
          </cell>
          <cell r="U780">
            <v>28</v>
          </cell>
          <cell r="V780">
            <v>3</v>
          </cell>
          <cell r="W780" t="str">
            <v>0.11D</v>
          </cell>
          <cell r="X780" t="str">
            <v>3-2026</v>
          </cell>
          <cell r="Y780" t="str">
            <v>Week 12</v>
          </cell>
          <cell r="Z780">
            <v>46097</v>
          </cell>
          <cell r="AA780">
            <v>4</v>
          </cell>
          <cell r="AB780">
            <v>3.5709999999999999E-2</v>
          </cell>
        </row>
        <row r="781">
          <cell r="A781" t="str">
            <v>F-2026-03-147</v>
          </cell>
          <cell r="B781"/>
          <cell r="C781" t="str">
            <v>RPRO-260309-0657</v>
          </cell>
          <cell r="D781" t="str">
            <v>Pro.sche.report 06.03+07.03+08.03</v>
          </cell>
          <cell r="E781" t="str">
            <v>BDB-000107</v>
          </cell>
          <cell r="F781" t="str">
            <v>PVN-003482</v>
          </cell>
          <cell r="G781" t="str">
            <v>OrthoLite Eco LT-Hybrid SEEDPEARL/12-0703TPX Hybrid Flat Sheet 0.11D 25+/-4 Asker C 1.1M 1.47M 4mm</v>
          </cell>
          <cell r="H781">
            <v>210</v>
          </cell>
          <cell r="I781">
            <v>210</v>
          </cell>
          <cell r="J781">
            <v>210</v>
          </cell>
          <cell r="K781">
            <v>0</v>
          </cell>
          <cell r="L781" t="str">
            <v>NEW BALANCE</v>
          </cell>
          <cell r="M781" t="str">
            <v>Pr.Sch.R</v>
          </cell>
          <cell r="N781" t="str">
            <v>DIE CUT</v>
          </cell>
          <cell r="O781">
            <v>1</v>
          </cell>
          <cell r="P781">
            <v>46090</v>
          </cell>
          <cell r="Q781">
            <v>46101</v>
          </cell>
          <cell r="R781">
            <v>46098</v>
          </cell>
          <cell r="S781">
            <v>11</v>
          </cell>
          <cell r="T781">
            <v>4</v>
          </cell>
          <cell r="U781">
            <v>35</v>
          </cell>
          <cell r="V781">
            <v>6</v>
          </cell>
          <cell r="W781" t="str">
            <v>0.11D</v>
          </cell>
          <cell r="X781" t="str">
            <v>3-2026</v>
          </cell>
          <cell r="Y781" t="str">
            <v>Week 11</v>
          </cell>
          <cell r="Z781">
            <v>46090</v>
          </cell>
          <cell r="AA781">
            <v>4</v>
          </cell>
          <cell r="AB781">
            <v>2.8570000000000002E-2</v>
          </cell>
        </row>
        <row r="782">
          <cell r="A782" t="str">
            <v>F-2026-03-148</v>
          </cell>
          <cell r="B782"/>
          <cell r="C782" t="str">
            <v>RPRO-260309-0658</v>
          </cell>
          <cell r="D782" t="str">
            <v>Pro.sche.report 06.03+07.03+08.03</v>
          </cell>
          <cell r="E782" t="str">
            <v>BDB-000149</v>
          </cell>
          <cell r="F782" t="str">
            <v>PVN-002827</v>
          </cell>
          <cell r="G782" t="str">
            <v>OrthoLite Regular-Hybrid-Nike SEEDPEARL/12-0703TPX Hybrid Flat Sheet 0.11D 25+/-4 Asker C 1.1M 2M 5mm</v>
          </cell>
          <cell r="H782">
            <v>168</v>
          </cell>
          <cell r="I782">
            <v>168</v>
          </cell>
          <cell r="J782">
            <v>168</v>
          </cell>
          <cell r="K782">
            <v>0</v>
          </cell>
          <cell r="L782" t="str">
            <v>NIKE</v>
          </cell>
          <cell r="M782" t="str">
            <v>Pr.Sch.R</v>
          </cell>
          <cell r="N782" t="str">
            <v>MOLDED</v>
          </cell>
          <cell r="O782">
            <v>1</v>
          </cell>
          <cell r="P782">
            <v>46090</v>
          </cell>
          <cell r="Q782">
            <v>46108</v>
          </cell>
          <cell r="R782">
            <v>46105</v>
          </cell>
          <cell r="S782">
            <v>18</v>
          </cell>
          <cell r="T782">
            <v>5</v>
          </cell>
          <cell r="U782">
            <v>28</v>
          </cell>
          <cell r="V782">
            <v>6</v>
          </cell>
          <cell r="W782" t="str">
            <v>0.11D</v>
          </cell>
          <cell r="X782" t="str">
            <v>3-2026</v>
          </cell>
          <cell r="Y782" t="str">
            <v>Week 12</v>
          </cell>
          <cell r="Z782">
            <v>46097</v>
          </cell>
          <cell r="AA782">
            <v>3</v>
          </cell>
          <cell r="AB782">
            <v>3.5709999999999999E-2</v>
          </cell>
        </row>
        <row r="783">
          <cell r="A783" t="str">
            <v>F-2026-03-149</v>
          </cell>
          <cell r="B783"/>
          <cell r="C783" t="str">
            <v>RPRO-260309-0659</v>
          </cell>
          <cell r="D783" t="str">
            <v>Pro.sche.report 06.03+07.03+08.03</v>
          </cell>
          <cell r="E783" t="str">
            <v>BDB-000113</v>
          </cell>
          <cell r="F783" t="str">
            <v>PVN-003601</v>
          </cell>
          <cell r="G783" t="str">
            <v>OrthoLite Regular-Hybrid SEEDPEARL/12-0703TPX Hybrid Flat Sheet 0.11D 25+/-4 Asker C 1.1M 2M 20mm</v>
          </cell>
          <cell r="H783">
            <v>54</v>
          </cell>
          <cell r="I783">
            <v>54</v>
          </cell>
          <cell r="J783">
            <v>54</v>
          </cell>
          <cell r="K783">
            <v>0</v>
          </cell>
          <cell r="L783" t="str">
            <v>ASICS</v>
          </cell>
          <cell r="M783" t="str">
            <v>Pr.Sch.R</v>
          </cell>
          <cell r="N783" t="str">
            <v>MOLDED</v>
          </cell>
          <cell r="O783">
            <v>1</v>
          </cell>
          <cell r="P783">
            <v>46090</v>
          </cell>
          <cell r="Q783">
            <v>46108</v>
          </cell>
          <cell r="R783">
            <v>46105</v>
          </cell>
          <cell r="S783">
            <v>18</v>
          </cell>
          <cell r="T783">
            <v>20</v>
          </cell>
          <cell r="U783">
            <v>6</v>
          </cell>
          <cell r="V783">
            <v>10</v>
          </cell>
          <cell r="W783" t="str">
            <v>0.11D</v>
          </cell>
          <cell r="X783" t="str">
            <v>3-2026</v>
          </cell>
          <cell r="Y783" t="str">
            <v>Week 12</v>
          </cell>
          <cell r="Z783">
            <v>46097</v>
          </cell>
          <cell r="AA783">
            <v>5</v>
          </cell>
          <cell r="AB783">
            <v>0.16667000000000001</v>
          </cell>
        </row>
        <row r="784">
          <cell r="A784" t="str">
            <v>F-2026-03-150</v>
          </cell>
          <cell r="B784"/>
          <cell r="C784" t="str">
            <v>RPRO-260309-0660</v>
          </cell>
          <cell r="D784" t="str">
            <v>Pro.sche.report 06.03+07.03+08.03</v>
          </cell>
          <cell r="E784" t="str">
            <v>BDB-000145</v>
          </cell>
          <cell r="F784" t="str">
            <v>PVN-002811</v>
          </cell>
          <cell r="G784" t="str">
            <v>OrthoLite Regular-Hybrid-Nike YELLOW/13-0858TPX Hybrid Flat Sheet 0.11D 25+/-4 Asker C 1.1M 1.7M 2mm</v>
          </cell>
          <cell r="H784">
            <v>70</v>
          </cell>
          <cell r="I784">
            <v>70</v>
          </cell>
          <cell r="J784">
            <v>70</v>
          </cell>
          <cell r="K784">
            <v>0</v>
          </cell>
          <cell r="L784" t="str">
            <v>NIKE</v>
          </cell>
          <cell r="M784" t="str">
            <v>Pr.Sch.R</v>
          </cell>
          <cell r="N784" t="str">
            <v>DIE CUT</v>
          </cell>
          <cell r="O784">
            <v>1</v>
          </cell>
          <cell r="P784">
            <v>46090</v>
          </cell>
          <cell r="Q784">
            <v>46104</v>
          </cell>
          <cell r="R784">
            <v>46101</v>
          </cell>
          <cell r="S784">
            <v>14</v>
          </cell>
          <cell r="T784">
            <v>2</v>
          </cell>
          <cell r="U784">
            <v>70</v>
          </cell>
          <cell r="V784">
            <v>2</v>
          </cell>
          <cell r="W784" t="str">
            <v>0.11D</v>
          </cell>
          <cell r="X784" t="str">
            <v>3-2026</v>
          </cell>
          <cell r="Y784" t="str">
            <v>Week 12</v>
          </cell>
          <cell r="Z784">
            <v>46097</v>
          </cell>
          <cell r="AA784">
            <v>36</v>
          </cell>
          <cell r="AB784">
            <v>1.4290000000000001E-2</v>
          </cell>
        </row>
        <row r="785">
          <cell r="A785" t="str">
            <v>F-2026-03-151</v>
          </cell>
          <cell r="B785"/>
          <cell r="C785" t="str">
            <v>RPRO-260309-0661</v>
          </cell>
          <cell r="D785" t="str">
            <v>Pro.sche.report 06.03+07.03+08.03</v>
          </cell>
          <cell r="E785" t="str">
            <v>BDB-000347</v>
          </cell>
          <cell r="F785" t="str">
            <v>PVN-004193</v>
          </cell>
          <cell r="G785" t="str">
            <v>OrthoLite X-55-Hybrid SEEDPEARL/12-0703TPX Hybrid Flat Sheet 0.16D 25+/-4 Asker C 1.1M 2M 11mm</v>
          </cell>
          <cell r="H785">
            <v>24</v>
          </cell>
          <cell r="I785">
            <v>24</v>
          </cell>
          <cell r="J785">
            <v>24</v>
          </cell>
          <cell r="K785">
            <v>0</v>
          </cell>
          <cell r="L785" t="str">
            <v>DESCENTE</v>
          </cell>
          <cell r="M785" t="str">
            <v>Pr.Sch.R</v>
          </cell>
          <cell r="N785" t="str">
            <v>MOLDED</v>
          </cell>
          <cell r="O785">
            <v>1</v>
          </cell>
          <cell r="P785">
            <v>46090</v>
          </cell>
          <cell r="Q785">
            <v>46108</v>
          </cell>
          <cell r="R785">
            <v>46105</v>
          </cell>
          <cell r="S785">
            <v>18</v>
          </cell>
          <cell r="T785">
            <v>11</v>
          </cell>
          <cell r="U785">
            <v>12</v>
          </cell>
          <cell r="V785">
            <v>2</v>
          </cell>
          <cell r="W785" t="e">
            <v>#N/A</v>
          </cell>
          <cell r="X785" t="str">
            <v>3-2026</v>
          </cell>
          <cell r="Y785" t="str">
            <v>Week 12</v>
          </cell>
          <cell r="Z785">
            <v>46097</v>
          </cell>
          <cell r="AA785">
            <v>11</v>
          </cell>
          <cell r="AB785">
            <v>8.3330000000000001E-2</v>
          </cell>
        </row>
        <row r="786">
          <cell r="A786" t="str">
            <v>F-2026-03-152</v>
          </cell>
          <cell r="B786"/>
          <cell r="C786" t="str">
            <v>RPRO-260309-0662</v>
          </cell>
          <cell r="D786" t="str">
            <v>Pro.sche.report 06.03+07.03+08.03</v>
          </cell>
          <cell r="E786" t="str">
            <v>BDB-000128</v>
          </cell>
          <cell r="F786" t="str">
            <v>PVN-001788</v>
          </cell>
          <cell r="G786" t="str">
            <v>OrthoLite Regular-Nike LIME GREEN/14-0452TPX Flat Sheet 0.11D 25+/-4 Asker C 1.1M 2M 4mm</v>
          </cell>
          <cell r="H786">
            <v>70</v>
          </cell>
          <cell r="I786">
            <v>70</v>
          </cell>
          <cell r="J786">
            <v>70</v>
          </cell>
          <cell r="K786">
            <v>0</v>
          </cell>
          <cell r="L786" t="str">
            <v>NIKE</v>
          </cell>
          <cell r="M786" t="str">
            <v>Pr.Sch.R</v>
          </cell>
          <cell r="N786" t="str">
            <v>LAMINATING</v>
          </cell>
          <cell r="O786">
            <v>1</v>
          </cell>
          <cell r="P786">
            <v>46090</v>
          </cell>
          <cell r="Q786">
            <v>46107</v>
          </cell>
          <cell r="R786">
            <v>46104</v>
          </cell>
          <cell r="S786">
            <v>17</v>
          </cell>
          <cell r="T786">
            <v>4</v>
          </cell>
          <cell r="U786">
            <v>35</v>
          </cell>
          <cell r="V786">
            <v>2</v>
          </cell>
          <cell r="W786" t="str">
            <v>0.11D</v>
          </cell>
          <cell r="X786" t="str">
            <v>3-2026</v>
          </cell>
          <cell r="Y786" t="str">
            <v>Week 12</v>
          </cell>
          <cell r="Z786">
            <v>46097</v>
          </cell>
          <cell r="AA786">
            <v>3</v>
          </cell>
          <cell r="AB786">
            <v>2.8570000000000002E-2</v>
          </cell>
        </row>
        <row r="787">
          <cell r="A787" t="str">
            <v>F-2026-03-153</v>
          </cell>
          <cell r="B787"/>
          <cell r="C787" t="str">
            <v>RPRO-260309-0663</v>
          </cell>
          <cell r="D787" t="str">
            <v>Pro.sche.report 06.03+07.03+08.03</v>
          </cell>
          <cell r="E787" t="str">
            <v>BDB-000209</v>
          </cell>
          <cell r="F787" t="str">
            <v>PVN-003550</v>
          </cell>
          <cell r="G787" t="str">
            <v>OrthoLite HybridPlus-Recycled MINT GREEN/11-4805TPX Hybrid Flat Sheet 0.12D 25+/-4 Asker C 1.1M 2M 6mm</v>
          </cell>
          <cell r="H787">
            <v>1058</v>
          </cell>
          <cell r="I787">
            <v>1058</v>
          </cell>
          <cell r="J787">
            <v>1058</v>
          </cell>
          <cell r="K787">
            <v>0</v>
          </cell>
          <cell r="L787" t="str">
            <v>ON RUNNING</v>
          </cell>
          <cell r="M787" t="str">
            <v>Pr.Sch.R</v>
          </cell>
          <cell r="N787" t="str">
            <v>MOLDED</v>
          </cell>
          <cell r="O787">
            <v>1</v>
          </cell>
          <cell r="P787">
            <v>46090</v>
          </cell>
          <cell r="Q787">
            <v>46108</v>
          </cell>
          <cell r="R787">
            <v>46105</v>
          </cell>
          <cell r="S787">
            <v>18</v>
          </cell>
          <cell r="T787">
            <v>6</v>
          </cell>
          <cell r="U787">
            <v>23</v>
          </cell>
          <cell r="V787">
            <v>47</v>
          </cell>
          <cell r="W787" t="str">
            <v>0.12D</v>
          </cell>
          <cell r="X787" t="str">
            <v>3-2026</v>
          </cell>
          <cell r="Y787" t="str">
            <v>Week 12</v>
          </cell>
          <cell r="Z787">
            <v>46097</v>
          </cell>
          <cell r="AA787">
            <v>13</v>
          </cell>
          <cell r="AB787">
            <v>4.3479999999999998E-2</v>
          </cell>
        </row>
        <row r="788">
          <cell r="A788" t="str">
            <v>F-2026-03-154</v>
          </cell>
          <cell r="B788"/>
          <cell r="C788" t="str">
            <v>RPRO-260309-0664</v>
          </cell>
          <cell r="D788" t="str">
            <v>Pro.sche.report 06.03+07.03+08.03</v>
          </cell>
          <cell r="E788" t="str">
            <v>BDB-000321</v>
          </cell>
          <cell r="F788" t="str">
            <v>PVN-004105</v>
          </cell>
          <cell r="G788" t="str">
            <v>OrthoLite Float BLUE ATOLL/16-4535TPX Flat Sheet 0.12D 21+/-4 Asker C 1.1M 2M 4mm</v>
          </cell>
          <cell r="H788">
            <v>70</v>
          </cell>
          <cell r="I788">
            <v>70</v>
          </cell>
          <cell r="J788">
            <v>70</v>
          </cell>
          <cell r="K788">
            <v>0</v>
          </cell>
          <cell r="L788" t="str">
            <v>DESCENTE</v>
          </cell>
          <cell r="M788" t="str">
            <v>Pr.Sch.R</v>
          </cell>
          <cell r="N788" t="str">
            <v>DIE CUT</v>
          </cell>
          <cell r="O788">
            <v>1</v>
          </cell>
          <cell r="P788">
            <v>46090</v>
          </cell>
          <cell r="Q788">
            <v>46108</v>
          </cell>
          <cell r="R788">
            <v>46105</v>
          </cell>
          <cell r="S788">
            <v>18</v>
          </cell>
          <cell r="T788">
            <v>4</v>
          </cell>
          <cell r="U788">
            <v>35</v>
          </cell>
          <cell r="V788">
            <v>2</v>
          </cell>
          <cell r="W788" t="e">
            <v>#N/A</v>
          </cell>
          <cell r="X788" t="str">
            <v>3-2026</v>
          </cell>
          <cell r="Y788" t="str">
            <v>Week 12</v>
          </cell>
          <cell r="Z788">
            <v>46097</v>
          </cell>
          <cell r="AA788">
            <v>4</v>
          </cell>
          <cell r="AB788">
            <v>2.8570000000000002E-2</v>
          </cell>
        </row>
        <row r="789">
          <cell r="A789" t="str">
            <v>F-2026-03-155</v>
          </cell>
          <cell r="B789"/>
          <cell r="C789" t="str">
            <v>RPRO-260309-0665</v>
          </cell>
          <cell r="D789" t="str">
            <v>Pro.sche.report 06.03+07.03+08.03</v>
          </cell>
          <cell r="E789" t="str">
            <v>BDB-000060</v>
          </cell>
          <cell r="F789" t="str">
            <v>PVN-004054</v>
          </cell>
          <cell r="G789" t="str">
            <v>OrthoLite Ultra BURNT SIENNA/17-1544TPX Flat Sheet 0.085D 25+/-4 Asker C 1.1M 2M 13mm</v>
          </cell>
          <cell r="H789">
            <v>250</v>
          </cell>
          <cell r="I789">
            <v>250</v>
          </cell>
          <cell r="J789">
            <v>0</v>
          </cell>
          <cell r="K789">
            <v>250</v>
          </cell>
          <cell r="L789" t="str">
            <v>KUIU</v>
          </cell>
          <cell r="M789" t="str">
            <v>Pr.Sch.R</v>
          </cell>
          <cell r="N789" t="str">
            <v>OTHERS</v>
          </cell>
          <cell r="O789">
            <v>1</v>
          </cell>
          <cell r="P789">
            <v>46090</v>
          </cell>
          <cell r="Q789">
            <v>46106</v>
          </cell>
          <cell r="R789">
            <v>46103</v>
          </cell>
          <cell r="S789">
            <v>16</v>
          </cell>
          <cell r="T789">
            <v>13</v>
          </cell>
          <cell r="U789">
            <v>10</v>
          </cell>
          <cell r="V789">
            <v>25</v>
          </cell>
          <cell r="W789" t="str">
            <v>0.085D</v>
          </cell>
          <cell r="X789" t="str">
            <v>3-2026</v>
          </cell>
          <cell r="Y789" t="str">
            <v>Week 12</v>
          </cell>
          <cell r="Z789">
            <v>46097</v>
          </cell>
          <cell r="AA789">
            <v>4</v>
          </cell>
          <cell r="AB789">
            <v>0.1</v>
          </cell>
        </row>
        <row r="790">
          <cell r="A790" t="str">
            <v>F-2026-03-156</v>
          </cell>
          <cell r="B790"/>
          <cell r="C790" t="str">
            <v>RPRO-260310-0446</v>
          </cell>
          <cell r="D790" t="str">
            <v>MPS 09.3</v>
          </cell>
          <cell r="E790" t="str">
            <v>BDB-000286</v>
          </cell>
          <cell r="F790" t="str">
            <v>PVN-003924</v>
          </cell>
          <cell r="G790" t="str">
            <v>OrthoLite Regular-Hybrid SEEDPEARL/12-0703TPX Hybrid Flat Sheet 0.13D 25+/-4 Asker C 1.1M 1.7M 5mm</v>
          </cell>
          <cell r="H790">
            <v>28</v>
          </cell>
          <cell r="I790">
            <v>28</v>
          </cell>
          <cell r="J790">
            <v>28</v>
          </cell>
          <cell r="K790">
            <v>0</v>
          </cell>
          <cell r="L790"/>
          <cell r="M790" t="str">
            <v>MPS</v>
          </cell>
          <cell r="N790" t="str">
            <v>SPLITTING</v>
          </cell>
          <cell r="O790">
            <v>2</v>
          </cell>
          <cell r="P790">
            <v>46091</v>
          </cell>
          <cell r="Q790">
            <v>46109</v>
          </cell>
          <cell r="R790">
            <v>46106</v>
          </cell>
          <cell r="S790">
            <v>18</v>
          </cell>
          <cell r="T790">
            <v>5</v>
          </cell>
          <cell r="U790">
            <v>28</v>
          </cell>
          <cell r="V790">
            <v>1</v>
          </cell>
          <cell r="W790" t="str">
            <v>0.13D</v>
          </cell>
          <cell r="X790" t="str">
            <v>3-2026</v>
          </cell>
          <cell r="Y790" t="str">
            <v>Week 12</v>
          </cell>
          <cell r="Z790">
            <v>46097</v>
          </cell>
          <cell r="AA790">
            <v>118</v>
          </cell>
          <cell r="AB790">
            <v>3.5709999999999999E-2</v>
          </cell>
        </row>
        <row r="791">
          <cell r="A791" t="str">
            <v>F-2026-03-157</v>
          </cell>
          <cell r="B791"/>
          <cell r="C791" t="str">
            <v>RPRO-260310-0447</v>
          </cell>
          <cell r="D791" t="str">
            <v>MPS 09.3</v>
          </cell>
          <cell r="E791" t="str">
            <v>BDB-000058</v>
          </cell>
          <cell r="F791" t="str">
            <v>PVN-001277</v>
          </cell>
          <cell r="G791" t="str">
            <v>OrthoLite Ultra GREEN/16-5932TPX Flat Sheet 0.085D 25+/-4 Asker C 1.1M 2M 4mm</v>
          </cell>
          <cell r="H791">
            <v>595</v>
          </cell>
          <cell r="I791">
            <v>595</v>
          </cell>
          <cell r="J791">
            <v>595</v>
          </cell>
          <cell r="K791">
            <v>0</v>
          </cell>
          <cell r="L791"/>
          <cell r="M791" t="str">
            <v>MPS</v>
          </cell>
          <cell r="N791" t="str">
            <v>SPLITTING</v>
          </cell>
          <cell r="O791">
            <v>2</v>
          </cell>
          <cell r="P791">
            <v>46091</v>
          </cell>
          <cell r="Q791">
            <v>46108</v>
          </cell>
          <cell r="R791">
            <v>46105</v>
          </cell>
          <cell r="S791">
            <v>17</v>
          </cell>
          <cell r="T791">
            <v>4</v>
          </cell>
          <cell r="U791">
            <v>35</v>
          </cell>
          <cell r="V791">
            <v>17</v>
          </cell>
          <cell r="W791" t="str">
            <v>0.085D</v>
          </cell>
          <cell r="X791" t="str">
            <v>3-2026</v>
          </cell>
          <cell r="Y791" t="str">
            <v>Week 12</v>
          </cell>
          <cell r="Z791">
            <v>46097</v>
          </cell>
          <cell r="AA791">
            <v>284</v>
          </cell>
          <cell r="AB791">
            <v>2.8570000000000002E-2</v>
          </cell>
        </row>
        <row r="792">
          <cell r="A792" t="str">
            <v>F-2026-03-158</v>
          </cell>
          <cell r="B792"/>
          <cell r="C792" t="str">
            <v>RPRO-260310-0448</v>
          </cell>
          <cell r="D792" t="str">
            <v>MPS 09.3</v>
          </cell>
          <cell r="E792" t="str">
            <v>BDB-000105</v>
          </cell>
          <cell r="F792" t="str">
            <v>PVN-002556</v>
          </cell>
          <cell r="G792" t="str">
            <v>OrthoLite Eco LT-Hybrid AIR BLUE/16-4134TPX 0.13D 35+/-4 Asker C 1.1M 2M 4mm</v>
          </cell>
          <cell r="H792">
            <v>175</v>
          </cell>
          <cell r="I792">
            <v>175</v>
          </cell>
          <cell r="J792">
            <v>175</v>
          </cell>
          <cell r="K792">
            <v>0</v>
          </cell>
          <cell r="L792"/>
          <cell r="M792" t="str">
            <v>MPS</v>
          </cell>
          <cell r="N792" t="str">
            <v>SPLITTING</v>
          </cell>
          <cell r="O792">
            <v>2</v>
          </cell>
          <cell r="P792">
            <v>46091</v>
          </cell>
          <cell r="Q792">
            <v>46104</v>
          </cell>
          <cell r="R792">
            <v>46101</v>
          </cell>
          <cell r="S792">
            <v>13</v>
          </cell>
          <cell r="T792">
            <v>4</v>
          </cell>
          <cell r="U792">
            <v>35</v>
          </cell>
          <cell r="V792">
            <v>5</v>
          </cell>
          <cell r="W792" t="str">
            <v>0.13D</v>
          </cell>
          <cell r="X792" t="str">
            <v>3-2026</v>
          </cell>
          <cell r="Y792" t="str">
            <v>Week 12</v>
          </cell>
          <cell r="Z792">
            <v>46097</v>
          </cell>
          <cell r="AA792">
            <v>89</v>
          </cell>
          <cell r="AB792">
            <v>2.8570000000000002E-2</v>
          </cell>
        </row>
        <row r="793">
          <cell r="A793" t="str">
            <v>F-2026-03-159</v>
          </cell>
          <cell r="B793"/>
          <cell r="C793" t="str">
            <v>RPRO-260310-0449</v>
          </cell>
          <cell r="D793" t="str">
            <v>MPS 09.3</v>
          </cell>
          <cell r="E793" t="str">
            <v>BDB-000286</v>
          </cell>
          <cell r="F793" t="str">
            <v>PVN-003864</v>
          </cell>
          <cell r="G793" t="str">
            <v>OrthoLite Regular-Hybrid SEEDPEARL/12-0703TPX Hybrid Flat Sheet 0.13D 25+/-4 Asker C 1.1M 1.7M 3mm</v>
          </cell>
          <cell r="H793">
            <v>46</v>
          </cell>
          <cell r="I793">
            <v>46</v>
          </cell>
          <cell r="J793">
            <v>46</v>
          </cell>
          <cell r="K793">
            <v>0</v>
          </cell>
          <cell r="L793"/>
          <cell r="M793" t="str">
            <v>MPS</v>
          </cell>
          <cell r="N793" t="str">
            <v>SPLITTING</v>
          </cell>
          <cell r="O793">
            <v>2</v>
          </cell>
          <cell r="P793">
            <v>46091</v>
          </cell>
          <cell r="Q793">
            <v>46109</v>
          </cell>
          <cell r="R793">
            <v>46106</v>
          </cell>
          <cell r="S793">
            <v>18</v>
          </cell>
          <cell r="T793">
            <v>3</v>
          </cell>
          <cell r="U793">
            <v>46</v>
          </cell>
          <cell r="V793">
            <v>2</v>
          </cell>
          <cell r="W793" t="str">
            <v>0.13D</v>
          </cell>
          <cell r="X793" t="str">
            <v>3-2026</v>
          </cell>
          <cell r="Y793" t="str">
            <v>Week 12</v>
          </cell>
          <cell r="Z793">
            <v>46097</v>
          </cell>
          <cell r="AA793">
            <v>23</v>
          </cell>
          <cell r="AB793">
            <v>2.1739999999999999E-2</v>
          </cell>
        </row>
        <row r="794">
          <cell r="A794" t="str">
            <v>F-2026-03-160</v>
          </cell>
          <cell r="B794"/>
          <cell r="C794" t="str">
            <v>RPRO-260310-0450</v>
          </cell>
          <cell r="D794" t="str">
            <v>Pro.sche.report 09.3</v>
          </cell>
          <cell r="E794" t="str">
            <v>BDB-000054</v>
          </cell>
          <cell r="F794" t="str">
            <v>PVN-003895</v>
          </cell>
          <cell r="G794" t="str">
            <v>OrthoLite X-40 RED/19-1764TPX Flat Sheet 0.16D 25+/-4 Asker C 1.1M 1.7M 5mm</v>
          </cell>
          <cell r="H794">
            <v>112</v>
          </cell>
          <cell r="I794">
            <v>112</v>
          </cell>
          <cell r="J794">
            <v>112</v>
          </cell>
          <cell r="K794">
            <v>0</v>
          </cell>
          <cell r="L794" t="str">
            <v>PAYNTR</v>
          </cell>
          <cell r="M794" t="str">
            <v>Pr.Sch.R</v>
          </cell>
          <cell r="N794" t="str">
            <v>MOLDED</v>
          </cell>
          <cell r="O794">
            <v>1</v>
          </cell>
          <cell r="P794">
            <v>46091</v>
          </cell>
          <cell r="Q794">
            <v>46108</v>
          </cell>
          <cell r="R794">
            <v>46105</v>
          </cell>
          <cell r="S794">
            <v>17</v>
          </cell>
          <cell r="T794">
            <v>5</v>
          </cell>
          <cell r="U794">
            <v>28</v>
          </cell>
          <cell r="V794">
            <v>4</v>
          </cell>
          <cell r="W794" t="str">
            <v>0.16D</v>
          </cell>
          <cell r="X794" t="str">
            <v>3-2026</v>
          </cell>
          <cell r="Y794" t="str">
            <v>Week 12</v>
          </cell>
          <cell r="Z794">
            <v>46097</v>
          </cell>
          <cell r="AA794">
            <v>15</v>
          </cell>
          <cell r="AB794">
            <v>3.5709999999999999E-2</v>
          </cell>
        </row>
        <row r="795">
          <cell r="A795" t="str">
            <v>F-2026-03-161</v>
          </cell>
          <cell r="B795"/>
          <cell r="C795" t="str">
            <v>RPRO-260310-0451</v>
          </cell>
          <cell r="D795" t="str">
            <v>Pro.sche.report 09.3</v>
          </cell>
          <cell r="E795" t="str">
            <v>BDB-000076</v>
          </cell>
          <cell r="F795" t="str">
            <v>PVN-003448</v>
          </cell>
          <cell r="G795" t="str">
            <v>OrthoLite X-25 BILLIARD/16-5427TPX Flat Sheet 0.12D 20+/-4 Asker C 1.1M 2M 6.2mm</v>
          </cell>
          <cell r="H795">
            <v>66</v>
          </cell>
          <cell r="I795">
            <v>66</v>
          </cell>
          <cell r="J795">
            <v>66</v>
          </cell>
          <cell r="K795">
            <v>0</v>
          </cell>
          <cell r="L795" t="str">
            <v>ADIDAS</v>
          </cell>
          <cell r="M795" t="str">
            <v>Pr.Sch.R</v>
          </cell>
          <cell r="N795" t="str">
            <v>MOLDED</v>
          </cell>
          <cell r="O795">
            <v>1</v>
          </cell>
          <cell r="P795">
            <v>46091</v>
          </cell>
          <cell r="Q795">
            <v>46107</v>
          </cell>
          <cell r="R795">
            <v>46104</v>
          </cell>
          <cell r="S795">
            <v>16</v>
          </cell>
          <cell r="T795">
            <v>6.2</v>
          </cell>
          <cell r="U795">
            <v>22</v>
          </cell>
          <cell r="V795">
            <v>3</v>
          </cell>
          <cell r="W795" t="str">
            <v>0.12D</v>
          </cell>
          <cell r="X795" t="str">
            <v>3-2026</v>
          </cell>
          <cell r="Y795" t="str">
            <v>Week 12</v>
          </cell>
          <cell r="Z795">
            <v>46097</v>
          </cell>
          <cell r="AA795">
            <v>136</v>
          </cell>
          <cell r="AB795">
            <v>4.5449999999999997E-2</v>
          </cell>
        </row>
        <row r="796">
          <cell r="A796" t="str">
            <v>F-2026-03-162</v>
          </cell>
          <cell r="B796"/>
          <cell r="C796" t="str">
            <v>RPRO-260310-0452</v>
          </cell>
          <cell r="D796" t="str">
            <v>Pro.sche.report 09.3</v>
          </cell>
          <cell r="E796" t="str">
            <v>BDB-000336</v>
          </cell>
          <cell r="F796" t="str">
            <v>PVN-004168</v>
          </cell>
          <cell r="G796" t="str">
            <v>OrthoLite X-40-Nike SEEDPEARL/12-0703TPX Flat Sheet 0.16D 35+/-4 Asker C 1.1M 2M 4.5mm</v>
          </cell>
          <cell r="H796">
            <v>31</v>
          </cell>
          <cell r="I796">
            <v>31</v>
          </cell>
          <cell r="J796">
            <v>31</v>
          </cell>
          <cell r="K796">
            <v>0</v>
          </cell>
          <cell r="L796" t="str">
            <v>NIKE</v>
          </cell>
          <cell r="M796" t="str">
            <v>Pr.Sch.R</v>
          </cell>
          <cell r="N796" t="str">
            <v>MOLDED</v>
          </cell>
          <cell r="O796">
            <v>1</v>
          </cell>
          <cell r="P796">
            <v>46091</v>
          </cell>
          <cell r="Q796">
            <v>46099</v>
          </cell>
          <cell r="R796">
            <v>46096</v>
          </cell>
          <cell r="S796">
            <v>8</v>
          </cell>
          <cell r="T796">
            <v>4.5</v>
          </cell>
          <cell r="U796">
            <v>31</v>
          </cell>
          <cell r="V796">
            <v>2</v>
          </cell>
          <cell r="W796" t="e">
            <v>#N/A</v>
          </cell>
          <cell r="X796" t="str">
            <v>3-2026</v>
          </cell>
          <cell r="Y796" t="str">
            <v>Week 11</v>
          </cell>
          <cell r="Z796">
            <v>46090</v>
          </cell>
          <cell r="AA796">
            <v>16</v>
          </cell>
          <cell r="AB796">
            <v>3.3329999999999999E-2</v>
          </cell>
        </row>
        <row r="797">
          <cell r="A797" t="str">
            <v>F-2026-03-163</v>
          </cell>
          <cell r="B797"/>
          <cell r="C797" t="str">
            <v>RPRO-260310-0453</v>
          </cell>
          <cell r="D797" t="str">
            <v>Pro.sche.report 09.3</v>
          </cell>
          <cell r="E797" t="str">
            <v>BDB-000113</v>
          </cell>
          <cell r="F797" t="str">
            <v>PVN-002465</v>
          </cell>
          <cell r="G797" t="str">
            <v>OrthoLite Regular-Hybrid SEEDPEARL/12-0703TPX Hybrid Flat Sheet 0.11D 25+/-4 Asker C 1.1M 2M 5mm</v>
          </cell>
          <cell r="H797">
            <v>728</v>
          </cell>
          <cell r="I797">
            <v>728</v>
          </cell>
          <cell r="J797">
            <v>728</v>
          </cell>
          <cell r="K797">
            <v>0</v>
          </cell>
          <cell r="L797" t="str">
            <v>ASICS</v>
          </cell>
          <cell r="M797" t="str">
            <v>Pr.Sch.R</v>
          </cell>
          <cell r="N797" t="str">
            <v>DIE CUT</v>
          </cell>
          <cell r="O797">
            <v>1</v>
          </cell>
          <cell r="P797">
            <v>46091</v>
          </cell>
          <cell r="Q797">
            <v>46105</v>
          </cell>
          <cell r="R797">
            <v>46102</v>
          </cell>
          <cell r="S797">
            <v>14</v>
          </cell>
          <cell r="T797">
            <v>5</v>
          </cell>
          <cell r="U797">
            <v>28</v>
          </cell>
          <cell r="V797">
            <v>26</v>
          </cell>
          <cell r="W797" t="str">
            <v>0.11D</v>
          </cell>
          <cell r="X797" t="str">
            <v>3-2026</v>
          </cell>
          <cell r="Y797" t="str">
            <v>Week 12</v>
          </cell>
          <cell r="Z797">
            <v>46097</v>
          </cell>
          <cell r="AA797">
            <v>27</v>
          </cell>
          <cell r="AB797">
            <v>3.5709999999999999E-2</v>
          </cell>
        </row>
        <row r="798">
          <cell r="A798" t="str">
            <v>F-2026-03-164</v>
          </cell>
          <cell r="B798"/>
          <cell r="C798" t="str">
            <v>RPRO-260310-0454</v>
          </cell>
          <cell r="D798" t="str">
            <v>Pro.sche.report 09.3</v>
          </cell>
          <cell r="E798" t="str">
            <v>BDB-000212</v>
          </cell>
          <cell r="F798" t="str">
            <v>PVN-003460</v>
          </cell>
          <cell r="G798" t="str">
            <v>OrthoLite X-25-Hybrid SEEDPEARL/12-0703TPX Hybrid Flat Sheet 0.12D 20+/-4 Asker C 1.1M 2M 5.5mm</v>
          </cell>
          <cell r="H798">
            <v>75</v>
          </cell>
          <cell r="I798">
            <v>75</v>
          </cell>
          <cell r="J798">
            <v>75</v>
          </cell>
          <cell r="K798">
            <v>0</v>
          </cell>
          <cell r="L798" t="str">
            <v>ON RUNNING</v>
          </cell>
          <cell r="M798" t="str">
            <v>Pr.Sch.R</v>
          </cell>
          <cell r="N798" t="str">
            <v>MOLDED</v>
          </cell>
          <cell r="O798">
            <v>1</v>
          </cell>
          <cell r="P798">
            <v>46091</v>
          </cell>
          <cell r="Q798">
            <v>46102</v>
          </cell>
          <cell r="R798">
            <v>46099</v>
          </cell>
          <cell r="S798">
            <v>11</v>
          </cell>
          <cell r="T798">
            <v>5.5</v>
          </cell>
          <cell r="U798">
            <v>25</v>
          </cell>
          <cell r="V798">
            <v>3</v>
          </cell>
          <cell r="W798" t="str">
            <v>0.12D</v>
          </cell>
          <cell r="X798" t="str">
            <v>3-2026</v>
          </cell>
          <cell r="Y798" t="str">
            <v>Week 12</v>
          </cell>
          <cell r="Z798">
            <v>46097</v>
          </cell>
          <cell r="AA798">
            <v>141</v>
          </cell>
          <cell r="AB798">
            <v>0.04</v>
          </cell>
        </row>
        <row r="799">
          <cell r="A799" t="str">
            <v>F-2026-03-165</v>
          </cell>
          <cell r="B799"/>
          <cell r="C799" t="str">
            <v>RPRO-260310-0455</v>
          </cell>
          <cell r="D799" t="str">
            <v>Pro.sche.report 09.3</v>
          </cell>
          <cell r="E799" t="str">
            <v>BDB-000113</v>
          </cell>
          <cell r="F799" t="str">
            <v>PVN-003414</v>
          </cell>
          <cell r="G799" t="str">
            <v>OrthoLite Regular-Hybrid SEEDPEARL/12-0703TPX Hybrid Flat Sheet 0.11D 25+/-4 Asker C 1.1M 2M 12mm</v>
          </cell>
          <cell r="H799">
            <v>737</v>
          </cell>
          <cell r="I799">
            <v>737</v>
          </cell>
          <cell r="J799">
            <v>0</v>
          </cell>
          <cell r="K799">
            <v>737</v>
          </cell>
          <cell r="L799" t="str">
            <v>ASICS</v>
          </cell>
          <cell r="M799" t="str">
            <v>Pr.Sch.R</v>
          </cell>
          <cell r="N799" t="str">
            <v>MOLDED</v>
          </cell>
          <cell r="O799">
            <v>1</v>
          </cell>
          <cell r="P799">
            <v>46091</v>
          </cell>
          <cell r="Q799">
            <v>46118</v>
          </cell>
          <cell r="R799">
            <v>46115</v>
          </cell>
          <cell r="S799">
            <v>27</v>
          </cell>
          <cell r="T799">
            <v>12</v>
          </cell>
          <cell r="U799">
            <v>11.5</v>
          </cell>
          <cell r="V799">
            <v>65</v>
          </cell>
          <cell r="W799" t="str">
            <v>0.11D</v>
          </cell>
          <cell r="X799" t="str">
            <v>4-2026</v>
          </cell>
          <cell r="Y799" t="str">
            <v>Week 14</v>
          </cell>
          <cell r="Z799">
            <v>46111</v>
          </cell>
          <cell r="AA799">
            <v>115</v>
          </cell>
          <cell r="AB799">
            <v>8.6959999999999996E-2</v>
          </cell>
        </row>
        <row r="800">
          <cell r="A800" t="str">
            <v>F-2026-03-166</v>
          </cell>
          <cell r="B800"/>
          <cell r="C800" t="str">
            <v>RPRO-260310-0456</v>
          </cell>
          <cell r="D800" t="str">
            <v>Pro.sche.report 09.3</v>
          </cell>
          <cell r="E800" t="str">
            <v>BDB-000346</v>
          </cell>
          <cell r="F800" t="str">
            <v>PVN-004188</v>
          </cell>
          <cell r="G800" t="str">
            <v>OrthoLite Float NEUTRAL GRAY/17-4402TPX Flat Sheet 0.12D 21+/-4 Asker C 1.1M 1.47M 5.5mm</v>
          </cell>
          <cell r="H800">
            <v>525</v>
          </cell>
          <cell r="I800">
            <v>525</v>
          </cell>
          <cell r="J800">
            <v>525</v>
          </cell>
          <cell r="K800">
            <v>0</v>
          </cell>
          <cell r="L800" t="str">
            <v>PUMA</v>
          </cell>
          <cell r="M800" t="str">
            <v>Pr.Sch.R</v>
          </cell>
          <cell r="N800" t="str">
            <v>MOLDED</v>
          </cell>
          <cell r="O800">
            <v>1</v>
          </cell>
          <cell r="P800">
            <v>46091</v>
          </cell>
          <cell r="Q800">
            <v>46108</v>
          </cell>
          <cell r="R800">
            <v>46105</v>
          </cell>
          <cell r="S800">
            <v>17</v>
          </cell>
          <cell r="T800">
            <v>5.5</v>
          </cell>
          <cell r="U800">
            <v>25</v>
          </cell>
          <cell r="V800">
            <v>21</v>
          </cell>
          <cell r="W800" t="e">
            <v>#N/A</v>
          </cell>
          <cell r="X800" t="str">
            <v>3-2026</v>
          </cell>
          <cell r="Y800" t="str">
            <v>Week 12</v>
          </cell>
          <cell r="Z800">
            <v>46097</v>
          </cell>
          <cell r="AA800">
            <v>84</v>
          </cell>
          <cell r="AB800">
            <v>0.04</v>
          </cell>
        </row>
        <row r="801">
          <cell r="A801" t="str">
            <v>F-2026-03-167</v>
          </cell>
          <cell r="B801"/>
          <cell r="C801" t="str">
            <v>RPRO-260310-0457</v>
          </cell>
          <cell r="D801" t="str">
            <v>Pro.sche.report 09.3</v>
          </cell>
          <cell r="E801" t="str">
            <v>BDB-000319</v>
          </cell>
          <cell r="F801" t="str">
            <v>PVN-004247</v>
          </cell>
          <cell r="G801" t="str">
            <v>OrthoLite X-40-Hybrid-Nike SEEDPEARL/12-0703TPX Hybrid Flat Sheet 0.16D 25+/-4 Asker C 1.1M 2M 4.2mm</v>
          </cell>
          <cell r="H801">
            <v>66</v>
          </cell>
          <cell r="I801">
            <v>66</v>
          </cell>
          <cell r="J801">
            <v>66</v>
          </cell>
          <cell r="K801">
            <v>0</v>
          </cell>
          <cell r="L801" t="str">
            <v>NIKE</v>
          </cell>
          <cell r="M801" t="str">
            <v>Pr.Sch.R</v>
          </cell>
          <cell r="N801" t="str">
            <v>MOLDED</v>
          </cell>
          <cell r="O801">
            <v>1</v>
          </cell>
          <cell r="P801">
            <v>46091</v>
          </cell>
          <cell r="Q801">
            <v>46109</v>
          </cell>
          <cell r="R801">
            <v>46106</v>
          </cell>
          <cell r="S801">
            <v>18</v>
          </cell>
          <cell r="T801">
            <v>4.2</v>
          </cell>
          <cell r="U801">
            <v>33</v>
          </cell>
          <cell r="V801">
            <v>2</v>
          </cell>
          <cell r="W801" t="e">
            <v>#N/A</v>
          </cell>
          <cell r="X801" t="str">
            <v>3-2026</v>
          </cell>
          <cell r="Y801" t="str">
            <v>Week 12</v>
          </cell>
          <cell r="Z801">
            <v>46097</v>
          </cell>
          <cell r="AA801">
            <v>53</v>
          </cell>
          <cell r="AB801">
            <v>3.0300000000000001E-2</v>
          </cell>
        </row>
        <row r="802">
          <cell r="A802" t="str">
            <v>F-2026-03-168</v>
          </cell>
          <cell r="B802"/>
          <cell r="C802" t="str">
            <v>RPRO-260310-0458</v>
          </cell>
          <cell r="D802" t="str">
            <v>Pro.sche.report 09.3</v>
          </cell>
          <cell r="E802" t="str">
            <v>BDB-000123</v>
          </cell>
          <cell r="F802" t="str">
            <v>PVN-002884</v>
          </cell>
          <cell r="G802" t="str">
            <v>OrthoLite Ultra-Hybrid SEEDPEARL/12-0703TPX Hybrid Flat Sheet 0.085D 25+/-4 Asker C 1.1M 2M 10mm</v>
          </cell>
          <cell r="H802">
            <v>13</v>
          </cell>
          <cell r="I802">
            <v>13</v>
          </cell>
          <cell r="J802">
            <v>13</v>
          </cell>
          <cell r="K802">
            <v>0</v>
          </cell>
          <cell r="L802" t="str">
            <v>ADIDAS</v>
          </cell>
          <cell r="M802" t="str">
            <v>Pr.Sch.R</v>
          </cell>
          <cell r="N802" t="str">
            <v>MOLDED</v>
          </cell>
          <cell r="O802">
            <v>1</v>
          </cell>
          <cell r="P802">
            <v>46091</v>
          </cell>
          <cell r="Q802">
            <v>46108</v>
          </cell>
          <cell r="R802">
            <v>46105</v>
          </cell>
          <cell r="S802">
            <v>17</v>
          </cell>
          <cell r="T802">
            <v>10</v>
          </cell>
          <cell r="U802">
            <v>13</v>
          </cell>
          <cell r="V802">
            <v>1</v>
          </cell>
          <cell r="W802" t="str">
            <v>0.085D</v>
          </cell>
          <cell r="X802" t="str">
            <v>3-2026</v>
          </cell>
          <cell r="Y802" t="str">
            <v>Week 12</v>
          </cell>
          <cell r="Z802">
            <v>46097</v>
          </cell>
          <cell r="AA802">
            <v>108</v>
          </cell>
          <cell r="AB802">
            <v>7.6920000000000002E-2</v>
          </cell>
        </row>
        <row r="803">
          <cell r="A803" t="str">
            <v>F-2026-03-169</v>
          </cell>
          <cell r="B803"/>
          <cell r="C803" t="str">
            <v>RPRO-260310-0459</v>
          </cell>
          <cell r="D803" t="str">
            <v>Pro.sche.report 09.3</v>
          </cell>
          <cell r="E803" t="str">
            <v>BDB-000363</v>
          </cell>
          <cell r="F803" t="str">
            <v>PVN-004260</v>
          </cell>
          <cell r="G803" t="str">
            <v>OrthoLite HybridPlus-Recycled MINT GREEN/11-4805TPX Hybrid Flat Sheet 0.12D 35+/-4 Asker C 1.1M 2M 5.5mm</v>
          </cell>
          <cell r="H803">
            <v>50</v>
          </cell>
          <cell r="I803">
            <v>50</v>
          </cell>
          <cell r="J803">
            <v>50</v>
          </cell>
          <cell r="K803">
            <v>0</v>
          </cell>
          <cell r="L803" t="str">
            <v>ON RUNNING</v>
          </cell>
          <cell r="M803" t="str">
            <v>Pr.Sch.R</v>
          </cell>
          <cell r="N803" t="str">
            <v>MOLDED</v>
          </cell>
          <cell r="O803">
            <v>1</v>
          </cell>
          <cell r="P803">
            <v>46091</v>
          </cell>
          <cell r="Q803">
            <v>46104</v>
          </cell>
          <cell r="R803">
            <v>46101</v>
          </cell>
          <cell r="S803">
            <v>13</v>
          </cell>
          <cell r="T803">
            <v>5.5</v>
          </cell>
          <cell r="U803">
            <v>25</v>
          </cell>
          <cell r="V803">
            <v>2</v>
          </cell>
          <cell r="W803" t="e">
            <v>#N/A</v>
          </cell>
          <cell r="X803" t="str">
            <v>3-2026</v>
          </cell>
          <cell r="Y803" t="str">
            <v>Week 12</v>
          </cell>
          <cell r="Z803">
            <v>46097</v>
          </cell>
          <cell r="AA803">
            <v>71</v>
          </cell>
          <cell r="AB803">
            <v>0.04</v>
          </cell>
        </row>
        <row r="804">
          <cell r="A804" t="str">
            <v>F-2026-03-170</v>
          </cell>
          <cell r="B804"/>
          <cell r="C804" t="str">
            <v>RPRO-260310-0460</v>
          </cell>
          <cell r="D804" t="str">
            <v>Pro.sche.report 09.3</v>
          </cell>
          <cell r="E804" t="str">
            <v>BDB-000157</v>
          </cell>
          <cell r="F804" t="str">
            <v>PVN-003642</v>
          </cell>
          <cell r="G804" t="str">
            <v>OrthoLite X-35-Hybrid-Nike SEEDPEARL/12-0703TPX Hybrid Flat Sheet 0.145D 25+/-4 Asker C 1.1M 2M 6.2mm</v>
          </cell>
          <cell r="H804">
            <v>110</v>
          </cell>
          <cell r="I804">
            <v>110</v>
          </cell>
          <cell r="J804">
            <v>110</v>
          </cell>
          <cell r="K804">
            <v>0</v>
          </cell>
          <cell r="L804" t="str">
            <v>NIKE</v>
          </cell>
          <cell r="M804" t="str">
            <v>Pr.Sch.R</v>
          </cell>
          <cell r="N804" t="str">
            <v>MOLDED</v>
          </cell>
          <cell r="O804">
            <v>1</v>
          </cell>
          <cell r="P804">
            <v>46091</v>
          </cell>
          <cell r="Q804">
            <v>46109</v>
          </cell>
          <cell r="R804">
            <v>46106</v>
          </cell>
          <cell r="S804">
            <v>18</v>
          </cell>
          <cell r="T804">
            <v>6.2</v>
          </cell>
          <cell r="U804">
            <v>22</v>
          </cell>
          <cell r="V804">
            <v>5</v>
          </cell>
          <cell r="W804" t="str">
            <v>0.145D</v>
          </cell>
          <cell r="X804" t="str">
            <v>3-2026</v>
          </cell>
          <cell r="Y804" t="str">
            <v>Week 12</v>
          </cell>
          <cell r="Z804">
            <v>46097</v>
          </cell>
          <cell r="AA804">
            <v>21</v>
          </cell>
          <cell r="AB804">
            <v>4.5449999999999997E-2</v>
          </cell>
        </row>
        <row r="805">
          <cell r="A805" t="str">
            <v>F-2026-03-171</v>
          </cell>
          <cell r="B805"/>
          <cell r="C805" t="str">
            <v>RPRO-260310-0461</v>
          </cell>
          <cell r="D805" t="str">
            <v>Pro.sche.report 09.3</v>
          </cell>
          <cell r="E805" t="str">
            <v>BDB-000126</v>
          </cell>
          <cell r="F805" t="str">
            <v>PVN-002325</v>
          </cell>
          <cell r="G805" t="str">
            <v>OrthoLite Regular-Nike RED/19-1764TPX Flat Sheet 0.11D 25+/-4 Asker C 1.1M 2M 5.2mm</v>
          </cell>
          <cell r="H805">
            <v>52</v>
          </cell>
          <cell r="I805">
            <v>52</v>
          </cell>
          <cell r="J805">
            <v>52</v>
          </cell>
          <cell r="K805">
            <v>0</v>
          </cell>
          <cell r="L805" t="str">
            <v>NIKE</v>
          </cell>
          <cell r="M805" t="str">
            <v>Pr.Sch.R</v>
          </cell>
          <cell r="N805" t="str">
            <v>MOLDED</v>
          </cell>
          <cell r="O805">
            <v>1</v>
          </cell>
          <cell r="P805">
            <v>46091</v>
          </cell>
          <cell r="Q805">
            <v>46108</v>
          </cell>
          <cell r="R805">
            <v>46105</v>
          </cell>
          <cell r="S805">
            <v>17</v>
          </cell>
          <cell r="T805">
            <v>5.2</v>
          </cell>
          <cell r="U805">
            <v>26</v>
          </cell>
          <cell r="V805">
            <v>2</v>
          </cell>
          <cell r="W805" t="str">
            <v>0.11D</v>
          </cell>
          <cell r="X805" t="str">
            <v>3-2026</v>
          </cell>
          <cell r="Y805" t="str">
            <v>Week 12</v>
          </cell>
          <cell r="Z805">
            <v>46097</v>
          </cell>
          <cell r="AA805">
            <v>7</v>
          </cell>
          <cell r="AB805">
            <v>3.8460000000000001E-2</v>
          </cell>
        </row>
        <row r="806">
          <cell r="A806" t="str">
            <v>F-2026-03-172</v>
          </cell>
          <cell r="B806"/>
          <cell r="C806" t="str">
            <v>RPRO-260310-0462</v>
          </cell>
          <cell r="D806" t="str">
            <v>Pro.sche.report 09.3</v>
          </cell>
          <cell r="E806" t="str">
            <v>BDB-000197</v>
          </cell>
          <cell r="F806" t="str">
            <v>PVN-003406</v>
          </cell>
          <cell r="G806" t="str">
            <v>OrthoLite Ultra-Hybrid SEEDPEARL/12-0703TPX Hybrid Flat Sheet 0.085D 5-10 Asker C 1.1M 2M 2mm</v>
          </cell>
          <cell r="H806">
            <v>70</v>
          </cell>
          <cell r="I806">
            <v>70</v>
          </cell>
          <cell r="J806">
            <v>70</v>
          </cell>
          <cell r="K806">
            <v>0</v>
          </cell>
          <cell r="L806" t="str">
            <v>ADIDAS</v>
          </cell>
          <cell r="M806" t="str">
            <v>Pr.Sch.R</v>
          </cell>
          <cell r="N806" t="str">
            <v>DIE CUT</v>
          </cell>
          <cell r="O806">
            <v>1</v>
          </cell>
          <cell r="P806">
            <v>46091</v>
          </cell>
          <cell r="Q806">
            <v>46108</v>
          </cell>
          <cell r="R806">
            <v>46105</v>
          </cell>
          <cell r="S806">
            <v>17</v>
          </cell>
          <cell r="T806">
            <v>2</v>
          </cell>
          <cell r="U806">
            <v>70</v>
          </cell>
          <cell r="V806">
            <v>2</v>
          </cell>
          <cell r="W806" t="str">
            <v>0.085D</v>
          </cell>
          <cell r="X806" t="str">
            <v>3-2026</v>
          </cell>
          <cell r="Y806" t="str">
            <v>Week 12</v>
          </cell>
          <cell r="Z806">
            <v>46097</v>
          </cell>
          <cell r="AA806">
            <v>65</v>
          </cell>
          <cell r="AB806">
            <v>1.4290000000000001E-2</v>
          </cell>
        </row>
        <row r="807">
          <cell r="A807" t="str">
            <v>F-2026-03-173</v>
          </cell>
          <cell r="B807"/>
          <cell r="C807" t="str">
            <v>RPRO-260310-0463</v>
          </cell>
          <cell r="D807" t="str">
            <v>Pro.sche.report 09.3</v>
          </cell>
          <cell r="E807" t="str">
            <v>BDB-000229</v>
          </cell>
          <cell r="F807" t="str">
            <v>PVN-003692</v>
          </cell>
          <cell r="G807" t="str">
            <v>OrthoLite Ultra-Hybrid SEEDPEARL/12-0703TPX Hybrid Flat Sheet 0.095D 33+/-4 Asker C 1.1M 2M 15.5mm</v>
          </cell>
          <cell r="H807">
            <v>248</v>
          </cell>
          <cell r="I807">
            <v>248</v>
          </cell>
          <cell r="J807">
            <v>248</v>
          </cell>
          <cell r="K807">
            <v>0</v>
          </cell>
          <cell r="L807" t="str">
            <v>GARMONT</v>
          </cell>
          <cell r="M807" t="str">
            <v>Pr.Sch.R</v>
          </cell>
          <cell r="N807" t="str">
            <v>MOLDED</v>
          </cell>
          <cell r="O807">
            <v>1</v>
          </cell>
          <cell r="P807">
            <v>46091</v>
          </cell>
          <cell r="Q807">
            <v>46109</v>
          </cell>
          <cell r="R807">
            <v>46106</v>
          </cell>
          <cell r="S807">
            <v>18</v>
          </cell>
          <cell r="T807">
            <v>15.5</v>
          </cell>
          <cell r="U807">
            <v>8</v>
          </cell>
          <cell r="V807">
            <v>31</v>
          </cell>
          <cell r="W807" t="str">
            <v>0.095D</v>
          </cell>
          <cell r="X807" t="str">
            <v>3-2026</v>
          </cell>
          <cell r="Y807" t="str">
            <v>Week 13</v>
          </cell>
          <cell r="Z807">
            <v>46104</v>
          </cell>
          <cell r="AA807">
            <v>45</v>
          </cell>
          <cell r="AB807">
            <v>0.125</v>
          </cell>
        </row>
        <row r="808">
          <cell r="A808" t="str">
            <v>F-2026-03-174</v>
          </cell>
          <cell r="B808"/>
          <cell r="C808" t="str">
            <v>RPRO-260310-0464</v>
          </cell>
          <cell r="D808" t="str">
            <v>Pro.sche.report 09.3</v>
          </cell>
          <cell r="E808" t="str">
            <v>BDB-000229</v>
          </cell>
          <cell r="F808" t="str">
            <v>PVN-003878</v>
          </cell>
          <cell r="G808" t="str">
            <v>OrthoLite Ultra-Hybrid SEEDPEARL/12-0703TPX Hybrid Flat Sheet 0.095D 33+/-4 Asker C 1.1M 2M 4mm</v>
          </cell>
          <cell r="H808">
            <v>35</v>
          </cell>
          <cell r="I808">
            <v>35</v>
          </cell>
          <cell r="J808">
            <v>35</v>
          </cell>
          <cell r="K808">
            <v>0</v>
          </cell>
          <cell r="L808" t="str">
            <v>ON RUNNING</v>
          </cell>
          <cell r="M808" t="str">
            <v>Pr.Sch.R</v>
          </cell>
          <cell r="N808" t="str">
            <v>DIE CUT</v>
          </cell>
          <cell r="O808">
            <v>1</v>
          </cell>
          <cell r="P808">
            <v>46091</v>
          </cell>
          <cell r="Q808">
            <v>46099</v>
          </cell>
          <cell r="R808">
            <v>46096</v>
          </cell>
          <cell r="S808">
            <v>8</v>
          </cell>
          <cell r="T808">
            <v>4</v>
          </cell>
          <cell r="U808">
            <v>35</v>
          </cell>
          <cell r="V808">
            <v>1</v>
          </cell>
          <cell r="W808" t="str">
            <v>0.095D</v>
          </cell>
          <cell r="X808" t="str">
            <v>3-2026</v>
          </cell>
          <cell r="Y808" t="str">
            <v>Week 11</v>
          </cell>
          <cell r="Z808">
            <v>46090</v>
          </cell>
          <cell r="AA808">
            <v>20</v>
          </cell>
          <cell r="AB808">
            <v>2.8570000000000002E-2</v>
          </cell>
        </row>
        <row r="809">
          <cell r="A809" t="str">
            <v>F-2026-03-175</v>
          </cell>
          <cell r="B809"/>
          <cell r="C809" t="str">
            <v>RPRO-260310-0465</v>
          </cell>
          <cell r="D809" t="str">
            <v>Pro.sche.report 09.3</v>
          </cell>
          <cell r="E809" t="str">
            <v>BDB-000217</v>
          </cell>
          <cell r="F809" t="str">
            <v>PVN-003733</v>
          </cell>
          <cell r="G809" t="str">
            <v>OrthoLite X-40-Hybrid SEEDPEARL/12-0703TPX Hybrid Flat Sheet 0.16D 35+/-4 Asker C 1.1M 1.7M 12.5mm</v>
          </cell>
          <cell r="H809">
            <v>10</v>
          </cell>
          <cell r="I809">
            <v>10</v>
          </cell>
          <cell r="J809">
            <v>10</v>
          </cell>
          <cell r="K809">
            <v>0</v>
          </cell>
          <cell r="L809" t="str">
            <v>OBOZ</v>
          </cell>
          <cell r="M809" t="str">
            <v>Pr.Sch.R</v>
          </cell>
          <cell r="N809" t="str">
            <v>MOLDED</v>
          </cell>
          <cell r="O809">
            <v>1</v>
          </cell>
          <cell r="P809">
            <v>46091</v>
          </cell>
          <cell r="Q809">
            <v>46099</v>
          </cell>
          <cell r="R809">
            <v>46096</v>
          </cell>
          <cell r="S809">
            <v>8</v>
          </cell>
          <cell r="T809">
            <v>12.5</v>
          </cell>
          <cell r="U809">
            <v>10</v>
          </cell>
          <cell r="V809">
            <v>1</v>
          </cell>
          <cell r="W809" t="str">
            <v>0.16D</v>
          </cell>
          <cell r="X809" t="str">
            <v>3-2026</v>
          </cell>
          <cell r="Y809" t="str">
            <v>Week 11</v>
          </cell>
          <cell r="Z809">
            <v>46090</v>
          </cell>
          <cell r="AA809">
            <v>45</v>
          </cell>
          <cell r="AB809">
            <v>0.1</v>
          </cell>
        </row>
        <row r="810">
          <cell r="A810" t="str">
            <v>F-2026-03-176</v>
          </cell>
          <cell r="B810"/>
          <cell r="C810" t="str">
            <v>RPRO-260310-0466</v>
          </cell>
          <cell r="D810" t="str">
            <v>Pro.sche.report 09.3</v>
          </cell>
          <cell r="E810" t="str">
            <v>BDB-000117</v>
          </cell>
          <cell r="F810" t="str">
            <v>PVN-003148</v>
          </cell>
          <cell r="G810" t="str">
            <v>OrthoLite X-35-Hybrid SEEDPEARL/12-0703TPX Hybrid Flat Sheet 0.145D 25+/-4 Asker C 1.1M 2M 4.5mm</v>
          </cell>
          <cell r="H810">
            <v>248</v>
          </cell>
          <cell r="I810">
            <v>248</v>
          </cell>
          <cell r="J810">
            <v>248</v>
          </cell>
          <cell r="K810">
            <v>0</v>
          </cell>
          <cell r="L810" t="str">
            <v>WILSON</v>
          </cell>
          <cell r="M810" t="str">
            <v>Pr.Sch.R</v>
          </cell>
          <cell r="N810" t="str">
            <v>MOLDED</v>
          </cell>
          <cell r="O810">
            <v>1</v>
          </cell>
          <cell r="P810">
            <v>46091</v>
          </cell>
          <cell r="Q810">
            <v>46104</v>
          </cell>
          <cell r="R810">
            <v>46101</v>
          </cell>
          <cell r="S810">
            <v>13</v>
          </cell>
          <cell r="T810">
            <v>4.5</v>
          </cell>
          <cell r="U810">
            <v>31</v>
          </cell>
          <cell r="V810">
            <v>9</v>
          </cell>
          <cell r="W810" t="str">
            <v>0.145D</v>
          </cell>
          <cell r="X810" t="str">
            <v>3-2026</v>
          </cell>
          <cell r="Y810" t="str">
            <v>Week 12</v>
          </cell>
          <cell r="Z810">
            <v>46097</v>
          </cell>
          <cell r="AA810">
            <v>9</v>
          </cell>
          <cell r="AB810">
            <v>3.2259999999999997E-2</v>
          </cell>
        </row>
        <row r="811">
          <cell r="A811" t="str">
            <v>F-2026-03-177</v>
          </cell>
          <cell r="B811"/>
          <cell r="C811" t="str">
            <v>RPRO-260310-0467</v>
          </cell>
          <cell r="D811" t="str">
            <v>Pro.sche.report 09.3</v>
          </cell>
          <cell r="E811" t="str">
            <v>BDB-000212</v>
          </cell>
          <cell r="F811" t="str">
            <v>PVN-003458</v>
          </cell>
          <cell r="G811" t="str">
            <v>OrthoLite X-25-Hybrid SEEDPEARL/12-0703TPX Hybrid Flat Sheet 0.12D 20+/-4 Asker C 1.1M 2M 4mm</v>
          </cell>
          <cell r="H811">
            <v>105</v>
          </cell>
          <cell r="I811">
            <v>105</v>
          </cell>
          <cell r="J811">
            <v>105</v>
          </cell>
          <cell r="K811">
            <v>0</v>
          </cell>
          <cell r="L811" t="str">
            <v>ON RUNNING</v>
          </cell>
          <cell r="M811" t="str">
            <v>Pr.Sch.R</v>
          </cell>
          <cell r="N811" t="str">
            <v>DIE CUT</v>
          </cell>
          <cell r="O811">
            <v>1</v>
          </cell>
          <cell r="P811">
            <v>46091</v>
          </cell>
          <cell r="Q811">
            <v>46108</v>
          </cell>
          <cell r="R811">
            <v>46105</v>
          </cell>
          <cell r="S811">
            <v>17</v>
          </cell>
          <cell r="T811">
            <v>4</v>
          </cell>
          <cell r="U811">
            <v>35</v>
          </cell>
          <cell r="V811">
            <v>3</v>
          </cell>
          <cell r="W811" t="str">
            <v>0.12D</v>
          </cell>
          <cell r="X811" t="str">
            <v>3-2026</v>
          </cell>
          <cell r="Y811" t="str">
            <v>Week 12</v>
          </cell>
          <cell r="Z811">
            <v>46097</v>
          </cell>
          <cell r="AA811">
            <v>33</v>
          </cell>
          <cell r="AB811">
            <v>2.8570000000000002E-2</v>
          </cell>
        </row>
        <row r="812">
          <cell r="A812" t="str">
            <v>F-2026-03-178</v>
          </cell>
          <cell r="B812"/>
          <cell r="C812" t="str">
            <v>RPRO-260310-0468</v>
          </cell>
          <cell r="D812" t="str">
            <v>Pro.sche.report 09.3</v>
          </cell>
          <cell r="E812" t="str">
            <v>BDB-000340</v>
          </cell>
          <cell r="F812" t="str">
            <v>PVN-004177</v>
          </cell>
          <cell r="G812" t="str">
            <v>OrthoLite Float SEEDPEARL/12-0703TPX Flat Sheet 0.12D 21+/-4 Asker C 1.1M 2M 5.5mm</v>
          </cell>
          <cell r="H812">
            <v>100</v>
          </cell>
          <cell r="I812">
            <v>100</v>
          </cell>
          <cell r="J812">
            <v>100</v>
          </cell>
          <cell r="K812">
            <v>0</v>
          </cell>
          <cell r="L812" t="str">
            <v>ON RUNNING</v>
          </cell>
          <cell r="M812" t="str">
            <v>Pr.Sch.R</v>
          </cell>
          <cell r="N812" t="str">
            <v>MOLDED</v>
          </cell>
          <cell r="O812">
            <v>1</v>
          </cell>
          <cell r="P812">
            <v>46091</v>
          </cell>
          <cell r="Q812">
            <v>46101</v>
          </cell>
          <cell r="R812">
            <v>46098</v>
          </cell>
          <cell r="S812">
            <v>10</v>
          </cell>
          <cell r="T812">
            <v>5.5</v>
          </cell>
          <cell r="U812">
            <v>25</v>
          </cell>
          <cell r="V812">
            <v>4</v>
          </cell>
          <cell r="W812" t="e">
            <v>#N/A</v>
          </cell>
          <cell r="X812" t="str">
            <v>3-2026</v>
          </cell>
          <cell r="Y812" t="str">
            <v>Week 11</v>
          </cell>
          <cell r="Z812">
            <v>46090</v>
          </cell>
          <cell r="AA812">
            <v>26</v>
          </cell>
          <cell r="AB812">
            <v>0.04</v>
          </cell>
        </row>
        <row r="813">
          <cell r="A813" t="str">
            <v>F-2026-03-179</v>
          </cell>
          <cell r="B813"/>
          <cell r="C813" t="str">
            <v>RPRO-260310-0469</v>
          </cell>
          <cell r="D813" t="str">
            <v>Pro.sche.report 09.3</v>
          </cell>
          <cell r="E813" t="str">
            <v>BDB-000313</v>
          </cell>
          <cell r="F813" t="str">
            <v>PVN-004061</v>
          </cell>
          <cell r="G813" t="str">
            <v>OrthoLite X-55 RED/19-1764TPX Flat Sheet 0.16D 25+/-4 Asker C 1.1M 1.47M 18mm</v>
          </cell>
          <cell r="H813">
            <v>7</v>
          </cell>
          <cell r="I813">
            <v>7</v>
          </cell>
          <cell r="J813">
            <v>7</v>
          </cell>
          <cell r="K813">
            <v>0</v>
          </cell>
          <cell r="L813" t="str">
            <v>WILSON</v>
          </cell>
          <cell r="M813" t="str">
            <v>Pr.Sch.R</v>
          </cell>
          <cell r="N813" t="str">
            <v>MOLDED</v>
          </cell>
          <cell r="O813">
            <v>1</v>
          </cell>
          <cell r="P813">
            <v>46091</v>
          </cell>
          <cell r="Q813">
            <v>46099</v>
          </cell>
          <cell r="R813">
            <v>46096</v>
          </cell>
          <cell r="S813">
            <v>8</v>
          </cell>
          <cell r="T813">
            <v>18</v>
          </cell>
          <cell r="U813">
            <v>7</v>
          </cell>
          <cell r="V813">
            <v>2</v>
          </cell>
          <cell r="W813" t="e">
            <v>#N/A</v>
          </cell>
          <cell r="X813" t="str">
            <v>3-2026</v>
          </cell>
          <cell r="Y813" t="str">
            <v>Week 11</v>
          </cell>
          <cell r="Z813">
            <v>46090</v>
          </cell>
          <cell r="AA813">
            <v>7</v>
          </cell>
          <cell r="AB813">
            <v>0.14285999999999999</v>
          </cell>
        </row>
        <row r="814">
          <cell r="A814" t="str">
            <v>F-2026-03-180</v>
          </cell>
          <cell r="B814"/>
          <cell r="C814" t="str">
            <v>RPRO-260310-0470</v>
          </cell>
          <cell r="D814" t="str">
            <v>Pro.sche.report 09.3</v>
          </cell>
          <cell r="E814" t="str">
            <v>BDB-000156</v>
          </cell>
          <cell r="F814" t="str">
            <v>PVN-003243</v>
          </cell>
          <cell r="G814" t="str">
            <v>OrthoLite X-35-Hybrid-Nike AMAZON/18-6024TPX Hybrid Flat Sheet 0.145D 25+/-4 Asker C 1.1M 2M 5.2mm</v>
          </cell>
          <cell r="H814">
            <v>1118</v>
          </cell>
          <cell r="I814">
            <v>1118</v>
          </cell>
          <cell r="J814">
            <v>1118</v>
          </cell>
          <cell r="K814">
            <v>0</v>
          </cell>
          <cell r="L814" t="str">
            <v>NIKE</v>
          </cell>
          <cell r="M814" t="str">
            <v>Pr.Sch.R</v>
          </cell>
          <cell r="N814" t="str">
            <v>MOLDED</v>
          </cell>
          <cell r="O814" t="str">
            <v>1-SLT</v>
          </cell>
          <cell r="P814">
            <v>46091</v>
          </cell>
          <cell r="Q814">
            <v>46106</v>
          </cell>
          <cell r="R814">
            <v>46103</v>
          </cell>
          <cell r="S814">
            <v>15</v>
          </cell>
          <cell r="T814">
            <v>5.2</v>
          </cell>
          <cell r="U814">
            <v>26</v>
          </cell>
          <cell r="V814">
            <v>43</v>
          </cell>
          <cell r="W814" t="str">
            <v>0.145D</v>
          </cell>
          <cell r="X814" t="str">
            <v>3-2026</v>
          </cell>
          <cell r="Y814" t="str">
            <v>Week 12</v>
          </cell>
          <cell r="Z814">
            <v>46097</v>
          </cell>
          <cell r="AA814">
            <v>7</v>
          </cell>
          <cell r="AB814">
            <v>3.8460000000000001E-2</v>
          </cell>
        </row>
        <row r="815">
          <cell r="A815" t="str">
            <v>F-2026-03-181</v>
          </cell>
          <cell r="B815"/>
          <cell r="C815" t="str">
            <v>RPRO-260310-0471</v>
          </cell>
          <cell r="D815" t="str">
            <v>Pro.sche.report 09.3</v>
          </cell>
          <cell r="E815" t="str">
            <v>BDB-000157</v>
          </cell>
          <cell r="F815" t="str">
            <v>PVN-003244</v>
          </cell>
          <cell r="G815" t="str">
            <v>OrthoLite X-35-Hybrid-Nike SEEDPEARL/12-0703TPX Hybrid Flat Sheet 0.145D 25+/-4 Asker C 1.1M 2M 5.2mm</v>
          </cell>
          <cell r="H815">
            <v>104</v>
          </cell>
          <cell r="I815">
            <v>104</v>
          </cell>
          <cell r="J815">
            <v>104</v>
          </cell>
          <cell r="K815">
            <v>0</v>
          </cell>
          <cell r="L815" t="str">
            <v>NIKE</v>
          </cell>
          <cell r="M815" t="str">
            <v>Pr.Sch.R</v>
          </cell>
          <cell r="N815" t="str">
            <v>MOLDED</v>
          </cell>
          <cell r="O815">
            <v>1</v>
          </cell>
          <cell r="P815">
            <v>46091</v>
          </cell>
          <cell r="Q815">
            <v>46104</v>
          </cell>
          <cell r="R815">
            <v>46101</v>
          </cell>
          <cell r="S815">
            <v>13</v>
          </cell>
          <cell r="T815">
            <v>5.2</v>
          </cell>
          <cell r="U815">
            <v>26</v>
          </cell>
          <cell r="V815">
            <v>4</v>
          </cell>
          <cell r="W815" t="str">
            <v>0.145D</v>
          </cell>
          <cell r="X815" t="str">
            <v>3-2026</v>
          </cell>
          <cell r="Y815" t="str">
            <v>Week 12</v>
          </cell>
          <cell r="Z815">
            <v>46097</v>
          </cell>
          <cell r="AA815">
            <v>23</v>
          </cell>
          <cell r="AB815">
            <v>3.8460000000000001E-2</v>
          </cell>
        </row>
        <row r="816">
          <cell r="A816" t="str">
            <v>F-2026-03-182</v>
          </cell>
          <cell r="B816"/>
          <cell r="C816" t="str">
            <v>RPRO-260310-0472</v>
          </cell>
          <cell r="D816" t="str">
            <v>Pro.sche.report 09.3</v>
          </cell>
          <cell r="E816" t="str">
            <v>BDB-000347</v>
          </cell>
          <cell r="F816" t="str">
            <v>PVN-004193</v>
          </cell>
          <cell r="G816" t="str">
            <v>OrthoLite X-55-Hybrid SEEDPEARL/12-0703TPX Hybrid Flat Sheet 0.16D 25+/-4 Asker C 1.1M 2M 11mm</v>
          </cell>
          <cell r="H816">
            <v>96</v>
          </cell>
          <cell r="I816">
            <v>96</v>
          </cell>
          <cell r="J816">
            <v>96</v>
          </cell>
          <cell r="K816">
            <v>0</v>
          </cell>
          <cell r="L816" t="str">
            <v>DESCENTE</v>
          </cell>
          <cell r="M816" t="str">
            <v>Pr.Sch.R</v>
          </cell>
          <cell r="N816" t="str">
            <v>MOLDED</v>
          </cell>
          <cell r="O816">
            <v>1</v>
          </cell>
          <cell r="P816">
            <v>46091</v>
          </cell>
          <cell r="Q816">
            <v>46109</v>
          </cell>
          <cell r="R816">
            <v>46106</v>
          </cell>
          <cell r="S816">
            <v>18</v>
          </cell>
          <cell r="T816">
            <v>11</v>
          </cell>
          <cell r="U816">
            <v>12</v>
          </cell>
          <cell r="V816">
            <v>8</v>
          </cell>
          <cell r="W816" t="e">
            <v>#N/A</v>
          </cell>
          <cell r="X816" t="str">
            <v>3-2026</v>
          </cell>
          <cell r="Y816" t="str">
            <v>Week 13</v>
          </cell>
          <cell r="Z816">
            <v>46104</v>
          </cell>
          <cell r="AA816">
            <v>19</v>
          </cell>
          <cell r="AB816">
            <v>8.3330000000000001E-2</v>
          </cell>
        </row>
        <row r="817">
          <cell r="A817" t="str">
            <v>F-2026-03-183</v>
          </cell>
          <cell r="B817"/>
          <cell r="C817" t="str">
            <v>RPRO-260310-0473</v>
          </cell>
          <cell r="D817" t="str">
            <v>Pro.sche.report 09.3</v>
          </cell>
          <cell r="E817" t="str">
            <v>BDB-000209</v>
          </cell>
          <cell r="F817" t="str">
            <v>PVN-003463</v>
          </cell>
          <cell r="G817" t="str">
            <v>OrthoLite HybridPlus-Recycled MINT GREEN/11-4805TPX Hybrid Flat Sheet 0.12D 25+/-4 Asker C 1.1M 2M 15.5mm</v>
          </cell>
          <cell r="H817">
            <v>16</v>
          </cell>
          <cell r="I817">
            <v>16</v>
          </cell>
          <cell r="J817">
            <v>16</v>
          </cell>
          <cell r="K817">
            <v>0</v>
          </cell>
          <cell r="L817" t="str">
            <v>GARMONT</v>
          </cell>
          <cell r="M817" t="str">
            <v>Pr.Sch.R</v>
          </cell>
          <cell r="N817" t="str">
            <v>MOLDED</v>
          </cell>
          <cell r="O817">
            <v>1</v>
          </cell>
          <cell r="P817">
            <v>46091</v>
          </cell>
          <cell r="Q817">
            <v>46108</v>
          </cell>
          <cell r="R817">
            <v>46105</v>
          </cell>
          <cell r="S817">
            <v>17</v>
          </cell>
          <cell r="T817">
            <v>15.5</v>
          </cell>
          <cell r="U817">
            <v>8</v>
          </cell>
          <cell r="V817">
            <v>2</v>
          </cell>
          <cell r="W817" t="str">
            <v>0.12D</v>
          </cell>
          <cell r="X817" t="str">
            <v>3-2026</v>
          </cell>
          <cell r="Y817" t="str">
            <v>Week 12</v>
          </cell>
          <cell r="Z817">
            <v>46097</v>
          </cell>
          <cell r="AA817">
            <v>93</v>
          </cell>
          <cell r="AB817">
            <v>0.125</v>
          </cell>
        </row>
        <row r="818">
          <cell r="A818" t="str">
            <v>F-2026-03-184</v>
          </cell>
          <cell r="B818"/>
          <cell r="C818" t="str">
            <v>RPRO-260310-0474</v>
          </cell>
          <cell r="D818" t="str">
            <v>Pro.sche.report 09.3</v>
          </cell>
          <cell r="E818" t="str">
            <v>BDB-000334</v>
          </cell>
          <cell r="F818" t="str">
            <v>PVN-004327</v>
          </cell>
          <cell r="G818" t="str">
            <v>OrthoLite X-55-Hybrid FOSSIL/17-0909TPX Hybrid Flat Sheet 0.16D 25+/-4 Asker C 1.1M 2M 6mm</v>
          </cell>
          <cell r="H818">
            <v>874</v>
          </cell>
          <cell r="I818">
            <v>874</v>
          </cell>
          <cell r="J818">
            <v>874</v>
          </cell>
          <cell r="K818">
            <v>0</v>
          </cell>
          <cell r="L818" t="str">
            <v>ASICS</v>
          </cell>
          <cell r="M818" t="str">
            <v>Pr.Sch.R</v>
          </cell>
          <cell r="N818" t="str">
            <v>MOLDED</v>
          </cell>
          <cell r="O818">
            <v>1</v>
          </cell>
          <cell r="P818">
            <v>46091</v>
          </cell>
          <cell r="Q818">
            <v>46109</v>
          </cell>
          <cell r="R818">
            <v>46106</v>
          </cell>
          <cell r="S818">
            <v>18</v>
          </cell>
          <cell r="T818">
            <v>6</v>
          </cell>
          <cell r="U818">
            <v>23</v>
          </cell>
          <cell r="V818">
            <v>39</v>
          </cell>
          <cell r="W818" t="e">
            <v>#N/A</v>
          </cell>
          <cell r="X818" t="str">
            <v>3-2026</v>
          </cell>
          <cell r="Y818" t="str">
            <v>Week 12</v>
          </cell>
          <cell r="Z818">
            <v>46097</v>
          </cell>
          <cell r="AA818">
            <v>5</v>
          </cell>
          <cell r="AB818">
            <v>4.1669999999999999E-2</v>
          </cell>
        </row>
        <row r="819">
          <cell r="A819" t="str">
            <v>OIN-2026.03.07-01</v>
          </cell>
          <cell r="B819" t="str">
            <v>Urgent/LCL</v>
          </cell>
          <cell r="C819" t="str">
            <v>RPRO-260311-0207</v>
          </cell>
          <cell r="D819" t="str">
            <v>OIN</v>
          </cell>
          <cell r="E819" t="str">
            <v>BDB-000102</v>
          </cell>
          <cell r="F819" t="str">
            <v>PVN-003821</v>
          </cell>
          <cell r="G819" t="str">
            <v>[118-467] Eco Lite Hybrid 35+/-4 Asker C 0.13D Lime Green 14-0452 Tpx 1.10M X 2.00M 47mm</v>
          </cell>
          <cell r="H819">
            <v>10</v>
          </cell>
          <cell r="I819">
            <v>10</v>
          </cell>
          <cell r="J819">
            <v>0</v>
          </cell>
          <cell r="K819">
            <v>10</v>
          </cell>
          <cell r="L819" t="str">
            <v>Geox</v>
          </cell>
          <cell r="M819" t="str">
            <v>PO-6824-SO-260309-0040</v>
          </cell>
          <cell r="N819" t="str">
            <v>FLAT SHEET</v>
          </cell>
          <cell r="O819">
            <v>2</v>
          </cell>
          <cell r="P819">
            <v>46088</v>
          </cell>
          <cell r="Q819">
            <v>46111</v>
          </cell>
          <cell r="R819">
            <v>46108</v>
          </cell>
          <cell r="S819">
            <v>23</v>
          </cell>
          <cell r="T819">
            <v>47</v>
          </cell>
          <cell r="U819">
            <v>3</v>
          </cell>
          <cell r="V819">
            <v>4</v>
          </cell>
          <cell r="W819" t="str">
            <v>0.13D</v>
          </cell>
          <cell r="X819" t="str">
            <v>3-2026</v>
          </cell>
          <cell r="Y819" t="str">
            <v>Week 13</v>
          </cell>
          <cell r="Z819">
            <v>46104</v>
          </cell>
          <cell r="AA819">
            <v>13</v>
          </cell>
          <cell r="AB819">
            <v>0.33333000000000002</v>
          </cell>
        </row>
        <row r="820">
          <cell r="A820" t="str">
            <v>OIN-2026.03.07-02</v>
          </cell>
          <cell r="B820" t="str">
            <v>Urgent/LCL</v>
          </cell>
          <cell r="C820" t="str">
            <v>RPRO-260311-0208</v>
          </cell>
          <cell r="D820" t="str">
            <v>OIN</v>
          </cell>
          <cell r="E820" t="str">
            <v>BDB-000356</v>
          </cell>
          <cell r="F820" t="str">
            <v>PVN-004232</v>
          </cell>
          <cell r="G820" t="str">
            <v>[116-12300] Eco Lite 15+/-4 Asker C 0.11D Lime Green 14-0452 Tpx 1.10M X 2.00M 47mm</v>
          </cell>
          <cell r="H820">
            <v>10</v>
          </cell>
          <cell r="I820">
            <v>10</v>
          </cell>
          <cell r="J820">
            <v>0</v>
          </cell>
          <cell r="K820">
            <v>10</v>
          </cell>
          <cell r="L820" t="str">
            <v>JOOP</v>
          </cell>
          <cell r="M820" t="str">
            <v>PO-6824-SO-260309-0041</v>
          </cell>
          <cell r="N820" t="str">
            <v>FLAT SHEET</v>
          </cell>
          <cell r="O820">
            <v>2</v>
          </cell>
          <cell r="P820">
            <v>46088</v>
          </cell>
          <cell r="Q820">
            <v>46111</v>
          </cell>
          <cell r="R820">
            <v>46108</v>
          </cell>
          <cell r="S820">
            <v>23</v>
          </cell>
          <cell r="T820">
            <v>47</v>
          </cell>
          <cell r="U820">
            <v>3</v>
          </cell>
          <cell r="V820">
            <v>4</v>
          </cell>
          <cell r="W820" t="e">
            <v>#N/A</v>
          </cell>
          <cell r="X820" t="str">
            <v>3-2026</v>
          </cell>
          <cell r="Y820" t="str">
            <v>Week 13</v>
          </cell>
          <cell r="Z820">
            <v>46104</v>
          </cell>
          <cell r="AA820">
            <v>284</v>
          </cell>
          <cell r="AB820">
            <v>0.33333000000000002</v>
          </cell>
        </row>
        <row r="821">
          <cell r="A821" t="str">
            <v>OIN-2026.03.09-01</v>
          </cell>
          <cell r="B821" t="str">
            <v>Urgent/FCL</v>
          </cell>
          <cell r="C821" t="str">
            <v>RPRO-260311-0209</v>
          </cell>
          <cell r="D821" t="str">
            <v>OIN</v>
          </cell>
          <cell r="E821" t="str">
            <v>BDB-000123</v>
          </cell>
          <cell r="F821" t="str">
            <v>PVN-003784</v>
          </cell>
          <cell r="G821" t="str">
            <v>[116-311] Ultra Hybrid 25+/-4 Asker C 0.085D Seedpearl 12-0703 Tpx 1.10M X 2.00M 47mm</v>
          </cell>
          <cell r="H821">
            <v>532</v>
          </cell>
          <cell r="I821">
            <v>532</v>
          </cell>
          <cell r="J821">
            <v>0</v>
          </cell>
          <cell r="K821">
            <v>532</v>
          </cell>
          <cell r="L821" t="str">
            <v>ADIDAS</v>
          </cell>
          <cell r="M821" t="str">
            <v>PO-6834-SO-260309-0253</v>
          </cell>
          <cell r="N821" t="str">
            <v>FLAT SHEET</v>
          </cell>
          <cell r="O821">
            <v>2</v>
          </cell>
          <cell r="P821">
            <v>46090</v>
          </cell>
          <cell r="Q821">
            <v>46112</v>
          </cell>
          <cell r="R821">
            <v>46109</v>
          </cell>
          <cell r="S821">
            <v>22</v>
          </cell>
          <cell r="T821">
            <v>47</v>
          </cell>
          <cell r="U821">
            <v>3</v>
          </cell>
          <cell r="V821">
            <v>178</v>
          </cell>
          <cell r="W821" t="str">
            <v>0.085D</v>
          </cell>
          <cell r="X821" t="str">
            <v>3-2026</v>
          </cell>
          <cell r="Y821" t="str">
            <v>Week 13</v>
          </cell>
          <cell r="Z821">
            <v>46104</v>
          </cell>
          <cell r="AA821">
            <v>89</v>
          </cell>
          <cell r="AB821">
            <v>0.33333000000000002</v>
          </cell>
        </row>
        <row r="822">
          <cell r="A822" t="str">
            <v>F-2026-03-185-1</v>
          </cell>
          <cell r="B822"/>
          <cell r="C822" t="str">
            <v>FPRO-260309-0001</v>
          </cell>
          <cell r="D822" t="str">
            <v>Firm plan 09.3</v>
          </cell>
          <cell r="E822" t="str">
            <v>BDB-000125</v>
          </cell>
          <cell r="F822" t="str">
            <v>PVN-002413</v>
          </cell>
          <cell r="G822" t="str">
            <v>OrthoLite Regular-Nike AIR BLUE/16-4134TPX 0.11D 25+/-4 Asker C 1.1M 2M 4.2mm</v>
          </cell>
          <cell r="H822">
            <v>1000</v>
          </cell>
          <cell r="I822">
            <v>1000</v>
          </cell>
          <cell r="J822">
            <v>0</v>
          </cell>
          <cell r="K822">
            <v>1000</v>
          </cell>
          <cell r="L822" t="str">
            <v>NIKE</v>
          </cell>
          <cell r="M822" t="str">
            <v>Forecast</v>
          </cell>
          <cell r="N822" t="str">
            <v>DIE CUT</v>
          </cell>
          <cell r="O822" t="str">
            <v>1-SLT Dummy</v>
          </cell>
          <cell r="P822">
            <v>46090</v>
          </cell>
          <cell r="Q822">
            <v>46134</v>
          </cell>
          <cell r="R822">
            <v>46131</v>
          </cell>
          <cell r="S822">
            <v>44</v>
          </cell>
          <cell r="T822">
            <v>4.2</v>
          </cell>
          <cell r="U822">
            <v>33</v>
          </cell>
          <cell r="V822">
            <v>31</v>
          </cell>
          <cell r="W822" t="str">
            <v>0.11D</v>
          </cell>
          <cell r="X822" t="str">
            <v>4-2026</v>
          </cell>
          <cell r="Y822" t="str">
            <v>Week 16</v>
          </cell>
          <cell r="Z822">
            <v>46125</v>
          </cell>
          <cell r="AA822">
            <v>78</v>
          </cell>
          <cell r="AB822">
            <v>3.0300000000000001E-2</v>
          </cell>
        </row>
        <row r="823">
          <cell r="A823" t="str">
            <v>F-2026-03-185-2</v>
          </cell>
          <cell r="B823"/>
          <cell r="C823" t="str">
            <v>FPRO-260413-0001</v>
          </cell>
          <cell r="D823" t="str">
            <v>Firm plan 09.3</v>
          </cell>
          <cell r="E823" t="str">
            <v>BDB-000125</v>
          </cell>
          <cell r="F823" t="str">
            <v>PVN-002413</v>
          </cell>
          <cell r="G823" t="str">
            <v>OrthoLite Regular-Nike AIR BLUE/16-4134TPX 0.11D 25+/-4 Asker C 1.1M 2M 4.2mm</v>
          </cell>
          <cell r="H823">
            <v>2100</v>
          </cell>
          <cell r="I823">
            <v>2100</v>
          </cell>
          <cell r="J823">
            <v>0</v>
          </cell>
          <cell r="K823">
            <v>2100</v>
          </cell>
          <cell r="L823" t="str">
            <v>NIKE</v>
          </cell>
          <cell r="M823" t="str">
            <v>Forecast</v>
          </cell>
          <cell r="N823" t="str">
            <v>DIE CUT</v>
          </cell>
          <cell r="O823" t="str">
            <v>1-SLT Dummy</v>
          </cell>
          <cell r="P823">
            <v>46090</v>
          </cell>
          <cell r="Q823">
            <v>46183</v>
          </cell>
          <cell r="R823">
            <v>46180</v>
          </cell>
          <cell r="S823">
            <v>93</v>
          </cell>
          <cell r="T823">
            <v>4.2</v>
          </cell>
          <cell r="U823">
            <v>33</v>
          </cell>
          <cell r="V823">
            <v>64</v>
          </cell>
          <cell r="W823" t="str">
            <v>0.11D</v>
          </cell>
          <cell r="X823" t="str">
            <v>6-2026</v>
          </cell>
          <cell r="Y823" t="str">
            <v>Week 23</v>
          </cell>
          <cell r="Z823">
            <v>46174</v>
          </cell>
          <cell r="AA823">
            <v>136</v>
          </cell>
          <cell r="AB823">
            <v>3.0300000000000001E-2</v>
          </cell>
        </row>
        <row r="824">
          <cell r="A824" t="str">
            <v>F-2026-03-186</v>
          </cell>
          <cell r="B824"/>
          <cell r="C824" t="str">
            <v>FPRO-260310-0023</v>
          </cell>
          <cell r="D824" t="str">
            <v>Firm plan 10.3</v>
          </cell>
          <cell r="E824" t="str">
            <v>BDB-000039</v>
          </cell>
          <cell r="F824" t="str">
            <v>PVN-002019</v>
          </cell>
          <cell r="G824" t="str">
            <v>OrthoLite Regular NEUTRAL GRAY/17-4402TPX 0.11D 25+/-4 Asker C 1.1M 2M 13mm</v>
          </cell>
          <cell r="H824">
            <v>250</v>
          </cell>
          <cell r="I824">
            <v>250</v>
          </cell>
          <cell r="J824">
            <v>250</v>
          </cell>
          <cell r="K824">
            <v>0</v>
          </cell>
          <cell r="L824" t="str">
            <v>NEW BALANCE</v>
          </cell>
          <cell r="M824" t="str">
            <v>Forecast</v>
          </cell>
          <cell r="N824" t="str">
            <v>MOLDED</v>
          </cell>
          <cell r="O824">
            <v>1</v>
          </cell>
          <cell r="P824">
            <v>46091</v>
          </cell>
          <cell r="Q824">
            <v>46108</v>
          </cell>
          <cell r="R824">
            <v>46105</v>
          </cell>
          <cell r="S824">
            <v>17</v>
          </cell>
          <cell r="T824">
            <v>13</v>
          </cell>
          <cell r="U824">
            <v>10</v>
          </cell>
          <cell r="V824">
            <v>25</v>
          </cell>
          <cell r="W824" t="str">
            <v>0.11D</v>
          </cell>
          <cell r="X824" t="str">
            <v>3-2026</v>
          </cell>
          <cell r="Y824" t="str">
            <v>Week 12</v>
          </cell>
          <cell r="Z824">
            <v>46097</v>
          </cell>
          <cell r="AA824">
            <v>111</v>
          </cell>
          <cell r="AB824">
            <v>0.1</v>
          </cell>
        </row>
        <row r="825">
          <cell r="A825" t="str">
            <v>F-2026-03-187</v>
          </cell>
          <cell r="B825"/>
          <cell r="C825" t="str">
            <v>FPRO-260310-0024</v>
          </cell>
          <cell r="D825" t="str">
            <v>Firm plan 10.3</v>
          </cell>
          <cell r="E825" t="str">
            <v>BDB-000039</v>
          </cell>
          <cell r="F825" t="str">
            <v>PVN-002019</v>
          </cell>
          <cell r="G825" t="str">
            <v>OrthoLite Regular NEUTRAL GRAY/17-4402TPX 0.11D 25+/-4 Asker C 1.1M 2M 13mm</v>
          </cell>
          <cell r="H825">
            <v>250</v>
          </cell>
          <cell r="I825">
            <v>250</v>
          </cell>
          <cell r="J825">
            <v>250</v>
          </cell>
          <cell r="K825">
            <v>0</v>
          </cell>
          <cell r="L825" t="str">
            <v>NEW BALANCE</v>
          </cell>
          <cell r="M825" t="str">
            <v>Forecast</v>
          </cell>
          <cell r="N825" t="str">
            <v>MOLDED</v>
          </cell>
          <cell r="O825">
            <v>1</v>
          </cell>
          <cell r="P825">
            <v>46091</v>
          </cell>
          <cell r="Q825">
            <v>46112</v>
          </cell>
          <cell r="R825">
            <v>46109</v>
          </cell>
          <cell r="S825">
            <v>21</v>
          </cell>
          <cell r="T825">
            <v>13</v>
          </cell>
          <cell r="U825">
            <v>10</v>
          </cell>
          <cell r="V825">
            <v>25</v>
          </cell>
          <cell r="W825" t="str">
            <v>0.11D</v>
          </cell>
          <cell r="X825" t="str">
            <v>3-2026</v>
          </cell>
          <cell r="Y825" t="str">
            <v>Week 13</v>
          </cell>
          <cell r="Z825">
            <v>46104</v>
          </cell>
          <cell r="AA825">
            <v>24</v>
          </cell>
          <cell r="AB825">
            <v>0.1</v>
          </cell>
        </row>
        <row r="826">
          <cell r="A826" t="str">
            <v>F-2026-03-188-1</v>
          </cell>
          <cell r="B826"/>
          <cell r="C826" t="str">
            <v>FPRO-260310-0025</v>
          </cell>
          <cell r="D826" t="str">
            <v>Firm plan 10.3</v>
          </cell>
          <cell r="E826" t="str">
            <v>BDB-000097</v>
          </cell>
          <cell r="F826" t="str">
            <v>PVN-002478</v>
          </cell>
          <cell r="G826" t="str">
            <v>OrthoLite Eco LT-Hybrid SEEDPEARL/12-0703TPX Hybrid 0.11D 25+/-4 Asker C 1.1M 2M 4mm</v>
          </cell>
          <cell r="H826">
            <v>2000</v>
          </cell>
          <cell r="I826">
            <v>2000</v>
          </cell>
          <cell r="J826">
            <v>0</v>
          </cell>
          <cell r="K826">
            <v>2000</v>
          </cell>
          <cell r="L826" t="str">
            <v>NEW BALANCE</v>
          </cell>
          <cell r="M826" t="str">
            <v>Forecast</v>
          </cell>
          <cell r="N826" t="str">
            <v>MOLDED</v>
          </cell>
          <cell r="O826">
            <v>1</v>
          </cell>
          <cell r="P826">
            <v>46091</v>
          </cell>
          <cell r="Q826">
            <v>46137</v>
          </cell>
          <cell r="R826">
            <v>46134</v>
          </cell>
          <cell r="S826">
            <v>46</v>
          </cell>
          <cell r="T826">
            <v>4</v>
          </cell>
          <cell r="U826">
            <v>35</v>
          </cell>
          <cell r="V826">
            <v>58</v>
          </cell>
          <cell r="W826" t="str">
            <v>0.11D</v>
          </cell>
          <cell r="X826" t="str">
            <v>4-2026</v>
          </cell>
          <cell r="Y826" t="str">
            <v>Week 17</v>
          </cell>
          <cell r="Z826">
            <v>46132</v>
          </cell>
          <cell r="AA826">
            <v>136</v>
          </cell>
          <cell r="AB826">
            <v>2.8570000000000002E-2</v>
          </cell>
        </row>
        <row r="827">
          <cell r="A827" t="str">
            <v>F-2026-03-188-2</v>
          </cell>
          <cell r="B827"/>
          <cell r="C827" t="str">
            <v>FPRO-260416-0001</v>
          </cell>
          <cell r="D827" t="str">
            <v>Firm plan 10.3</v>
          </cell>
          <cell r="E827" t="str">
            <v>BDB-000097</v>
          </cell>
          <cell r="F827" t="str">
            <v>PVN-002478</v>
          </cell>
          <cell r="G827" t="str">
            <v>OrthoLite Eco LT-Hybrid SEEDPEARL/12-0703TPX Hybrid 0.11D 25+/-4 Asker C 1.1M 2M 4mm</v>
          </cell>
          <cell r="H827">
            <v>2000</v>
          </cell>
          <cell r="I827">
            <v>2000</v>
          </cell>
          <cell r="J827">
            <v>0</v>
          </cell>
          <cell r="K827">
            <v>2000</v>
          </cell>
          <cell r="L827" t="str">
            <v>NEW BALANCE</v>
          </cell>
          <cell r="M827" t="str">
            <v>Forecast</v>
          </cell>
          <cell r="N827" t="str">
            <v>MOLDED</v>
          </cell>
          <cell r="O827">
            <v>1</v>
          </cell>
          <cell r="P827">
            <v>46091</v>
          </cell>
          <cell r="Q827">
            <v>46149</v>
          </cell>
          <cell r="R827">
            <v>46146</v>
          </cell>
          <cell r="S827">
            <v>58</v>
          </cell>
          <cell r="T827">
            <v>4</v>
          </cell>
          <cell r="U827">
            <v>35</v>
          </cell>
          <cell r="V827">
            <v>58</v>
          </cell>
          <cell r="W827" t="str">
            <v>0.11D</v>
          </cell>
          <cell r="X827" t="str">
            <v>5-2026</v>
          </cell>
          <cell r="Y827" t="str">
            <v>Week 17</v>
          </cell>
          <cell r="Z827">
            <v>46132</v>
          </cell>
          <cell r="AA827">
            <v>27</v>
          </cell>
          <cell r="AB827">
            <v>2.8570000000000002E-2</v>
          </cell>
        </row>
        <row r="828">
          <cell r="A828" t="str">
            <v>F-2026-03-189</v>
          </cell>
          <cell r="B828"/>
          <cell r="C828" t="str">
            <v>FPRO-260310-0026</v>
          </cell>
          <cell r="D828" t="str">
            <v>Firm plan 10.3</v>
          </cell>
          <cell r="E828" t="str">
            <v>BDB-000097</v>
          </cell>
          <cell r="F828" t="str">
            <v>PVN-002478</v>
          </cell>
          <cell r="G828" t="str">
            <v>OrthoLite Eco LT-Hybrid SEEDPEARL/12-0703TPX Hybrid 0.11D 25+/-4 Asker C 1.1M 2M 4mm</v>
          </cell>
          <cell r="H828">
            <v>3500</v>
          </cell>
          <cell r="I828">
            <v>3500</v>
          </cell>
          <cell r="J828">
            <v>0</v>
          </cell>
          <cell r="K828">
            <v>3500</v>
          </cell>
          <cell r="L828" t="str">
            <v>NEW BALANCE</v>
          </cell>
          <cell r="M828" t="str">
            <v>Forecast</v>
          </cell>
          <cell r="N828" t="str">
            <v>DIE CUT</v>
          </cell>
          <cell r="O828">
            <v>1</v>
          </cell>
          <cell r="P828">
            <v>46091</v>
          </cell>
          <cell r="Q828">
            <v>46170</v>
          </cell>
          <cell r="R828">
            <v>46167</v>
          </cell>
          <cell r="S828">
            <v>79</v>
          </cell>
          <cell r="T828">
            <v>4</v>
          </cell>
          <cell r="U828">
            <v>35</v>
          </cell>
          <cell r="V828">
            <v>100</v>
          </cell>
          <cell r="W828" t="str">
            <v>0.11D</v>
          </cell>
          <cell r="X828" t="str">
            <v>5-2026</v>
          </cell>
          <cell r="Y828" t="str">
            <v>Week 21</v>
          </cell>
          <cell r="Z828">
            <v>46160</v>
          </cell>
          <cell r="AA828">
            <v>27</v>
          </cell>
          <cell r="AB828">
            <v>2.8570000000000002E-2</v>
          </cell>
        </row>
        <row r="829">
          <cell r="A829" t="str">
            <v>F-2026-03-190</v>
          </cell>
          <cell r="B829"/>
          <cell r="C829" t="str">
            <v>FPRO-260310-0027</v>
          </cell>
          <cell r="D829" t="str">
            <v>Firm plan 10.3</v>
          </cell>
          <cell r="E829" t="str">
            <v>BDB-000097</v>
          </cell>
          <cell r="F829" t="str">
            <v>PVN-002478</v>
          </cell>
          <cell r="G829" t="str">
            <v>OrthoLite Eco LT-Hybrid SEEDPEARL/12-0703TPX Hybrid 0.11D 25+/-4 Asker C 1.1M 2M 4mm</v>
          </cell>
          <cell r="H829">
            <v>3500</v>
          </cell>
          <cell r="I829">
            <v>3500</v>
          </cell>
          <cell r="J829">
            <v>0</v>
          </cell>
          <cell r="K829">
            <v>3500</v>
          </cell>
          <cell r="L829" t="str">
            <v>NEW BALANCE</v>
          </cell>
          <cell r="M829" t="str">
            <v>Forecast</v>
          </cell>
          <cell r="N829" t="str">
            <v>DIE CUT</v>
          </cell>
          <cell r="O829">
            <v>1</v>
          </cell>
          <cell r="P829">
            <v>46091</v>
          </cell>
          <cell r="Q829">
            <v>46154</v>
          </cell>
          <cell r="R829">
            <v>46151</v>
          </cell>
          <cell r="S829">
            <v>63</v>
          </cell>
          <cell r="T829">
            <v>4</v>
          </cell>
          <cell r="U829">
            <v>35</v>
          </cell>
          <cell r="V829">
            <v>100</v>
          </cell>
          <cell r="W829" t="str">
            <v>0.11D</v>
          </cell>
          <cell r="X829" t="str">
            <v>5-2026</v>
          </cell>
          <cell r="Y829" t="str">
            <v>Week 19</v>
          </cell>
          <cell r="Z829">
            <v>46146</v>
          </cell>
          <cell r="AA829">
            <v>141</v>
          </cell>
          <cell r="AB829">
            <v>2.8570000000000002E-2</v>
          </cell>
        </row>
        <row r="830">
          <cell r="A830" t="str">
            <v>F-2026-03-191</v>
          </cell>
          <cell r="B830"/>
          <cell r="C830" t="str">
            <v>FPRO-260310-0028</v>
          </cell>
          <cell r="D830" t="str">
            <v>Firm plan 10.3</v>
          </cell>
          <cell r="E830" t="str">
            <v>BDB-000097</v>
          </cell>
          <cell r="F830" t="str">
            <v>PVN-002478</v>
          </cell>
          <cell r="G830" t="str">
            <v>OrthoLite Eco LT-Hybrid SEEDPEARL/12-0703TPX Hybrid 0.11D 25+/-4 Asker C 1.1M 2M 4mm</v>
          </cell>
          <cell r="H830">
            <v>3500</v>
          </cell>
          <cell r="I830">
            <v>3500</v>
          </cell>
          <cell r="J830">
            <v>0</v>
          </cell>
          <cell r="K830">
            <v>3500</v>
          </cell>
          <cell r="L830" t="str">
            <v>NEW BALANCE</v>
          </cell>
          <cell r="M830" t="str">
            <v>Forecast</v>
          </cell>
          <cell r="N830" t="str">
            <v>DIE CUT</v>
          </cell>
          <cell r="O830">
            <v>1</v>
          </cell>
          <cell r="P830">
            <v>46091</v>
          </cell>
          <cell r="Q830">
            <v>46164</v>
          </cell>
          <cell r="R830">
            <v>46161</v>
          </cell>
          <cell r="S830">
            <v>73</v>
          </cell>
          <cell r="T830">
            <v>4</v>
          </cell>
          <cell r="U830">
            <v>35</v>
          </cell>
          <cell r="V830">
            <v>100</v>
          </cell>
          <cell r="W830" t="str">
            <v>0.11D</v>
          </cell>
          <cell r="X830" t="str">
            <v>5-2026</v>
          </cell>
          <cell r="Y830" t="str">
            <v>Week 21</v>
          </cell>
          <cell r="Z830">
            <v>46160</v>
          </cell>
          <cell r="AA830">
            <v>129</v>
          </cell>
          <cell r="AB830">
            <v>2.8570000000000002E-2</v>
          </cell>
        </row>
        <row r="831">
          <cell r="A831" t="str">
            <v>F-2026-03-192</v>
          </cell>
          <cell r="B831"/>
          <cell r="C831" t="str">
            <v>RPRO-260312-0231</v>
          </cell>
          <cell r="D831" t="str">
            <v>MPS 10.3+11.3</v>
          </cell>
          <cell r="E831" t="str">
            <v>BDB-000003</v>
          </cell>
          <cell r="F831" t="str">
            <v>PVN-000035</v>
          </cell>
          <cell r="G831" t="str">
            <v>OrthoLite Regular YELLOW/13-0858TPX Flat Sheet 0.11D 25+/-4 Asker C 1.1M 2M 5mm</v>
          </cell>
          <cell r="H831">
            <v>56</v>
          </cell>
          <cell r="I831">
            <v>56</v>
          </cell>
          <cell r="J831">
            <v>56</v>
          </cell>
          <cell r="K831">
            <v>0</v>
          </cell>
          <cell r="L831"/>
          <cell r="M831" t="str">
            <v>MPS</v>
          </cell>
          <cell r="N831" t="str">
            <v>SPLITTING</v>
          </cell>
          <cell r="O831">
            <v>2</v>
          </cell>
          <cell r="P831">
            <v>46093</v>
          </cell>
          <cell r="Q831">
            <v>46107</v>
          </cell>
          <cell r="R831">
            <v>46104</v>
          </cell>
          <cell r="S831">
            <v>14</v>
          </cell>
          <cell r="T831">
            <v>5</v>
          </cell>
          <cell r="U831">
            <v>28</v>
          </cell>
          <cell r="V831">
            <v>2</v>
          </cell>
          <cell r="W831" t="str">
            <v>0.11D</v>
          </cell>
          <cell r="X831" t="str">
            <v>3-2026</v>
          </cell>
          <cell r="Y831" t="str">
            <v>Week 12</v>
          </cell>
          <cell r="Z831">
            <v>46097</v>
          </cell>
          <cell r="AA831">
            <v>108</v>
          </cell>
          <cell r="AB831">
            <v>3.5709999999999999E-2</v>
          </cell>
        </row>
        <row r="832">
          <cell r="A832" t="str">
            <v>F-2026-03-193</v>
          </cell>
          <cell r="B832"/>
          <cell r="C832" t="str">
            <v>RPRO-260312-0232</v>
          </cell>
          <cell r="D832" t="str">
            <v>MPS 10.3+11.3</v>
          </cell>
          <cell r="E832" t="str">
            <v>BDB-000101</v>
          </cell>
          <cell r="F832" t="str">
            <v>PVN-003628</v>
          </cell>
          <cell r="G832" t="str">
            <v>OrthoLite Eco LT-Hybrid FOSSIL/17-0909TPX Hybrid Flat Sheet 0.13D 35+/-4 Asker C 1.1M 2M 2.5mm</v>
          </cell>
          <cell r="H832">
            <v>168</v>
          </cell>
          <cell r="I832">
            <v>168</v>
          </cell>
          <cell r="J832">
            <v>168</v>
          </cell>
          <cell r="K832">
            <v>0</v>
          </cell>
          <cell r="L832"/>
          <cell r="M832" t="str">
            <v>MPS</v>
          </cell>
          <cell r="N832" t="str">
            <v>SPLITTING</v>
          </cell>
          <cell r="O832">
            <v>2</v>
          </cell>
          <cell r="P832">
            <v>46093</v>
          </cell>
          <cell r="Q832">
            <v>46107</v>
          </cell>
          <cell r="R832">
            <v>46104</v>
          </cell>
          <cell r="S832">
            <v>14</v>
          </cell>
          <cell r="T832">
            <v>2.5</v>
          </cell>
          <cell r="U832">
            <v>56</v>
          </cell>
          <cell r="V832">
            <v>4</v>
          </cell>
          <cell r="W832" t="str">
            <v>0.13D</v>
          </cell>
          <cell r="X832" t="str">
            <v>3-2026</v>
          </cell>
          <cell r="Y832" t="str">
            <v>Week 12</v>
          </cell>
          <cell r="Z832">
            <v>46097</v>
          </cell>
          <cell r="AA832">
            <v>71</v>
          </cell>
          <cell r="AB832">
            <v>1.7860000000000001E-2</v>
          </cell>
        </row>
        <row r="833">
          <cell r="A833" t="str">
            <v>F-2026-03-194</v>
          </cell>
          <cell r="B833"/>
          <cell r="C833" t="str">
            <v>RPRO-260312-0233</v>
          </cell>
          <cell r="D833" t="str">
            <v>MPS 10.3+11.3</v>
          </cell>
          <cell r="E833" t="str">
            <v>BDB-000033</v>
          </cell>
          <cell r="F833" t="str">
            <v>PVN-003858</v>
          </cell>
          <cell r="G833" t="str">
            <v>OrthoLite Regular SEEDPEARL/12-0703TPX 0.13D 35+/-4 Asker C 1.1M 2M 5mm</v>
          </cell>
          <cell r="H833">
            <v>140</v>
          </cell>
          <cell r="I833">
            <v>140</v>
          </cell>
          <cell r="J833">
            <v>140</v>
          </cell>
          <cell r="K833">
            <v>0</v>
          </cell>
          <cell r="L833"/>
          <cell r="M833" t="str">
            <v>MPS</v>
          </cell>
          <cell r="N833" t="str">
            <v>SPLITTING</v>
          </cell>
          <cell r="O833">
            <v>2</v>
          </cell>
          <cell r="P833">
            <v>46093</v>
          </cell>
          <cell r="Q833">
            <v>46108</v>
          </cell>
          <cell r="R833">
            <v>46105</v>
          </cell>
          <cell r="S833">
            <v>15</v>
          </cell>
          <cell r="T833">
            <v>5</v>
          </cell>
          <cell r="U833">
            <v>28</v>
          </cell>
          <cell r="V833">
            <v>5</v>
          </cell>
          <cell r="W833" t="str">
            <v>0.13D</v>
          </cell>
          <cell r="X833" t="str">
            <v>3-2026</v>
          </cell>
          <cell r="Y833" t="str">
            <v>Week 12</v>
          </cell>
          <cell r="Z833">
            <v>46097</v>
          </cell>
          <cell r="AA833">
            <v>11</v>
          </cell>
          <cell r="AB833">
            <v>3.5709999999999999E-2</v>
          </cell>
        </row>
        <row r="834">
          <cell r="A834" t="str">
            <v>F-2026-03-195</v>
          </cell>
          <cell r="B834"/>
          <cell r="C834" t="str">
            <v>RPRO-260312-0234</v>
          </cell>
          <cell r="D834" t="str">
            <v>MPS 10.3+11.3</v>
          </cell>
          <cell r="E834" t="str">
            <v>BDB-000010</v>
          </cell>
          <cell r="F834" t="str">
            <v>PVN-000099</v>
          </cell>
          <cell r="G834" t="str">
            <v>OrthoLite Regular AIR BLUE/16-4134TPX 0.11D 25+/-4 Asker C 1.1M 2M 2mm</v>
          </cell>
          <cell r="H834">
            <v>420</v>
          </cell>
          <cell r="I834">
            <v>420</v>
          </cell>
          <cell r="J834">
            <v>420</v>
          </cell>
          <cell r="K834">
            <v>0</v>
          </cell>
          <cell r="L834"/>
          <cell r="M834" t="str">
            <v>MPS</v>
          </cell>
          <cell r="N834" t="str">
            <v>SPLITTING</v>
          </cell>
          <cell r="O834">
            <v>2</v>
          </cell>
          <cell r="P834">
            <v>46093</v>
          </cell>
          <cell r="Q834">
            <v>46107</v>
          </cell>
          <cell r="R834">
            <v>46104</v>
          </cell>
          <cell r="S834">
            <v>14</v>
          </cell>
          <cell r="T834">
            <v>2</v>
          </cell>
          <cell r="U834">
            <v>70</v>
          </cell>
          <cell r="V834">
            <v>7</v>
          </cell>
          <cell r="W834" t="str">
            <v>0.11D</v>
          </cell>
          <cell r="X834" t="str">
            <v>3-2026</v>
          </cell>
          <cell r="Y834" t="str">
            <v>Week 12</v>
          </cell>
          <cell r="Z834">
            <v>46097</v>
          </cell>
          <cell r="AA834">
            <v>7</v>
          </cell>
          <cell r="AB834">
            <v>1.4290000000000001E-2</v>
          </cell>
        </row>
        <row r="835">
          <cell r="A835" t="str">
            <v>F-2026-03-196</v>
          </cell>
          <cell r="B835"/>
          <cell r="C835" t="str">
            <v>RPRO-260312-0235</v>
          </cell>
          <cell r="D835" t="str">
            <v>MPS 10.3+11.3</v>
          </cell>
          <cell r="E835" t="str">
            <v>BDB-000011</v>
          </cell>
          <cell r="F835" t="str">
            <v>PVN-000127</v>
          </cell>
          <cell r="G835" t="str">
            <v>OrthoLite Regular AIR BLUE/16-4134TPX Flat Sheet 0.13D 35+/-4 Asker C 1.1M 2M 5mm</v>
          </cell>
          <cell r="H835">
            <v>196</v>
          </cell>
          <cell r="I835">
            <v>196</v>
          </cell>
          <cell r="J835">
            <v>196</v>
          </cell>
          <cell r="K835">
            <v>0</v>
          </cell>
          <cell r="L835"/>
          <cell r="M835" t="str">
            <v>MPS</v>
          </cell>
          <cell r="N835" t="str">
            <v>SPLITTING</v>
          </cell>
          <cell r="O835">
            <v>2</v>
          </cell>
          <cell r="P835">
            <v>46093</v>
          </cell>
          <cell r="Q835">
            <v>46106</v>
          </cell>
          <cell r="R835">
            <v>46103</v>
          </cell>
          <cell r="S835">
            <v>13</v>
          </cell>
          <cell r="T835">
            <v>5</v>
          </cell>
          <cell r="U835">
            <v>28</v>
          </cell>
          <cell r="V835">
            <v>7</v>
          </cell>
          <cell r="W835" t="str">
            <v>0.13D</v>
          </cell>
          <cell r="X835" t="str">
            <v>3-2026</v>
          </cell>
          <cell r="Y835" t="str">
            <v>Week 12</v>
          </cell>
          <cell r="Z835">
            <v>46097</v>
          </cell>
          <cell r="AA835">
            <v>3</v>
          </cell>
          <cell r="AB835">
            <v>3.5709999999999999E-2</v>
          </cell>
        </row>
        <row r="836">
          <cell r="A836" t="str">
            <v>F-2026-03-197</v>
          </cell>
          <cell r="B836"/>
          <cell r="C836" t="str">
            <v>RPRO-260312-0236</v>
          </cell>
          <cell r="D836" t="str">
            <v>MPS 10.3+11.3</v>
          </cell>
          <cell r="E836" t="str">
            <v>BDB-000002</v>
          </cell>
          <cell r="F836" t="str">
            <v>PVN-003875</v>
          </cell>
          <cell r="G836" t="str">
            <v>OrthoLite Regular YELLOW/13-0858TPX Flat Sheet 0.11D 15+/-4 Asker C 1.1M 2M 2mm</v>
          </cell>
          <cell r="H836">
            <v>70</v>
          </cell>
          <cell r="I836">
            <v>70</v>
          </cell>
          <cell r="J836">
            <v>70</v>
          </cell>
          <cell r="K836">
            <v>0</v>
          </cell>
          <cell r="L836"/>
          <cell r="M836" t="str">
            <v>MPS</v>
          </cell>
          <cell r="N836" t="str">
            <v>SPLITTING</v>
          </cell>
          <cell r="O836">
            <v>2</v>
          </cell>
          <cell r="P836">
            <v>46093</v>
          </cell>
          <cell r="Q836">
            <v>46107</v>
          </cell>
          <cell r="R836">
            <v>46104</v>
          </cell>
          <cell r="S836">
            <v>14</v>
          </cell>
          <cell r="T836">
            <v>2</v>
          </cell>
          <cell r="U836">
            <v>70</v>
          </cell>
          <cell r="V836">
            <v>2</v>
          </cell>
          <cell r="W836" t="str">
            <v>0.11D</v>
          </cell>
          <cell r="X836" t="str">
            <v>3-2026</v>
          </cell>
          <cell r="Y836" t="str">
            <v>Week 12</v>
          </cell>
          <cell r="Z836">
            <v>46097</v>
          </cell>
          <cell r="AA836">
            <v>20</v>
          </cell>
          <cell r="AB836">
            <v>1.4290000000000001E-2</v>
          </cell>
        </row>
        <row r="837">
          <cell r="A837" t="str">
            <v>F-2026-03-198</v>
          </cell>
          <cell r="B837"/>
          <cell r="C837" t="str">
            <v>RPRO-260312-0237</v>
          </cell>
          <cell r="D837" t="str">
            <v>MPS 10.3+11.3</v>
          </cell>
          <cell r="E837" t="str">
            <v>BDB-000305</v>
          </cell>
          <cell r="F837" t="str">
            <v>PVN-004000</v>
          </cell>
          <cell r="G837" t="str">
            <v>OrthoLite X-35-Nike YELLOW/13-0858TPX Flat Sheet 0.145D 25+/-4 Asker C 1.1M 2M 5.5mm</v>
          </cell>
          <cell r="H837">
            <v>375</v>
          </cell>
          <cell r="I837">
            <v>375</v>
          </cell>
          <cell r="J837">
            <v>375</v>
          </cell>
          <cell r="K837">
            <v>0</v>
          </cell>
          <cell r="L837"/>
          <cell r="M837" t="str">
            <v>MPS</v>
          </cell>
          <cell r="N837" t="str">
            <v>SPLITTING</v>
          </cell>
          <cell r="O837">
            <v>2</v>
          </cell>
          <cell r="P837">
            <v>46093</v>
          </cell>
          <cell r="Q837">
            <v>46107</v>
          </cell>
          <cell r="R837">
            <v>46104</v>
          </cell>
          <cell r="S837">
            <v>14</v>
          </cell>
          <cell r="T837">
            <v>5.5</v>
          </cell>
          <cell r="U837">
            <v>25</v>
          </cell>
          <cell r="V837">
            <v>15</v>
          </cell>
          <cell r="W837" t="str">
            <v>0.145D</v>
          </cell>
          <cell r="X837" t="str">
            <v>3-2026</v>
          </cell>
          <cell r="Y837" t="str">
            <v>Week 12</v>
          </cell>
          <cell r="Z837">
            <v>46097</v>
          </cell>
          <cell r="AA837">
            <v>34</v>
          </cell>
          <cell r="AB837">
            <v>0.04</v>
          </cell>
        </row>
        <row r="838">
          <cell r="A838" t="str">
            <v>F-2026-03-199</v>
          </cell>
          <cell r="B838"/>
          <cell r="C838" t="str">
            <v>RPRO-260312-0238</v>
          </cell>
          <cell r="D838" t="str">
            <v>MPS 10.3+11.3</v>
          </cell>
          <cell r="E838" t="str">
            <v>BDB-000353</v>
          </cell>
          <cell r="F838" t="str">
            <v>PVN-004219</v>
          </cell>
          <cell r="G838" t="str">
            <v>OrthoLite Regular SEEDPEARL/12-0703TPX Flat Sheet 0.13D 35+/-4 Asker C 1.1M 1.47M 4mm</v>
          </cell>
          <cell r="H838">
            <v>420</v>
          </cell>
          <cell r="I838">
            <v>420</v>
          </cell>
          <cell r="J838">
            <v>420</v>
          </cell>
          <cell r="K838">
            <v>0</v>
          </cell>
          <cell r="L838"/>
          <cell r="M838" t="str">
            <v>MPS</v>
          </cell>
          <cell r="N838" t="str">
            <v>SPLITTING</v>
          </cell>
          <cell r="O838">
            <v>2</v>
          </cell>
          <cell r="P838">
            <v>46093</v>
          </cell>
          <cell r="Q838">
            <v>46108</v>
          </cell>
          <cell r="R838">
            <v>46105</v>
          </cell>
          <cell r="S838">
            <v>15</v>
          </cell>
          <cell r="T838">
            <v>4</v>
          </cell>
          <cell r="U838">
            <v>35</v>
          </cell>
          <cell r="V838">
            <v>12</v>
          </cell>
          <cell r="W838" t="e">
            <v>#N/A</v>
          </cell>
          <cell r="X838" t="str">
            <v>3-2026</v>
          </cell>
          <cell r="Y838" t="str">
            <v>Week 12</v>
          </cell>
          <cell r="Z838">
            <v>46097</v>
          </cell>
          <cell r="AA838">
            <v>26</v>
          </cell>
          <cell r="AB838">
            <v>2.8570000000000002E-2</v>
          </cell>
        </row>
        <row r="839">
          <cell r="A839" t="str">
            <v>F-2026-03-200</v>
          </cell>
          <cell r="B839"/>
          <cell r="C839" t="str">
            <v>RPRO-260312-0239</v>
          </cell>
          <cell r="D839" t="str">
            <v>Pro.sche.report 10.3+11.3</v>
          </cell>
          <cell r="E839" t="str">
            <v>BDB-000076</v>
          </cell>
          <cell r="F839" t="str">
            <v>PVN-003448</v>
          </cell>
          <cell r="G839" t="str">
            <v>OrthoLite X-25 BILLIARD/16-5427TPX Flat Sheet 0.12D 20+/-4 Asker C 1.1M 2M 6.2mm</v>
          </cell>
          <cell r="H839">
            <v>44</v>
          </cell>
          <cell r="I839">
            <v>44</v>
          </cell>
          <cell r="J839">
            <v>44</v>
          </cell>
          <cell r="K839">
            <v>0</v>
          </cell>
          <cell r="L839" t="str">
            <v>ADIDAS</v>
          </cell>
          <cell r="M839" t="str">
            <v>Pr.Sch.R</v>
          </cell>
          <cell r="N839" t="str">
            <v>MOLDED</v>
          </cell>
          <cell r="O839">
            <v>1</v>
          </cell>
          <cell r="P839">
            <v>46093</v>
          </cell>
          <cell r="Q839">
            <v>46108</v>
          </cell>
          <cell r="R839">
            <v>46105</v>
          </cell>
          <cell r="S839">
            <v>15</v>
          </cell>
          <cell r="T839">
            <v>6.2</v>
          </cell>
          <cell r="U839">
            <v>22</v>
          </cell>
          <cell r="V839">
            <v>2</v>
          </cell>
          <cell r="W839" t="str">
            <v>0.12D</v>
          </cell>
          <cell r="X839" t="str">
            <v>3-2026</v>
          </cell>
          <cell r="Y839" t="str">
            <v>Week 12</v>
          </cell>
          <cell r="Z839">
            <v>46097</v>
          </cell>
          <cell r="AA839">
            <v>8</v>
          </cell>
          <cell r="AB839">
            <v>4.5449999999999997E-2</v>
          </cell>
        </row>
        <row r="840">
          <cell r="A840" t="str">
            <v>F-2026-03-201</v>
          </cell>
          <cell r="B840"/>
          <cell r="C840" t="str">
            <v>RPRO-260312-0240</v>
          </cell>
          <cell r="D840" t="str">
            <v>Pro.sche.report 10.3+11.3</v>
          </cell>
          <cell r="E840" t="str">
            <v>BDB-000336</v>
          </cell>
          <cell r="F840" t="str">
            <v>PVN-004168</v>
          </cell>
          <cell r="G840" t="str">
            <v>OrthoLite X-40-Nike SEEDPEARL/12-0703TPX Flat Sheet 0.16D 35+/-4 Asker C 1.1M 2M 4.5mm</v>
          </cell>
          <cell r="H840">
            <v>124</v>
          </cell>
          <cell r="I840">
            <v>124</v>
          </cell>
          <cell r="J840">
            <v>124</v>
          </cell>
          <cell r="K840">
            <v>0</v>
          </cell>
          <cell r="L840" t="str">
            <v>NIKE</v>
          </cell>
          <cell r="M840" t="str">
            <v>Pr.Sch.R</v>
          </cell>
          <cell r="N840" t="str">
            <v>MOLDED</v>
          </cell>
          <cell r="O840">
            <v>1</v>
          </cell>
          <cell r="P840">
            <v>46093</v>
          </cell>
          <cell r="Q840">
            <v>46111</v>
          </cell>
          <cell r="R840">
            <v>46108</v>
          </cell>
          <cell r="S840">
            <v>18</v>
          </cell>
          <cell r="T840">
            <v>4.5</v>
          </cell>
          <cell r="U840">
            <v>31</v>
          </cell>
          <cell r="V840">
            <v>5</v>
          </cell>
          <cell r="W840" t="e">
            <v>#N/A</v>
          </cell>
          <cell r="X840" t="str">
            <v>3-2026</v>
          </cell>
          <cell r="Y840" t="str">
            <v>Week 13</v>
          </cell>
          <cell r="Z840">
            <v>46104</v>
          </cell>
          <cell r="AA840">
            <v>10</v>
          </cell>
          <cell r="AB840">
            <v>3.3329999999999999E-2</v>
          </cell>
        </row>
        <row r="841">
          <cell r="A841" t="str">
            <v>F-2026-03-202</v>
          </cell>
          <cell r="B841"/>
          <cell r="C841" t="str">
            <v>RPRO-260312-0241</v>
          </cell>
          <cell r="D841" t="str">
            <v>Pro.sche.report 10.3+11.3</v>
          </cell>
          <cell r="E841" t="str">
            <v>BDB-000113</v>
          </cell>
          <cell r="F841" t="str">
            <v>PVN-002465</v>
          </cell>
          <cell r="G841" t="str">
            <v>OrthoLite Regular-Hybrid SEEDPEARL/12-0703TPX Hybrid Flat Sheet 0.11D 25+/-4 Asker C 1.1M 2M 5mm</v>
          </cell>
          <cell r="H841">
            <v>308</v>
          </cell>
          <cell r="I841">
            <v>308</v>
          </cell>
          <cell r="J841">
            <v>308</v>
          </cell>
          <cell r="K841">
            <v>0</v>
          </cell>
          <cell r="L841" t="str">
            <v>ASICS</v>
          </cell>
          <cell r="M841" t="str">
            <v>Pr.Sch.R</v>
          </cell>
          <cell r="N841" t="str">
            <v>DIE CUT</v>
          </cell>
          <cell r="O841">
            <v>1</v>
          </cell>
          <cell r="P841">
            <v>46093</v>
          </cell>
          <cell r="Q841">
            <v>46105</v>
          </cell>
          <cell r="R841">
            <v>46102</v>
          </cell>
          <cell r="S841">
            <v>12</v>
          </cell>
          <cell r="T841">
            <v>5</v>
          </cell>
          <cell r="U841">
            <v>28</v>
          </cell>
          <cell r="V841">
            <v>11</v>
          </cell>
          <cell r="W841" t="str">
            <v>0.11D</v>
          </cell>
          <cell r="X841" t="str">
            <v>3-2026</v>
          </cell>
          <cell r="Y841" t="str">
            <v>Week 12</v>
          </cell>
          <cell r="Z841">
            <v>46097</v>
          </cell>
          <cell r="AA841">
            <v>16</v>
          </cell>
          <cell r="AB841">
            <v>3.5709999999999999E-2</v>
          </cell>
        </row>
        <row r="842">
          <cell r="A842" t="str">
            <v>F-2026-03-203</v>
          </cell>
          <cell r="B842"/>
          <cell r="C842" t="str">
            <v>RPRO-260312-0242</v>
          </cell>
          <cell r="D842" t="str">
            <v>Pro.sche.report 10.3+11.3</v>
          </cell>
          <cell r="E842" t="str">
            <v>BDB-000212</v>
          </cell>
          <cell r="F842" t="str">
            <v>PVN-003460</v>
          </cell>
          <cell r="G842" t="str">
            <v>OrthoLite X-25-Hybrid SEEDPEARL/12-0703TPX Hybrid Flat Sheet 0.12D 20+/-4 Asker C 1.1M 2M 5.5mm</v>
          </cell>
          <cell r="H842">
            <v>25</v>
          </cell>
          <cell r="I842">
            <v>25</v>
          </cell>
          <cell r="J842">
            <v>25</v>
          </cell>
          <cell r="K842">
            <v>0</v>
          </cell>
          <cell r="L842" t="str">
            <v>ON RUNNING</v>
          </cell>
          <cell r="M842" t="str">
            <v>Pr.Sch.R</v>
          </cell>
          <cell r="N842" t="str">
            <v>MOLDED</v>
          </cell>
          <cell r="O842">
            <v>1</v>
          </cell>
          <cell r="P842">
            <v>46093</v>
          </cell>
          <cell r="Q842">
            <v>46102</v>
          </cell>
          <cell r="R842">
            <v>46099</v>
          </cell>
          <cell r="S842">
            <v>9</v>
          </cell>
          <cell r="T842">
            <v>5.5</v>
          </cell>
          <cell r="U842">
            <v>25</v>
          </cell>
          <cell r="V842">
            <v>1</v>
          </cell>
          <cell r="W842" t="str">
            <v>0.12D</v>
          </cell>
          <cell r="X842" t="str">
            <v>3-2026</v>
          </cell>
          <cell r="Y842" t="str">
            <v>Week 12</v>
          </cell>
          <cell r="Z842">
            <v>46097</v>
          </cell>
          <cell r="AA842">
            <v>85</v>
          </cell>
          <cell r="AB842">
            <v>0.04</v>
          </cell>
        </row>
        <row r="843">
          <cell r="A843" t="str">
            <v>F-2026-03-204</v>
          </cell>
          <cell r="B843"/>
          <cell r="C843" t="str">
            <v>RPRO-260312-0243</v>
          </cell>
          <cell r="D843" t="str">
            <v>Pro.sche.report 10.3+11.3</v>
          </cell>
          <cell r="E843" t="str">
            <v>BDB-000363</v>
          </cell>
          <cell r="F843" t="str">
            <v>PVN-004260</v>
          </cell>
          <cell r="G843" t="str">
            <v>OrthoLite HybridPlus-Recycled MINT GREEN/11-4805TPX Hybrid Flat Sheet 0.12D 35+/-4 Asker C 1.1M 2M 5.5mm</v>
          </cell>
          <cell r="H843">
            <v>25</v>
          </cell>
          <cell r="I843">
            <v>25</v>
          </cell>
          <cell r="J843">
            <v>25</v>
          </cell>
          <cell r="K843">
            <v>0</v>
          </cell>
          <cell r="L843" t="str">
            <v>ON RUNNING</v>
          </cell>
          <cell r="M843" t="str">
            <v>Pr.Sch.R</v>
          </cell>
          <cell r="N843" t="str">
            <v>MOLDED</v>
          </cell>
          <cell r="O843">
            <v>1</v>
          </cell>
          <cell r="P843">
            <v>46093</v>
          </cell>
          <cell r="Q843">
            <v>46104</v>
          </cell>
          <cell r="R843">
            <v>46101</v>
          </cell>
          <cell r="S843">
            <v>11</v>
          </cell>
          <cell r="T843">
            <v>5.5</v>
          </cell>
          <cell r="U843">
            <v>25</v>
          </cell>
          <cell r="V843">
            <v>1</v>
          </cell>
          <cell r="W843" t="e">
            <v>#N/A</v>
          </cell>
          <cell r="X843" t="str">
            <v>3-2026</v>
          </cell>
          <cell r="Y843" t="str">
            <v>Week 12</v>
          </cell>
          <cell r="Z843">
            <v>46097</v>
          </cell>
          <cell r="AA843">
            <v>237</v>
          </cell>
          <cell r="AB843">
            <v>0.04</v>
          </cell>
        </row>
        <row r="844">
          <cell r="A844" t="str">
            <v>F-2026-03-205</v>
          </cell>
          <cell r="B844"/>
          <cell r="C844" t="str">
            <v>RPRO-260312-0244</v>
          </cell>
          <cell r="D844" t="str">
            <v>Pro.sche.report 10.3+11.3</v>
          </cell>
          <cell r="E844" t="str">
            <v>BDB-000117</v>
          </cell>
          <cell r="F844" t="str">
            <v>PVN-003234</v>
          </cell>
          <cell r="G844" t="str">
            <v>OrthoLite X-35-Hybrid SEEDPEARL/12-0703TPX Hybrid Flat Sheet 0.145D 25+/-4 Asker C 1.1M 2M 5.5mm</v>
          </cell>
          <cell r="H844">
            <v>25</v>
          </cell>
          <cell r="I844">
            <v>25</v>
          </cell>
          <cell r="J844">
            <v>25</v>
          </cell>
          <cell r="K844">
            <v>0</v>
          </cell>
          <cell r="L844" t="str">
            <v>PUMA</v>
          </cell>
          <cell r="M844" t="str">
            <v>Pr.Sch.R</v>
          </cell>
          <cell r="N844" t="str">
            <v>MOLDED</v>
          </cell>
          <cell r="O844">
            <v>1</v>
          </cell>
          <cell r="P844">
            <v>46093</v>
          </cell>
          <cell r="Q844">
            <v>46101</v>
          </cell>
          <cell r="R844">
            <v>46098</v>
          </cell>
          <cell r="S844">
            <v>8</v>
          </cell>
          <cell r="T844">
            <v>5.5</v>
          </cell>
          <cell r="U844">
            <v>25</v>
          </cell>
          <cell r="V844">
            <v>1</v>
          </cell>
          <cell r="W844" t="str">
            <v>0.145D</v>
          </cell>
          <cell r="X844" t="str">
            <v>3-2026</v>
          </cell>
          <cell r="Y844" t="str">
            <v>Week 12</v>
          </cell>
          <cell r="Z844">
            <v>46097</v>
          </cell>
          <cell r="AA844">
            <v>14</v>
          </cell>
          <cell r="AB844">
            <v>0.04</v>
          </cell>
        </row>
        <row r="845">
          <cell r="A845" t="str">
            <v>F-2026-03-206</v>
          </cell>
          <cell r="B845"/>
          <cell r="C845" t="str">
            <v>RPRO-260312-0245</v>
          </cell>
          <cell r="D845" t="str">
            <v>Pro.sche.report 10.3+11.3</v>
          </cell>
          <cell r="E845" t="str">
            <v>BDB-000318</v>
          </cell>
          <cell r="F845" t="str">
            <v>PVN-004077</v>
          </cell>
          <cell r="G845" t="str">
            <v>OrthoLite X-55 RED/19-1764TPX Flat Sheet 0.16D 25+/-4 Asker C 1.1M 2M 5.2mm</v>
          </cell>
          <cell r="H845">
            <v>26</v>
          </cell>
          <cell r="I845">
            <v>26</v>
          </cell>
          <cell r="J845">
            <v>26</v>
          </cell>
          <cell r="K845">
            <v>0</v>
          </cell>
          <cell r="L845" t="str">
            <v>NEW BALANCE</v>
          </cell>
          <cell r="M845" t="str">
            <v>Pr.Sch.R</v>
          </cell>
          <cell r="N845" t="str">
            <v>MOLDED</v>
          </cell>
          <cell r="O845">
            <v>1</v>
          </cell>
          <cell r="P845">
            <v>46093</v>
          </cell>
          <cell r="Q845">
            <v>46109</v>
          </cell>
          <cell r="R845">
            <v>46106</v>
          </cell>
          <cell r="S845">
            <v>16</v>
          </cell>
          <cell r="T845">
            <v>5.2</v>
          </cell>
          <cell r="U845">
            <v>26</v>
          </cell>
          <cell r="V845">
            <v>1</v>
          </cell>
          <cell r="W845" t="e">
            <v>#N/A</v>
          </cell>
          <cell r="X845" t="str">
            <v>3-2026</v>
          </cell>
          <cell r="Y845" t="str">
            <v>Week 13</v>
          </cell>
          <cell r="Z845">
            <v>46104</v>
          </cell>
          <cell r="AA845">
            <v>114</v>
          </cell>
          <cell r="AB845">
            <v>3.8460000000000001E-2</v>
          </cell>
        </row>
        <row r="846">
          <cell r="A846" t="str">
            <v>F-2026-03-207</v>
          </cell>
          <cell r="B846"/>
          <cell r="C846" t="str">
            <v>RPRO-260312-0246</v>
          </cell>
          <cell r="D846" t="str">
            <v>Pro.sche.report 10.3+11.3</v>
          </cell>
          <cell r="E846" t="str">
            <v>BDB-000011</v>
          </cell>
          <cell r="F846" t="str">
            <v>PVN-000121</v>
          </cell>
          <cell r="G846" t="str">
            <v>OrthoLite Regular AIR BLUE/16-4134TPX Flat Sheet 0.13D 35+/-4 Asker C 1.1M 2M 12mm</v>
          </cell>
          <cell r="H846">
            <v>132</v>
          </cell>
          <cell r="I846">
            <v>132</v>
          </cell>
          <cell r="J846">
            <v>132</v>
          </cell>
          <cell r="K846">
            <v>0</v>
          </cell>
          <cell r="L846" t="str">
            <v>ASICS</v>
          </cell>
          <cell r="M846" t="str">
            <v>Pr.Sch.R</v>
          </cell>
          <cell r="N846" t="str">
            <v>MOLDED</v>
          </cell>
          <cell r="O846">
            <v>1</v>
          </cell>
          <cell r="P846">
            <v>46093</v>
          </cell>
          <cell r="Q846">
            <v>46111</v>
          </cell>
          <cell r="R846">
            <v>46108</v>
          </cell>
          <cell r="S846">
            <v>18</v>
          </cell>
          <cell r="T846">
            <v>12</v>
          </cell>
          <cell r="U846">
            <v>11.5</v>
          </cell>
          <cell r="V846">
            <v>12</v>
          </cell>
          <cell r="W846" t="str">
            <v>0.13D</v>
          </cell>
          <cell r="X846" t="str">
            <v>3-2026</v>
          </cell>
          <cell r="Y846" t="str">
            <v>Week 13</v>
          </cell>
          <cell r="Z846">
            <v>46104</v>
          </cell>
          <cell r="AA846">
            <v>4</v>
          </cell>
          <cell r="AB846">
            <v>8.6959999999999996E-2</v>
          </cell>
        </row>
        <row r="847">
          <cell r="A847" t="str">
            <v>F-2026-03-208</v>
          </cell>
          <cell r="B847"/>
          <cell r="C847" t="str">
            <v>RPRO-260312-0247</v>
          </cell>
          <cell r="D847" t="str">
            <v>Pro.sche.report 10.3+11.3</v>
          </cell>
          <cell r="E847" t="str">
            <v>BDB-000008</v>
          </cell>
          <cell r="F847" t="str">
            <v>PVN-000505</v>
          </cell>
          <cell r="G847" t="str">
            <v>OrthoLite Regular LIME GREEN/14-0452TPX Flat Sheet 0.11D 25+/-4 Asker C 1.1M 2M 12mm</v>
          </cell>
          <cell r="H847">
            <v>22</v>
          </cell>
          <cell r="I847">
            <v>22</v>
          </cell>
          <cell r="J847">
            <v>22</v>
          </cell>
          <cell r="K847">
            <v>0</v>
          </cell>
          <cell r="L847" t="str">
            <v>ASICS</v>
          </cell>
          <cell r="M847" t="str">
            <v>Pr.Sch.R</v>
          </cell>
          <cell r="N847" t="str">
            <v>MOLDED</v>
          </cell>
          <cell r="O847">
            <v>1</v>
          </cell>
          <cell r="P847">
            <v>46093</v>
          </cell>
          <cell r="Q847">
            <v>46111</v>
          </cell>
          <cell r="R847">
            <v>46108</v>
          </cell>
          <cell r="S847">
            <v>18</v>
          </cell>
          <cell r="T847">
            <v>12</v>
          </cell>
          <cell r="U847">
            <v>11.5</v>
          </cell>
          <cell r="V847">
            <v>2</v>
          </cell>
          <cell r="W847" t="str">
            <v>0.11D</v>
          </cell>
          <cell r="X847" t="str">
            <v>3-2026</v>
          </cell>
          <cell r="Y847" t="str">
            <v>Week 13</v>
          </cell>
          <cell r="Z847">
            <v>46104</v>
          </cell>
          <cell r="AA847">
            <v>9</v>
          </cell>
          <cell r="AB847">
            <v>8.6959999999999996E-2</v>
          </cell>
        </row>
        <row r="848">
          <cell r="A848" t="str">
            <v>F-2026-03-209</v>
          </cell>
          <cell r="B848"/>
          <cell r="C848" t="str">
            <v>RPRO-260312-0248</v>
          </cell>
          <cell r="D848" t="str">
            <v>Pro.sche.report 10.3+11.3</v>
          </cell>
          <cell r="E848" t="str">
            <v>BDB-000052</v>
          </cell>
          <cell r="F848" t="str">
            <v>PVN-003603</v>
          </cell>
          <cell r="G848" t="str">
            <v>OrthoLite X-40 TRUE BLUE/19-4057TPX Flat Sheet 0.16D 25+/-4 Asker C 1.1M 1.47M 12mm</v>
          </cell>
          <cell r="H848">
            <v>33</v>
          </cell>
          <cell r="I848">
            <v>33</v>
          </cell>
          <cell r="J848">
            <v>33</v>
          </cell>
          <cell r="K848">
            <v>0</v>
          </cell>
          <cell r="L848" t="str">
            <v>ASICS</v>
          </cell>
          <cell r="M848" t="str">
            <v>Pr.Sch.R</v>
          </cell>
          <cell r="N848" t="str">
            <v>MOLDED</v>
          </cell>
          <cell r="O848">
            <v>1</v>
          </cell>
          <cell r="P848">
            <v>46093</v>
          </cell>
          <cell r="Q848">
            <v>46111</v>
          </cell>
          <cell r="R848">
            <v>46108</v>
          </cell>
          <cell r="S848">
            <v>18</v>
          </cell>
          <cell r="T848">
            <v>12</v>
          </cell>
          <cell r="U848">
            <v>11.5</v>
          </cell>
          <cell r="V848">
            <v>3</v>
          </cell>
          <cell r="W848" t="str">
            <v>0.16D</v>
          </cell>
          <cell r="X848" t="str">
            <v>3-2026</v>
          </cell>
          <cell r="Y848" t="str">
            <v>Week 13</v>
          </cell>
          <cell r="Z848">
            <v>46104</v>
          </cell>
          <cell r="AA848">
            <v>2</v>
          </cell>
          <cell r="AB848">
            <v>8.6959999999999996E-2</v>
          </cell>
        </row>
        <row r="849">
          <cell r="A849" t="str">
            <v>F-2026-03-210</v>
          </cell>
          <cell r="B849"/>
          <cell r="C849" t="str">
            <v>RPRO-260312-0249</v>
          </cell>
          <cell r="D849" t="str">
            <v>Pro.sche.report 10.3+11.3</v>
          </cell>
          <cell r="E849" t="str">
            <v>BDB-000051</v>
          </cell>
          <cell r="F849" t="str">
            <v>PVN-003319</v>
          </cell>
          <cell r="G849" t="str">
            <v>OrthoLite X-40 TRUE BLUE/19-4057TPX Flat Sheet 0.16D 25+/-4 Asker C 1.1M 1.7M 12mm</v>
          </cell>
          <cell r="H849">
            <v>121</v>
          </cell>
          <cell r="I849">
            <v>121</v>
          </cell>
          <cell r="J849">
            <v>121</v>
          </cell>
          <cell r="K849">
            <v>0</v>
          </cell>
          <cell r="L849" t="str">
            <v>ASICS</v>
          </cell>
          <cell r="M849" t="str">
            <v>Pr.Sch.R</v>
          </cell>
          <cell r="N849" t="str">
            <v>MOLDED</v>
          </cell>
          <cell r="O849">
            <v>1</v>
          </cell>
          <cell r="P849">
            <v>46093</v>
          </cell>
          <cell r="Q849">
            <v>46111</v>
          </cell>
          <cell r="R849">
            <v>46108</v>
          </cell>
          <cell r="S849">
            <v>18</v>
          </cell>
          <cell r="T849">
            <v>12</v>
          </cell>
          <cell r="U849">
            <v>11.5</v>
          </cell>
          <cell r="V849">
            <v>11</v>
          </cell>
          <cell r="W849" t="str">
            <v>0.16D</v>
          </cell>
          <cell r="X849" t="str">
            <v>3-2026</v>
          </cell>
          <cell r="Y849" t="str">
            <v>Week 13</v>
          </cell>
          <cell r="Z849">
            <v>46104</v>
          </cell>
          <cell r="AA849">
            <v>1</v>
          </cell>
          <cell r="AB849">
            <v>8.6959999999999996E-2</v>
          </cell>
        </row>
        <row r="850">
          <cell r="A850" t="str">
            <v>F-2026-03-211</v>
          </cell>
          <cell r="B850"/>
          <cell r="C850" t="str">
            <v>RPRO-260312-0250</v>
          </cell>
          <cell r="D850" t="str">
            <v>Pro.sche.report 10.3+11.3</v>
          </cell>
          <cell r="E850" t="str">
            <v>BDB-000126</v>
          </cell>
          <cell r="F850" t="str">
            <v>PVN-002325</v>
          </cell>
          <cell r="G850" t="str">
            <v>OrthoLite Regular-Nike RED/19-1764TPX Flat Sheet 0.11D 25+/-4 Asker C 1.1M 2M 5.2mm</v>
          </cell>
          <cell r="H850">
            <v>52</v>
          </cell>
          <cell r="I850">
            <v>52</v>
          </cell>
          <cell r="J850">
            <v>52</v>
          </cell>
          <cell r="K850">
            <v>0</v>
          </cell>
          <cell r="L850" t="str">
            <v>NIKE</v>
          </cell>
          <cell r="M850" t="str">
            <v>Pr.Sch.R</v>
          </cell>
          <cell r="N850" t="str">
            <v>MOLDED</v>
          </cell>
          <cell r="O850">
            <v>1</v>
          </cell>
          <cell r="P850">
            <v>46093</v>
          </cell>
          <cell r="Q850">
            <v>46104</v>
          </cell>
          <cell r="R850">
            <v>46101</v>
          </cell>
          <cell r="S850">
            <v>11</v>
          </cell>
          <cell r="T850">
            <v>5.2</v>
          </cell>
          <cell r="U850">
            <v>26</v>
          </cell>
          <cell r="V850">
            <v>2</v>
          </cell>
          <cell r="W850" t="str">
            <v>0.11D</v>
          </cell>
          <cell r="X850" t="str">
            <v>3-2026</v>
          </cell>
          <cell r="Y850" t="str">
            <v>Week 12</v>
          </cell>
          <cell r="Z850">
            <v>46097</v>
          </cell>
          <cell r="AA850">
            <v>2</v>
          </cell>
          <cell r="AB850">
            <v>3.8460000000000001E-2</v>
          </cell>
        </row>
        <row r="851">
          <cell r="A851" t="str">
            <v>F-2026-03-212</v>
          </cell>
          <cell r="B851"/>
          <cell r="C851" t="str">
            <v>RPRO-260312-0251</v>
          </cell>
          <cell r="D851" t="str">
            <v>Pro.sche.report 10.3+11.3</v>
          </cell>
          <cell r="E851" t="str">
            <v>BDB-000229</v>
          </cell>
          <cell r="F851" t="str">
            <v>PVN-003692</v>
          </cell>
          <cell r="G851" t="str">
            <v>OrthoLite Ultra-Hybrid SEEDPEARL/12-0703TPX Hybrid Flat Sheet 0.095D 33+/-4 Asker C 1.1M 2M 15.5mm</v>
          </cell>
          <cell r="H851">
            <v>136</v>
          </cell>
          <cell r="I851">
            <v>136</v>
          </cell>
          <cell r="J851">
            <v>136</v>
          </cell>
          <cell r="K851">
            <v>0</v>
          </cell>
          <cell r="L851" t="str">
            <v>GARMONT</v>
          </cell>
          <cell r="M851" t="str">
            <v>Pr.Sch.R</v>
          </cell>
          <cell r="N851" t="str">
            <v>MOLDED</v>
          </cell>
          <cell r="O851">
            <v>1</v>
          </cell>
          <cell r="P851">
            <v>46093</v>
          </cell>
          <cell r="Q851">
            <v>46111</v>
          </cell>
          <cell r="R851">
            <v>46108</v>
          </cell>
          <cell r="S851">
            <v>18</v>
          </cell>
          <cell r="T851">
            <v>15.5</v>
          </cell>
          <cell r="U851">
            <v>8</v>
          </cell>
          <cell r="V851">
            <v>17</v>
          </cell>
          <cell r="W851" t="str">
            <v>0.095D</v>
          </cell>
          <cell r="X851" t="str">
            <v>3-2026</v>
          </cell>
          <cell r="Y851" t="str">
            <v>Week 13</v>
          </cell>
          <cell r="Z851">
            <v>46104</v>
          </cell>
          <cell r="AA851">
            <v>4</v>
          </cell>
          <cell r="AB851">
            <v>0.125</v>
          </cell>
        </row>
        <row r="852">
          <cell r="A852" t="str">
            <v>F-2026-03-213</v>
          </cell>
          <cell r="B852"/>
          <cell r="C852" t="str">
            <v>RPRO-260312-0252</v>
          </cell>
          <cell r="D852" t="str">
            <v>Pro.sche.report 10.3+11.3</v>
          </cell>
          <cell r="E852" t="str">
            <v>BDB-000125</v>
          </cell>
          <cell r="F852" t="str">
            <v>PVN-002413</v>
          </cell>
          <cell r="G852" t="str">
            <v>OrthoLite Regular-Nike AIR BLUE/16-4134TPX Flat Sheet 0.11D 25+/-4 Asker C 1.1M 2M 4.2mm</v>
          </cell>
          <cell r="H852">
            <v>759</v>
          </cell>
          <cell r="I852">
            <v>759</v>
          </cell>
          <cell r="J852">
            <v>759</v>
          </cell>
          <cell r="K852">
            <v>0</v>
          </cell>
          <cell r="L852" t="str">
            <v>NIKE</v>
          </cell>
          <cell r="M852" t="str">
            <v>Pr.Sch.R</v>
          </cell>
          <cell r="N852" t="str">
            <v>MOLDED</v>
          </cell>
          <cell r="O852">
            <v>1</v>
          </cell>
          <cell r="P852">
            <v>46093</v>
          </cell>
          <cell r="Q852">
            <v>46106</v>
          </cell>
          <cell r="R852">
            <v>46103</v>
          </cell>
          <cell r="S852">
            <v>13</v>
          </cell>
          <cell r="T852">
            <v>4.2</v>
          </cell>
          <cell r="U852">
            <v>33</v>
          </cell>
          <cell r="V852">
            <v>23</v>
          </cell>
          <cell r="W852" t="str">
            <v>0.11D</v>
          </cell>
          <cell r="X852" t="str">
            <v>3-2026</v>
          </cell>
          <cell r="Y852" t="str">
            <v>Week 12</v>
          </cell>
          <cell r="Z852">
            <v>46097</v>
          </cell>
          <cell r="AA852">
            <v>114</v>
          </cell>
          <cell r="AB852">
            <v>3.0300000000000001E-2</v>
          </cell>
        </row>
        <row r="853">
          <cell r="A853" t="str">
            <v>F-2026-03-214</v>
          </cell>
          <cell r="B853"/>
          <cell r="C853" t="str">
            <v>RPRO-260312-0253</v>
          </cell>
          <cell r="D853" t="str">
            <v>Pro.sche.report 10.3+11.3</v>
          </cell>
          <cell r="E853" t="str">
            <v>BDB-000076</v>
          </cell>
          <cell r="F853" t="str">
            <v>PVN-003494</v>
          </cell>
          <cell r="G853" t="str">
            <v>OrthoLite X-25 BILLIARD/16-5427TPX Flat Sheet 0.12D 20+/-4 Asker C 1.1M 2M 5.5mm</v>
          </cell>
          <cell r="H853">
            <v>200</v>
          </cell>
          <cell r="I853">
            <v>200</v>
          </cell>
          <cell r="J853">
            <v>200</v>
          </cell>
          <cell r="K853">
            <v>0</v>
          </cell>
          <cell r="L853" t="str">
            <v>LOTTO</v>
          </cell>
          <cell r="M853" t="str">
            <v>Pr.Sch.R</v>
          </cell>
          <cell r="N853" t="str">
            <v>MOLDED</v>
          </cell>
          <cell r="O853">
            <v>1</v>
          </cell>
          <cell r="P853">
            <v>46093</v>
          </cell>
          <cell r="Q853">
            <v>46101</v>
          </cell>
          <cell r="R853">
            <v>46098</v>
          </cell>
          <cell r="S853">
            <v>8</v>
          </cell>
          <cell r="T853">
            <v>5.5</v>
          </cell>
          <cell r="U853">
            <v>25</v>
          </cell>
          <cell r="V853">
            <v>8</v>
          </cell>
          <cell r="W853" t="str">
            <v>0.12D</v>
          </cell>
          <cell r="X853" t="str">
            <v>3-2026</v>
          </cell>
          <cell r="Y853" t="str">
            <v>Week 12</v>
          </cell>
          <cell r="Z853">
            <v>46097</v>
          </cell>
          <cell r="AA853">
            <v>40</v>
          </cell>
          <cell r="AB853">
            <v>0.04</v>
          </cell>
        </row>
        <row r="854">
          <cell r="A854" t="str">
            <v>F-2026-03-215</v>
          </cell>
          <cell r="B854"/>
          <cell r="C854" t="str">
            <v>RPRO-260312-0254</v>
          </cell>
          <cell r="D854" t="str">
            <v>Pro.sche.report 10.3+11.3</v>
          </cell>
          <cell r="E854" t="str">
            <v>BDB-000113</v>
          </cell>
          <cell r="F854" t="str">
            <v>PVN-003796</v>
          </cell>
          <cell r="G854" t="str">
            <v>OrthoLite Regular-Hybrid SEEDPEARL/12-0703TPX Hybrid Flat Sheet 0.11D 25+/-4 Asker C 1.1M 2M 3.5mm</v>
          </cell>
          <cell r="H854">
            <v>80</v>
          </cell>
          <cell r="I854">
            <v>80</v>
          </cell>
          <cell r="J854">
            <v>80</v>
          </cell>
          <cell r="K854">
            <v>0</v>
          </cell>
          <cell r="L854" t="str">
            <v>ASICS</v>
          </cell>
          <cell r="M854" t="str">
            <v>Pr.Sch.R</v>
          </cell>
          <cell r="N854" t="str">
            <v>DIE CUT</v>
          </cell>
          <cell r="O854">
            <v>1</v>
          </cell>
          <cell r="P854">
            <v>46093</v>
          </cell>
          <cell r="Q854">
            <v>46107</v>
          </cell>
          <cell r="R854">
            <v>46104</v>
          </cell>
          <cell r="S854">
            <v>14</v>
          </cell>
          <cell r="T854">
            <v>3.5</v>
          </cell>
          <cell r="U854">
            <v>40</v>
          </cell>
          <cell r="V854">
            <v>2</v>
          </cell>
          <cell r="W854" t="str">
            <v>0.11D</v>
          </cell>
          <cell r="X854" t="str">
            <v>3-2026</v>
          </cell>
          <cell r="Y854" t="str">
            <v>Week 12</v>
          </cell>
          <cell r="Z854">
            <v>46097</v>
          </cell>
          <cell r="AA854">
            <v>23</v>
          </cell>
          <cell r="AB854">
            <v>2.5000000000000001E-2</v>
          </cell>
        </row>
        <row r="855">
          <cell r="A855" t="str">
            <v>F-2026-03-216</v>
          </cell>
          <cell r="B855"/>
          <cell r="C855" t="str">
            <v>RPRO-260312-0255</v>
          </cell>
          <cell r="D855" t="str">
            <v>Pro.sche.report 10.3+11.3</v>
          </cell>
          <cell r="E855" t="str">
            <v>BDB-000157</v>
          </cell>
          <cell r="F855" t="str">
            <v>PVN-004083</v>
          </cell>
          <cell r="G855" t="str">
            <v>OrthoLite X-35-Hybrid-Nike SEEDPEARL/12-0703TPX Hybrid Flat Sheet 0.145D 25+/-4 Asker C 1.1M 2M 4mm</v>
          </cell>
          <cell r="H855">
            <v>35</v>
          </cell>
          <cell r="I855">
            <v>35</v>
          </cell>
          <cell r="J855">
            <v>35</v>
          </cell>
          <cell r="K855">
            <v>0</v>
          </cell>
          <cell r="L855" t="str">
            <v>NIKE</v>
          </cell>
          <cell r="M855" t="str">
            <v>Pr.Sch.R</v>
          </cell>
          <cell r="N855" t="str">
            <v>DIE CUT</v>
          </cell>
          <cell r="O855">
            <v>1</v>
          </cell>
          <cell r="P855">
            <v>46093</v>
          </cell>
          <cell r="Q855">
            <v>46104</v>
          </cell>
          <cell r="R855">
            <v>46101</v>
          </cell>
          <cell r="S855">
            <v>11</v>
          </cell>
          <cell r="T855">
            <v>4</v>
          </cell>
          <cell r="U855">
            <v>35</v>
          </cell>
          <cell r="V855">
            <v>1</v>
          </cell>
          <cell r="W855" t="str">
            <v>0.145D</v>
          </cell>
          <cell r="X855" t="str">
            <v>3-2026</v>
          </cell>
          <cell r="Y855" t="str">
            <v>Week 12</v>
          </cell>
          <cell r="Z855">
            <v>46097</v>
          </cell>
          <cell r="AA855">
            <v>37</v>
          </cell>
          <cell r="AB855">
            <v>2.8570000000000002E-2</v>
          </cell>
        </row>
        <row r="856">
          <cell r="A856" t="str">
            <v>F-2026-03-217</v>
          </cell>
          <cell r="B856"/>
          <cell r="C856" t="str">
            <v>RPRO-260312-0256</v>
          </cell>
          <cell r="D856" t="str">
            <v>Pro.sche.report 10.3+11.3</v>
          </cell>
          <cell r="E856" t="str">
            <v>BDB-000067</v>
          </cell>
          <cell r="F856" t="str">
            <v>PVN-003691</v>
          </cell>
          <cell r="G856" t="str">
            <v>OrthoLite Ultra SEEDPEARL/12-0703TPX Flat Sheet 0.085D 25+/-4 Asker C 1.1M 2M 5.2mm</v>
          </cell>
          <cell r="H856">
            <v>26</v>
          </cell>
          <cell r="I856">
            <v>26</v>
          </cell>
          <cell r="J856">
            <v>26</v>
          </cell>
          <cell r="K856">
            <v>0</v>
          </cell>
          <cell r="L856" t="str">
            <v>PUMA</v>
          </cell>
          <cell r="M856" t="str">
            <v>Pr.Sch.R</v>
          </cell>
          <cell r="N856" t="str">
            <v>MOLDED</v>
          </cell>
          <cell r="O856">
            <v>1</v>
          </cell>
          <cell r="P856">
            <v>46093</v>
          </cell>
          <cell r="Q856">
            <v>46104</v>
          </cell>
          <cell r="R856">
            <v>46101</v>
          </cell>
          <cell r="S856">
            <v>11</v>
          </cell>
          <cell r="T856">
            <v>5.2</v>
          </cell>
          <cell r="U856">
            <v>26</v>
          </cell>
          <cell r="V856">
            <v>1</v>
          </cell>
          <cell r="W856" t="str">
            <v>0.085D</v>
          </cell>
          <cell r="X856" t="str">
            <v>3-2026</v>
          </cell>
          <cell r="Y856" t="str">
            <v>Week 12</v>
          </cell>
          <cell r="Z856">
            <v>46097</v>
          </cell>
          <cell r="AA856">
            <v>111</v>
          </cell>
          <cell r="AB856">
            <v>3.8460000000000001E-2</v>
          </cell>
        </row>
        <row r="857">
          <cell r="A857" t="str">
            <v>F-2026-03-218</v>
          </cell>
          <cell r="B857"/>
          <cell r="C857" t="str">
            <v>RPRO-260312-0257</v>
          </cell>
          <cell r="D857" t="str">
            <v>Pro.sche.report 10.3+11.3</v>
          </cell>
          <cell r="E857" t="str">
            <v>BDB-000313</v>
          </cell>
          <cell r="F857" t="str">
            <v>PVN-004061</v>
          </cell>
          <cell r="G857" t="str">
            <v>OrthoLite X-55 RED/19-1764TPX Flat Sheet 0.16D 25+/-4 Asker C 1.1M 1.47M 18mm</v>
          </cell>
          <cell r="H857">
            <v>280</v>
          </cell>
          <cell r="I857">
            <v>280</v>
          </cell>
          <cell r="J857">
            <v>280</v>
          </cell>
          <cell r="K857">
            <v>0</v>
          </cell>
          <cell r="L857" t="str">
            <v>WILSON</v>
          </cell>
          <cell r="M857" t="str">
            <v>Pr.Sch.R</v>
          </cell>
          <cell r="N857" t="str">
            <v>MOLDED</v>
          </cell>
          <cell r="O857">
            <v>1</v>
          </cell>
          <cell r="P857">
            <v>46093</v>
          </cell>
          <cell r="Q857">
            <v>46101</v>
          </cell>
          <cell r="R857">
            <v>46098</v>
          </cell>
          <cell r="S857">
            <v>8</v>
          </cell>
          <cell r="T857">
            <v>18</v>
          </cell>
          <cell r="U857">
            <v>7</v>
          </cell>
          <cell r="V857">
            <v>41</v>
          </cell>
          <cell r="W857" t="e">
            <v>#N/A</v>
          </cell>
          <cell r="X857" t="str">
            <v>3-2026</v>
          </cell>
          <cell r="Y857" t="str">
            <v>Week 12</v>
          </cell>
          <cell r="Z857">
            <v>46097</v>
          </cell>
          <cell r="AA857">
            <v>21</v>
          </cell>
          <cell r="AB857">
            <v>0.14285999999999999</v>
          </cell>
        </row>
        <row r="858">
          <cell r="A858" t="str">
            <v>F-2026-03-219</v>
          </cell>
          <cell r="B858"/>
          <cell r="C858" t="str">
            <v>RPRO-260312-0258</v>
          </cell>
          <cell r="D858" t="str">
            <v>Pro.sche.report 10.3+11.3</v>
          </cell>
          <cell r="E858" t="str">
            <v>BDB-000149</v>
          </cell>
          <cell r="F858" t="str">
            <v>PVN-002773</v>
          </cell>
          <cell r="G858" t="str">
            <v>OrthoLite Regular-Hybrid-Nike SEEDPEARL/12-0703TPX Hybrid Flat Sheet 0.11D 25+/-4 Asker C 1.1M 2M 4mm</v>
          </cell>
          <cell r="H858">
            <v>105</v>
          </cell>
          <cell r="I858">
            <v>105</v>
          </cell>
          <cell r="J858">
            <v>105</v>
          </cell>
          <cell r="K858">
            <v>0</v>
          </cell>
          <cell r="L858" t="str">
            <v>NIKE</v>
          </cell>
          <cell r="M858" t="str">
            <v>Pr.Sch.R</v>
          </cell>
          <cell r="N858" t="str">
            <v>DIE CUT</v>
          </cell>
          <cell r="O858">
            <v>1</v>
          </cell>
          <cell r="P858">
            <v>46093</v>
          </cell>
          <cell r="Q858">
            <v>46104</v>
          </cell>
          <cell r="R858">
            <v>46101</v>
          </cell>
          <cell r="S858">
            <v>11</v>
          </cell>
          <cell r="T858">
            <v>4</v>
          </cell>
          <cell r="U858">
            <v>35</v>
          </cell>
          <cell r="V858">
            <v>3</v>
          </cell>
          <cell r="W858" t="str">
            <v>0.11D</v>
          </cell>
          <cell r="X858" t="str">
            <v>3-2026</v>
          </cell>
          <cell r="Y858" t="str">
            <v>Week 12</v>
          </cell>
          <cell r="Z858">
            <v>46097</v>
          </cell>
          <cell r="AA858">
            <v>136</v>
          </cell>
          <cell r="AB858">
            <v>2.8570000000000002E-2</v>
          </cell>
        </row>
        <row r="859">
          <cell r="A859" t="str">
            <v>F-2026-03-220</v>
          </cell>
          <cell r="B859"/>
          <cell r="C859" t="str">
            <v>RPRO-260312-0259</v>
          </cell>
          <cell r="D859" t="str">
            <v>Pro.sche.report 10.3+11.3</v>
          </cell>
          <cell r="E859" t="str">
            <v>BDB-000125</v>
          </cell>
          <cell r="F859" t="str">
            <v>PVN-001579</v>
          </cell>
          <cell r="G859" t="str">
            <v>OrthoLite Regular-Nike AIR BLUE/16-4134TPX Flat Sheet 0.11D 25+/-4 Asker C 1.1M 2M 4mm</v>
          </cell>
          <cell r="H859">
            <v>35</v>
          </cell>
          <cell r="I859">
            <v>35</v>
          </cell>
          <cell r="J859">
            <v>35</v>
          </cell>
          <cell r="K859">
            <v>0</v>
          </cell>
          <cell r="L859" t="str">
            <v>NIKE</v>
          </cell>
          <cell r="M859" t="str">
            <v>Pr.Sch.R</v>
          </cell>
          <cell r="N859" t="str">
            <v>LAMINATING</v>
          </cell>
          <cell r="O859">
            <v>1</v>
          </cell>
          <cell r="P859">
            <v>46093</v>
          </cell>
          <cell r="Q859">
            <v>46101</v>
          </cell>
          <cell r="R859">
            <v>46098</v>
          </cell>
          <cell r="S859">
            <v>8</v>
          </cell>
          <cell r="T859">
            <v>4</v>
          </cell>
          <cell r="U859">
            <v>35</v>
          </cell>
          <cell r="V859">
            <v>1</v>
          </cell>
          <cell r="W859" t="str">
            <v>0.11D</v>
          </cell>
          <cell r="X859" t="str">
            <v>3-2026</v>
          </cell>
          <cell r="Y859" t="str">
            <v>Week 12</v>
          </cell>
          <cell r="Z859">
            <v>46097</v>
          </cell>
          <cell r="AA859">
            <v>51</v>
          </cell>
          <cell r="AB859">
            <v>2.8570000000000002E-2</v>
          </cell>
        </row>
        <row r="860">
          <cell r="A860" t="str">
            <v>F-2026-03-221</v>
          </cell>
          <cell r="B860"/>
          <cell r="C860" t="str">
            <v>RPRO-260312-0260</v>
          </cell>
          <cell r="D860" t="str">
            <v>Pro.sche.report 10.3+11.3</v>
          </cell>
          <cell r="E860" t="str">
            <v>BDB-000156</v>
          </cell>
          <cell r="F860" t="str">
            <v>PVN-003243</v>
          </cell>
          <cell r="G860" t="str">
            <v>OrthoLite X-35-Hybrid-Nike AMAZON/18-6024TPX Hybrid Flat Sheet 0.145D 25+/-4 Asker C 1.1M 2M 5.2mm</v>
          </cell>
          <cell r="H860">
            <v>676</v>
          </cell>
          <cell r="I860">
            <v>676</v>
          </cell>
          <cell r="J860">
            <v>676</v>
          </cell>
          <cell r="K860">
            <v>0</v>
          </cell>
          <cell r="L860" t="str">
            <v>NIKE</v>
          </cell>
          <cell r="M860" t="str">
            <v>Pr.Sch.R</v>
          </cell>
          <cell r="N860" t="str">
            <v>MOLDED</v>
          </cell>
          <cell r="O860" t="str">
            <v>1-SLT</v>
          </cell>
          <cell r="P860">
            <v>46093</v>
          </cell>
          <cell r="Q860">
            <v>46108</v>
          </cell>
          <cell r="R860">
            <v>46105</v>
          </cell>
          <cell r="S860">
            <v>15</v>
          </cell>
          <cell r="T860">
            <v>5.2</v>
          </cell>
          <cell r="U860">
            <v>26</v>
          </cell>
          <cell r="V860">
            <v>26</v>
          </cell>
          <cell r="W860" t="str">
            <v>0.145D</v>
          </cell>
          <cell r="X860" t="str">
            <v>3-2026</v>
          </cell>
          <cell r="Y860" t="str">
            <v>Week 12</v>
          </cell>
          <cell r="Z860">
            <v>46097</v>
          </cell>
          <cell r="AA860">
            <v>140</v>
          </cell>
          <cell r="AB860">
            <v>3.8460000000000001E-2</v>
          </cell>
        </row>
        <row r="861">
          <cell r="A861" t="str">
            <v>F-2026-03-222</v>
          </cell>
          <cell r="B861"/>
          <cell r="C861" t="str">
            <v>RPRO-260312-0261</v>
          </cell>
          <cell r="D861" t="str">
            <v>Pro.sche.report 10.3+11.3</v>
          </cell>
          <cell r="E861" t="str">
            <v>BDB-000076</v>
          </cell>
          <cell r="F861" t="str">
            <v>PVN-004119</v>
          </cell>
          <cell r="G861" t="str">
            <v>OrthoLite X-25 BILLIARD/16-5427TPX Flat Sheet 0.12D 20+/-4 Asker C 1.1M 2M 6.5mm</v>
          </cell>
          <cell r="H861">
            <v>105</v>
          </cell>
          <cell r="I861">
            <v>105</v>
          </cell>
          <cell r="J861">
            <v>105</v>
          </cell>
          <cell r="K861">
            <v>0</v>
          </cell>
          <cell r="L861" t="str">
            <v>ONE8</v>
          </cell>
          <cell r="M861" t="str">
            <v>Pr.Sch.R</v>
          </cell>
          <cell r="N861" t="str">
            <v>MOLDED</v>
          </cell>
          <cell r="O861">
            <v>1</v>
          </cell>
          <cell r="P861">
            <v>46093</v>
          </cell>
          <cell r="Q861">
            <v>46111</v>
          </cell>
          <cell r="R861">
            <v>46108</v>
          </cell>
          <cell r="S861">
            <v>18</v>
          </cell>
          <cell r="T861">
            <v>6.5</v>
          </cell>
          <cell r="U861">
            <v>21</v>
          </cell>
          <cell r="V861">
            <v>6</v>
          </cell>
          <cell r="W861" t="str">
            <v>0.12D</v>
          </cell>
          <cell r="X861" t="str">
            <v>3-2026</v>
          </cell>
          <cell r="Y861" t="str">
            <v>Week 13</v>
          </cell>
          <cell r="Z861">
            <v>46104</v>
          </cell>
          <cell r="AA861">
            <v>16</v>
          </cell>
          <cell r="AB861">
            <v>4.7620000000000003E-2</v>
          </cell>
        </row>
        <row r="862">
          <cell r="A862" t="str">
            <v>F-2026-03-223</v>
          </cell>
          <cell r="B862"/>
          <cell r="C862" t="str">
            <v>RPRO-260312-0262</v>
          </cell>
          <cell r="D862" t="str">
            <v>Pro.sche.report 10.3+11.3</v>
          </cell>
          <cell r="E862" t="str">
            <v>BDB-000317</v>
          </cell>
          <cell r="F862" t="str">
            <v>PVN-004076</v>
          </cell>
          <cell r="G862" t="str">
            <v>OrthoLite Regular NEUTRAL GRAY/17-4402TPX Flat Sheet 0.13D 15+/-4 Asker C 1.1M 2M 24mm</v>
          </cell>
          <cell r="H862">
            <v>20</v>
          </cell>
          <cell r="I862">
            <v>20</v>
          </cell>
          <cell r="J862">
            <v>20</v>
          </cell>
          <cell r="K862">
            <v>0</v>
          </cell>
          <cell r="L862" t="str">
            <v>ASICS</v>
          </cell>
          <cell r="M862" t="str">
            <v>Pr.Sch.R</v>
          </cell>
          <cell r="N862" t="str">
            <v>MOLDED</v>
          </cell>
          <cell r="O862">
            <v>1</v>
          </cell>
          <cell r="P862">
            <v>46093</v>
          </cell>
          <cell r="Q862">
            <v>46111</v>
          </cell>
          <cell r="R862">
            <v>46108</v>
          </cell>
          <cell r="S862">
            <v>18</v>
          </cell>
          <cell r="T862">
            <v>24</v>
          </cell>
          <cell r="U862">
            <v>5</v>
          </cell>
          <cell r="V862">
            <v>4</v>
          </cell>
          <cell r="W862" t="e">
            <v>#N/A</v>
          </cell>
          <cell r="X862" t="str">
            <v>3-2026</v>
          </cell>
          <cell r="Y862" t="str">
            <v>Week 13</v>
          </cell>
          <cell r="Z862">
            <v>46104</v>
          </cell>
          <cell r="AA862">
            <v>15</v>
          </cell>
          <cell r="AB862">
            <v>0.2</v>
          </cell>
        </row>
        <row r="863">
          <cell r="A863" t="str">
            <v>F-2026-03-224</v>
          </cell>
          <cell r="B863"/>
          <cell r="C863" t="str">
            <v>RPRO-260312-0263</v>
          </cell>
          <cell r="D863" t="str">
            <v>Pro.sche.report 10.3+11.3</v>
          </cell>
          <cell r="E863" t="str">
            <v>BDB-000325</v>
          </cell>
          <cell r="F863" t="str">
            <v>PVN-004115</v>
          </cell>
          <cell r="G863" t="str">
            <v>OrthoLite X-40 TRUE BLUE/19-4057TPX Flat Sheet 0.16D 35+/-4 Asker C 1.1M 2M 4mm</v>
          </cell>
          <cell r="H863">
            <v>35</v>
          </cell>
          <cell r="I863">
            <v>35</v>
          </cell>
          <cell r="J863">
            <v>35</v>
          </cell>
          <cell r="K863">
            <v>0</v>
          </cell>
          <cell r="L863" t="str">
            <v>ASICS</v>
          </cell>
          <cell r="M863" t="str">
            <v>Pr.Sch.R</v>
          </cell>
          <cell r="N863" t="str">
            <v>MOLDED</v>
          </cell>
          <cell r="O863">
            <v>1</v>
          </cell>
          <cell r="P863">
            <v>46093</v>
          </cell>
          <cell r="Q863">
            <v>46111</v>
          </cell>
          <cell r="R863">
            <v>46108</v>
          </cell>
          <cell r="S863">
            <v>18</v>
          </cell>
          <cell r="T863">
            <v>4</v>
          </cell>
          <cell r="U863">
            <v>35</v>
          </cell>
          <cell r="V863">
            <v>1</v>
          </cell>
          <cell r="W863" t="e">
            <v>#N/A</v>
          </cell>
          <cell r="X863" t="str">
            <v>3-2026</v>
          </cell>
          <cell r="Y863" t="str">
            <v>Week 13</v>
          </cell>
          <cell r="Z863">
            <v>46104</v>
          </cell>
          <cell r="AA863">
            <v>16</v>
          </cell>
          <cell r="AB863">
            <v>2.8570000000000002E-2</v>
          </cell>
        </row>
        <row r="864">
          <cell r="A864" t="str">
            <v>F-2026-03-225</v>
          </cell>
          <cell r="B864"/>
          <cell r="C864" t="str">
            <v>RPRO-260312-0264</v>
          </cell>
          <cell r="D864" t="str">
            <v>Pro.sche.report 10.3+11.3</v>
          </cell>
          <cell r="E864" t="str">
            <v>BDB-000145</v>
          </cell>
          <cell r="F864" t="str">
            <v>PVN-002811</v>
          </cell>
          <cell r="G864" t="str">
            <v>OrthoLite Regular-Hybrid-Nike YELLOW/13-0858TPX Hybrid Flat Sheet 0.11D 25+/-4 Asker C 1.1M 1.7M 2mm</v>
          </cell>
          <cell r="H864">
            <v>420</v>
          </cell>
          <cell r="I864">
            <v>420</v>
          </cell>
          <cell r="J864">
            <v>420</v>
          </cell>
          <cell r="K864">
            <v>0</v>
          </cell>
          <cell r="L864" t="str">
            <v>NIKE</v>
          </cell>
          <cell r="M864" t="str">
            <v>Pr.Sch.R</v>
          </cell>
          <cell r="N864" t="str">
            <v>DIE CUT</v>
          </cell>
          <cell r="O864">
            <v>1</v>
          </cell>
          <cell r="P864">
            <v>46093</v>
          </cell>
          <cell r="Q864">
            <v>46107</v>
          </cell>
          <cell r="R864">
            <v>46104</v>
          </cell>
          <cell r="S864">
            <v>14</v>
          </cell>
          <cell r="T864">
            <v>2</v>
          </cell>
          <cell r="U864">
            <v>70</v>
          </cell>
          <cell r="V864">
            <v>7</v>
          </cell>
          <cell r="W864" t="str">
            <v>0.11D</v>
          </cell>
          <cell r="X864" t="str">
            <v>3-2026</v>
          </cell>
          <cell r="Y864" t="str">
            <v>Week 12</v>
          </cell>
          <cell r="Z864">
            <v>46097</v>
          </cell>
          <cell r="AA864">
            <v>3</v>
          </cell>
          <cell r="AB864">
            <v>1.4290000000000001E-2</v>
          </cell>
        </row>
        <row r="865">
          <cell r="A865" t="str">
            <v>F-2026-03-226</v>
          </cell>
          <cell r="B865"/>
          <cell r="C865" t="str">
            <v>RPRO-260312-0265</v>
          </cell>
          <cell r="D865" t="str">
            <v>Pro.sche.report 10.3+11.3</v>
          </cell>
          <cell r="E865" t="str">
            <v>BDB-000157</v>
          </cell>
          <cell r="F865" t="str">
            <v>PVN-003244</v>
          </cell>
          <cell r="G865" t="str">
            <v>OrthoLite X-35-Hybrid-Nike SEEDPEARL/12-0703TPX Hybrid Flat Sheet 0.145D 25+/-4 Asker C 1.1M 2M 5.2mm</v>
          </cell>
          <cell r="H865">
            <v>572</v>
          </cell>
          <cell r="I865">
            <v>572</v>
          </cell>
          <cell r="J865">
            <v>572</v>
          </cell>
          <cell r="K865">
            <v>0</v>
          </cell>
          <cell r="L865" t="str">
            <v>NIKE</v>
          </cell>
          <cell r="M865" t="str">
            <v>Pr.Sch.R</v>
          </cell>
          <cell r="N865" t="str">
            <v>MOLDED</v>
          </cell>
          <cell r="O865">
            <v>1</v>
          </cell>
          <cell r="P865">
            <v>46093</v>
          </cell>
          <cell r="Q865">
            <v>46104</v>
          </cell>
          <cell r="R865">
            <v>46101</v>
          </cell>
          <cell r="S865">
            <v>11</v>
          </cell>
          <cell r="T865">
            <v>5.2</v>
          </cell>
          <cell r="U865">
            <v>26</v>
          </cell>
          <cell r="V865">
            <v>22</v>
          </cell>
          <cell r="W865" t="str">
            <v>0.145D</v>
          </cell>
          <cell r="X865" t="str">
            <v>3-2026</v>
          </cell>
          <cell r="Y865" t="str">
            <v>Week 12</v>
          </cell>
          <cell r="Z865">
            <v>46097</v>
          </cell>
          <cell r="AA865">
            <v>70</v>
          </cell>
          <cell r="AB865">
            <v>3.8460000000000001E-2</v>
          </cell>
        </row>
        <row r="866">
          <cell r="A866" t="str">
            <v>F-2026-03-227</v>
          </cell>
          <cell r="B866"/>
          <cell r="C866" t="str">
            <v>RPRO-260312-0266</v>
          </cell>
          <cell r="D866" t="str">
            <v>Pro.sche.report 10.3+11.3</v>
          </cell>
          <cell r="E866" t="str">
            <v>BDB-000210</v>
          </cell>
          <cell r="F866" t="str">
            <v>PVN-003453</v>
          </cell>
          <cell r="G866" t="str">
            <v>OrthoLite Eco LT-Hybrid BLACK/19-4007TPX Hybrid Flat Sheet 0.13D 35+/-4 Asker C 1.1M 2M 3mm</v>
          </cell>
          <cell r="H866">
            <v>644</v>
          </cell>
          <cell r="I866">
            <v>644</v>
          </cell>
          <cell r="J866">
            <v>644</v>
          </cell>
          <cell r="K866">
            <v>0</v>
          </cell>
          <cell r="L866" t="str">
            <v>GEOX</v>
          </cell>
          <cell r="M866" t="str">
            <v>Pr.Sch.R</v>
          </cell>
          <cell r="N866" t="str">
            <v>LAMINATING</v>
          </cell>
          <cell r="O866">
            <v>1</v>
          </cell>
          <cell r="P866">
            <v>46093</v>
          </cell>
          <cell r="Q866">
            <v>46108</v>
          </cell>
          <cell r="R866">
            <v>46105</v>
          </cell>
          <cell r="S866">
            <v>15</v>
          </cell>
          <cell r="T866">
            <v>3</v>
          </cell>
          <cell r="U866">
            <v>46</v>
          </cell>
          <cell r="V866">
            <v>15</v>
          </cell>
          <cell r="W866" t="str">
            <v>0.13D</v>
          </cell>
          <cell r="X866" t="str">
            <v>3-2026</v>
          </cell>
          <cell r="Y866" t="str">
            <v>Week 12</v>
          </cell>
          <cell r="Z866">
            <v>46097</v>
          </cell>
          <cell r="AA866">
            <v>100</v>
          </cell>
          <cell r="AB866">
            <v>2.1739999999999999E-2</v>
          </cell>
        </row>
        <row r="867">
          <cell r="A867" t="str">
            <v>F-2026-03-228</v>
          </cell>
          <cell r="B867"/>
          <cell r="C867" t="str">
            <v>RPRO-260312-0267</v>
          </cell>
          <cell r="D867" t="str">
            <v>Pro.sche.report 10.3+11.3</v>
          </cell>
          <cell r="E867" t="str">
            <v>BDB-000147</v>
          </cell>
          <cell r="F867" t="str">
            <v>PVN-002753</v>
          </cell>
          <cell r="G867" t="str">
            <v>OrthoLite Regular-Hybrid-Nike YELLOW/13-0858TPX Hybrid Flat Sheet 0.11D 25+/-4 Asker C 1.1M 2M 4mm</v>
          </cell>
          <cell r="H867">
            <v>105</v>
          </cell>
          <cell r="I867">
            <v>105</v>
          </cell>
          <cell r="J867">
            <v>0</v>
          </cell>
          <cell r="K867">
            <v>105</v>
          </cell>
          <cell r="L867" t="str">
            <v>NIKE</v>
          </cell>
          <cell r="M867" t="str">
            <v>Pr.Sch.R</v>
          </cell>
          <cell r="N867" t="str">
            <v>DIE CUT</v>
          </cell>
          <cell r="O867">
            <v>1</v>
          </cell>
          <cell r="P867">
            <v>46093</v>
          </cell>
          <cell r="Q867">
            <v>46111</v>
          </cell>
          <cell r="R867">
            <v>46108</v>
          </cell>
          <cell r="S867">
            <v>18</v>
          </cell>
          <cell r="T867">
            <v>4</v>
          </cell>
          <cell r="U867">
            <v>35</v>
          </cell>
          <cell r="V867">
            <v>3</v>
          </cell>
          <cell r="W867" t="str">
            <v>0.11D</v>
          </cell>
          <cell r="X867" t="str">
            <v>3-2026</v>
          </cell>
          <cell r="Y867" t="str">
            <v>Week 13</v>
          </cell>
          <cell r="Z867">
            <v>46104</v>
          </cell>
          <cell r="AA867">
            <v>76</v>
          </cell>
          <cell r="AB867">
            <v>2.8570000000000002E-2</v>
          </cell>
        </row>
        <row r="868">
          <cell r="A868" t="str">
            <v>F-2026-03-229</v>
          </cell>
          <cell r="B868"/>
          <cell r="C868" t="str">
            <v>RPRO-260312-0268</v>
          </cell>
          <cell r="D868" t="str">
            <v>Pro.sche.report 10.3+11.3</v>
          </cell>
          <cell r="E868" t="str">
            <v>BDB-000113</v>
          </cell>
          <cell r="F868" t="str">
            <v>PVN-002503</v>
          </cell>
          <cell r="G868" t="str">
            <v>OrthoLite Regular-Hybrid SEEDPEARL/12-0703TPX Hybrid Flat Sheet 0.11D 25+/-4 Asker C 1.1M 2M 4mm</v>
          </cell>
          <cell r="H868">
            <v>140</v>
          </cell>
          <cell r="I868">
            <v>140</v>
          </cell>
          <cell r="J868">
            <v>140</v>
          </cell>
          <cell r="K868">
            <v>0</v>
          </cell>
          <cell r="L868" t="str">
            <v>ASICS</v>
          </cell>
          <cell r="M868" t="str">
            <v>Pr.Sch.R</v>
          </cell>
          <cell r="N868" t="str">
            <v>DIE CUT</v>
          </cell>
          <cell r="O868">
            <v>1</v>
          </cell>
          <cell r="P868">
            <v>46093</v>
          </cell>
          <cell r="Q868">
            <v>46111</v>
          </cell>
          <cell r="R868">
            <v>46108</v>
          </cell>
          <cell r="S868">
            <v>18</v>
          </cell>
          <cell r="T868">
            <v>4</v>
          </cell>
          <cell r="U868">
            <v>35</v>
          </cell>
          <cell r="V868">
            <v>4</v>
          </cell>
          <cell r="W868" t="str">
            <v>0.11D</v>
          </cell>
          <cell r="X868" t="str">
            <v>3-2026</v>
          </cell>
          <cell r="Y868" t="str">
            <v>Week 13</v>
          </cell>
          <cell r="Z868">
            <v>46104</v>
          </cell>
          <cell r="AA868">
            <v>45</v>
          </cell>
          <cell r="AB868">
            <v>2.8570000000000002E-2</v>
          </cell>
        </row>
        <row r="869">
          <cell r="A869" t="str">
            <v>F-2026-03-230</v>
          </cell>
          <cell r="B869"/>
          <cell r="C869" t="str">
            <v>RPRO-260313-0363</v>
          </cell>
          <cell r="D869" t="str">
            <v>MPS 12.3</v>
          </cell>
          <cell r="E869" t="str">
            <v>BDB-000101</v>
          </cell>
          <cell r="F869" t="str">
            <v>PVN-003628</v>
          </cell>
          <cell r="G869" t="str">
            <v>OrthoLite Eco LT-Hybrid FOSSIL/17-0909TPX Hybrid Flat Sheet 0.13D 35+/-4 Asker C 1.1M 2M 2.5mm</v>
          </cell>
          <cell r="H869">
            <v>112</v>
          </cell>
          <cell r="I869">
            <v>112</v>
          </cell>
          <cell r="J869">
            <v>0</v>
          </cell>
          <cell r="K869">
            <v>112</v>
          </cell>
          <cell r="L869"/>
          <cell r="M869" t="str">
            <v>MPS</v>
          </cell>
          <cell r="N869" t="str">
            <v>SPLITTING</v>
          </cell>
          <cell r="O869">
            <v>2</v>
          </cell>
          <cell r="P869">
            <v>46094</v>
          </cell>
          <cell r="Q869">
            <v>46109</v>
          </cell>
          <cell r="R869">
            <v>46106</v>
          </cell>
          <cell r="S869">
            <v>15</v>
          </cell>
          <cell r="T869">
            <v>2.5</v>
          </cell>
          <cell r="U869">
            <v>56</v>
          </cell>
          <cell r="V869">
            <v>3</v>
          </cell>
          <cell r="W869" t="str">
            <v>0.13D</v>
          </cell>
          <cell r="X869" t="str">
            <v>3-2026</v>
          </cell>
          <cell r="Y869" t="str">
            <v>Week 13</v>
          </cell>
          <cell r="Z869">
            <v>46104</v>
          </cell>
          <cell r="AA869">
            <v>33</v>
          </cell>
          <cell r="AB869">
            <v>1.7860000000000001E-2</v>
          </cell>
        </row>
        <row r="870">
          <cell r="A870" t="str">
            <v>F-2026-03-231</v>
          </cell>
          <cell r="B870"/>
          <cell r="C870" t="str">
            <v>RPRO-260313-0364</v>
          </cell>
          <cell r="D870" t="str">
            <v>MPS 12.3</v>
          </cell>
          <cell r="E870" t="str">
            <v>BDB-000057</v>
          </cell>
          <cell r="F870" t="str">
            <v>PVN-000925</v>
          </cell>
          <cell r="G870" t="str">
            <v>OrthoLite Ultra YELLOW/13-0858TPX Flat Sheet 0.085D 25+/-4 Asker C 1.1M 2M 5mm</v>
          </cell>
          <cell r="H870">
            <v>414</v>
          </cell>
          <cell r="I870">
            <v>414</v>
          </cell>
          <cell r="J870">
            <v>414</v>
          </cell>
          <cell r="K870">
            <v>0</v>
          </cell>
          <cell r="L870" t="str">
            <v>ASICS</v>
          </cell>
          <cell r="M870" t="str">
            <v>Pr.Sch.R</v>
          </cell>
          <cell r="N870" t="str">
            <v>LAMINATING</v>
          </cell>
          <cell r="O870">
            <v>2</v>
          </cell>
          <cell r="P870">
            <v>46094</v>
          </cell>
          <cell r="Q870">
            <v>46107</v>
          </cell>
          <cell r="R870">
            <v>46104</v>
          </cell>
          <cell r="S870">
            <v>13</v>
          </cell>
          <cell r="T870">
            <v>5</v>
          </cell>
          <cell r="U870">
            <v>28</v>
          </cell>
          <cell r="V870">
            <v>15</v>
          </cell>
          <cell r="W870" t="str">
            <v>0.085D</v>
          </cell>
          <cell r="X870" t="str">
            <v>3-2026</v>
          </cell>
          <cell r="Y870" t="str">
            <v>Week 12</v>
          </cell>
          <cell r="Z870">
            <v>46097</v>
          </cell>
          <cell r="AA870">
            <v>58</v>
          </cell>
          <cell r="AB870">
            <v>3.5709999999999999E-2</v>
          </cell>
        </row>
        <row r="871">
          <cell r="A871" t="str">
            <v>F-2026-03-232</v>
          </cell>
          <cell r="B871"/>
          <cell r="C871" t="str">
            <v>RPRO-260313-0365</v>
          </cell>
          <cell r="D871" t="str">
            <v>Pro.sche.report 12.3</v>
          </cell>
          <cell r="E871" t="str">
            <v>BDB-000212</v>
          </cell>
          <cell r="F871" t="str">
            <v>PVN-003460</v>
          </cell>
          <cell r="G871" t="str">
            <v>OrthoLite X-25-Hybrid SEEDPEARL/12-0703TPX Hybrid Flat Sheet 0.12D 20+/-4 Asker C 1.1M 2M 5.5mm</v>
          </cell>
          <cell r="H871">
            <v>50</v>
          </cell>
          <cell r="I871">
            <v>50</v>
          </cell>
          <cell r="J871">
            <v>50</v>
          </cell>
          <cell r="K871">
            <v>0</v>
          </cell>
          <cell r="L871" t="str">
            <v>ON RUNNING</v>
          </cell>
          <cell r="M871" t="str">
            <v>Pr.Sch.R</v>
          </cell>
          <cell r="N871" t="str">
            <v>MOLDED</v>
          </cell>
          <cell r="O871">
            <v>2</v>
          </cell>
          <cell r="P871">
            <v>46094</v>
          </cell>
          <cell r="Q871">
            <v>46107</v>
          </cell>
          <cell r="R871">
            <v>46104</v>
          </cell>
          <cell r="S871">
            <v>13</v>
          </cell>
          <cell r="T871">
            <v>5.5</v>
          </cell>
          <cell r="U871">
            <v>25</v>
          </cell>
          <cell r="V871">
            <v>2</v>
          </cell>
          <cell r="W871" t="str">
            <v>0.12D</v>
          </cell>
          <cell r="X871" t="str">
            <v>3-2026</v>
          </cell>
          <cell r="Y871" t="str">
            <v>Week 12</v>
          </cell>
          <cell r="Z871">
            <v>46097</v>
          </cell>
          <cell r="AA871">
            <v>39</v>
          </cell>
          <cell r="AB871">
            <v>0.04</v>
          </cell>
        </row>
        <row r="872">
          <cell r="A872" t="str">
            <v>F-2026-03-233</v>
          </cell>
          <cell r="B872"/>
          <cell r="C872" t="str">
            <v>RPRO-260313-0366</v>
          </cell>
          <cell r="D872" t="str">
            <v>Pro.sche.report 12.3</v>
          </cell>
          <cell r="E872" t="str">
            <v>BDB-000113</v>
          </cell>
          <cell r="F872" t="str">
            <v>PVN-003414</v>
          </cell>
          <cell r="G872" t="str">
            <v>OrthoLite Regular-Hybrid SEEDPEARL/12-0703TPX Hybrid Flat Sheet 0.11D 25+/-4 Asker C 1.1M 2M 12mm</v>
          </cell>
          <cell r="H872">
            <v>22</v>
          </cell>
          <cell r="I872">
            <v>22</v>
          </cell>
          <cell r="J872">
            <v>22</v>
          </cell>
          <cell r="K872">
            <v>0</v>
          </cell>
          <cell r="L872" t="str">
            <v>ASICS</v>
          </cell>
          <cell r="M872" t="str">
            <v>Pr.Sch.R</v>
          </cell>
          <cell r="N872" t="str">
            <v>MOLDED</v>
          </cell>
          <cell r="O872">
            <v>2</v>
          </cell>
          <cell r="P872">
            <v>46094</v>
          </cell>
          <cell r="Q872">
            <v>46112</v>
          </cell>
          <cell r="R872">
            <v>46109</v>
          </cell>
          <cell r="S872">
            <v>18</v>
          </cell>
          <cell r="T872">
            <v>12</v>
          </cell>
          <cell r="U872">
            <v>11.5</v>
          </cell>
          <cell r="V872">
            <v>2</v>
          </cell>
          <cell r="W872" t="str">
            <v>0.11D</v>
          </cell>
          <cell r="X872" t="str">
            <v>3-2026</v>
          </cell>
          <cell r="Y872" t="str">
            <v>Week 13</v>
          </cell>
          <cell r="Z872">
            <v>46104</v>
          </cell>
          <cell r="AA872">
            <v>57</v>
          </cell>
          <cell r="AB872">
            <v>8.6959999999999996E-2</v>
          </cell>
        </row>
        <row r="873">
          <cell r="A873" t="str">
            <v>F-2026-03-234</v>
          </cell>
          <cell r="B873"/>
          <cell r="C873" t="str">
            <v>RPRO-260313-0367</v>
          </cell>
          <cell r="D873" t="str">
            <v>Pro.sche.report 12.3</v>
          </cell>
          <cell r="E873" t="str">
            <v>BDB-000054</v>
          </cell>
          <cell r="F873" t="str">
            <v>PVN-003895</v>
          </cell>
          <cell r="G873" t="str">
            <v>OrthoLite X-40 RED/19-1764TPX Flat Sheet 0.16D 25+/-4 Asker C 1.1M 1.7M 5mm</v>
          </cell>
          <cell r="H873">
            <v>28</v>
          </cell>
          <cell r="I873">
            <v>28</v>
          </cell>
          <cell r="J873">
            <v>28</v>
          </cell>
          <cell r="K873">
            <v>0</v>
          </cell>
          <cell r="L873" t="str">
            <v>PAYNTR</v>
          </cell>
          <cell r="M873" t="str">
            <v>Pr.Sch.R</v>
          </cell>
          <cell r="N873" t="str">
            <v>MOLDED</v>
          </cell>
          <cell r="O873">
            <v>2</v>
          </cell>
          <cell r="P873">
            <v>46094</v>
          </cell>
          <cell r="Q873">
            <v>46112</v>
          </cell>
          <cell r="R873">
            <v>46109</v>
          </cell>
          <cell r="S873">
            <v>18</v>
          </cell>
          <cell r="T873">
            <v>5</v>
          </cell>
          <cell r="U873">
            <v>28</v>
          </cell>
          <cell r="V873">
            <v>1</v>
          </cell>
          <cell r="W873" t="str">
            <v>0.16D</v>
          </cell>
          <cell r="X873" t="str">
            <v>3-2026</v>
          </cell>
          <cell r="Y873" t="str">
            <v>Week 13</v>
          </cell>
          <cell r="Z873">
            <v>46104</v>
          </cell>
          <cell r="AA873">
            <v>8</v>
          </cell>
          <cell r="AB873">
            <v>3.5709999999999999E-2</v>
          </cell>
        </row>
        <row r="874">
          <cell r="A874" t="str">
            <v>F-2026-03-235</v>
          </cell>
          <cell r="B874"/>
          <cell r="C874" t="str">
            <v>RPRO-260313-0368</v>
          </cell>
          <cell r="D874" t="str">
            <v>Pro.sche.report 12.3</v>
          </cell>
          <cell r="E874" t="str">
            <v>BDB-000363</v>
          </cell>
          <cell r="F874" t="str">
            <v>PVN-004260</v>
          </cell>
          <cell r="G874" t="str">
            <v>OrthoLite HybridPlus-Recycled MINT GREEN/11-4805TPX Hybrid Flat Sheet 0.12D 35+/-4 Asker C 1.1M 2M 5.5mm</v>
          </cell>
          <cell r="H874">
            <v>25</v>
          </cell>
          <cell r="I874">
            <v>25</v>
          </cell>
          <cell r="J874">
            <v>25</v>
          </cell>
          <cell r="K874">
            <v>0</v>
          </cell>
          <cell r="L874" t="str">
            <v>ON RUNNING</v>
          </cell>
          <cell r="M874" t="str">
            <v>Pr.Sch.R</v>
          </cell>
          <cell r="N874" t="str">
            <v>MOLDED</v>
          </cell>
          <cell r="O874">
            <v>2</v>
          </cell>
          <cell r="P874">
            <v>46094</v>
          </cell>
          <cell r="Q874">
            <v>46107</v>
          </cell>
          <cell r="R874">
            <v>46104</v>
          </cell>
          <cell r="S874">
            <v>13</v>
          </cell>
          <cell r="T874">
            <v>5.5</v>
          </cell>
          <cell r="U874">
            <v>25</v>
          </cell>
          <cell r="V874">
            <v>1</v>
          </cell>
          <cell r="W874" t="e">
            <v>#N/A</v>
          </cell>
          <cell r="X874" t="str">
            <v>3-2026</v>
          </cell>
          <cell r="Y874" t="str">
            <v>Week 12</v>
          </cell>
          <cell r="Z874">
            <v>46097</v>
          </cell>
          <cell r="AA874">
            <v>20</v>
          </cell>
          <cell r="AB874">
            <v>0.04</v>
          </cell>
        </row>
        <row r="875">
          <cell r="A875" t="str">
            <v>F-2026-03-236</v>
          </cell>
          <cell r="B875"/>
          <cell r="C875" t="str">
            <v>RPRO-260313-0369</v>
          </cell>
          <cell r="D875" t="str">
            <v>Pro.sche.report 12.3</v>
          </cell>
          <cell r="E875" t="str">
            <v>BDB-000113</v>
          </cell>
          <cell r="F875" t="str">
            <v>PVN-002465</v>
          </cell>
          <cell r="G875" t="str">
            <v>OrthoLite Regular-Hybrid SEEDPEARL/12-0703TPX Hybrid Flat Sheet 0.11D 25+/-4 Asker C 1.1M 2M 5mm</v>
          </cell>
          <cell r="H875">
            <v>2240</v>
          </cell>
          <cell r="I875">
            <v>2240</v>
          </cell>
          <cell r="J875">
            <v>2240</v>
          </cell>
          <cell r="K875">
            <v>0</v>
          </cell>
          <cell r="L875" t="str">
            <v>ASICS</v>
          </cell>
          <cell r="M875" t="str">
            <v>Pr.Sch.R</v>
          </cell>
          <cell r="N875" t="str">
            <v>DIE CUT</v>
          </cell>
          <cell r="O875">
            <v>2</v>
          </cell>
          <cell r="P875">
            <v>46094</v>
          </cell>
          <cell r="Q875">
            <v>46107</v>
          </cell>
          <cell r="R875">
            <v>46104</v>
          </cell>
          <cell r="S875">
            <v>13</v>
          </cell>
          <cell r="T875">
            <v>5</v>
          </cell>
          <cell r="U875">
            <v>28</v>
          </cell>
          <cell r="V875">
            <v>80</v>
          </cell>
          <cell r="W875" t="str">
            <v>0.11D</v>
          </cell>
          <cell r="X875" t="str">
            <v>3-2026</v>
          </cell>
          <cell r="Y875" t="str">
            <v>Week 12</v>
          </cell>
          <cell r="Z875">
            <v>46097</v>
          </cell>
          <cell r="AA875">
            <v>163</v>
          </cell>
          <cell r="AB875">
            <v>3.5709999999999999E-2</v>
          </cell>
        </row>
        <row r="876">
          <cell r="A876" t="str">
            <v>F-2026-03-237</v>
          </cell>
          <cell r="B876"/>
          <cell r="C876" t="str">
            <v>RPRO-260313-0370</v>
          </cell>
          <cell r="D876" t="str">
            <v>Pro.sche.report 12.3</v>
          </cell>
          <cell r="E876" t="str">
            <v>BDB-000235</v>
          </cell>
          <cell r="F876" t="str">
            <v>PVN-003576</v>
          </cell>
          <cell r="G876" t="str">
            <v>OrthoLite X-55-Hybrid FOSSIL/17-0909TPX Hybrid Flat Sheet 0.16D 25+/-4 Asker C 1.1M 1.7M 12mm</v>
          </cell>
          <cell r="H876">
            <v>451</v>
          </cell>
          <cell r="I876">
            <v>451</v>
          </cell>
          <cell r="J876">
            <v>451</v>
          </cell>
          <cell r="K876">
            <v>0</v>
          </cell>
          <cell r="L876" t="str">
            <v>ASICS</v>
          </cell>
          <cell r="M876" t="str">
            <v>Pr.Sch.R</v>
          </cell>
          <cell r="N876" t="str">
            <v>MOLDED</v>
          </cell>
          <cell r="O876">
            <v>2</v>
          </cell>
          <cell r="P876">
            <v>46094</v>
          </cell>
          <cell r="Q876">
            <v>46112</v>
          </cell>
          <cell r="R876">
            <v>46109</v>
          </cell>
          <cell r="S876">
            <v>18</v>
          </cell>
          <cell r="T876">
            <v>12</v>
          </cell>
          <cell r="U876">
            <v>11.5</v>
          </cell>
          <cell r="V876">
            <v>40</v>
          </cell>
          <cell r="W876" t="str">
            <v>0.16D</v>
          </cell>
          <cell r="X876" t="str">
            <v>3-2026</v>
          </cell>
          <cell r="Y876" t="str">
            <v>Week 13</v>
          </cell>
          <cell r="Z876">
            <v>46104</v>
          </cell>
          <cell r="AA876">
            <v>122</v>
          </cell>
          <cell r="AB876">
            <v>8.6959999999999996E-2</v>
          </cell>
        </row>
        <row r="877">
          <cell r="A877" t="str">
            <v>F-2026-03-238</v>
          </cell>
          <cell r="B877"/>
          <cell r="C877" t="str">
            <v>RPRO-260313-0371</v>
          </cell>
          <cell r="D877" t="str">
            <v>Pro.sche.report 12.3</v>
          </cell>
          <cell r="E877" t="str">
            <v>BDB-000125</v>
          </cell>
          <cell r="F877" t="str">
            <v>PVN-002413</v>
          </cell>
          <cell r="G877" t="str">
            <v>OrthoLite Regular-Nike AIR BLUE/16-4134TPX Flat Sheet 0.11D 25+/-4 Asker C 1.1M 2M 4.2mm</v>
          </cell>
          <cell r="H877">
            <v>33</v>
          </cell>
          <cell r="I877">
            <v>33</v>
          </cell>
          <cell r="J877">
            <v>33</v>
          </cell>
          <cell r="K877">
            <v>0</v>
          </cell>
          <cell r="L877" t="str">
            <v>NIKE</v>
          </cell>
          <cell r="M877" t="str">
            <v>Pr.Sch.R</v>
          </cell>
          <cell r="N877" t="str">
            <v>MOLDED</v>
          </cell>
          <cell r="O877">
            <v>2</v>
          </cell>
          <cell r="P877">
            <v>46094</v>
          </cell>
          <cell r="Q877">
            <v>46112</v>
          </cell>
          <cell r="R877">
            <v>46109</v>
          </cell>
          <cell r="S877">
            <v>18</v>
          </cell>
          <cell r="T877">
            <v>4.2</v>
          </cell>
          <cell r="U877">
            <v>33</v>
          </cell>
          <cell r="V877">
            <v>1</v>
          </cell>
          <cell r="W877" t="str">
            <v>0.11D</v>
          </cell>
          <cell r="X877" t="str">
            <v>3-2026</v>
          </cell>
          <cell r="Y877" t="str">
            <v>Week 13</v>
          </cell>
          <cell r="Z877">
            <v>46104</v>
          </cell>
          <cell r="AA877">
            <v>4</v>
          </cell>
          <cell r="AB877">
            <v>3.0300000000000001E-2</v>
          </cell>
        </row>
        <row r="878">
          <cell r="A878" t="str">
            <v>F-2026-03-239</v>
          </cell>
          <cell r="B878"/>
          <cell r="C878" t="str">
            <v>RPRO-260313-0372</v>
          </cell>
          <cell r="D878" t="str">
            <v>Pro.sche.report 12.3</v>
          </cell>
          <cell r="E878" t="str">
            <v>BDB-000255</v>
          </cell>
          <cell r="F878" t="str">
            <v>PVN-003730</v>
          </cell>
          <cell r="G878" t="str">
            <v>OrthoLite Regular GREY/17-1501TPX Flat Sheet 0.15D 45+/-4 Asker C 1.1M 1.7M 2mm</v>
          </cell>
          <cell r="H878">
            <v>70</v>
          </cell>
          <cell r="I878">
            <v>70</v>
          </cell>
          <cell r="J878">
            <v>70</v>
          </cell>
          <cell r="K878">
            <v>0</v>
          </cell>
          <cell r="L878" t="str">
            <v>OBOZ</v>
          </cell>
          <cell r="M878" t="str">
            <v>Pr.Sch.R</v>
          </cell>
          <cell r="N878" t="str">
            <v>MOLDED</v>
          </cell>
          <cell r="O878">
            <v>2</v>
          </cell>
          <cell r="P878">
            <v>46094</v>
          </cell>
          <cell r="Q878">
            <v>46107</v>
          </cell>
          <cell r="R878">
            <v>46104</v>
          </cell>
          <cell r="S878">
            <v>13</v>
          </cell>
          <cell r="T878">
            <v>2</v>
          </cell>
          <cell r="U878">
            <v>70</v>
          </cell>
          <cell r="V878">
            <v>2</v>
          </cell>
          <cell r="W878" t="str">
            <v>0.15D</v>
          </cell>
          <cell r="X878" t="str">
            <v>3-2026</v>
          </cell>
          <cell r="Y878" t="str">
            <v>Week 12</v>
          </cell>
          <cell r="Z878">
            <v>46097</v>
          </cell>
          <cell r="AA878">
            <v>22</v>
          </cell>
          <cell r="AB878">
            <v>1.4290000000000001E-2</v>
          </cell>
        </row>
        <row r="879">
          <cell r="A879" t="str">
            <v>F-2026-03-240</v>
          </cell>
          <cell r="B879"/>
          <cell r="C879" t="str">
            <v>RPRO-260313-0373</v>
          </cell>
          <cell r="D879" t="str">
            <v>Pro.sche.report 12.3</v>
          </cell>
          <cell r="E879" t="str">
            <v>BDB-000076</v>
          </cell>
          <cell r="F879" t="str">
            <v>PVN-004119</v>
          </cell>
          <cell r="G879" t="str">
            <v>OrthoLite X-25 BILLIARD/16-5427TPX Flat Sheet 0.12D 20+/-4 Asker C 1.1M 2M 6.5mm</v>
          </cell>
          <cell r="H879">
            <v>63</v>
          </cell>
          <cell r="I879">
            <v>63</v>
          </cell>
          <cell r="J879">
            <v>63</v>
          </cell>
          <cell r="K879">
            <v>0</v>
          </cell>
          <cell r="L879" t="str">
            <v>ONE8</v>
          </cell>
          <cell r="M879" t="str">
            <v>Pr.Sch.R</v>
          </cell>
          <cell r="N879" t="str">
            <v>MOLDED</v>
          </cell>
          <cell r="O879">
            <v>2</v>
          </cell>
          <cell r="P879">
            <v>46094</v>
          </cell>
          <cell r="Q879">
            <v>46112</v>
          </cell>
          <cell r="R879">
            <v>46109</v>
          </cell>
          <cell r="S879">
            <v>18</v>
          </cell>
          <cell r="T879">
            <v>6.5</v>
          </cell>
          <cell r="U879">
            <v>21</v>
          </cell>
          <cell r="V879">
            <v>4</v>
          </cell>
          <cell r="W879" t="str">
            <v>0.12D</v>
          </cell>
          <cell r="X879" t="str">
            <v>3-2026</v>
          </cell>
          <cell r="Y879" t="str">
            <v>Week 13</v>
          </cell>
          <cell r="Z879">
            <v>46104</v>
          </cell>
          <cell r="AA879">
            <v>0</v>
          </cell>
          <cell r="AB879">
            <v>4.7620000000000003E-2</v>
          </cell>
        </row>
        <row r="880">
          <cell r="A880" t="str">
            <v>F-2026-03-241</v>
          </cell>
          <cell r="B880"/>
          <cell r="C880" t="str">
            <v>RPRO-260313-0374</v>
          </cell>
          <cell r="D880" t="str">
            <v>Pro.sche.report 12.3</v>
          </cell>
          <cell r="E880" t="str">
            <v>BDB-000057</v>
          </cell>
          <cell r="F880" t="str">
            <v>PVN-000925</v>
          </cell>
          <cell r="G880" t="str">
            <v>OrthoLite Ultra YELLOW/13-0858TPX Flat Sheet 0.085D 25+/-4 Asker C 1.1M 2M 5mm  (OIN-RM)</v>
          </cell>
          <cell r="H880">
            <v>6</v>
          </cell>
          <cell r="I880">
            <v>6</v>
          </cell>
          <cell r="J880">
            <v>6</v>
          </cell>
          <cell r="K880">
            <v>0</v>
          </cell>
          <cell r="L880" t="str">
            <v>ASICS</v>
          </cell>
          <cell r="M880" t="str">
            <v>Pr.Sch.R</v>
          </cell>
          <cell r="N880" t="str">
            <v>LAMINATING</v>
          </cell>
          <cell r="O880">
            <v>2</v>
          </cell>
          <cell r="P880">
            <v>46094</v>
          </cell>
          <cell r="Q880">
            <v>46107</v>
          </cell>
          <cell r="R880">
            <v>46104</v>
          </cell>
          <cell r="S880">
            <v>13</v>
          </cell>
          <cell r="T880">
            <v>5</v>
          </cell>
          <cell r="U880">
            <v>28</v>
          </cell>
          <cell r="V880">
            <v>1</v>
          </cell>
          <cell r="W880" t="str">
            <v>0.085D</v>
          </cell>
          <cell r="X880" t="str">
            <v>3-2026</v>
          </cell>
          <cell r="Y880" t="str">
            <v>Week 12</v>
          </cell>
          <cell r="Z880">
            <v>46097</v>
          </cell>
          <cell r="AA880">
            <v>8</v>
          </cell>
          <cell r="AB880">
            <v>3.5709999999999999E-2</v>
          </cell>
        </row>
        <row r="881">
          <cell r="A881" t="str">
            <v>F-2026-03-242</v>
          </cell>
          <cell r="B881"/>
          <cell r="C881" t="str">
            <v>RPRO-260313-0375</v>
          </cell>
          <cell r="D881" t="str">
            <v>Pro.sche.report 12.3</v>
          </cell>
          <cell r="E881" t="str">
            <v>BDB-000107</v>
          </cell>
          <cell r="F881" t="str">
            <v>PVN-003482</v>
          </cell>
          <cell r="G881" t="str">
            <v>OrthoLite Eco LT-Hybrid SEEDPEARL/12-0703TPX Hybrid Flat Sheet 0.11D 25+/-4 Asker C 1.1M 1.47M 4mm</v>
          </cell>
          <cell r="H881">
            <v>105</v>
          </cell>
          <cell r="I881">
            <v>105</v>
          </cell>
          <cell r="J881">
            <v>105</v>
          </cell>
          <cell r="K881">
            <v>0</v>
          </cell>
          <cell r="L881" t="str">
            <v>NEW BALANCE</v>
          </cell>
          <cell r="M881" t="str">
            <v>Pr.Sch.R</v>
          </cell>
          <cell r="N881" t="str">
            <v>DIE CUT</v>
          </cell>
          <cell r="O881">
            <v>2</v>
          </cell>
          <cell r="P881">
            <v>46094</v>
          </cell>
          <cell r="Q881">
            <v>46112</v>
          </cell>
          <cell r="R881">
            <v>46109</v>
          </cell>
          <cell r="S881">
            <v>18</v>
          </cell>
          <cell r="T881">
            <v>4</v>
          </cell>
          <cell r="U881">
            <v>35</v>
          </cell>
          <cell r="V881">
            <v>3</v>
          </cell>
          <cell r="W881" t="str">
            <v>0.11D</v>
          </cell>
          <cell r="X881" t="str">
            <v>3-2026</v>
          </cell>
          <cell r="Y881" t="str">
            <v>Week 13</v>
          </cell>
          <cell r="Z881">
            <v>46104</v>
          </cell>
          <cell r="AA881">
            <v>2</v>
          </cell>
          <cell r="AB881">
            <v>2.8570000000000002E-2</v>
          </cell>
        </row>
        <row r="882">
          <cell r="A882" t="str">
            <v>OIN-2026.03.11-01</v>
          </cell>
          <cell r="B882" t="str">
            <v>Urgent/LCL</v>
          </cell>
          <cell r="C882" t="str">
            <v>RPRO-260323-0189</v>
          </cell>
          <cell r="D882" t="str">
            <v>OIN</v>
          </cell>
          <cell r="E882" t="str">
            <v>BDB-000102</v>
          </cell>
          <cell r="F882" t="str">
            <v>PVN-003821</v>
          </cell>
          <cell r="G882" t="str">
            <v>[118-467] Eco Lite Hybrid 35+/-4 Asker C 0.13D Lime Green 14-0452 Tpx 1.10M X 2.00M 47mm</v>
          </cell>
          <cell r="H882">
            <v>15</v>
          </cell>
          <cell r="I882">
            <v>15</v>
          </cell>
          <cell r="J882">
            <v>0</v>
          </cell>
          <cell r="K882">
            <v>15</v>
          </cell>
          <cell r="L882" t="str">
            <v>Geox</v>
          </cell>
          <cell r="M882" t="str">
            <v>PO-6852-SO-260312-0165</v>
          </cell>
          <cell r="N882" t="str">
            <v>FLAT SHEET</v>
          </cell>
          <cell r="O882">
            <v>2</v>
          </cell>
          <cell r="P882">
            <v>46092</v>
          </cell>
          <cell r="Q882">
            <v>46111</v>
          </cell>
          <cell r="R882">
            <v>46108</v>
          </cell>
          <cell r="S882">
            <v>19</v>
          </cell>
          <cell r="T882">
            <v>47</v>
          </cell>
          <cell r="U882">
            <v>3</v>
          </cell>
          <cell r="V882">
            <v>5</v>
          </cell>
          <cell r="W882" t="str">
            <v>0.13D</v>
          </cell>
          <cell r="X882" t="str">
            <v>3-2026</v>
          </cell>
          <cell r="Y882" t="str">
            <v>Week 13</v>
          </cell>
          <cell r="Z882">
            <v>46104</v>
          </cell>
          <cell r="AA882">
            <v>36</v>
          </cell>
          <cell r="AB882">
            <v>0.33333000000000002</v>
          </cell>
        </row>
        <row r="883">
          <cell r="A883" t="str">
            <v>OIN-2026.03.13-01</v>
          </cell>
          <cell r="B883" t="str">
            <v>Urgent/LCL</v>
          </cell>
          <cell r="C883" t="str">
            <v>RPRO-260323-0190</v>
          </cell>
          <cell r="D883" t="str">
            <v>OIN</v>
          </cell>
          <cell r="E883" t="str">
            <v>BDB-000102</v>
          </cell>
          <cell r="F883" t="str">
            <v>PVN-003821</v>
          </cell>
          <cell r="G883" t="str">
            <v>[118-467] Eco Lite Hybrid 35+/-4 Asker C 0.13D Lime Green 14-0452 Tpx 1.10M X 2.00M 47mm</v>
          </cell>
          <cell r="H883">
            <v>2</v>
          </cell>
          <cell r="I883">
            <v>2</v>
          </cell>
          <cell r="J883">
            <v>0</v>
          </cell>
          <cell r="K883">
            <v>2</v>
          </cell>
          <cell r="L883" t="str">
            <v>Geox</v>
          </cell>
          <cell r="M883" t="str">
            <v>PO-6871-SO-260313-0049</v>
          </cell>
          <cell r="N883" t="str">
            <v>FLAT SHEET</v>
          </cell>
          <cell r="O883">
            <v>2</v>
          </cell>
          <cell r="P883">
            <v>46094</v>
          </cell>
          <cell r="Q883">
            <v>46111</v>
          </cell>
          <cell r="R883">
            <v>46108</v>
          </cell>
          <cell r="S883">
            <v>17</v>
          </cell>
          <cell r="T883">
            <v>47</v>
          </cell>
          <cell r="U883">
            <v>3</v>
          </cell>
          <cell r="V883">
            <v>1</v>
          </cell>
          <cell r="W883" t="str">
            <v>0.13D</v>
          </cell>
          <cell r="X883" t="str">
            <v>3-2026</v>
          </cell>
          <cell r="Y883" t="str">
            <v>Week 13</v>
          </cell>
          <cell r="Z883">
            <v>46104</v>
          </cell>
          <cell r="AA883">
            <v>215</v>
          </cell>
          <cell r="AB883">
            <v>0.33333000000000002</v>
          </cell>
        </row>
        <row r="884">
          <cell r="A884" t="str">
            <v>F-2026-03-243</v>
          </cell>
          <cell r="B884"/>
          <cell r="C884" t="str">
            <v>RPRO-260316-0662</v>
          </cell>
          <cell r="D884" t="str">
            <v>MPS 13.3+14.3+15.3</v>
          </cell>
          <cell r="E884" t="str">
            <v>BDB-000084</v>
          </cell>
          <cell r="F884" t="str">
            <v>PVN-001111</v>
          </cell>
          <cell r="G884" t="str">
            <v>OrthoLite Eco LT YELLOW/13-0858TPX 0.11D 25+/-4 Asker C 1.1M 2M 4mm</v>
          </cell>
          <cell r="H884">
            <v>35</v>
          </cell>
          <cell r="I884">
            <v>35</v>
          </cell>
          <cell r="J884">
            <v>35</v>
          </cell>
          <cell r="K884">
            <v>0</v>
          </cell>
          <cell r="L884"/>
          <cell r="M884" t="str">
            <v>MPS</v>
          </cell>
          <cell r="N884" t="str">
            <v>SPLITTING</v>
          </cell>
          <cell r="O884">
            <v>2</v>
          </cell>
          <cell r="P884">
            <v>46097</v>
          </cell>
          <cell r="Q884">
            <v>46113</v>
          </cell>
          <cell r="R884">
            <v>46110</v>
          </cell>
          <cell r="S884">
            <v>16</v>
          </cell>
          <cell r="T884">
            <v>4</v>
          </cell>
          <cell r="U884">
            <v>35</v>
          </cell>
          <cell r="V884">
            <v>1</v>
          </cell>
          <cell r="W884" t="str">
            <v>0.11D</v>
          </cell>
          <cell r="X884" t="str">
            <v>4-2026</v>
          </cell>
          <cell r="Y884" t="str">
            <v>Week 13</v>
          </cell>
          <cell r="Z884">
            <v>46104</v>
          </cell>
          <cell r="AA884">
            <v>129</v>
          </cell>
          <cell r="AB884">
            <v>2.8570000000000002E-2</v>
          </cell>
        </row>
        <row r="885">
          <cell r="A885" t="str">
            <v>F-2026-03-244</v>
          </cell>
          <cell r="B885"/>
          <cell r="C885" t="str">
            <v>RPRO-260316-0663</v>
          </cell>
          <cell r="D885" t="str">
            <v>MPS 13.3+14.3+15.3</v>
          </cell>
          <cell r="E885" t="str">
            <v>BDB-000058</v>
          </cell>
          <cell r="F885" t="str">
            <v>PVN-001277</v>
          </cell>
          <cell r="G885" t="str">
            <v>OrthoLite Ultra GREEN/16-5932TPX Flat Sheet 0.085D 25+/-4 Asker C 1.1M 2M 4mm</v>
          </cell>
          <cell r="H885">
            <v>1575</v>
          </cell>
          <cell r="I885">
            <v>1575</v>
          </cell>
          <cell r="J885">
            <v>0</v>
          </cell>
          <cell r="K885">
            <v>1575</v>
          </cell>
          <cell r="L885"/>
          <cell r="M885" t="str">
            <v>MPS</v>
          </cell>
          <cell r="N885" t="str">
            <v>SPLITTING</v>
          </cell>
          <cell r="O885">
            <v>2</v>
          </cell>
          <cell r="P885">
            <v>46097</v>
          </cell>
          <cell r="Q885">
            <v>46120</v>
          </cell>
          <cell r="R885">
            <v>46117</v>
          </cell>
          <cell r="S885">
            <v>23</v>
          </cell>
          <cell r="T885">
            <v>4</v>
          </cell>
          <cell r="U885">
            <v>35</v>
          </cell>
          <cell r="V885">
            <v>45</v>
          </cell>
          <cell r="W885" t="str">
            <v>0.085D</v>
          </cell>
          <cell r="X885" t="str">
            <v>4-2026</v>
          </cell>
          <cell r="Y885" t="str">
            <v>Week 14</v>
          </cell>
          <cell r="Z885">
            <v>46111</v>
          </cell>
          <cell r="AA885">
            <v>129</v>
          </cell>
          <cell r="AB885">
            <v>2.8570000000000002E-2</v>
          </cell>
        </row>
        <row r="886">
          <cell r="A886" t="str">
            <v>F-2026-03-245</v>
          </cell>
          <cell r="B886"/>
          <cell r="C886" t="str">
            <v>RPRO-260316-0664</v>
          </cell>
          <cell r="D886" t="str">
            <v>MPS 13.3+14.3+15.3</v>
          </cell>
          <cell r="E886" t="str">
            <v>BDB-000123</v>
          </cell>
          <cell r="F886" t="str">
            <v>PVN-003300</v>
          </cell>
          <cell r="G886" t="str">
            <v>OrthoLite Ultra-Hybrid SEEDPEARL/12-0703TPX Hybrid Flat Sheet 0.085D 25+/-4 Asker C 1.1M 2M 2mm</v>
          </cell>
          <cell r="H886">
            <v>70</v>
          </cell>
          <cell r="I886">
            <v>70</v>
          </cell>
          <cell r="J886">
            <v>70</v>
          </cell>
          <cell r="K886">
            <v>0</v>
          </cell>
          <cell r="L886"/>
          <cell r="M886" t="str">
            <v>MPS</v>
          </cell>
          <cell r="N886" t="str">
            <v>SPLITTING</v>
          </cell>
          <cell r="O886">
            <v>2</v>
          </cell>
          <cell r="P886">
            <v>46097</v>
          </cell>
          <cell r="Q886">
            <v>46107</v>
          </cell>
          <cell r="R886">
            <v>46104</v>
          </cell>
          <cell r="S886">
            <v>10</v>
          </cell>
          <cell r="T886">
            <v>2</v>
          </cell>
          <cell r="U886">
            <v>70</v>
          </cell>
          <cell r="V886">
            <v>2</v>
          </cell>
          <cell r="W886" t="str">
            <v>0.085D</v>
          </cell>
          <cell r="X886" t="str">
            <v>3-2026</v>
          </cell>
          <cell r="Y886" t="str">
            <v>Week 12</v>
          </cell>
          <cell r="Z886">
            <v>46097</v>
          </cell>
          <cell r="AA886">
            <v>151</v>
          </cell>
          <cell r="AB886">
            <v>1.4290000000000001E-2</v>
          </cell>
        </row>
        <row r="887">
          <cell r="A887" t="str">
            <v>F-2026-03-246</v>
          </cell>
          <cell r="B887"/>
          <cell r="C887" t="str">
            <v>RPRO-260316-0665</v>
          </cell>
          <cell r="D887" t="str">
            <v>MPS 13.3+14.3+15.3</v>
          </cell>
          <cell r="E887" t="str">
            <v>BDB-000077</v>
          </cell>
          <cell r="F887" t="str">
            <v>PVN-003478</v>
          </cell>
          <cell r="G887" t="str">
            <v>Ortholite X-25 SEEDPEARL/12-0703TPX Flat Sheet 0.12D 20+/-4 Asker C 1.1M 2M 4mm</v>
          </cell>
          <cell r="H887">
            <v>595</v>
          </cell>
          <cell r="I887">
            <v>595</v>
          </cell>
          <cell r="J887">
            <v>595</v>
          </cell>
          <cell r="K887">
            <v>0</v>
          </cell>
          <cell r="L887"/>
          <cell r="M887" t="str">
            <v>MPS</v>
          </cell>
          <cell r="N887" t="str">
            <v>SPLITTING</v>
          </cell>
          <cell r="O887">
            <v>2</v>
          </cell>
          <cell r="P887">
            <v>46097</v>
          </cell>
          <cell r="Q887">
            <v>46108</v>
          </cell>
          <cell r="R887">
            <v>46105</v>
          </cell>
          <cell r="S887">
            <v>11</v>
          </cell>
          <cell r="T887">
            <v>4</v>
          </cell>
          <cell r="U887">
            <v>35</v>
          </cell>
          <cell r="V887">
            <v>17</v>
          </cell>
          <cell r="W887" t="str">
            <v>0.12D</v>
          </cell>
          <cell r="X887" t="str">
            <v>3-2026</v>
          </cell>
          <cell r="Y887" t="str">
            <v>Week 13</v>
          </cell>
          <cell r="Z887">
            <v>46104</v>
          </cell>
          <cell r="AA887">
            <v>151</v>
          </cell>
          <cell r="AB887">
            <v>2.8570000000000002E-2</v>
          </cell>
        </row>
        <row r="888">
          <cell r="A888" t="str">
            <v>F-2026-03-247</v>
          </cell>
          <cell r="B888"/>
          <cell r="C888" t="str">
            <v>RPRO-260316-0666</v>
          </cell>
          <cell r="D888" t="str">
            <v>MPS 13.3+14.3+15.3</v>
          </cell>
          <cell r="E888" t="str">
            <v>BDB-000348</v>
          </cell>
          <cell r="F888" t="str">
            <v>PVN-004210</v>
          </cell>
          <cell r="G888" t="str">
            <v>OrthoLite IMPERIAL SEEDPEARL/12-0703TPX Flat Sheet 0.22D 25+/-4 Asker C 1.1M 1.47M 5mm</v>
          </cell>
          <cell r="H888">
            <v>252</v>
          </cell>
          <cell r="I888">
            <v>252</v>
          </cell>
          <cell r="J888">
            <v>0</v>
          </cell>
          <cell r="K888">
            <v>252</v>
          </cell>
          <cell r="L888"/>
          <cell r="M888" t="str">
            <v>MPS</v>
          </cell>
          <cell r="N888" t="str">
            <v>SPLITTING</v>
          </cell>
          <cell r="O888">
            <v>2</v>
          </cell>
          <cell r="P888">
            <v>46097</v>
          </cell>
          <cell r="Q888">
            <v>46122</v>
          </cell>
          <cell r="R888">
            <v>46119</v>
          </cell>
          <cell r="S888">
            <v>25</v>
          </cell>
          <cell r="T888">
            <v>5</v>
          </cell>
          <cell r="U888">
            <v>28</v>
          </cell>
          <cell r="V888">
            <v>9</v>
          </cell>
          <cell r="W888" t="e">
            <v>#N/A</v>
          </cell>
          <cell r="X888" t="str">
            <v>4-2026</v>
          </cell>
          <cell r="Y888" t="str">
            <v>Week 14</v>
          </cell>
          <cell r="Z888">
            <v>46111</v>
          </cell>
          <cell r="AA888">
            <v>151</v>
          </cell>
          <cell r="AB888">
            <v>3.5709999999999999E-2</v>
          </cell>
        </row>
        <row r="889">
          <cell r="A889" t="str">
            <v>F-2026-03-248</v>
          </cell>
          <cell r="B889"/>
          <cell r="C889" t="str">
            <v>RPRO-260316-0667</v>
          </cell>
          <cell r="D889" t="str">
            <v>Pro.sche.report 13.3+14.3+15.3</v>
          </cell>
          <cell r="E889" t="str">
            <v>BDB-000162</v>
          </cell>
          <cell r="F889" t="str">
            <v>PVN-001566</v>
          </cell>
          <cell r="G889" t="str">
            <v>OrthoLite Ultra-Nike SEEDPEARL/12-0703TPX Flat Sheet 0.085D 25+/-4 Asker C 1.1M 2M 4mm</v>
          </cell>
          <cell r="H889">
            <v>2380</v>
          </cell>
          <cell r="I889">
            <v>2380</v>
          </cell>
          <cell r="J889">
            <v>2380</v>
          </cell>
          <cell r="K889">
            <v>0</v>
          </cell>
          <cell r="L889" t="str">
            <v>NIKE</v>
          </cell>
          <cell r="M889" t="str">
            <v>Pr.Sch.R</v>
          </cell>
          <cell r="N889" t="str">
            <v>DIE CUT</v>
          </cell>
          <cell r="O889">
            <v>1</v>
          </cell>
          <cell r="P889">
            <v>46097</v>
          </cell>
          <cell r="Q889">
            <v>46109</v>
          </cell>
          <cell r="R889">
            <v>46106</v>
          </cell>
          <cell r="S889">
            <v>12</v>
          </cell>
          <cell r="T889">
            <v>4</v>
          </cell>
          <cell r="U889">
            <v>35</v>
          </cell>
          <cell r="V889">
            <v>68</v>
          </cell>
          <cell r="W889" t="str">
            <v>0.085D</v>
          </cell>
          <cell r="X889" t="str">
            <v>3-2026</v>
          </cell>
          <cell r="Y889" t="str">
            <v>Week 13</v>
          </cell>
          <cell r="Z889">
            <v>46104</v>
          </cell>
          <cell r="AA889">
            <v>151</v>
          </cell>
          <cell r="AB889">
            <v>2.8570000000000002E-2</v>
          </cell>
        </row>
        <row r="890">
          <cell r="A890" t="str">
            <v>F-2026-03-249</v>
          </cell>
          <cell r="B890"/>
          <cell r="C890" t="str">
            <v>RPRO-260316-0668</v>
          </cell>
          <cell r="D890" t="str">
            <v>Pro.sche.report 13.3+14.3+15.3</v>
          </cell>
          <cell r="E890" t="str">
            <v>BDB-000336</v>
          </cell>
          <cell r="F890" t="str">
            <v>PVN-004168</v>
          </cell>
          <cell r="G890" t="str">
            <v>OrthoLite X-40-Nike SEEDPEARL/12-0703TPX Flat Sheet 0.16D 35+/-4 Asker C 1.1M 2M 4.5mm</v>
          </cell>
          <cell r="H890">
            <v>31</v>
          </cell>
          <cell r="I890">
            <v>31</v>
          </cell>
          <cell r="J890">
            <v>31</v>
          </cell>
          <cell r="K890">
            <v>0</v>
          </cell>
          <cell r="L890" t="str">
            <v>NIKE</v>
          </cell>
          <cell r="M890" t="str">
            <v>Pr.Sch.R</v>
          </cell>
          <cell r="N890" t="str">
            <v>MOLDED</v>
          </cell>
          <cell r="O890">
            <v>1</v>
          </cell>
          <cell r="P890">
            <v>46097</v>
          </cell>
          <cell r="Q890">
            <v>46113</v>
          </cell>
          <cell r="R890">
            <v>46110</v>
          </cell>
          <cell r="S890">
            <v>16</v>
          </cell>
          <cell r="T890">
            <v>4.5</v>
          </cell>
          <cell r="U890">
            <v>31</v>
          </cell>
          <cell r="V890">
            <v>2</v>
          </cell>
          <cell r="W890" t="e">
            <v>#N/A</v>
          </cell>
          <cell r="X890" t="str">
            <v>4-2026</v>
          </cell>
          <cell r="Y890" t="str">
            <v>Week 13</v>
          </cell>
          <cell r="Z890">
            <v>46104</v>
          </cell>
          <cell r="AA890">
            <v>13</v>
          </cell>
          <cell r="AB890">
            <v>3.3329999999999999E-2</v>
          </cell>
        </row>
        <row r="891">
          <cell r="A891" t="str">
            <v>F-2026-03-250</v>
          </cell>
          <cell r="B891"/>
          <cell r="C891" t="str">
            <v>RPRO-260316-0669</v>
          </cell>
          <cell r="D891" t="str">
            <v>Pro.sche.report 13.3+14.3+15.3</v>
          </cell>
          <cell r="E891" t="str">
            <v>BDB-000212</v>
          </cell>
          <cell r="F891" t="str">
            <v>PVN-003460</v>
          </cell>
          <cell r="G891" t="str">
            <v>OrthoLite X-25-Hybrid SEEDPEARL/12-0703TPX Hybrid Flat Sheet 0.12D 20+/-4 Asker C 1.1M 2M 5.5mm</v>
          </cell>
          <cell r="H891">
            <v>50</v>
          </cell>
          <cell r="I891">
            <v>50</v>
          </cell>
          <cell r="J891">
            <v>50</v>
          </cell>
          <cell r="K891">
            <v>0</v>
          </cell>
          <cell r="L891" t="str">
            <v>ON RUNNING</v>
          </cell>
          <cell r="M891" t="str">
            <v>Pr.Sch.R</v>
          </cell>
          <cell r="N891" t="str">
            <v>MOLDED</v>
          </cell>
          <cell r="O891">
            <v>1</v>
          </cell>
          <cell r="P891">
            <v>46097</v>
          </cell>
          <cell r="Q891">
            <v>46107</v>
          </cell>
          <cell r="R891">
            <v>46104</v>
          </cell>
          <cell r="S891">
            <v>10</v>
          </cell>
          <cell r="T891">
            <v>5.5</v>
          </cell>
          <cell r="U891">
            <v>25</v>
          </cell>
          <cell r="V891">
            <v>2</v>
          </cell>
          <cell r="W891" t="str">
            <v>0.12D</v>
          </cell>
          <cell r="X891" t="str">
            <v>3-2026</v>
          </cell>
          <cell r="Y891" t="str">
            <v>Week 12</v>
          </cell>
          <cell r="Z891">
            <v>46097</v>
          </cell>
          <cell r="AA891">
            <v>5</v>
          </cell>
          <cell r="AB891">
            <v>0.04</v>
          </cell>
        </row>
        <row r="892">
          <cell r="A892" t="str">
            <v>F-2026-03-251</v>
          </cell>
          <cell r="B892"/>
          <cell r="C892" t="str">
            <v>RPRO-260316-0670</v>
          </cell>
          <cell r="D892" t="str">
            <v>Pro.sche.report 13.3+14.3+15.3</v>
          </cell>
          <cell r="E892" t="str">
            <v>BDB-000113</v>
          </cell>
          <cell r="F892" t="str">
            <v>PVN-003414</v>
          </cell>
          <cell r="G892" t="str">
            <v>OrthoLite Regular-Hybrid SEEDPEARL/12-0703TPX Hybrid Flat Sheet 0.11D 25+/-4 Asker C 1.1M 2M 12mm</v>
          </cell>
          <cell r="H892">
            <v>44</v>
          </cell>
          <cell r="I892">
            <v>44</v>
          </cell>
          <cell r="J892">
            <v>44</v>
          </cell>
          <cell r="K892">
            <v>0</v>
          </cell>
          <cell r="L892" t="str">
            <v>ASICS</v>
          </cell>
          <cell r="M892" t="str">
            <v>Pr.Sch.R</v>
          </cell>
          <cell r="N892" t="str">
            <v>MOLDED</v>
          </cell>
          <cell r="O892">
            <v>1</v>
          </cell>
          <cell r="P892">
            <v>46097</v>
          </cell>
          <cell r="Q892">
            <v>46113</v>
          </cell>
          <cell r="R892">
            <v>46110</v>
          </cell>
          <cell r="S892">
            <v>16</v>
          </cell>
          <cell r="T892">
            <v>12</v>
          </cell>
          <cell r="U892">
            <v>11.5</v>
          </cell>
          <cell r="V892">
            <v>4</v>
          </cell>
          <cell r="W892" t="str">
            <v>0.11D</v>
          </cell>
          <cell r="X892" t="str">
            <v>4-2026</v>
          </cell>
          <cell r="Y892" t="str">
            <v>Week 13</v>
          </cell>
          <cell r="Z892">
            <v>46104</v>
          </cell>
          <cell r="AA892">
            <v>2</v>
          </cell>
          <cell r="AB892">
            <v>8.6959999999999996E-2</v>
          </cell>
        </row>
        <row r="893">
          <cell r="A893" t="str">
            <v>F-2026-03-252</v>
          </cell>
          <cell r="B893"/>
          <cell r="C893" t="str">
            <v>RPRO-260316-0671</v>
          </cell>
          <cell r="D893" t="str">
            <v>Pro.sche.report 13.3+14.3+15.3</v>
          </cell>
          <cell r="E893" t="str">
            <v>BDB-000363</v>
          </cell>
          <cell r="F893" t="str">
            <v>PVN-004260</v>
          </cell>
          <cell r="G893" t="str">
            <v>OrthoLite HybridPlus-Recycled MINT GREEN/11-4805TPX Hybrid Flat Sheet 0.12D 35+/-4 Asker C 1.1M 2M 5.5mm</v>
          </cell>
          <cell r="H893">
            <v>25</v>
          </cell>
          <cell r="I893">
            <v>25</v>
          </cell>
          <cell r="J893">
            <v>25</v>
          </cell>
          <cell r="K893">
            <v>0</v>
          </cell>
          <cell r="L893" t="str">
            <v>ON RUNNING</v>
          </cell>
          <cell r="M893" t="str">
            <v>Pr.Sch.R</v>
          </cell>
          <cell r="N893" t="str">
            <v>MOLDED</v>
          </cell>
          <cell r="O893">
            <v>1</v>
          </cell>
          <cell r="P893">
            <v>46097</v>
          </cell>
          <cell r="Q893">
            <v>46107</v>
          </cell>
          <cell r="R893">
            <v>46104</v>
          </cell>
          <cell r="S893">
            <v>10</v>
          </cell>
          <cell r="T893">
            <v>5.5</v>
          </cell>
          <cell r="U893">
            <v>25</v>
          </cell>
          <cell r="V893">
            <v>1</v>
          </cell>
          <cell r="W893" t="e">
            <v>#N/A</v>
          </cell>
          <cell r="X893" t="str">
            <v>3-2026</v>
          </cell>
          <cell r="Y893" t="str">
            <v>Week 12</v>
          </cell>
          <cell r="Z893">
            <v>46097</v>
          </cell>
          <cell r="AA893">
            <v>49</v>
          </cell>
          <cell r="AB893">
            <v>0.04</v>
          </cell>
        </row>
        <row r="894">
          <cell r="A894" t="str">
            <v>F-2026-03-253</v>
          </cell>
          <cell r="B894"/>
          <cell r="C894" t="str">
            <v>RPRO-260316-0672</v>
          </cell>
          <cell r="D894" t="str">
            <v>Pro.sche.report 13.3+14.3+15.3</v>
          </cell>
          <cell r="E894" t="str">
            <v>BDB-000123</v>
          </cell>
          <cell r="F894" t="str">
            <v>PVN-002539</v>
          </cell>
          <cell r="G894" t="str">
            <v>OrthoLite Ultra-Hybrid SEEDPEARL/12-0703TPX Hybrid Flat Sheet 0.085D 25+/-4 Asker C 1.1M 2M 5mm</v>
          </cell>
          <cell r="H894">
            <v>252</v>
          </cell>
          <cell r="I894">
            <v>252</v>
          </cell>
          <cell r="J894">
            <v>252</v>
          </cell>
          <cell r="K894">
            <v>0</v>
          </cell>
          <cell r="L894" t="str">
            <v>BROOKS</v>
          </cell>
          <cell r="M894" t="str">
            <v>Pr.Sch.R</v>
          </cell>
          <cell r="N894" t="str">
            <v>DIE CUT</v>
          </cell>
          <cell r="O894">
            <v>1</v>
          </cell>
          <cell r="P894">
            <v>46097</v>
          </cell>
          <cell r="Q894">
            <v>46113</v>
          </cell>
          <cell r="R894">
            <v>46110</v>
          </cell>
          <cell r="S894">
            <v>16</v>
          </cell>
          <cell r="T894">
            <v>5</v>
          </cell>
          <cell r="U894">
            <v>28</v>
          </cell>
          <cell r="V894">
            <v>9</v>
          </cell>
          <cell r="W894" t="str">
            <v>0.085D</v>
          </cell>
          <cell r="X894" t="str">
            <v>4-2026</v>
          </cell>
          <cell r="Y894" t="str">
            <v>Week 13</v>
          </cell>
          <cell r="Z894">
            <v>46104</v>
          </cell>
          <cell r="AA894">
            <v>56</v>
          </cell>
          <cell r="AB894">
            <v>3.5709999999999999E-2</v>
          </cell>
        </row>
        <row r="895">
          <cell r="A895" t="str">
            <v>F-2026-03-254</v>
          </cell>
          <cell r="B895"/>
          <cell r="C895" t="str">
            <v>RPRO-260316-0673</v>
          </cell>
          <cell r="D895" t="str">
            <v>Pro.sche.report 13.3+14.3+15.3</v>
          </cell>
          <cell r="E895" t="str">
            <v>BDB-000126</v>
          </cell>
          <cell r="F895" t="str">
            <v>PVN-002325</v>
          </cell>
          <cell r="G895" t="str">
            <v>OrthoLite Regular-Nike RED/19-1764TPX Flat Sheet 0.11D 25+/-4 Asker C 1.1M 2M 5.2mm</v>
          </cell>
          <cell r="H895">
            <v>130</v>
          </cell>
          <cell r="I895">
            <v>130</v>
          </cell>
          <cell r="J895">
            <v>130</v>
          </cell>
          <cell r="K895">
            <v>0</v>
          </cell>
          <cell r="L895" t="str">
            <v>NIKE</v>
          </cell>
          <cell r="M895" t="str">
            <v>Pr.Sch.R</v>
          </cell>
          <cell r="N895" t="str">
            <v>MOLDED</v>
          </cell>
          <cell r="O895">
            <v>1</v>
          </cell>
          <cell r="P895">
            <v>46097</v>
          </cell>
          <cell r="Q895">
            <v>46113</v>
          </cell>
          <cell r="R895">
            <v>46110</v>
          </cell>
          <cell r="S895">
            <v>16</v>
          </cell>
          <cell r="T895">
            <v>5.2</v>
          </cell>
          <cell r="U895">
            <v>26</v>
          </cell>
          <cell r="V895">
            <v>5</v>
          </cell>
          <cell r="W895" t="str">
            <v>0.11D</v>
          </cell>
          <cell r="X895" t="str">
            <v>4-2026</v>
          </cell>
          <cell r="Y895" t="str">
            <v>Week 13</v>
          </cell>
          <cell r="Z895">
            <v>46104</v>
          </cell>
          <cell r="AA895">
            <v>3</v>
          </cell>
          <cell r="AB895">
            <v>3.8460000000000001E-2</v>
          </cell>
        </row>
        <row r="896">
          <cell r="A896" t="str">
            <v>F-2026-03-255</v>
          </cell>
          <cell r="B896"/>
          <cell r="C896" t="str">
            <v>RPRO-260316-0674</v>
          </cell>
          <cell r="D896" t="str">
            <v>Pro.sche.report 13.3+14.3+15.3</v>
          </cell>
          <cell r="E896" t="str">
            <v>BDB-000157</v>
          </cell>
          <cell r="F896" t="str">
            <v>PVN-003642</v>
          </cell>
          <cell r="G896" t="str">
            <v>OrthoLite X-35-Hybrid-Nike SEEDPEARL/12-0703TPX Hybrid Flat Sheet 0.145D 25+/-4 Asker C 1.1M 2M 6.2mm</v>
          </cell>
          <cell r="H896">
            <v>462</v>
          </cell>
          <cell r="I896">
            <v>462</v>
          </cell>
          <cell r="J896">
            <v>462</v>
          </cell>
          <cell r="K896">
            <v>0</v>
          </cell>
          <cell r="L896" t="str">
            <v>NIKE</v>
          </cell>
          <cell r="M896" t="str">
            <v>Pr.Sch.R</v>
          </cell>
          <cell r="N896" t="str">
            <v>MOLDED</v>
          </cell>
          <cell r="O896">
            <v>1</v>
          </cell>
          <cell r="P896">
            <v>46097</v>
          </cell>
          <cell r="Q896">
            <v>46113</v>
          </cell>
          <cell r="R896">
            <v>46110</v>
          </cell>
          <cell r="S896">
            <v>16</v>
          </cell>
          <cell r="T896">
            <v>6.2</v>
          </cell>
          <cell r="U896">
            <v>22</v>
          </cell>
          <cell r="V896">
            <v>21</v>
          </cell>
          <cell r="W896" t="str">
            <v>0.145D</v>
          </cell>
          <cell r="X896" t="str">
            <v>4-2026</v>
          </cell>
          <cell r="Y896" t="str">
            <v>Week 13</v>
          </cell>
          <cell r="Z896">
            <v>46104</v>
          </cell>
          <cell r="AA896">
            <v>15</v>
          </cell>
          <cell r="AB896">
            <v>4.5449999999999997E-2</v>
          </cell>
        </row>
        <row r="897">
          <cell r="A897" t="str">
            <v>F-2026-03-256</v>
          </cell>
          <cell r="B897"/>
          <cell r="C897" t="str">
            <v>RPRO-260316-0675</v>
          </cell>
          <cell r="D897" t="str">
            <v>Pro.sche.report 13.3+14.3+15.3</v>
          </cell>
          <cell r="E897" t="str">
            <v>BDB-000180</v>
          </cell>
          <cell r="F897" t="str">
            <v>PVN-003236</v>
          </cell>
          <cell r="G897" t="str">
            <v>OrthoLite Eco LT-Hybrid-Converse SEEDPEARL/12-0703TPX Hybrid Flat Sheet 0.13D 25+/-4 Asker C 1.1M 2M 5mm</v>
          </cell>
          <cell r="H897">
            <v>476</v>
          </cell>
          <cell r="I897">
            <v>476</v>
          </cell>
          <cell r="J897">
            <v>476</v>
          </cell>
          <cell r="K897">
            <v>0</v>
          </cell>
          <cell r="L897" t="str">
            <v>CONVERSE</v>
          </cell>
          <cell r="M897" t="str">
            <v>Pr.Sch.R</v>
          </cell>
          <cell r="N897" t="str">
            <v>DIE CUT</v>
          </cell>
          <cell r="O897">
            <v>1</v>
          </cell>
          <cell r="P897">
            <v>46097</v>
          </cell>
          <cell r="Q897">
            <v>46108</v>
          </cell>
          <cell r="R897">
            <v>46105</v>
          </cell>
          <cell r="S897">
            <v>11</v>
          </cell>
          <cell r="T897">
            <v>5</v>
          </cell>
          <cell r="U897">
            <v>28</v>
          </cell>
          <cell r="V897">
            <v>17</v>
          </cell>
          <cell r="W897" t="str">
            <v>0.13D</v>
          </cell>
          <cell r="X897" t="str">
            <v>3-2026</v>
          </cell>
          <cell r="Y897" t="str">
            <v>Week 13</v>
          </cell>
          <cell r="Z897">
            <v>46104</v>
          </cell>
          <cell r="AA897">
            <v>1</v>
          </cell>
          <cell r="AB897">
            <v>3.5709999999999999E-2</v>
          </cell>
        </row>
        <row r="898">
          <cell r="A898" t="str">
            <v>F-2026-03-257</v>
          </cell>
          <cell r="B898"/>
          <cell r="C898" t="str">
            <v>RPRO-260316-0676</v>
          </cell>
          <cell r="D898" t="str">
            <v>Pro.sche.report 13.3+14.3+15.3</v>
          </cell>
          <cell r="E898" t="str">
            <v>BDB-000125</v>
          </cell>
          <cell r="F898" t="str">
            <v>PVN-002413</v>
          </cell>
          <cell r="G898" t="str">
            <v>OrthoLite Regular-Nike AIR BLUE/16-4134TPX Flat Sheet 0.11D 25+/-4 Asker C 1.1M 2M 4.2mm</v>
          </cell>
          <cell r="H898">
            <v>1386</v>
          </cell>
          <cell r="I898">
            <v>1386</v>
          </cell>
          <cell r="J898">
            <v>1386</v>
          </cell>
          <cell r="K898">
            <v>0</v>
          </cell>
          <cell r="L898" t="str">
            <v>NIKE</v>
          </cell>
          <cell r="M898" t="str">
            <v>Pr.Sch.R</v>
          </cell>
          <cell r="N898" t="str">
            <v>MOLDED</v>
          </cell>
          <cell r="O898">
            <v>1</v>
          </cell>
          <cell r="P898">
            <v>46097</v>
          </cell>
          <cell r="Q898">
            <v>46112</v>
          </cell>
          <cell r="R898">
            <v>46109</v>
          </cell>
          <cell r="S898">
            <v>15</v>
          </cell>
          <cell r="T898">
            <v>4.2</v>
          </cell>
          <cell r="U898">
            <v>33</v>
          </cell>
          <cell r="V898">
            <v>42</v>
          </cell>
          <cell r="W898" t="str">
            <v>0.11D</v>
          </cell>
          <cell r="X898" t="str">
            <v>3-2026</v>
          </cell>
          <cell r="Y898" t="str">
            <v>Week 13</v>
          </cell>
          <cell r="Z898">
            <v>46104</v>
          </cell>
          <cell r="AA898">
            <v>111</v>
          </cell>
          <cell r="AB898">
            <v>3.0300000000000001E-2</v>
          </cell>
        </row>
        <row r="899">
          <cell r="A899" t="str">
            <v>F-2026-03-258</v>
          </cell>
          <cell r="B899"/>
          <cell r="C899" t="str">
            <v>RPRO-260316-0677</v>
          </cell>
          <cell r="D899" t="str">
            <v>Pro.sche.report 13.3+14.3+15.3</v>
          </cell>
          <cell r="E899" t="str">
            <v>BDB-000076</v>
          </cell>
          <cell r="F899" t="str">
            <v>PVN-004091</v>
          </cell>
          <cell r="G899" t="str">
            <v>OrthoLite X-25 BILLIARD/16-5427TPX Flat Sheet 0.12D 20+/-4 Asker C 1.1M 2M 3.5mm</v>
          </cell>
          <cell r="H899">
            <v>240</v>
          </cell>
          <cell r="I899">
            <v>240</v>
          </cell>
          <cell r="J899">
            <v>240</v>
          </cell>
          <cell r="K899">
            <v>0</v>
          </cell>
          <cell r="L899" t="str">
            <v>BROOKS</v>
          </cell>
          <cell r="M899" t="str">
            <v>Pr.Sch.R</v>
          </cell>
          <cell r="N899" t="str">
            <v>MOLDED</v>
          </cell>
          <cell r="O899">
            <v>1</v>
          </cell>
          <cell r="P899">
            <v>46097</v>
          </cell>
          <cell r="Q899">
            <v>46113</v>
          </cell>
          <cell r="R899">
            <v>46110</v>
          </cell>
          <cell r="S899">
            <v>16</v>
          </cell>
          <cell r="T899">
            <v>3.5</v>
          </cell>
          <cell r="U899">
            <v>40</v>
          </cell>
          <cell r="V899">
            <v>6</v>
          </cell>
          <cell r="W899" t="str">
            <v>0.12D</v>
          </cell>
          <cell r="X899" t="str">
            <v>4-2026</v>
          </cell>
          <cell r="Y899" t="str">
            <v>Week 13</v>
          </cell>
          <cell r="Z899">
            <v>46104</v>
          </cell>
          <cell r="AA899">
            <v>21</v>
          </cell>
          <cell r="AB899">
            <v>2.5000000000000001E-2</v>
          </cell>
        </row>
        <row r="900">
          <cell r="A900" t="str">
            <v>F-2026-03-259</v>
          </cell>
          <cell r="B900"/>
          <cell r="C900" t="str">
            <v>RPRO-260316-0678</v>
          </cell>
          <cell r="D900" t="str">
            <v>Pro.sche.report 13.3+14.3+15.3</v>
          </cell>
          <cell r="E900" t="str">
            <v>BDB-000113</v>
          </cell>
          <cell r="F900" t="str">
            <v>PVN-002465</v>
          </cell>
          <cell r="G900" t="str">
            <v>OrthoLite Regular-Hybrid SEEDPEARL/12-0703TPX Hybrid Flat Sheet 0.11D 25+/-4 Asker C 1.1M 2M 5mm</v>
          </cell>
          <cell r="H900">
            <v>28</v>
          </cell>
          <cell r="I900">
            <v>28</v>
          </cell>
          <cell r="J900">
            <v>28</v>
          </cell>
          <cell r="K900">
            <v>0</v>
          </cell>
          <cell r="L900" t="str">
            <v>ASICS</v>
          </cell>
          <cell r="M900" t="str">
            <v>Pr.Sch.R</v>
          </cell>
          <cell r="N900" t="str">
            <v>DIE CUT</v>
          </cell>
          <cell r="O900">
            <v>1</v>
          </cell>
          <cell r="P900">
            <v>46097</v>
          </cell>
          <cell r="Q900">
            <v>46105</v>
          </cell>
          <cell r="R900">
            <v>46102</v>
          </cell>
          <cell r="S900">
            <v>8</v>
          </cell>
          <cell r="T900">
            <v>5</v>
          </cell>
          <cell r="U900">
            <v>28</v>
          </cell>
          <cell r="V900">
            <v>1</v>
          </cell>
          <cell r="W900" t="str">
            <v>0.11D</v>
          </cell>
          <cell r="X900" t="str">
            <v>3-2026</v>
          </cell>
          <cell r="Y900" t="str">
            <v>Week 12</v>
          </cell>
          <cell r="Z900">
            <v>46097</v>
          </cell>
          <cell r="AA900">
            <v>136</v>
          </cell>
          <cell r="AB900">
            <v>3.5709999999999999E-2</v>
          </cell>
        </row>
        <row r="901">
          <cell r="A901" t="str">
            <v>F-2026-03-260</v>
          </cell>
          <cell r="B901"/>
          <cell r="C901" t="str">
            <v>RPRO-260316-0679</v>
          </cell>
          <cell r="D901" t="str">
            <v>Pro.sche.report 13.3+14.3+15.3</v>
          </cell>
          <cell r="E901" t="str">
            <v>BDB-000156</v>
          </cell>
          <cell r="F901" t="str">
            <v>PVN-003243</v>
          </cell>
          <cell r="G901" t="str">
            <v>OrthoLite X-35-Hybrid-Nike AMAZON/18-6024TPX Hybrid Flat Sheet 0.145D 25+/-4 Asker C 1.1M 2M 5.2mm</v>
          </cell>
          <cell r="H901">
            <v>234</v>
          </cell>
          <cell r="I901">
            <v>234</v>
          </cell>
          <cell r="J901">
            <v>234</v>
          </cell>
          <cell r="K901">
            <v>0</v>
          </cell>
          <cell r="L901" t="str">
            <v>NIKE</v>
          </cell>
          <cell r="M901" t="str">
            <v>Pr.Sch.R</v>
          </cell>
          <cell r="N901" t="str">
            <v>MOLDED</v>
          </cell>
          <cell r="O901" t="str">
            <v>1-SLT</v>
          </cell>
          <cell r="P901">
            <v>46097</v>
          </cell>
          <cell r="Q901">
            <v>46113</v>
          </cell>
          <cell r="R901">
            <v>46110</v>
          </cell>
          <cell r="S901">
            <v>16</v>
          </cell>
          <cell r="T901">
            <v>5.2</v>
          </cell>
          <cell r="U901">
            <v>26</v>
          </cell>
          <cell r="V901">
            <v>9</v>
          </cell>
          <cell r="W901" t="str">
            <v>0.145D</v>
          </cell>
          <cell r="X901" t="str">
            <v>4-2026</v>
          </cell>
          <cell r="Y901" t="str">
            <v>Week 13</v>
          </cell>
          <cell r="Z901">
            <v>46104</v>
          </cell>
          <cell r="AA901">
            <v>51</v>
          </cell>
          <cell r="AB901">
            <v>3.8460000000000001E-2</v>
          </cell>
        </row>
        <row r="902">
          <cell r="A902" t="str">
            <v>F-2026-03-261</v>
          </cell>
          <cell r="B902"/>
          <cell r="C902" t="str">
            <v>RPRO-260316-0680</v>
          </cell>
          <cell r="D902" t="str">
            <v>Pro.sche.report 13.3+14.3+15.3</v>
          </cell>
          <cell r="E902" t="str">
            <v>BDB-000220</v>
          </cell>
          <cell r="F902" t="str">
            <v>PVN-003656</v>
          </cell>
          <cell r="G902" t="str">
            <v>OrthoLite X-25 BILLIARD/16-5427TPX Flat Sheet 0.12D 20+/-4 Asker C 1.1M 1.47M 3mm</v>
          </cell>
          <cell r="H902">
            <v>46</v>
          </cell>
          <cell r="I902">
            <v>46</v>
          </cell>
          <cell r="J902">
            <v>46</v>
          </cell>
          <cell r="K902">
            <v>0</v>
          </cell>
          <cell r="L902" t="str">
            <v>FOOTJOY</v>
          </cell>
          <cell r="M902" t="str">
            <v>Pr.Sch.R</v>
          </cell>
          <cell r="N902" t="str">
            <v>DIE CUT</v>
          </cell>
          <cell r="O902">
            <v>1</v>
          </cell>
          <cell r="P902">
            <v>46097</v>
          </cell>
          <cell r="Q902">
            <v>46113</v>
          </cell>
          <cell r="R902">
            <v>46110</v>
          </cell>
          <cell r="S902">
            <v>16</v>
          </cell>
          <cell r="T902">
            <v>3</v>
          </cell>
          <cell r="U902">
            <v>46</v>
          </cell>
          <cell r="V902">
            <v>2</v>
          </cell>
          <cell r="W902" t="str">
            <v>0.12D</v>
          </cell>
          <cell r="X902" t="str">
            <v>4-2026</v>
          </cell>
          <cell r="Y902" t="str">
            <v>Week 13</v>
          </cell>
          <cell r="Z902">
            <v>46104</v>
          </cell>
          <cell r="AA902">
            <v>3</v>
          </cell>
          <cell r="AB902">
            <v>2.1739999999999999E-2</v>
          </cell>
        </row>
        <row r="903">
          <cell r="A903" t="str">
            <v>F-2026-03-262</v>
          </cell>
          <cell r="B903"/>
          <cell r="C903" t="str">
            <v>RPRO-260316-0681</v>
          </cell>
          <cell r="D903" t="str">
            <v>Pro.sche.report 13.3+14.3+15.3</v>
          </cell>
          <cell r="E903" t="str">
            <v>BDB-000212</v>
          </cell>
          <cell r="F903" t="str">
            <v>PVN-004002</v>
          </cell>
          <cell r="G903" t="str">
            <v>OrthoLite X-25-Hybrid SEEDPEARL/12-0703TPX Hybrid Flat Sheet 0.12D 20+/-4 Asker C 1.1M 2M 14mm</v>
          </cell>
          <cell r="H903">
            <v>36</v>
          </cell>
          <cell r="I903">
            <v>36</v>
          </cell>
          <cell r="J903">
            <v>36</v>
          </cell>
          <cell r="K903">
            <v>0</v>
          </cell>
          <cell r="L903" t="str">
            <v>FOOTJOY</v>
          </cell>
          <cell r="M903" t="str">
            <v>Pr.Sch.R</v>
          </cell>
          <cell r="N903" t="str">
            <v>MOLDED</v>
          </cell>
          <cell r="O903">
            <v>1</v>
          </cell>
          <cell r="P903">
            <v>46097</v>
          </cell>
          <cell r="Q903">
            <v>46113</v>
          </cell>
          <cell r="R903">
            <v>46110</v>
          </cell>
          <cell r="S903">
            <v>16</v>
          </cell>
          <cell r="T903">
            <v>14</v>
          </cell>
          <cell r="U903">
            <v>9</v>
          </cell>
          <cell r="V903">
            <v>4</v>
          </cell>
          <cell r="W903" t="str">
            <v>0.12D</v>
          </cell>
          <cell r="X903" t="str">
            <v>4-2026</v>
          </cell>
          <cell r="Y903" t="str">
            <v>Week 13</v>
          </cell>
          <cell r="Z903">
            <v>46104</v>
          </cell>
          <cell r="AA903">
            <v>115</v>
          </cell>
          <cell r="AB903">
            <v>0.11111</v>
          </cell>
        </row>
        <row r="904">
          <cell r="A904" t="str">
            <v>F-2026-03-263</v>
          </cell>
          <cell r="B904"/>
          <cell r="C904" t="str">
            <v>RPRO-260317-0090</v>
          </cell>
          <cell r="D904" t="str">
            <v>MPS 16.3</v>
          </cell>
          <cell r="E904" t="str">
            <v>BDB-000010</v>
          </cell>
          <cell r="F904" t="str">
            <v>PVN-000101</v>
          </cell>
          <cell r="G904" t="str">
            <v>OrthoLite Regular AIR BLUE/16-4134TPX Flat Sheet 0.11D 25+/-4 Asker C 1.1M 2M 3mm</v>
          </cell>
          <cell r="H904">
            <v>184</v>
          </cell>
          <cell r="I904">
            <v>184</v>
          </cell>
          <cell r="J904">
            <v>184</v>
          </cell>
          <cell r="K904">
            <v>0</v>
          </cell>
          <cell r="L904"/>
          <cell r="M904" t="str">
            <v>MPS</v>
          </cell>
          <cell r="N904" t="str">
            <v>SPLITTING</v>
          </cell>
          <cell r="O904">
            <v>2</v>
          </cell>
          <cell r="P904">
            <v>46098</v>
          </cell>
          <cell r="Q904">
            <v>46114</v>
          </cell>
          <cell r="R904">
            <v>46111</v>
          </cell>
          <cell r="S904">
            <v>16</v>
          </cell>
          <cell r="T904">
            <v>3</v>
          </cell>
          <cell r="U904">
            <v>46</v>
          </cell>
          <cell r="V904">
            <v>5</v>
          </cell>
          <cell r="W904" t="str">
            <v>0.11D</v>
          </cell>
          <cell r="X904" t="str">
            <v>4-2026</v>
          </cell>
          <cell r="Y904" t="str">
            <v>Week 13</v>
          </cell>
          <cell r="Z904">
            <v>46104</v>
          </cell>
          <cell r="AA904">
            <v>16</v>
          </cell>
          <cell r="AB904">
            <v>2.1739999999999999E-2</v>
          </cell>
        </row>
        <row r="905">
          <cell r="A905" t="str">
            <v>F-2026-03-264</v>
          </cell>
          <cell r="B905"/>
          <cell r="C905" t="str">
            <v>RPRO-260317-0091</v>
          </cell>
          <cell r="D905" t="str">
            <v>MPS 16.3</v>
          </cell>
          <cell r="E905" t="str">
            <v>BDB-000057</v>
          </cell>
          <cell r="F905" t="str">
            <v>PVN-000925</v>
          </cell>
          <cell r="G905" t="str">
            <v>OrthoLite Ultra YELLOW/13-0858TPX Flat Sheet 0.085D 25+/-4 Asker C 1.1M 2M 5mm</v>
          </cell>
          <cell r="H905">
            <v>56</v>
          </cell>
          <cell r="I905">
            <v>56</v>
          </cell>
          <cell r="J905">
            <v>0</v>
          </cell>
          <cell r="K905">
            <v>56</v>
          </cell>
          <cell r="L905"/>
          <cell r="M905" t="str">
            <v>MPS</v>
          </cell>
          <cell r="N905" t="str">
            <v>SPLITTING</v>
          </cell>
          <cell r="O905">
            <v>2</v>
          </cell>
          <cell r="P905">
            <v>46098</v>
          </cell>
          <cell r="Q905">
            <v>46114</v>
          </cell>
          <cell r="R905">
            <v>46111</v>
          </cell>
          <cell r="S905">
            <v>16</v>
          </cell>
          <cell r="T905">
            <v>5</v>
          </cell>
          <cell r="U905">
            <v>28</v>
          </cell>
          <cell r="V905">
            <v>2</v>
          </cell>
          <cell r="W905" t="str">
            <v>0.085D</v>
          </cell>
          <cell r="X905" t="str">
            <v>4-2026</v>
          </cell>
          <cell r="Y905" t="str">
            <v>Week 13</v>
          </cell>
          <cell r="Z905">
            <v>46104</v>
          </cell>
          <cell r="AA905">
            <v>108</v>
          </cell>
          <cell r="AB905">
            <v>3.5709999999999999E-2</v>
          </cell>
        </row>
        <row r="906">
          <cell r="A906" t="str">
            <v>F-2026-03-265</v>
          </cell>
          <cell r="B906"/>
          <cell r="C906" t="str">
            <v>RPRO-260317-0092</v>
          </cell>
          <cell r="D906" t="str">
            <v>MPS 16.3</v>
          </cell>
          <cell r="E906" t="str">
            <v>BDB-000083</v>
          </cell>
          <cell r="F906" t="str">
            <v>PVN-000930</v>
          </cell>
          <cell r="G906" t="str">
            <v>OrthoLite Eco LT 300C(ADIDAS BLUEBIRD) Flat Sheet 0.11D 25+/-4 Asker C 1.1M 2M 3mm</v>
          </cell>
          <cell r="H906">
            <v>322</v>
          </cell>
          <cell r="I906">
            <v>322</v>
          </cell>
          <cell r="J906">
            <v>322</v>
          </cell>
          <cell r="K906">
            <v>0</v>
          </cell>
          <cell r="L906"/>
          <cell r="M906" t="str">
            <v>MPS</v>
          </cell>
          <cell r="N906" t="str">
            <v>SPLITTING</v>
          </cell>
          <cell r="O906">
            <v>2</v>
          </cell>
          <cell r="P906">
            <v>46098</v>
          </cell>
          <cell r="Q906">
            <v>46114</v>
          </cell>
          <cell r="R906">
            <v>46111</v>
          </cell>
          <cell r="S906">
            <v>16</v>
          </cell>
          <cell r="T906">
            <v>3</v>
          </cell>
          <cell r="U906">
            <v>46</v>
          </cell>
          <cell r="V906">
            <v>8</v>
          </cell>
          <cell r="W906" t="str">
            <v>0.11D</v>
          </cell>
          <cell r="X906" t="str">
            <v>4-2026</v>
          </cell>
          <cell r="Y906" t="str">
            <v>Week 13</v>
          </cell>
          <cell r="Z906">
            <v>46104</v>
          </cell>
          <cell r="AA906">
            <v>71</v>
          </cell>
          <cell r="AB906">
            <v>2.1739999999999999E-2</v>
          </cell>
        </row>
        <row r="907">
          <cell r="A907" t="str">
            <v>F-2026-03-266</v>
          </cell>
          <cell r="B907"/>
          <cell r="C907" t="str">
            <v>RPRO-260317-0093</v>
          </cell>
          <cell r="D907" t="str">
            <v>MPS 16.3</v>
          </cell>
          <cell r="E907" t="str">
            <v>BDB-000154</v>
          </cell>
          <cell r="F907" t="str">
            <v>PVN-003347</v>
          </cell>
          <cell r="G907" t="str">
            <v>OrthoLite X-40-Nike TRUE BLUE/19-4057TPX Flat Sheet 0.16D 35+/-4 Asker C 1.1M 1.7M 4mm</v>
          </cell>
          <cell r="H907">
            <v>140</v>
          </cell>
          <cell r="I907">
            <v>140</v>
          </cell>
          <cell r="J907">
            <v>140</v>
          </cell>
          <cell r="K907">
            <v>0</v>
          </cell>
          <cell r="L907"/>
          <cell r="M907" t="str">
            <v>MPS</v>
          </cell>
          <cell r="N907" t="str">
            <v>SPLITTING</v>
          </cell>
          <cell r="O907">
            <v>2</v>
          </cell>
          <cell r="P907">
            <v>46098</v>
          </cell>
          <cell r="Q907">
            <v>46111</v>
          </cell>
          <cell r="R907">
            <v>46108</v>
          </cell>
          <cell r="S907">
            <v>13</v>
          </cell>
          <cell r="T907">
            <v>4</v>
          </cell>
          <cell r="U907">
            <v>35</v>
          </cell>
          <cell r="V907">
            <v>4</v>
          </cell>
          <cell r="W907" t="str">
            <v>0.16D</v>
          </cell>
          <cell r="X907" t="str">
            <v>3-2026</v>
          </cell>
          <cell r="Y907" t="str">
            <v>Week 13</v>
          </cell>
          <cell r="Z907">
            <v>46104</v>
          </cell>
          <cell r="AA907">
            <v>65</v>
          </cell>
          <cell r="AB907">
            <v>2.8570000000000002E-2</v>
          </cell>
        </row>
        <row r="908">
          <cell r="A908" t="str">
            <v>F-2026-03-267</v>
          </cell>
          <cell r="B908"/>
          <cell r="C908" t="str">
            <v>RPRO-260317-0094</v>
          </cell>
          <cell r="D908" t="str">
            <v>MPS 16.3</v>
          </cell>
          <cell r="E908" t="str">
            <v>BDB-000348</v>
          </cell>
          <cell r="F908" t="str">
            <v>PVN-004210</v>
          </cell>
          <cell r="G908" t="str">
            <v>OrthoLite IMPERIAL SEEDPEARL/12-0703TPX Flat Sheet 0.22D 25+/-4 Asker C 1.1M 1.47M 5mm</v>
          </cell>
          <cell r="H908">
            <v>224</v>
          </cell>
          <cell r="I908">
            <v>224</v>
          </cell>
          <cell r="J908">
            <v>0</v>
          </cell>
          <cell r="K908">
            <v>224</v>
          </cell>
          <cell r="L908"/>
          <cell r="M908" t="str">
            <v>MPS</v>
          </cell>
          <cell r="N908" t="str">
            <v>SPLITTING</v>
          </cell>
          <cell r="O908">
            <v>2</v>
          </cell>
          <cell r="P908">
            <v>46098</v>
          </cell>
          <cell r="Q908">
            <v>46122</v>
          </cell>
          <cell r="R908">
            <v>46119</v>
          </cell>
          <cell r="S908">
            <v>24</v>
          </cell>
          <cell r="T908">
            <v>5</v>
          </cell>
          <cell r="U908">
            <v>28</v>
          </cell>
          <cell r="V908">
            <v>8</v>
          </cell>
          <cell r="W908" t="e">
            <v>#N/A</v>
          </cell>
          <cell r="X908" t="str">
            <v>4-2026</v>
          </cell>
          <cell r="Y908" t="str">
            <v>Week 14</v>
          </cell>
          <cell r="Z908">
            <v>46111</v>
          </cell>
          <cell r="AA908">
            <v>20</v>
          </cell>
          <cell r="AB908">
            <v>3.5709999999999999E-2</v>
          </cell>
        </row>
        <row r="909">
          <cell r="A909" t="str">
            <v>F-2026-03-268</v>
          </cell>
          <cell r="B909"/>
          <cell r="C909" t="str">
            <v>RPRO-260317-0095</v>
          </cell>
          <cell r="D909" t="str">
            <v>Pro.sche.report 16.3</v>
          </cell>
          <cell r="E909" t="str">
            <v>BDB-000129</v>
          </cell>
          <cell r="F909" t="str">
            <v>PVN-001550</v>
          </cell>
          <cell r="G909" t="str">
            <v>OrthoLite Regular-Nike AIR BLUE/16-4134TPX Flat Sheet 0.11D 25+/-4 Asker C 1.1M 1.7M 2mm</v>
          </cell>
          <cell r="H909">
            <v>280</v>
          </cell>
          <cell r="I909">
            <v>280</v>
          </cell>
          <cell r="J909">
            <v>0</v>
          </cell>
          <cell r="K909">
            <v>280</v>
          </cell>
          <cell r="L909" t="str">
            <v>NIKE</v>
          </cell>
          <cell r="M909" t="str">
            <v>Pr.Sch.R</v>
          </cell>
          <cell r="N909" t="str">
            <v>LAMINATING</v>
          </cell>
          <cell r="O909" t="str">
            <v>1-SLT</v>
          </cell>
          <cell r="P909">
            <v>46098</v>
          </cell>
          <cell r="Q909">
            <v>46114</v>
          </cell>
          <cell r="R909">
            <v>46111</v>
          </cell>
          <cell r="S909">
            <v>16</v>
          </cell>
          <cell r="T909">
            <v>2</v>
          </cell>
          <cell r="U909">
            <v>70</v>
          </cell>
          <cell r="V909">
            <v>5</v>
          </cell>
          <cell r="W909" t="str">
            <v>0.11D</v>
          </cell>
          <cell r="X909" t="str">
            <v>4-2026</v>
          </cell>
          <cell r="Y909" t="str">
            <v>Week 13</v>
          </cell>
          <cell r="Z909">
            <v>46104</v>
          </cell>
          <cell r="AA909">
            <v>100</v>
          </cell>
          <cell r="AB909">
            <v>1.4290000000000001E-2</v>
          </cell>
        </row>
        <row r="910">
          <cell r="A910" t="str">
            <v>F-2026-03-269</v>
          </cell>
          <cell r="B910"/>
          <cell r="C910" t="str">
            <v>RPRO-260317-0096</v>
          </cell>
          <cell r="D910" t="str">
            <v>Pro.sche.report 16.3</v>
          </cell>
          <cell r="E910" t="str">
            <v>BDB-000162</v>
          </cell>
          <cell r="F910" t="str">
            <v>PVN-001566</v>
          </cell>
          <cell r="G910" t="str">
            <v>OrthoLite Ultra-Nike SEEDPEARL/12-0703TPX Flat Sheet 0.085D 25+/-4 Asker C 1.1M 2M 4mm</v>
          </cell>
          <cell r="H910">
            <v>35</v>
          </cell>
          <cell r="I910">
            <v>35</v>
          </cell>
          <cell r="J910">
            <v>35</v>
          </cell>
          <cell r="K910">
            <v>0</v>
          </cell>
          <cell r="L910" t="str">
            <v>NIKE</v>
          </cell>
          <cell r="M910" t="str">
            <v>Pr.Sch.R</v>
          </cell>
          <cell r="N910" t="str">
            <v>DIE CUT</v>
          </cell>
          <cell r="O910">
            <v>1</v>
          </cell>
          <cell r="P910">
            <v>46098</v>
          </cell>
          <cell r="Q910">
            <v>46107</v>
          </cell>
          <cell r="R910">
            <v>46104</v>
          </cell>
          <cell r="S910">
            <v>9</v>
          </cell>
          <cell r="T910">
            <v>4</v>
          </cell>
          <cell r="U910">
            <v>35</v>
          </cell>
          <cell r="V910">
            <v>1</v>
          </cell>
          <cell r="W910" t="str">
            <v>0.085D</v>
          </cell>
          <cell r="X910" t="str">
            <v>3-2026</v>
          </cell>
          <cell r="Y910" t="str">
            <v>Week 12</v>
          </cell>
          <cell r="Z910">
            <v>46097</v>
          </cell>
          <cell r="AA910">
            <v>45</v>
          </cell>
          <cell r="AB910">
            <v>2.8570000000000002E-2</v>
          </cell>
        </row>
        <row r="911">
          <cell r="A911" t="str">
            <v>F-2026-03-270</v>
          </cell>
          <cell r="B911"/>
          <cell r="C911" t="str">
            <v>RPRO-260317-0097</v>
          </cell>
          <cell r="D911" t="str">
            <v>Pro.sche.report 16.3</v>
          </cell>
          <cell r="E911" t="str">
            <v>BDB-000212</v>
          </cell>
          <cell r="F911" t="str">
            <v>PVN-003460</v>
          </cell>
          <cell r="G911" t="str">
            <v>OrthoLite X-25-Hybrid SEEDPEARL/12-0703TPX Hybrid Flat Sheet 0.12D 20+/-4 Asker C 1.1M 2M 5.5mm</v>
          </cell>
          <cell r="H911">
            <v>100</v>
          </cell>
          <cell r="I911">
            <v>100</v>
          </cell>
          <cell r="J911">
            <v>100</v>
          </cell>
          <cell r="K911">
            <v>0</v>
          </cell>
          <cell r="L911" t="str">
            <v>ON RUNNING</v>
          </cell>
          <cell r="M911" t="str">
            <v>Pr.Sch.R</v>
          </cell>
          <cell r="N911" t="str">
            <v>MOLDED</v>
          </cell>
          <cell r="O911">
            <v>1</v>
          </cell>
          <cell r="P911">
            <v>46098</v>
          </cell>
          <cell r="Q911">
            <v>46109</v>
          </cell>
          <cell r="R911">
            <v>46106</v>
          </cell>
          <cell r="S911">
            <v>11</v>
          </cell>
          <cell r="T911">
            <v>5.5</v>
          </cell>
          <cell r="U911">
            <v>25</v>
          </cell>
          <cell r="V911">
            <v>4</v>
          </cell>
          <cell r="W911" t="str">
            <v>0.12D</v>
          </cell>
          <cell r="X911" t="str">
            <v>3-2026</v>
          </cell>
          <cell r="Y911" t="str">
            <v>Week 13</v>
          </cell>
          <cell r="Z911">
            <v>46104</v>
          </cell>
          <cell r="AA911">
            <v>215</v>
          </cell>
          <cell r="AB911">
            <v>0.04</v>
          </cell>
        </row>
        <row r="912">
          <cell r="A912" t="str">
            <v>F-2026-03-271</v>
          </cell>
          <cell r="B912"/>
          <cell r="C912" t="str">
            <v>RPRO-260317-0098</v>
          </cell>
          <cell r="D912" t="str">
            <v>Pro.sche.report 16.3</v>
          </cell>
          <cell r="E912" t="str">
            <v>BDB-000346</v>
          </cell>
          <cell r="F912" t="str">
            <v>PVN-004188</v>
          </cell>
          <cell r="G912" t="str">
            <v>OrthoLite Float NEUTRAL GRAY/17-4402TPX Flat Sheet 0.12D 21+/-4 Asker C 1.1M 1.47M 5.5mm</v>
          </cell>
          <cell r="H912">
            <v>50</v>
          </cell>
          <cell r="I912">
            <v>50</v>
          </cell>
          <cell r="J912">
            <v>0</v>
          </cell>
          <cell r="K912">
            <v>50</v>
          </cell>
          <cell r="L912" t="str">
            <v>PUMA</v>
          </cell>
          <cell r="M912" t="str">
            <v>Pr.Sch.R</v>
          </cell>
          <cell r="N912" t="str">
            <v>MOLDED</v>
          </cell>
          <cell r="O912">
            <v>1</v>
          </cell>
          <cell r="P912">
            <v>46098</v>
          </cell>
          <cell r="Q912">
            <v>46114</v>
          </cell>
          <cell r="R912">
            <v>46111</v>
          </cell>
          <cell r="S912">
            <v>16</v>
          </cell>
          <cell r="T912">
            <v>5.5</v>
          </cell>
          <cell r="U912">
            <v>25</v>
          </cell>
          <cell r="V912">
            <v>2</v>
          </cell>
          <cell r="W912" t="e">
            <v>#N/A</v>
          </cell>
          <cell r="X912" t="str">
            <v>4-2026</v>
          </cell>
          <cell r="Y912" t="str">
            <v>Week 13</v>
          </cell>
          <cell r="Z912">
            <v>46104</v>
          </cell>
          <cell r="AA912">
            <v>50</v>
          </cell>
          <cell r="AB912">
            <v>0.04</v>
          </cell>
        </row>
        <row r="913">
          <cell r="A913" t="str">
            <v>F-2026-03-272</v>
          </cell>
          <cell r="B913"/>
          <cell r="C913" t="str">
            <v>RPRO-260317-0099</v>
          </cell>
          <cell r="D913" t="str">
            <v>Pro.sche.report 16.3</v>
          </cell>
          <cell r="E913" t="str">
            <v>BDB-000054</v>
          </cell>
          <cell r="F913" t="str">
            <v>PVN-003895</v>
          </cell>
          <cell r="G913" t="str">
            <v>OrthoLite X-40 RED/19-1764TPX Flat Sheet 0.16D 25+/-4 Asker C 1.1M 1.7M 5mm</v>
          </cell>
          <cell r="H913">
            <v>28</v>
          </cell>
          <cell r="I913">
            <v>28</v>
          </cell>
          <cell r="J913">
            <v>28</v>
          </cell>
          <cell r="K913">
            <v>0</v>
          </cell>
          <cell r="L913" t="str">
            <v>PAYNTR</v>
          </cell>
          <cell r="M913" t="str">
            <v>Pr.Sch.R</v>
          </cell>
          <cell r="N913" t="str">
            <v>MOLDED</v>
          </cell>
          <cell r="O913">
            <v>1</v>
          </cell>
          <cell r="P913">
            <v>46098</v>
          </cell>
          <cell r="Q913">
            <v>46112</v>
          </cell>
          <cell r="R913">
            <v>46109</v>
          </cell>
          <cell r="S913">
            <v>14</v>
          </cell>
          <cell r="T913">
            <v>5</v>
          </cell>
          <cell r="U913">
            <v>28</v>
          </cell>
          <cell r="V913">
            <v>1</v>
          </cell>
          <cell r="W913" t="str">
            <v>0.16D</v>
          </cell>
          <cell r="X913" t="str">
            <v>3-2026</v>
          </cell>
          <cell r="Y913" t="str">
            <v>Week 13</v>
          </cell>
          <cell r="Z913">
            <v>46104</v>
          </cell>
          <cell r="AA913">
            <v>32</v>
          </cell>
          <cell r="AB913">
            <v>3.5709999999999999E-2</v>
          </cell>
        </row>
        <row r="914">
          <cell r="A914" t="str">
            <v>F-2026-03-273</v>
          </cell>
          <cell r="B914"/>
          <cell r="C914" t="str">
            <v>RPRO-260317-0100</v>
          </cell>
          <cell r="D914" t="str">
            <v>Pro.sche.report 16.3</v>
          </cell>
          <cell r="E914" t="str">
            <v>BDB-000339</v>
          </cell>
          <cell r="F914" t="str">
            <v>PVN-004178</v>
          </cell>
          <cell r="G914" t="str">
            <v>OrthoLite Float NEUTRAL GRAY/17-4402TPX Flat Sheet 0.12D 21+/-4 Asker C 1.1M 2M 5.5mm</v>
          </cell>
          <cell r="H914">
            <v>125</v>
          </cell>
          <cell r="I914">
            <v>125</v>
          </cell>
          <cell r="J914">
            <v>125</v>
          </cell>
          <cell r="K914">
            <v>0</v>
          </cell>
          <cell r="L914" t="str">
            <v>PUMA</v>
          </cell>
          <cell r="M914" t="str">
            <v>Pr.Sch.R</v>
          </cell>
          <cell r="N914" t="str">
            <v>MOLDED</v>
          </cell>
          <cell r="O914">
            <v>1</v>
          </cell>
          <cell r="P914">
            <v>46098</v>
          </cell>
          <cell r="Q914">
            <v>46114</v>
          </cell>
          <cell r="R914">
            <v>46111</v>
          </cell>
          <cell r="S914">
            <v>16</v>
          </cell>
          <cell r="T914">
            <v>5.5</v>
          </cell>
          <cell r="U914">
            <v>25</v>
          </cell>
          <cell r="V914">
            <v>5</v>
          </cell>
          <cell r="W914" t="e">
            <v>#N/A</v>
          </cell>
          <cell r="X914" t="str">
            <v>4-2026</v>
          </cell>
          <cell r="Y914" t="str">
            <v>Week 13</v>
          </cell>
          <cell r="Z914">
            <v>46104</v>
          </cell>
          <cell r="AA914">
            <v>5</v>
          </cell>
          <cell r="AB914">
            <v>0.04</v>
          </cell>
        </row>
        <row r="915">
          <cell r="A915" t="str">
            <v>F-2026-03-274</v>
          </cell>
          <cell r="B915"/>
          <cell r="C915" t="str">
            <v>RPRO-260317-0101</v>
          </cell>
          <cell r="D915" t="str">
            <v>Pro.sche.report 16.3</v>
          </cell>
          <cell r="E915" t="str">
            <v>BDB-000123</v>
          </cell>
          <cell r="F915" t="str">
            <v>PVN-002539</v>
          </cell>
          <cell r="G915" t="str">
            <v>OrthoLite Ultra-Hybrid SEEDPEARL/12-0703TPX Hybrid Flat Sheet 0.085D 25+/-4 Asker C 1.1M 2M 5mm</v>
          </cell>
          <cell r="H915">
            <v>420</v>
          </cell>
          <cell r="I915">
            <v>420</v>
          </cell>
          <cell r="J915">
            <v>420</v>
          </cell>
          <cell r="K915">
            <v>0</v>
          </cell>
          <cell r="L915" t="str">
            <v>BROOKS</v>
          </cell>
          <cell r="M915" t="str">
            <v>Pr.Sch.R</v>
          </cell>
          <cell r="N915" t="str">
            <v>DIE CUT</v>
          </cell>
          <cell r="O915">
            <v>1</v>
          </cell>
          <cell r="P915">
            <v>46098</v>
          </cell>
          <cell r="Q915">
            <v>46115</v>
          </cell>
          <cell r="R915">
            <v>46112</v>
          </cell>
          <cell r="S915">
            <v>17</v>
          </cell>
          <cell r="T915">
            <v>5</v>
          </cell>
          <cell r="U915">
            <v>28</v>
          </cell>
          <cell r="V915">
            <v>15</v>
          </cell>
          <cell r="W915" t="str">
            <v>0.085D</v>
          </cell>
          <cell r="X915" t="str">
            <v>4-2026</v>
          </cell>
          <cell r="Y915" t="str">
            <v>Week 13</v>
          </cell>
          <cell r="Z915">
            <v>46104</v>
          </cell>
          <cell r="AA915">
            <v>32</v>
          </cell>
          <cell r="AB915">
            <v>3.5709999999999999E-2</v>
          </cell>
        </row>
        <row r="916">
          <cell r="A916" t="str">
            <v>F-2026-03-275</v>
          </cell>
          <cell r="B916"/>
          <cell r="C916" t="str">
            <v>RPRO-260317-0102</v>
          </cell>
          <cell r="D916" t="str">
            <v>Pro.sche.report 16.3</v>
          </cell>
          <cell r="E916" t="str">
            <v>BDB-000273</v>
          </cell>
          <cell r="F916" t="str">
            <v>PVN-004138</v>
          </cell>
          <cell r="G916" t="str">
            <v>OrthoLite X-40-Hybrid SEEDPEARL/12-0703TPX Hybrid Flat Sheet 0.16D 25+/-4 Asker C 1.1M 2M 5.5mm</v>
          </cell>
          <cell r="H916">
            <v>75</v>
          </cell>
          <cell r="I916">
            <v>75</v>
          </cell>
          <cell r="J916">
            <v>0</v>
          </cell>
          <cell r="K916">
            <v>75</v>
          </cell>
          <cell r="L916" t="str">
            <v>ON RUNNING</v>
          </cell>
          <cell r="M916" t="str">
            <v>Pr.Sch.R</v>
          </cell>
          <cell r="N916" t="str">
            <v>MOLDED</v>
          </cell>
          <cell r="O916">
            <v>1</v>
          </cell>
          <cell r="P916">
            <v>46098</v>
          </cell>
          <cell r="Q916">
            <v>46116</v>
          </cell>
          <cell r="R916">
            <v>46113</v>
          </cell>
          <cell r="S916">
            <v>18</v>
          </cell>
          <cell r="T916">
            <v>5.5</v>
          </cell>
          <cell r="U916">
            <v>25</v>
          </cell>
          <cell r="V916">
            <v>3</v>
          </cell>
          <cell r="W916" t="str">
            <v>0.16D</v>
          </cell>
          <cell r="X916" t="str">
            <v>4-2026</v>
          </cell>
          <cell r="Y916" t="str">
            <v>Week 13</v>
          </cell>
          <cell r="Z916">
            <v>46104</v>
          </cell>
          <cell r="AA916">
            <v>20</v>
          </cell>
          <cell r="AB916">
            <v>0.04</v>
          </cell>
        </row>
        <row r="917">
          <cell r="A917" t="str">
            <v>F-2026-03-276</v>
          </cell>
          <cell r="B917"/>
          <cell r="C917" t="str">
            <v>RPRO-260317-0103</v>
          </cell>
          <cell r="D917" t="str">
            <v>Pro.sche.report 16.3</v>
          </cell>
          <cell r="E917" t="str">
            <v>BDB-000218</v>
          </cell>
          <cell r="F917" t="str">
            <v>PVN-003488</v>
          </cell>
          <cell r="G917" t="str">
            <v>OrthoLite Ultra-Nike SEEDPEARL/12-0703TPX Flat Sheet 0.085D 5-10 Asker C 1.1M 2M 4mm</v>
          </cell>
          <cell r="H917">
            <v>140</v>
          </cell>
          <cell r="I917">
            <v>140</v>
          </cell>
          <cell r="J917">
            <v>0</v>
          </cell>
          <cell r="K917">
            <v>140</v>
          </cell>
          <cell r="L917" t="str">
            <v>NIKE</v>
          </cell>
          <cell r="M917" t="str">
            <v>Pr.Sch.R</v>
          </cell>
          <cell r="N917" t="str">
            <v>DIE CUT</v>
          </cell>
          <cell r="O917">
            <v>1</v>
          </cell>
          <cell r="P917">
            <v>46098</v>
          </cell>
          <cell r="Q917">
            <v>46116</v>
          </cell>
          <cell r="R917">
            <v>46113</v>
          </cell>
          <cell r="S917">
            <v>18</v>
          </cell>
          <cell r="T917">
            <v>4</v>
          </cell>
          <cell r="U917">
            <v>35</v>
          </cell>
          <cell r="V917">
            <v>4</v>
          </cell>
          <cell r="W917" t="str">
            <v>0.085D</v>
          </cell>
          <cell r="X917" t="str">
            <v>4-2026</v>
          </cell>
          <cell r="Y917" t="str">
            <v>Week 13</v>
          </cell>
          <cell r="Z917">
            <v>46104</v>
          </cell>
          <cell r="AA917">
            <v>127</v>
          </cell>
          <cell r="AB917">
            <v>2.8570000000000002E-2</v>
          </cell>
        </row>
        <row r="918">
          <cell r="A918" t="str">
            <v>F-2026-03-277</v>
          </cell>
          <cell r="B918"/>
          <cell r="C918" t="str">
            <v>RPRO-260317-0104</v>
          </cell>
          <cell r="D918" t="str">
            <v>Pro.sche.report 16.3</v>
          </cell>
          <cell r="E918" t="str">
            <v>BDB-000011</v>
          </cell>
          <cell r="F918" t="str">
            <v>PVN-000121</v>
          </cell>
          <cell r="G918" t="str">
            <v>OrthoLite Regular AIR BLUE/16-4134TPX Flat Sheet 0.13D 35+/-4 Asker C 1.1M 2M 12mm</v>
          </cell>
          <cell r="H918">
            <v>11</v>
          </cell>
          <cell r="I918">
            <v>11</v>
          </cell>
          <cell r="J918">
            <v>11</v>
          </cell>
          <cell r="K918">
            <v>0</v>
          </cell>
          <cell r="L918" t="str">
            <v>ASICS</v>
          </cell>
          <cell r="M918" t="str">
            <v>Pr.Sch.R</v>
          </cell>
          <cell r="N918" t="str">
            <v>MOLDED</v>
          </cell>
          <cell r="O918">
            <v>1</v>
          </cell>
          <cell r="P918">
            <v>46098</v>
          </cell>
          <cell r="Q918">
            <v>46111</v>
          </cell>
          <cell r="R918">
            <v>46108</v>
          </cell>
          <cell r="S918">
            <v>13</v>
          </cell>
          <cell r="T918">
            <v>12</v>
          </cell>
          <cell r="U918">
            <v>11.5</v>
          </cell>
          <cell r="V918">
            <v>1</v>
          </cell>
          <cell r="W918" t="str">
            <v>0.13D</v>
          </cell>
          <cell r="X918" t="str">
            <v>3-2026</v>
          </cell>
          <cell r="Y918" t="str">
            <v>Week 13</v>
          </cell>
          <cell r="Z918">
            <v>46104</v>
          </cell>
          <cell r="AA918">
            <v>254</v>
          </cell>
          <cell r="AB918">
            <v>8.6959999999999996E-2</v>
          </cell>
        </row>
        <row r="919">
          <cell r="A919" t="str">
            <v>F-2026-03-278</v>
          </cell>
          <cell r="B919"/>
          <cell r="C919" t="str">
            <v>RPRO-260317-0105</v>
          </cell>
          <cell r="D919" t="str">
            <v>Pro.sche.report 16.3</v>
          </cell>
          <cell r="E919" t="str">
            <v>BDB-000052</v>
          </cell>
          <cell r="F919" t="str">
            <v>PVN-003603</v>
          </cell>
          <cell r="G919" t="str">
            <v>OrthoLite X-40 TRUE BLUE/19-4057TPX Flat Sheet 0.16D 25+/-4 Asker C 1.1M 1.47M 12mm</v>
          </cell>
          <cell r="H919">
            <v>11</v>
          </cell>
          <cell r="I919">
            <v>11</v>
          </cell>
          <cell r="J919">
            <v>11</v>
          </cell>
          <cell r="K919">
            <v>0</v>
          </cell>
          <cell r="L919" t="str">
            <v>ASICS</v>
          </cell>
          <cell r="M919" t="str">
            <v>Pr.Sch.R</v>
          </cell>
          <cell r="N919" t="str">
            <v>MOLDED</v>
          </cell>
          <cell r="O919">
            <v>1</v>
          </cell>
          <cell r="P919">
            <v>46098</v>
          </cell>
          <cell r="Q919">
            <v>46111</v>
          </cell>
          <cell r="R919">
            <v>46108</v>
          </cell>
          <cell r="S919">
            <v>13</v>
          </cell>
          <cell r="T919">
            <v>12</v>
          </cell>
          <cell r="U919">
            <v>11.5</v>
          </cell>
          <cell r="V919">
            <v>1</v>
          </cell>
          <cell r="W919" t="str">
            <v>0.16D</v>
          </cell>
          <cell r="X919" t="str">
            <v>3-2026</v>
          </cell>
          <cell r="Y919" t="str">
            <v>Week 13</v>
          </cell>
          <cell r="Z919">
            <v>46104</v>
          </cell>
          <cell r="AA919">
            <v>163</v>
          </cell>
          <cell r="AB919">
            <v>8.6959999999999996E-2</v>
          </cell>
        </row>
        <row r="920">
          <cell r="A920" t="str">
            <v>F-2026-03-279</v>
          </cell>
          <cell r="B920"/>
          <cell r="C920" t="str">
            <v>RPRO-260317-0106</v>
          </cell>
          <cell r="D920" t="str">
            <v>Pro.sche.report 16.3</v>
          </cell>
          <cell r="E920" t="str">
            <v>BDB-000235</v>
          </cell>
          <cell r="F920" t="str">
            <v>PVN-003576</v>
          </cell>
          <cell r="G920" t="str">
            <v>OrthoLite X-55-Hybrid FOSSIL/17-0909TPX Hybrid Flat Sheet 0.16D 25+/-4 Asker C 1.1M 1.7M 12mm</v>
          </cell>
          <cell r="H920">
            <v>33</v>
          </cell>
          <cell r="I920">
            <v>33</v>
          </cell>
          <cell r="J920">
            <v>33</v>
          </cell>
          <cell r="K920">
            <v>0</v>
          </cell>
          <cell r="L920" t="str">
            <v>ASICS</v>
          </cell>
          <cell r="M920" t="str">
            <v>Pr.Sch.R</v>
          </cell>
          <cell r="N920" t="str">
            <v>MOLDED</v>
          </cell>
          <cell r="O920">
            <v>1</v>
          </cell>
          <cell r="P920">
            <v>46098</v>
          </cell>
          <cell r="Q920">
            <v>46112</v>
          </cell>
          <cell r="R920">
            <v>46109</v>
          </cell>
          <cell r="S920">
            <v>14</v>
          </cell>
          <cell r="T920">
            <v>12</v>
          </cell>
          <cell r="U920">
            <v>11.5</v>
          </cell>
          <cell r="V920">
            <v>3</v>
          </cell>
          <cell r="W920" t="str">
            <v>0.16D</v>
          </cell>
          <cell r="X920" t="str">
            <v>3-2026</v>
          </cell>
          <cell r="Y920" t="str">
            <v>Week 13</v>
          </cell>
          <cell r="Z920">
            <v>46104</v>
          </cell>
          <cell r="AA920">
            <v>3</v>
          </cell>
          <cell r="AB920">
            <v>8.6959999999999996E-2</v>
          </cell>
        </row>
        <row r="921">
          <cell r="A921" t="str">
            <v>F-2026-03-280</v>
          </cell>
          <cell r="B921"/>
          <cell r="C921" t="str">
            <v>RPRO-260317-0107</v>
          </cell>
          <cell r="D921" t="str">
            <v>Pro.sche.report 16.3</v>
          </cell>
          <cell r="E921" t="str">
            <v>BDB-000126</v>
          </cell>
          <cell r="F921" t="str">
            <v>PVN-002325</v>
          </cell>
          <cell r="G921" t="str">
            <v>OrthoLite Regular-Nike RED/19-1764TPX Flat Sheet 0.11D 25+/-4 Asker C 1.1M 2M 5.2mm</v>
          </cell>
          <cell r="H921">
            <v>104</v>
          </cell>
          <cell r="I921">
            <v>104</v>
          </cell>
          <cell r="J921">
            <v>104</v>
          </cell>
          <cell r="K921">
            <v>0</v>
          </cell>
          <cell r="L921" t="str">
            <v>NIKE</v>
          </cell>
          <cell r="M921" t="str">
            <v>Pr.Sch.R</v>
          </cell>
          <cell r="N921" t="str">
            <v>MOLDED</v>
          </cell>
          <cell r="O921">
            <v>1</v>
          </cell>
          <cell r="P921">
            <v>46098</v>
          </cell>
          <cell r="Q921">
            <v>46113</v>
          </cell>
          <cell r="R921">
            <v>46110</v>
          </cell>
          <cell r="S921">
            <v>15</v>
          </cell>
          <cell r="T921">
            <v>5.2</v>
          </cell>
          <cell r="U921">
            <v>26</v>
          </cell>
          <cell r="V921">
            <v>4</v>
          </cell>
          <cell r="W921" t="str">
            <v>0.11D</v>
          </cell>
          <cell r="X921" t="str">
            <v>4-2026</v>
          </cell>
          <cell r="Y921" t="str">
            <v>Week 13</v>
          </cell>
          <cell r="Z921">
            <v>46104</v>
          </cell>
          <cell r="AA921">
            <v>23</v>
          </cell>
          <cell r="AB921">
            <v>3.8460000000000001E-2</v>
          </cell>
        </row>
        <row r="922">
          <cell r="A922" t="str">
            <v>F-2026-03-281</v>
          </cell>
          <cell r="B922"/>
          <cell r="C922" t="str">
            <v>RPRO-260317-0108</v>
          </cell>
          <cell r="D922" t="str">
            <v>Pro.sche.report 16.3</v>
          </cell>
          <cell r="E922" t="str">
            <v>BDB-000125</v>
          </cell>
          <cell r="F922" t="str">
            <v>PVN-002413</v>
          </cell>
          <cell r="G922" t="str">
            <v>OrthoLite Regular-Nike AIR BLUE/16-4134TPX Flat Sheet 0.11D 25+/-4 Asker C 1.1M 2M 4.2mm</v>
          </cell>
          <cell r="H922">
            <v>627</v>
          </cell>
          <cell r="I922">
            <v>627</v>
          </cell>
          <cell r="J922">
            <v>627</v>
          </cell>
          <cell r="K922">
            <v>0</v>
          </cell>
          <cell r="L922" t="str">
            <v>NIKE</v>
          </cell>
          <cell r="M922" t="str">
            <v>Pr.Sch.R</v>
          </cell>
          <cell r="N922" t="str">
            <v>MOLDED</v>
          </cell>
          <cell r="O922">
            <v>1</v>
          </cell>
          <cell r="P922">
            <v>46098</v>
          </cell>
          <cell r="Q922">
            <v>46112</v>
          </cell>
          <cell r="R922">
            <v>46109</v>
          </cell>
          <cell r="S922">
            <v>14</v>
          </cell>
          <cell r="T922">
            <v>4.2</v>
          </cell>
          <cell r="U922">
            <v>33</v>
          </cell>
          <cell r="V922">
            <v>19</v>
          </cell>
          <cell r="W922" t="str">
            <v>0.11D</v>
          </cell>
          <cell r="X922" t="str">
            <v>3-2026</v>
          </cell>
          <cell r="Y922" t="str">
            <v>Week 13</v>
          </cell>
          <cell r="Z922">
            <v>46104</v>
          </cell>
          <cell r="AA922">
            <v>19</v>
          </cell>
          <cell r="AB922">
            <v>3.0300000000000001E-2</v>
          </cell>
        </row>
        <row r="923">
          <cell r="A923" t="str">
            <v>F-2026-03-282</v>
          </cell>
          <cell r="B923"/>
          <cell r="C923" t="str">
            <v>RPRO-260317-0109</v>
          </cell>
          <cell r="D923" t="str">
            <v>Pro.sche.report 16.3</v>
          </cell>
          <cell r="E923" t="str">
            <v>BDB-000313</v>
          </cell>
          <cell r="F923" t="str">
            <v>PVN-004061</v>
          </cell>
          <cell r="G923" t="str">
            <v>OrthoLite X-55 RED/19-1764TPX Flat Sheet 0.16D 25+/-4 Asker C 1.1M 1.47M 18mm</v>
          </cell>
          <cell r="H923">
            <v>14</v>
          </cell>
          <cell r="I923">
            <v>14</v>
          </cell>
          <cell r="J923">
            <v>0</v>
          </cell>
          <cell r="K923">
            <v>14</v>
          </cell>
          <cell r="L923" t="str">
            <v>WILSON</v>
          </cell>
          <cell r="M923" t="str">
            <v>Pr.Sch.R</v>
          </cell>
          <cell r="N923" t="str">
            <v>MOLDED</v>
          </cell>
          <cell r="O923">
            <v>1</v>
          </cell>
          <cell r="P923">
            <v>46098</v>
          </cell>
          <cell r="Q923">
            <v>46116</v>
          </cell>
          <cell r="R923">
            <v>46113</v>
          </cell>
          <cell r="S923">
            <v>18</v>
          </cell>
          <cell r="T923">
            <v>18</v>
          </cell>
          <cell r="U923">
            <v>7</v>
          </cell>
          <cell r="V923">
            <v>3</v>
          </cell>
          <cell r="W923" t="e">
            <v>#N/A</v>
          </cell>
          <cell r="X923" t="str">
            <v>4-2026</v>
          </cell>
          <cell r="Y923" t="str">
            <v>Week 13</v>
          </cell>
          <cell r="Z923">
            <v>46104</v>
          </cell>
          <cell r="AA923">
            <v>114</v>
          </cell>
          <cell r="AB923">
            <v>0.14285999999999999</v>
          </cell>
        </row>
        <row r="924">
          <cell r="A924" t="str">
            <v>F-2026-03-283</v>
          </cell>
          <cell r="B924"/>
          <cell r="C924" t="str">
            <v>RPRO-260317-0110</v>
          </cell>
          <cell r="D924" t="str">
            <v>Pro.sche.report 16.3</v>
          </cell>
          <cell r="E924" t="str">
            <v>BDB-000051</v>
          </cell>
          <cell r="F924" t="str">
            <v>PVN-003319</v>
          </cell>
          <cell r="G924" t="str">
            <v>OrthoLite X-40 TRUE BLUE/19-4057TPX Flat Sheet 0.16D 25+/-4 Asker C 1.1M 1.7M 12mm</v>
          </cell>
          <cell r="H924">
            <v>33</v>
          </cell>
          <cell r="I924">
            <v>33</v>
          </cell>
          <cell r="J924">
            <v>33</v>
          </cell>
          <cell r="K924">
            <v>0</v>
          </cell>
          <cell r="L924" t="str">
            <v>ASICS</v>
          </cell>
          <cell r="M924" t="str">
            <v>Pr.Sch.R</v>
          </cell>
          <cell r="N924" t="str">
            <v>MOLDED</v>
          </cell>
          <cell r="O924">
            <v>1</v>
          </cell>
          <cell r="P924">
            <v>46098</v>
          </cell>
          <cell r="Q924">
            <v>46111</v>
          </cell>
          <cell r="R924">
            <v>46108</v>
          </cell>
          <cell r="S924">
            <v>13</v>
          </cell>
          <cell r="T924">
            <v>12</v>
          </cell>
          <cell r="U924">
            <v>11.5</v>
          </cell>
          <cell r="V924">
            <v>3</v>
          </cell>
          <cell r="W924" t="str">
            <v>0.16D</v>
          </cell>
          <cell r="X924" t="str">
            <v>3-2026</v>
          </cell>
          <cell r="Y924" t="str">
            <v>Week 13</v>
          </cell>
          <cell r="Z924">
            <v>46104</v>
          </cell>
          <cell r="AA924">
            <v>122</v>
          </cell>
          <cell r="AB924">
            <v>8.6959999999999996E-2</v>
          </cell>
        </row>
        <row r="925">
          <cell r="A925" t="str">
            <v>F-2026-03-284</v>
          </cell>
          <cell r="B925"/>
          <cell r="C925" t="str">
            <v>RPRO-260317-0111</v>
          </cell>
          <cell r="D925" t="str">
            <v>Pro.sche.report 16.3</v>
          </cell>
          <cell r="E925" t="str">
            <v>BDB-000125</v>
          </cell>
          <cell r="F925" t="str">
            <v>PVN-001579</v>
          </cell>
          <cell r="G925" t="str">
            <v>OrthoLite Regular-Nike AIR BLUE/16-4134TPX Flat Sheet 0.11D 25+/-4 Asker C 1.1M 2M 4mm</v>
          </cell>
          <cell r="H925">
            <v>910</v>
          </cell>
          <cell r="I925">
            <v>910</v>
          </cell>
          <cell r="J925">
            <v>910</v>
          </cell>
          <cell r="K925">
            <v>0</v>
          </cell>
          <cell r="L925" t="str">
            <v>NIKE</v>
          </cell>
          <cell r="M925" t="str">
            <v>Pr.Sch.R</v>
          </cell>
          <cell r="N925" t="str">
            <v>DIE CUT</v>
          </cell>
          <cell r="O925">
            <v>1</v>
          </cell>
          <cell r="P925">
            <v>46098</v>
          </cell>
          <cell r="Q925">
            <v>46111</v>
          </cell>
          <cell r="R925">
            <v>46108</v>
          </cell>
          <cell r="S925">
            <v>13</v>
          </cell>
          <cell r="T925">
            <v>4</v>
          </cell>
          <cell r="U925">
            <v>35</v>
          </cell>
          <cell r="V925">
            <v>26</v>
          </cell>
          <cell r="W925" t="str">
            <v>0.11D</v>
          </cell>
          <cell r="X925" t="str">
            <v>3-2026</v>
          </cell>
          <cell r="Y925" t="str">
            <v>Week 13</v>
          </cell>
          <cell r="Z925">
            <v>46104</v>
          </cell>
          <cell r="AA925">
            <v>43</v>
          </cell>
          <cell r="AB925">
            <v>2.8570000000000002E-2</v>
          </cell>
        </row>
        <row r="926">
          <cell r="A926" t="str">
            <v>F-2026-03-285</v>
          </cell>
          <cell r="B926"/>
          <cell r="C926" t="str">
            <v>RPRO-260317-0112</v>
          </cell>
          <cell r="D926" t="str">
            <v>Pro.sche.report 16.3</v>
          </cell>
          <cell r="E926" t="str">
            <v>BDB-000113</v>
          </cell>
          <cell r="F926" t="str">
            <v>PVN-002515</v>
          </cell>
          <cell r="G926" t="str">
            <v>OrthoLite Regular-Hybrid SEEDPEARL/12-0703TPX Hybrid Flat Sheet 0.11D 25+/-4 Asker C 1.1M 2M 11mm</v>
          </cell>
          <cell r="H926">
            <v>24</v>
          </cell>
          <cell r="I926">
            <v>24</v>
          </cell>
          <cell r="J926">
            <v>24</v>
          </cell>
          <cell r="K926">
            <v>0</v>
          </cell>
          <cell r="L926" t="str">
            <v>ASICS</v>
          </cell>
          <cell r="M926" t="str">
            <v>Pr.Sch.R</v>
          </cell>
          <cell r="N926" t="str">
            <v>MOLDED</v>
          </cell>
          <cell r="O926">
            <v>1</v>
          </cell>
          <cell r="P926">
            <v>46098</v>
          </cell>
          <cell r="Q926">
            <v>46111</v>
          </cell>
          <cell r="R926">
            <v>46108</v>
          </cell>
          <cell r="S926">
            <v>13</v>
          </cell>
          <cell r="T926">
            <v>11</v>
          </cell>
          <cell r="U926">
            <v>12</v>
          </cell>
          <cell r="V926">
            <v>2</v>
          </cell>
          <cell r="W926" t="str">
            <v>0.11D</v>
          </cell>
          <cell r="X926" t="str">
            <v>3-2026</v>
          </cell>
          <cell r="Y926" t="str">
            <v>Week 13</v>
          </cell>
          <cell r="Z926">
            <v>46104</v>
          </cell>
          <cell r="AA926">
            <v>53</v>
          </cell>
          <cell r="AB926">
            <v>8.3330000000000001E-2</v>
          </cell>
        </row>
        <row r="927">
          <cell r="A927" t="str">
            <v>F-2026-03-286</v>
          </cell>
          <cell r="B927"/>
          <cell r="C927" t="str">
            <v>RPRO-260317-0113</v>
          </cell>
          <cell r="D927" t="str">
            <v>Pro.sche.report 16.3</v>
          </cell>
          <cell r="E927" t="str">
            <v>BDB-000149</v>
          </cell>
          <cell r="F927" t="str">
            <v>PVN-002827</v>
          </cell>
          <cell r="G927" t="str">
            <v>OrthoLite Regular-Hybrid-Nike SEEDPEARL/12-0703TPX Hybrid Flat Sheet 0.11D 25+/-4 Asker C 1.1M 2M 5mm</v>
          </cell>
          <cell r="H927">
            <v>28</v>
          </cell>
          <cell r="I927">
            <v>28</v>
          </cell>
          <cell r="J927">
            <v>28</v>
          </cell>
          <cell r="K927">
            <v>0</v>
          </cell>
          <cell r="L927" t="str">
            <v>NIKE</v>
          </cell>
          <cell r="M927" t="str">
            <v>Pr.Sch.R</v>
          </cell>
          <cell r="N927" t="str">
            <v>MOLDED</v>
          </cell>
          <cell r="O927">
            <v>1</v>
          </cell>
          <cell r="P927">
            <v>46098</v>
          </cell>
          <cell r="Q927">
            <v>46108</v>
          </cell>
          <cell r="R927">
            <v>46105</v>
          </cell>
          <cell r="S927">
            <v>10</v>
          </cell>
          <cell r="T927">
            <v>5</v>
          </cell>
          <cell r="U927">
            <v>28</v>
          </cell>
          <cell r="V927">
            <v>1</v>
          </cell>
          <cell r="W927" t="str">
            <v>0.11D</v>
          </cell>
          <cell r="X927" t="str">
            <v>3-2026</v>
          </cell>
          <cell r="Y927" t="str">
            <v>Week 12</v>
          </cell>
          <cell r="Z927">
            <v>46097</v>
          </cell>
          <cell r="AA927">
            <v>18</v>
          </cell>
          <cell r="AB927">
            <v>3.5709999999999999E-2</v>
          </cell>
        </row>
        <row r="928">
          <cell r="A928" t="str">
            <v>F-2026-03-287</v>
          </cell>
          <cell r="B928"/>
          <cell r="C928" t="str">
            <v>RPRO-260317-0114</v>
          </cell>
          <cell r="D928" t="str">
            <v>Pro.sche.report 16.3</v>
          </cell>
          <cell r="E928" t="str">
            <v>BDB-000229</v>
          </cell>
          <cell r="F928" t="str">
            <v>PVN-003692</v>
          </cell>
          <cell r="G928" t="str">
            <v>OrthoLite Ultra-Hybrid SEEDPEARL/12-0703TPX Hybrid Flat Sheet 0.095D 33+/-4 Asker C 1.1M 2M 15.5mm</v>
          </cell>
          <cell r="H928">
            <v>24</v>
          </cell>
          <cell r="I928">
            <v>24</v>
          </cell>
          <cell r="J928">
            <v>24</v>
          </cell>
          <cell r="K928">
            <v>0</v>
          </cell>
          <cell r="L928" t="str">
            <v>GARMONT</v>
          </cell>
          <cell r="M928" t="str">
            <v>Pr.Sch.R</v>
          </cell>
          <cell r="N928" t="str">
            <v>MOLDED</v>
          </cell>
          <cell r="O928">
            <v>1</v>
          </cell>
          <cell r="P928">
            <v>46098</v>
          </cell>
          <cell r="Q928">
            <v>46111</v>
          </cell>
          <cell r="R928">
            <v>46108</v>
          </cell>
          <cell r="S928">
            <v>13</v>
          </cell>
          <cell r="T928">
            <v>15.5</v>
          </cell>
          <cell r="U928">
            <v>8</v>
          </cell>
          <cell r="V928">
            <v>3</v>
          </cell>
          <cell r="W928" t="str">
            <v>0.095D</v>
          </cell>
          <cell r="X928" t="str">
            <v>3-2026</v>
          </cell>
          <cell r="Y928" t="str">
            <v>Week 13</v>
          </cell>
          <cell r="Z928">
            <v>46104</v>
          </cell>
          <cell r="AA928">
            <v>5</v>
          </cell>
          <cell r="AB928">
            <v>0.125</v>
          </cell>
        </row>
        <row r="929">
          <cell r="A929" t="str">
            <v>F-2026-03-288</v>
          </cell>
          <cell r="B929"/>
          <cell r="C929" t="str">
            <v>RPRO-260317-0115</v>
          </cell>
          <cell r="D929" t="str">
            <v>Pro.sche.report 16.3</v>
          </cell>
          <cell r="E929" t="str">
            <v>BDB-000319</v>
          </cell>
          <cell r="F929" t="str">
            <v>PVN-004081</v>
          </cell>
          <cell r="G929" t="str">
            <v>OrthoLite X-40-Hybrid-Nike SEEDPEARL/12-0703TPX Hybrid Flat Sheet 0.16D 25+/-4 Asker C 1.1M 2M 6mm</v>
          </cell>
          <cell r="H929">
            <v>23</v>
          </cell>
          <cell r="I929">
            <v>23</v>
          </cell>
          <cell r="J929">
            <v>0</v>
          </cell>
          <cell r="K929">
            <v>23</v>
          </cell>
          <cell r="L929" t="str">
            <v>NIKE</v>
          </cell>
          <cell r="M929" t="str">
            <v>Pr.Sch.R</v>
          </cell>
          <cell r="N929" t="str">
            <v>MOLDED</v>
          </cell>
          <cell r="O929">
            <v>1</v>
          </cell>
          <cell r="P929">
            <v>46098</v>
          </cell>
          <cell r="Q929">
            <v>46115</v>
          </cell>
          <cell r="R929">
            <v>46112</v>
          </cell>
          <cell r="S929">
            <v>17</v>
          </cell>
          <cell r="T929">
            <v>6</v>
          </cell>
          <cell r="U929">
            <v>23</v>
          </cell>
          <cell r="V929">
            <v>2</v>
          </cell>
          <cell r="W929" t="e">
            <v>#N/A</v>
          </cell>
          <cell r="X929" t="str">
            <v>4-2026</v>
          </cell>
          <cell r="Y929" t="str">
            <v>Week 13</v>
          </cell>
          <cell r="Z929">
            <v>46104</v>
          </cell>
          <cell r="AA929">
            <v>57</v>
          </cell>
          <cell r="AB929">
            <v>4.3479999999999998E-2</v>
          </cell>
        </row>
        <row r="930">
          <cell r="A930" t="str">
            <v>F-2026-03-289</v>
          </cell>
          <cell r="B930"/>
          <cell r="C930" t="str">
            <v>RPRO-260317-0116</v>
          </cell>
          <cell r="D930" t="str">
            <v>Pro.sche.report 16.3</v>
          </cell>
          <cell r="E930" t="str">
            <v>BDB-000149</v>
          </cell>
          <cell r="F930" t="str">
            <v>PVN-002773</v>
          </cell>
          <cell r="G930" t="str">
            <v>OrthoLite Regular-Hybrid-Nike SEEDPEARL/12-0703TPX Hybrid Flat Sheet 0.11D 25+/-4 Asker C 1.1M 2M 4mm</v>
          </cell>
          <cell r="H930">
            <v>70</v>
          </cell>
          <cell r="I930">
            <v>70</v>
          </cell>
          <cell r="J930">
            <v>70</v>
          </cell>
          <cell r="K930">
            <v>0</v>
          </cell>
          <cell r="L930" t="str">
            <v>NIKE</v>
          </cell>
          <cell r="M930" t="str">
            <v>Pr.Sch.R</v>
          </cell>
          <cell r="N930" t="str">
            <v>DIE CUT</v>
          </cell>
          <cell r="O930">
            <v>1</v>
          </cell>
          <cell r="P930">
            <v>46098</v>
          </cell>
          <cell r="Q930">
            <v>46109</v>
          </cell>
          <cell r="R930">
            <v>46106</v>
          </cell>
          <cell r="S930">
            <v>11</v>
          </cell>
          <cell r="T930">
            <v>4</v>
          </cell>
          <cell r="U930">
            <v>35</v>
          </cell>
          <cell r="V930">
            <v>2</v>
          </cell>
          <cell r="W930" t="str">
            <v>0.11D</v>
          </cell>
          <cell r="X930" t="str">
            <v>3-2026</v>
          </cell>
          <cell r="Y930" t="str">
            <v>Week 13</v>
          </cell>
          <cell r="Z930">
            <v>46104</v>
          </cell>
          <cell r="AA930">
            <v>51</v>
          </cell>
          <cell r="AB930">
            <v>2.8570000000000002E-2</v>
          </cell>
        </row>
        <row r="931">
          <cell r="A931" t="str">
            <v>F-2026-03-290</v>
          </cell>
          <cell r="B931"/>
          <cell r="C931" t="str">
            <v>RPRO-260317-0117</v>
          </cell>
          <cell r="D931" t="str">
            <v>Pro.sche.report 16.3</v>
          </cell>
          <cell r="E931" t="str">
            <v>BDB-000076</v>
          </cell>
          <cell r="F931" t="str">
            <v>PVN-003341</v>
          </cell>
          <cell r="G931" t="str">
            <v>OrthoLite X-25 BILLIARD/16-5427TPX Flat Sheet 0.12D 20+/-4 Asker C 1.1M 2M 6mm</v>
          </cell>
          <cell r="H931">
            <v>46</v>
          </cell>
          <cell r="I931">
            <v>46</v>
          </cell>
          <cell r="J931">
            <v>46</v>
          </cell>
          <cell r="K931">
            <v>0</v>
          </cell>
          <cell r="L931" t="str">
            <v>LOTTO</v>
          </cell>
          <cell r="M931" t="str">
            <v>Pr.Sch.R</v>
          </cell>
          <cell r="N931" t="str">
            <v>MOLDED</v>
          </cell>
          <cell r="O931">
            <v>1</v>
          </cell>
          <cell r="P931">
            <v>46098</v>
          </cell>
          <cell r="Q931">
            <v>46115</v>
          </cell>
          <cell r="R931">
            <v>46112</v>
          </cell>
          <cell r="S931">
            <v>17</v>
          </cell>
          <cell r="T931">
            <v>6</v>
          </cell>
          <cell r="U931">
            <v>23</v>
          </cell>
          <cell r="V931">
            <v>3</v>
          </cell>
          <cell r="W931" t="str">
            <v>0.12D</v>
          </cell>
          <cell r="X931" t="str">
            <v>4-2026</v>
          </cell>
          <cell r="Y931" t="str">
            <v>Week 13</v>
          </cell>
          <cell r="Z931">
            <v>46104</v>
          </cell>
          <cell r="AA931">
            <v>140</v>
          </cell>
          <cell r="AB931">
            <v>4.3479999999999998E-2</v>
          </cell>
        </row>
        <row r="932">
          <cell r="A932" t="str">
            <v>F-2026-03-291</v>
          </cell>
          <cell r="B932"/>
          <cell r="C932" t="str">
            <v>RPRO-260317-0118</v>
          </cell>
          <cell r="D932" t="str">
            <v>Pro.sche.report 16.3</v>
          </cell>
          <cell r="E932" t="str">
            <v>BDB-000317</v>
          </cell>
          <cell r="F932" t="str">
            <v>PVN-004293</v>
          </cell>
          <cell r="G932" t="str">
            <v>OrthoLite Regular NEUTRAL GRAY/17-4402TPX Flat Sheet 0.13D 15+/-4 Asker C 1.1M 2M 22mm</v>
          </cell>
          <cell r="H932">
            <v>96</v>
          </cell>
          <cell r="I932">
            <v>96</v>
          </cell>
          <cell r="J932">
            <v>96</v>
          </cell>
          <cell r="K932">
            <v>0</v>
          </cell>
          <cell r="L932" t="str">
            <v>TRAVIS MATHEW</v>
          </cell>
          <cell r="M932" t="str">
            <v>Pr.Sch.R</v>
          </cell>
          <cell r="N932" t="str">
            <v>MOLDED</v>
          </cell>
          <cell r="O932">
            <v>1</v>
          </cell>
          <cell r="P932">
            <v>46098</v>
          </cell>
          <cell r="Q932">
            <v>46115</v>
          </cell>
          <cell r="R932">
            <v>46112</v>
          </cell>
          <cell r="S932">
            <v>17</v>
          </cell>
          <cell r="T932">
            <v>22</v>
          </cell>
          <cell r="U932">
            <v>6</v>
          </cell>
          <cell r="V932">
            <v>17</v>
          </cell>
          <cell r="W932" t="e">
            <v>#N/A</v>
          </cell>
          <cell r="X932" t="str">
            <v>4-2026</v>
          </cell>
          <cell r="Y932" t="str">
            <v>Week 13</v>
          </cell>
          <cell r="Z932">
            <v>46104</v>
          </cell>
          <cell r="AA932">
            <v>37</v>
          </cell>
          <cell r="AB932">
            <v>0.16667000000000001</v>
          </cell>
        </row>
        <row r="933">
          <cell r="A933" t="str">
            <v>F-2026-03-292</v>
          </cell>
          <cell r="B933"/>
          <cell r="C933" t="str">
            <v>FPRO-260317-0002</v>
          </cell>
          <cell r="D933" t="str">
            <v>Firm plan 17.03</v>
          </cell>
          <cell r="E933" t="str">
            <v>BDB-000234</v>
          </cell>
          <cell r="F933" t="str">
            <v>PVN-003581</v>
          </cell>
          <cell r="G933" t="str">
            <v>OrthoLite X-30-Hybrid BROWN SUGAR/17-1134TPX Hybrid Flat Sheet 0.13D 25+/-4 Asker C 1.1M 2M 12mm</v>
          </cell>
          <cell r="H933">
            <v>900</v>
          </cell>
          <cell r="I933">
            <v>900</v>
          </cell>
          <cell r="J933">
            <v>0</v>
          </cell>
          <cell r="K933">
            <v>900</v>
          </cell>
          <cell r="L933" t="str">
            <v>ASICS</v>
          </cell>
          <cell r="M933" t="str">
            <v>Forecast</v>
          </cell>
          <cell r="N933" t="str">
            <v>MOLDED</v>
          </cell>
          <cell r="O933">
            <v>1</v>
          </cell>
          <cell r="P933">
            <v>46098</v>
          </cell>
          <cell r="Q933">
            <v>46125</v>
          </cell>
          <cell r="R933">
            <v>46122</v>
          </cell>
          <cell r="S933">
            <v>27</v>
          </cell>
          <cell r="T933">
            <v>12</v>
          </cell>
          <cell r="U933">
            <v>11.5</v>
          </cell>
          <cell r="V933">
            <v>79</v>
          </cell>
          <cell r="W933" t="str">
            <v>0.13D</v>
          </cell>
          <cell r="X933" t="str">
            <v>4-2026</v>
          </cell>
          <cell r="Y933" t="str">
            <v>Week 15</v>
          </cell>
          <cell r="Z933">
            <v>46118</v>
          </cell>
          <cell r="AA933">
            <v>215</v>
          </cell>
          <cell r="AB933">
            <v>8.6959999999999996E-2</v>
          </cell>
        </row>
        <row r="934">
          <cell r="A934" t="str">
            <v>F-2026-03-293</v>
          </cell>
          <cell r="B934"/>
          <cell r="C934" t="str">
            <v>FPRO-260317-0001</v>
          </cell>
          <cell r="D934" t="str">
            <v>Firm plan 17.03</v>
          </cell>
          <cell r="E934" t="str">
            <v>BDB-000113</v>
          </cell>
          <cell r="F934" t="str">
            <v>PVN-003414</v>
          </cell>
          <cell r="G934" t="str">
            <v>OrthoLite Regular-Hybrid SEEDPEARL/12-0703TPX Hybrid Flat Sheet 0.11D 25+/-4 Asker C 1.1M 2M 12mm</v>
          </cell>
          <cell r="H934">
            <v>2100</v>
          </cell>
          <cell r="I934">
            <v>2100</v>
          </cell>
          <cell r="J934">
            <v>0</v>
          </cell>
          <cell r="K934">
            <v>2100</v>
          </cell>
          <cell r="L934" t="str">
            <v>ASICS</v>
          </cell>
          <cell r="M934" t="str">
            <v>Forecast</v>
          </cell>
          <cell r="N934" t="str">
            <v>MOLDED</v>
          </cell>
          <cell r="O934">
            <v>1</v>
          </cell>
          <cell r="P934">
            <v>46098</v>
          </cell>
          <cell r="Q934">
            <v>46136</v>
          </cell>
          <cell r="R934">
            <v>46133</v>
          </cell>
          <cell r="S934">
            <v>38</v>
          </cell>
          <cell r="T934">
            <v>12</v>
          </cell>
          <cell r="U934">
            <v>11.5</v>
          </cell>
          <cell r="V934">
            <v>183</v>
          </cell>
          <cell r="W934" t="str">
            <v>0.11D</v>
          </cell>
          <cell r="X934" t="str">
            <v>4-2026</v>
          </cell>
          <cell r="Y934" t="str">
            <v>Week 16</v>
          </cell>
          <cell r="Z934">
            <v>46125</v>
          </cell>
          <cell r="AA934">
            <v>27</v>
          </cell>
          <cell r="AB934">
            <v>8.6959999999999996E-2</v>
          </cell>
        </row>
        <row r="935">
          <cell r="A935" t="str">
            <v>F-2026-03-294</v>
          </cell>
          <cell r="B935"/>
          <cell r="C935" t="str">
            <v>FPRO-260317-0003</v>
          </cell>
          <cell r="D935" t="str">
            <v>Firm plan 17.03</v>
          </cell>
          <cell r="E935" t="str">
            <v>BDB-000113</v>
          </cell>
          <cell r="F935" t="str">
            <v>PVN-002465</v>
          </cell>
          <cell r="G935" t="str">
            <v>OrthoLite Regular-Hybrid SEEDPEARL/12-0703TPX Hybrid Flat Sheet 0.11D 25+/-4 Asker C 1.1M 2M 5mm</v>
          </cell>
          <cell r="H935">
            <v>2500</v>
          </cell>
          <cell r="I935">
            <v>2500</v>
          </cell>
          <cell r="J935">
            <v>2500</v>
          </cell>
          <cell r="K935">
            <v>0</v>
          </cell>
          <cell r="L935" t="str">
            <v>ASICS</v>
          </cell>
          <cell r="M935" t="str">
            <v>Forecast</v>
          </cell>
          <cell r="N935" t="str">
            <v>DIE CUT</v>
          </cell>
          <cell r="O935">
            <v>1</v>
          </cell>
          <cell r="P935">
            <v>46098</v>
          </cell>
          <cell r="Q935">
            <v>46108</v>
          </cell>
          <cell r="R935">
            <v>46105</v>
          </cell>
          <cell r="S935">
            <v>10</v>
          </cell>
          <cell r="T935">
            <v>5</v>
          </cell>
          <cell r="U935">
            <v>28</v>
          </cell>
          <cell r="V935">
            <v>90</v>
          </cell>
          <cell r="W935" t="str">
            <v>0.11D</v>
          </cell>
          <cell r="X935" t="str">
            <v>3-2026</v>
          </cell>
          <cell r="Y935" t="str">
            <v>Week 12</v>
          </cell>
          <cell r="Z935">
            <v>46097</v>
          </cell>
          <cell r="AA935">
            <v>3</v>
          </cell>
          <cell r="AB935">
            <v>3.5709999999999999E-2</v>
          </cell>
        </row>
        <row r="936">
          <cell r="A936" t="str">
            <v>F-2026-03-295</v>
          </cell>
          <cell r="B936"/>
          <cell r="C936" t="str">
            <v>FPRO-260317-0004</v>
          </cell>
          <cell r="D936" t="str">
            <v>Firm plan 17.03</v>
          </cell>
          <cell r="E936" t="str">
            <v>BDB-000113</v>
          </cell>
          <cell r="F936" t="str">
            <v>PVN-002465</v>
          </cell>
          <cell r="G936" t="str">
            <v>OrthoLite Regular-Hybrid SEEDPEARL/12-0703TPX Hybrid Flat Sheet 0.11D 25+/-4 Asker C 1.1M 2M 5mm</v>
          </cell>
          <cell r="H936">
            <v>2500</v>
          </cell>
          <cell r="I936">
            <v>2500</v>
          </cell>
          <cell r="J936">
            <v>2500</v>
          </cell>
          <cell r="K936">
            <v>0</v>
          </cell>
          <cell r="L936" t="str">
            <v>ASICS</v>
          </cell>
          <cell r="M936" t="str">
            <v>Forecast</v>
          </cell>
          <cell r="N936" t="str">
            <v>DIE CUT</v>
          </cell>
          <cell r="O936">
            <v>1</v>
          </cell>
          <cell r="P936">
            <v>46098</v>
          </cell>
          <cell r="Q936">
            <v>46108</v>
          </cell>
          <cell r="R936">
            <v>46105</v>
          </cell>
          <cell r="S936">
            <v>10</v>
          </cell>
          <cell r="T936">
            <v>5</v>
          </cell>
          <cell r="U936">
            <v>28</v>
          </cell>
          <cell r="V936">
            <v>90</v>
          </cell>
          <cell r="W936" t="str">
            <v>0.11D</v>
          </cell>
          <cell r="X936" t="str">
            <v>3-2026</v>
          </cell>
          <cell r="Y936" t="str">
            <v>Week 12</v>
          </cell>
          <cell r="Z936">
            <v>46097</v>
          </cell>
          <cell r="AA936">
            <v>57</v>
          </cell>
          <cell r="AB936">
            <v>3.5709999999999999E-2</v>
          </cell>
        </row>
        <row r="937">
          <cell r="A937" t="str">
            <v>F-2026-03-296</v>
          </cell>
          <cell r="B937"/>
          <cell r="C937" t="str">
            <v>FPRO-260317-0005</v>
          </cell>
          <cell r="D937" t="str">
            <v>Firm plan 17.03</v>
          </cell>
          <cell r="E937" t="str">
            <v>BDB-000113</v>
          </cell>
          <cell r="F937" t="str">
            <v>PVN-002465</v>
          </cell>
          <cell r="G937" t="str">
            <v>OrthoLite Regular-Hybrid SEEDPEARL/12-0703TPX Hybrid Flat Sheet 0.11D 25+/-4 Asker C 1.1M 2M 5mm</v>
          </cell>
          <cell r="H937">
            <v>2500</v>
          </cell>
          <cell r="I937">
            <v>2500</v>
          </cell>
          <cell r="J937">
            <v>0</v>
          </cell>
          <cell r="K937">
            <v>2500</v>
          </cell>
          <cell r="L937" t="str">
            <v>ASICS</v>
          </cell>
          <cell r="M937" t="str">
            <v>Forecast</v>
          </cell>
          <cell r="N937" t="str">
            <v>DIE CUT</v>
          </cell>
          <cell r="O937">
            <v>1</v>
          </cell>
          <cell r="P937">
            <v>46098</v>
          </cell>
          <cell r="Q937">
            <v>46155</v>
          </cell>
          <cell r="R937">
            <v>46152</v>
          </cell>
          <cell r="S937">
            <v>57</v>
          </cell>
          <cell r="T937">
            <v>5</v>
          </cell>
          <cell r="U937">
            <v>28</v>
          </cell>
          <cell r="V937">
            <v>90</v>
          </cell>
          <cell r="W937" t="str">
            <v>0.11D</v>
          </cell>
          <cell r="X937" t="str">
            <v>5-2026</v>
          </cell>
          <cell r="Y937" t="str">
            <v>Week 19</v>
          </cell>
          <cell r="Z937">
            <v>46146</v>
          </cell>
          <cell r="AA937">
            <v>85</v>
          </cell>
          <cell r="AB937">
            <v>3.5709999999999999E-2</v>
          </cell>
        </row>
        <row r="938">
          <cell r="A938" t="str">
            <v>F-2026-03-297</v>
          </cell>
          <cell r="B938"/>
          <cell r="C938" t="str">
            <v>FPRO-260317-0006</v>
          </cell>
          <cell r="D938" t="str">
            <v>Firm plan 17.03</v>
          </cell>
          <cell r="E938" t="str">
            <v>BDB-000113</v>
          </cell>
          <cell r="F938" t="str">
            <v>PVN-002465</v>
          </cell>
          <cell r="G938" t="str">
            <v>OrthoLite Regular-Hybrid SEEDPEARL/12-0703TPX Hybrid Flat Sheet 0.11D 25+/-4 Asker C 1.1M 2M 5mm</v>
          </cell>
          <cell r="H938">
            <v>2500</v>
          </cell>
          <cell r="I938">
            <v>2500</v>
          </cell>
          <cell r="J938">
            <v>0</v>
          </cell>
          <cell r="K938">
            <v>2500</v>
          </cell>
          <cell r="L938" t="str">
            <v>ASICS</v>
          </cell>
          <cell r="M938" t="str">
            <v>Forecast</v>
          </cell>
          <cell r="N938" t="str">
            <v>DIE CUT</v>
          </cell>
          <cell r="O938">
            <v>1</v>
          </cell>
          <cell r="P938">
            <v>46098</v>
          </cell>
          <cell r="Q938">
            <v>46125</v>
          </cell>
          <cell r="R938">
            <v>46122</v>
          </cell>
          <cell r="S938">
            <v>27</v>
          </cell>
          <cell r="T938">
            <v>5</v>
          </cell>
          <cell r="U938">
            <v>28</v>
          </cell>
          <cell r="V938">
            <v>90</v>
          </cell>
          <cell r="W938" t="str">
            <v>0.11D</v>
          </cell>
          <cell r="X938" t="str">
            <v>4-2026</v>
          </cell>
          <cell r="Y938" t="str">
            <v>Week 15</v>
          </cell>
          <cell r="Z938">
            <v>46118</v>
          </cell>
          <cell r="AA938">
            <v>8</v>
          </cell>
          <cell r="AB938">
            <v>3.5709999999999999E-2</v>
          </cell>
        </row>
        <row r="939">
          <cell r="A939" t="str">
            <v>F-2026-03-298</v>
          </cell>
          <cell r="B939"/>
          <cell r="C939" t="str">
            <v>FPRO-260317-0007</v>
          </cell>
          <cell r="D939" t="str">
            <v>Firm plan 17.03</v>
          </cell>
          <cell r="E939" t="str">
            <v>BDB-000113</v>
          </cell>
          <cell r="F939" t="str">
            <v>PVN-002465</v>
          </cell>
          <cell r="G939" t="str">
            <v>OrthoLite Regular-Hybrid SEEDPEARL/12-0703TPX Hybrid Flat Sheet 0.11D 25+/-4 Asker C 1.1M 2M 5mm</v>
          </cell>
          <cell r="H939">
            <v>2500</v>
          </cell>
          <cell r="I939">
            <v>2500</v>
          </cell>
          <cell r="J939">
            <v>0</v>
          </cell>
          <cell r="K939">
            <v>2500</v>
          </cell>
          <cell r="L939" t="str">
            <v>ASICS</v>
          </cell>
          <cell r="M939" t="str">
            <v>Forecast</v>
          </cell>
          <cell r="N939" t="str">
            <v>DIE CUT</v>
          </cell>
          <cell r="O939" t="str">
            <v>1-SLT</v>
          </cell>
          <cell r="P939">
            <v>46098</v>
          </cell>
          <cell r="Q939">
            <v>46136</v>
          </cell>
          <cell r="R939">
            <v>46133</v>
          </cell>
          <cell r="S939">
            <v>38</v>
          </cell>
          <cell r="T939">
            <v>5</v>
          </cell>
          <cell r="U939">
            <v>28</v>
          </cell>
          <cell r="V939">
            <v>90</v>
          </cell>
          <cell r="W939" t="str">
            <v>0.11D</v>
          </cell>
          <cell r="X939" t="str">
            <v>4-2026</v>
          </cell>
          <cell r="Y939" t="str">
            <v>Week 16</v>
          </cell>
          <cell r="Z939">
            <v>46125</v>
          </cell>
          <cell r="AA939">
            <v>8</v>
          </cell>
          <cell r="AB939">
            <v>3.5709999999999999E-2</v>
          </cell>
        </row>
        <row r="940">
          <cell r="A940" t="str">
            <v>F-2026-03-299</v>
          </cell>
          <cell r="B940"/>
          <cell r="C940" t="str">
            <v>FPRO-260317-0008</v>
          </cell>
          <cell r="D940" t="str">
            <v>Firm plan 17.03</v>
          </cell>
          <cell r="E940" t="str">
            <v>BDB-000113</v>
          </cell>
          <cell r="F940" t="str">
            <v>PVN-002465</v>
          </cell>
          <cell r="G940" t="str">
            <v>OrthoLite Regular-Hybrid SEEDPEARL/12-0703TPX Hybrid Flat Sheet 0.11D 25+/-4 Asker C 1.1M 2M 5mm</v>
          </cell>
          <cell r="H940">
            <v>2500</v>
          </cell>
          <cell r="I940">
            <v>2500</v>
          </cell>
          <cell r="J940">
            <v>0</v>
          </cell>
          <cell r="K940">
            <v>2500</v>
          </cell>
          <cell r="L940" t="str">
            <v>ASICS</v>
          </cell>
          <cell r="M940" t="str">
            <v>Forecast</v>
          </cell>
          <cell r="N940" t="str">
            <v>DIE CUT</v>
          </cell>
          <cell r="O940">
            <v>1</v>
          </cell>
          <cell r="P940">
            <v>46098</v>
          </cell>
          <cell r="Q940">
            <v>46127</v>
          </cell>
          <cell r="R940">
            <v>46124</v>
          </cell>
          <cell r="S940">
            <v>29</v>
          </cell>
          <cell r="T940">
            <v>5</v>
          </cell>
          <cell r="U940">
            <v>28</v>
          </cell>
          <cell r="V940">
            <v>90</v>
          </cell>
          <cell r="W940" t="str">
            <v>0.11D</v>
          </cell>
          <cell r="X940" t="str">
            <v>4-2026</v>
          </cell>
          <cell r="Y940" t="str">
            <v>Week 15</v>
          </cell>
          <cell r="Z940">
            <v>46118</v>
          </cell>
          <cell r="AA940">
            <v>85</v>
          </cell>
          <cell r="AB940">
            <v>3.5709999999999999E-2</v>
          </cell>
        </row>
        <row r="941">
          <cell r="A941" t="str">
            <v>F-2026-03-300</v>
          </cell>
          <cell r="B941"/>
          <cell r="C941" t="str">
            <v>RPRO-260319-0532</v>
          </cell>
          <cell r="D941" t="str">
            <v>MPS 17.3+18.3</v>
          </cell>
          <cell r="E941" t="str">
            <v>BDB-000011</v>
          </cell>
          <cell r="F941" t="str">
            <v>PVN-000127</v>
          </cell>
          <cell r="G941" t="str">
            <v>OrthoLite Regular AIR BLUE/16-4134TPX Flat Sheet 0.13D 35+/-4 Asker C 1.1M 2M 5mm</v>
          </cell>
          <cell r="H941">
            <v>28</v>
          </cell>
          <cell r="I941">
            <v>28</v>
          </cell>
          <cell r="J941">
            <v>28</v>
          </cell>
          <cell r="K941">
            <v>0</v>
          </cell>
          <cell r="L941"/>
          <cell r="M941" t="str">
            <v>MPS</v>
          </cell>
          <cell r="N941" t="str">
            <v>SPLITTING</v>
          </cell>
          <cell r="O941">
            <v>2</v>
          </cell>
          <cell r="P941">
            <v>46100</v>
          </cell>
          <cell r="Q941">
            <v>46108</v>
          </cell>
          <cell r="R941">
            <v>46105</v>
          </cell>
          <cell r="S941">
            <v>8</v>
          </cell>
          <cell r="T941">
            <v>5</v>
          </cell>
          <cell r="U941">
            <v>28</v>
          </cell>
          <cell r="V941">
            <v>1</v>
          </cell>
          <cell r="W941" t="str">
            <v>0.13D</v>
          </cell>
          <cell r="X941" t="str">
            <v>3-2026</v>
          </cell>
          <cell r="Y941" t="str">
            <v>Week 13</v>
          </cell>
          <cell r="Z941">
            <v>46104</v>
          </cell>
          <cell r="AA941">
            <v>114</v>
          </cell>
          <cell r="AB941">
            <v>3.5709999999999999E-2</v>
          </cell>
        </row>
        <row r="942">
          <cell r="A942" t="str">
            <v>F-2026-03-301</v>
          </cell>
          <cell r="B942"/>
          <cell r="C942" t="str">
            <v>RPRO-260319-0533</v>
          </cell>
          <cell r="D942" t="str">
            <v>MPS 17.3+18.3</v>
          </cell>
          <cell r="E942" t="str">
            <v>BDB-000083</v>
          </cell>
          <cell r="F942" t="str">
            <v>PVN-000930</v>
          </cell>
          <cell r="G942" t="str">
            <v>OrthoLite Eco LT 300C(ADIDAS BLUEBIRD) Flat Sheet 0.11D 25+/-4 Asker C 1.1M 2M 3mm</v>
          </cell>
          <cell r="H942">
            <v>46</v>
          </cell>
          <cell r="I942">
            <v>46</v>
          </cell>
          <cell r="J942">
            <v>46</v>
          </cell>
          <cell r="K942">
            <v>0</v>
          </cell>
          <cell r="L942"/>
          <cell r="M942" t="str">
            <v>MPS</v>
          </cell>
          <cell r="N942" t="str">
            <v>SPLITTING</v>
          </cell>
          <cell r="O942">
            <v>2</v>
          </cell>
          <cell r="P942">
            <v>46100</v>
          </cell>
          <cell r="Q942">
            <v>46115</v>
          </cell>
          <cell r="R942">
            <v>46112</v>
          </cell>
          <cell r="S942">
            <v>15</v>
          </cell>
          <cell r="T942">
            <v>3</v>
          </cell>
          <cell r="U942">
            <v>46</v>
          </cell>
          <cell r="V942">
            <v>2</v>
          </cell>
          <cell r="W942" t="str">
            <v>0.11D</v>
          </cell>
          <cell r="X942" t="str">
            <v>4-2026</v>
          </cell>
          <cell r="Y942" t="str">
            <v>Week 13</v>
          </cell>
          <cell r="Z942">
            <v>46104</v>
          </cell>
          <cell r="AA942">
            <v>89</v>
          </cell>
          <cell r="AB942">
            <v>2.1739999999999999E-2</v>
          </cell>
        </row>
        <row r="943">
          <cell r="A943" t="str">
            <v>F-2026-03-302</v>
          </cell>
          <cell r="B943"/>
          <cell r="C943" t="str">
            <v>RPRO-260319-0534</v>
          </cell>
          <cell r="D943" t="str">
            <v>MPS 17.3+18.3</v>
          </cell>
          <cell r="E943" t="str">
            <v>BDB-000058</v>
          </cell>
          <cell r="F943" t="str">
            <v>PVN-001277</v>
          </cell>
          <cell r="G943" t="str">
            <v>OrthoLite Ultra GREEN/16-5932TPX Flat Sheet 0.085D 25+/-4 Asker C 1.1M 2M 4mm</v>
          </cell>
          <cell r="H943">
            <v>665</v>
          </cell>
          <cell r="I943">
            <v>665</v>
          </cell>
          <cell r="J943">
            <v>665</v>
          </cell>
          <cell r="K943">
            <v>0</v>
          </cell>
          <cell r="L943"/>
          <cell r="M943" t="str">
            <v>MPS</v>
          </cell>
          <cell r="N943" t="str">
            <v>SPLITTING</v>
          </cell>
          <cell r="O943">
            <v>2</v>
          </cell>
          <cell r="P943">
            <v>46100</v>
          </cell>
          <cell r="Q943">
            <v>46115</v>
          </cell>
          <cell r="R943">
            <v>46112</v>
          </cell>
          <cell r="S943">
            <v>15</v>
          </cell>
          <cell r="T943">
            <v>4</v>
          </cell>
          <cell r="U943">
            <v>35</v>
          </cell>
          <cell r="V943">
            <v>19</v>
          </cell>
          <cell r="W943" t="str">
            <v>0.085D</v>
          </cell>
          <cell r="X943" t="str">
            <v>4-2026</v>
          </cell>
          <cell r="Y943" t="str">
            <v>Week 13</v>
          </cell>
          <cell r="Z943">
            <v>46104</v>
          </cell>
          <cell r="AA943">
            <v>134</v>
          </cell>
          <cell r="AB943">
            <v>2.8570000000000002E-2</v>
          </cell>
        </row>
        <row r="944">
          <cell r="A944" t="str">
            <v>F-2026-03-303</v>
          </cell>
          <cell r="B944"/>
          <cell r="C944" t="str">
            <v>RPRO-260319-0535-done xóa</v>
          </cell>
          <cell r="D944" t="str">
            <v>MPS 17.3+18.3</v>
          </cell>
          <cell r="E944" t="str">
            <v>BDB-000033</v>
          </cell>
          <cell r="F944" t="str">
            <v>PVN-001471</v>
          </cell>
          <cell r="G944" t="str">
            <v>OrthoLite Regular SEEDPEARL/12-0703TPX 0.13D 35+/-4 Asker C 1.1M 2M 4mm</v>
          </cell>
          <cell r="H944">
            <v>35</v>
          </cell>
          <cell r="I944">
            <v>35</v>
          </cell>
          <cell r="J944">
            <v>0</v>
          </cell>
          <cell r="K944">
            <v>35</v>
          </cell>
          <cell r="L944"/>
          <cell r="M944" t="str">
            <v>MPS</v>
          </cell>
          <cell r="N944" t="str">
            <v>SPLITTING</v>
          </cell>
          <cell r="O944">
            <v>2</v>
          </cell>
          <cell r="P944">
            <v>46100</v>
          </cell>
          <cell r="Q944" t="str">
            <v>delete firm plan mail My 20.3</v>
          </cell>
          <cell r="R944" t="e">
            <v>#VALUE!</v>
          </cell>
          <cell r="S944" t="e">
            <v>#VALUE!</v>
          </cell>
          <cell r="T944">
            <v>4</v>
          </cell>
          <cell r="U944">
            <v>35</v>
          </cell>
          <cell r="V944">
            <v>1</v>
          </cell>
          <cell r="W944" t="str">
            <v>0.13D</v>
          </cell>
          <cell r="X944" t="e">
            <v>#VALUE!</v>
          </cell>
          <cell r="Y944" t="e">
            <v>#VALUE!</v>
          </cell>
          <cell r="Z944" t="str">
            <v/>
          </cell>
          <cell r="AA944">
            <v>34</v>
          </cell>
          <cell r="AB944">
            <v>2.8570000000000002E-2</v>
          </cell>
        </row>
        <row r="945">
          <cell r="A945" t="str">
            <v>F-2026-03-304</v>
          </cell>
          <cell r="B945"/>
          <cell r="C945" t="str">
            <v>RPRO-260319-0536</v>
          </cell>
          <cell r="D945" t="str">
            <v>MPS 17.3+18.3</v>
          </cell>
          <cell r="E945" t="str">
            <v>BDB-000056</v>
          </cell>
          <cell r="F945" t="str">
            <v>PVN-001983</v>
          </cell>
          <cell r="G945" t="str">
            <v>OrthoLite X-40 SEEDPEARL/12-0703TPX Flat Sheet 0.16D 25+/-4 Asker C 1.1M 1.7M 5mm</v>
          </cell>
          <cell r="H945">
            <v>56</v>
          </cell>
          <cell r="I945">
            <v>56</v>
          </cell>
          <cell r="J945">
            <v>56</v>
          </cell>
          <cell r="K945">
            <v>0</v>
          </cell>
          <cell r="L945"/>
          <cell r="M945" t="str">
            <v>MPS</v>
          </cell>
          <cell r="N945" t="str">
            <v>SPLITTING</v>
          </cell>
          <cell r="O945">
            <v>2</v>
          </cell>
          <cell r="P945">
            <v>46100</v>
          </cell>
          <cell r="Q945">
            <v>46109</v>
          </cell>
          <cell r="R945">
            <v>46106</v>
          </cell>
          <cell r="S945">
            <v>9</v>
          </cell>
          <cell r="T945">
            <v>5</v>
          </cell>
          <cell r="U945">
            <v>28</v>
          </cell>
          <cell r="V945">
            <v>2</v>
          </cell>
          <cell r="W945" t="str">
            <v>0.16D</v>
          </cell>
          <cell r="X945" t="str">
            <v>3-2026</v>
          </cell>
          <cell r="Y945" t="str">
            <v>Week 13</v>
          </cell>
          <cell r="Z945">
            <v>46104</v>
          </cell>
          <cell r="AA945">
            <v>383</v>
          </cell>
          <cell r="AB945">
            <v>3.5709999999999999E-2</v>
          </cell>
        </row>
        <row r="946">
          <cell r="A946" t="str">
            <v>F-2026-03-305</v>
          </cell>
          <cell r="B946"/>
          <cell r="C946" t="str">
            <v>RPRO-260319-0537</v>
          </cell>
          <cell r="D946" t="str">
            <v>MPS 17.3+18.3</v>
          </cell>
          <cell r="E946" t="str">
            <v>BDB-000123</v>
          </cell>
          <cell r="F946" t="str">
            <v>PVN-002539</v>
          </cell>
          <cell r="G946" t="str">
            <v>OrthoLite Ultra-Hybrid SEEDPEARL/12-0703TPX Hybrid Flat Sheet 0.085D 25+/-4 Asker C 1.1M 2M 5mm</v>
          </cell>
          <cell r="H946">
            <v>84</v>
          </cell>
          <cell r="I946">
            <v>84</v>
          </cell>
          <cell r="J946">
            <v>0</v>
          </cell>
          <cell r="K946">
            <v>84</v>
          </cell>
          <cell r="L946"/>
          <cell r="M946" t="str">
            <v>MPS</v>
          </cell>
          <cell r="N946" t="str">
            <v>SPLITTING</v>
          </cell>
          <cell r="O946">
            <v>2</v>
          </cell>
          <cell r="P946">
            <v>46100</v>
          </cell>
          <cell r="Q946">
            <v>46115</v>
          </cell>
          <cell r="R946">
            <v>46112</v>
          </cell>
          <cell r="S946">
            <v>15</v>
          </cell>
          <cell r="T946">
            <v>5</v>
          </cell>
          <cell r="U946">
            <v>28</v>
          </cell>
          <cell r="V946">
            <v>3</v>
          </cell>
          <cell r="W946" t="str">
            <v>0.085D</v>
          </cell>
          <cell r="X946" t="str">
            <v>4-2026</v>
          </cell>
          <cell r="Y946" t="str">
            <v>Week 13</v>
          </cell>
          <cell r="Z946">
            <v>46104</v>
          </cell>
          <cell r="AA946">
            <v>21</v>
          </cell>
          <cell r="AB946">
            <v>3.5709999999999999E-2</v>
          </cell>
        </row>
        <row r="947">
          <cell r="A947" t="str">
            <v>F-2026-03-306</v>
          </cell>
          <cell r="B947"/>
          <cell r="C947" t="str">
            <v>RPRO-260319-0538</v>
          </cell>
          <cell r="D947" t="str">
            <v>MPS 17.3+18.3</v>
          </cell>
          <cell r="E947" t="str">
            <v>BDB-000117</v>
          </cell>
          <cell r="F947" t="str">
            <v>PVN-002899</v>
          </cell>
          <cell r="G947" t="str">
            <v>OrthoLite X-35-Hybrid SEEDPEARL/12-0703TPX Hybrid 0.145D 25+/-4 Asker C 1.1M 2M 4mm</v>
          </cell>
          <cell r="H947">
            <v>35</v>
          </cell>
          <cell r="I947">
            <v>35</v>
          </cell>
          <cell r="J947">
            <v>35</v>
          </cell>
          <cell r="K947">
            <v>0</v>
          </cell>
          <cell r="L947"/>
          <cell r="M947" t="str">
            <v>MPS</v>
          </cell>
          <cell r="N947" t="str">
            <v>SPLITTING</v>
          </cell>
          <cell r="O947">
            <v>2</v>
          </cell>
          <cell r="P947">
            <v>46100</v>
          </cell>
          <cell r="Q947">
            <v>46115</v>
          </cell>
          <cell r="R947">
            <v>46112</v>
          </cell>
          <cell r="S947">
            <v>15</v>
          </cell>
          <cell r="T947">
            <v>4</v>
          </cell>
          <cell r="U947">
            <v>35</v>
          </cell>
          <cell r="V947">
            <v>1</v>
          </cell>
          <cell r="W947" t="str">
            <v>0.145D</v>
          </cell>
          <cell r="X947" t="str">
            <v>4-2026</v>
          </cell>
          <cell r="Y947" t="str">
            <v>Week 13</v>
          </cell>
          <cell r="Z947">
            <v>46104</v>
          </cell>
          <cell r="AA947">
            <v>51</v>
          </cell>
          <cell r="AB947">
            <v>2.8570000000000002E-2</v>
          </cell>
        </row>
        <row r="948">
          <cell r="A948" t="str">
            <v>F-2026-03-307</v>
          </cell>
          <cell r="B948"/>
          <cell r="C948" t="str">
            <v>RPRO-260319-0539</v>
          </cell>
          <cell r="D948" t="str">
            <v>MPS 17.3+18.3</v>
          </cell>
          <cell r="E948" t="str">
            <v>BDB-000123</v>
          </cell>
          <cell r="F948" t="str">
            <v>PVN-003300</v>
          </cell>
          <cell r="G948" t="str">
            <v>OrthoLite Ultra-Hybrid SEEDPEARL/12-0703TPX Hybrid Flat Sheet 0.085D 25+/-4 Asker C 1.1M 2M 2mm</v>
          </cell>
          <cell r="H948">
            <v>2520</v>
          </cell>
          <cell r="I948">
            <v>2520</v>
          </cell>
          <cell r="J948">
            <v>2520</v>
          </cell>
          <cell r="K948">
            <v>0</v>
          </cell>
          <cell r="L948"/>
          <cell r="M948" t="str">
            <v>MPS</v>
          </cell>
          <cell r="N948" t="str">
            <v>SPLITTING</v>
          </cell>
          <cell r="O948">
            <v>2</v>
          </cell>
          <cell r="P948">
            <v>46100</v>
          </cell>
          <cell r="Q948">
            <v>46108</v>
          </cell>
          <cell r="R948">
            <v>46105</v>
          </cell>
          <cell r="S948">
            <v>8</v>
          </cell>
          <cell r="T948">
            <v>2</v>
          </cell>
          <cell r="U948">
            <v>70</v>
          </cell>
          <cell r="V948">
            <v>37</v>
          </cell>
          <cell r="W948" t="str">
            <v>0.085D</v>
          </cell>
          <cell r="X948" t="str">
            <v>3-2026</v>
          </cell>
          <cell r="Y948" t="str">
            <v>Week 13</v>
          </cell>
          <cell r="Z948">
            <v>46104</v>
          </cell>
          <cell r="AA948">
            <v>140</v>
          </cell>
          <cell r="AB948">
            <v>1.4290000000000001E-2</v>
          </cell>
        </row>
        <row r="949">
          <cell r="A949" t="str">
            <v>F-2026-03-308</v>
          </cell>
          <cell r="B949"/>
          <cell r="C949" t="str">
            <v>RPRO-260319-0540</v>
          </cell>
          <cell r="D949" t="str">
            <v>MPS 17.3+18.3</v>
          </cell>
          <cell r="E949" t="str">
            <v>BDB-000200</v>
          </cell>
          <cell r="F949" t="str">
            <v>PVN-003418</v>
          </cell>
          <cell r="G949" t="str">
            <v>OrthoLite Ultra SEEDPEARL/12-0703TPX Flat Sheet 0.085D 78-90 Asker F 1.1M 2M 5mm</v>
          </cell>
          <cell r="H949">
            <v>280</v>
          </cell>
          <cell r="I949">
            <v>280</v>
          </cell>
          <cell r="J949">
            <v>280</v>
          </cell>
          <cell r="K949">
            <v>0</v>
          </cell>
          <cell r="L949"/>
          <cell r="M949" t="str">
            <v>MPS</v>
          </cell>
          <cell r="N949" t="str">
            <v>SPLITTING</v>
          </cell>
          <cell r="O949">
            <v>2</v>
          </cell>
          <cell r="P949">
            <v>46100</v>
          </cell>
          <cell r="Q949">
            <v>46111</v>
          </cell>
          <cell r="R949">
            <v>46108</v>
          </cell>
          <cell r="S949">
            <v>11</v>
          </cell>
          <cell r="T949">
            <v>5</v>
          </cell>
          <cell r="U949">
            <v>28</v>
          </cell>
          <cell r="V949">
            <v>10</v>
          </cell>
          <cell r="W949" t="str">
            <v>0.085D</v>
          </cell>
          <cell r="X949" t="str">
            <v>3-2026</v>
          </cell>
          <cell r="Y949" t="str">
            <v>Week 13</v>
          </cell>
          <cell r="Z949">
            <v>46104</v>
          </cell>
          <cell r="AA949">
            <v>3</v>
          </cell>
          <cell r="AB949">
            <v>3.5709999999999999E-2</v>
          </cell>
        </row>
        <row r="950">
          <cell r="A950" t="str">
            <v>F-2026-03-309</v>
          </cell>
          <cell r="B950"/>
          <cell r="C950" t="str">
            <v>RPRO-260319-0541</v>
          </cell>
          <cell r="D950" t="str">
            <v>MPS 17.3+18.3</v>
          </cell>
          <cell r="E950" t="str">
            <v>BDB-000200</v>
          </cell>
          <cell r="F950" t="str">
            <v>PVN-003425</v>
          </cell>
          <cell r="G950" t="str">
            <v>OrthoLite Ultra SEEDPEARL/12-0703TPX Flat Sheet 0.085D 78-90 Asker F 1.1M 2M 4mm</v>
          </cell>
          <cell r="H950">
            <v>1435</v>
          </cell>
          <cell r="I950">
            <v>1435</v>
          </cell>
          <cell r="J950">
            <v>1435</v>
          </cell>
          <cell r="K950">
            <v>0</v>
          </cell>
          <cell r="L950"/>
          <cell r="M950" t="str">
            <v>MPS</v>
          </cell>
          <cell r="N950" t="str">
            <v>SPLITTING</v>
          </cell>
          <cell r="O950">
            <v>2</v>
          </cell>
          <cell r="P950">
            <v>46100</v>
          </cell>
          <cell r="Q950">
            <v>46109</v>
          </cell>
          <cell r="R950">
            <v>46106</v>
          </cell>
          <cell r="S950">
            <v>9</v>
          </cell>
          <cell r="T950">
            <v>4</v>
          </cell>
          <cell r="U950">
            <v>35</v>
          </cell>
          <cell r="V950">
            <v>41</v>
          </cell>
          <cell r="W950" t="str">
            <v>0.085D</v>
          </cell>
          <cell r="X950" t="str">
            <v>3-2026</v>
          </cell>
          <cell r="Y950" t="str">
            <v>Week 13</v>
          </cell>
          <cell r="Z950">
            <v>46104</v>
          </cell>
          <cell r="AA950">
            <v>141</v>
          </cell>
          <cell r="AB950">
            <v>2.8570000000000002E-2</v>
          </cell>
        </row>
        <row r="951">
          <cell r="A951" t="str">
            <v>F-2026-03-310</v>
          </cell>
          <cell r="B951"/>
          <cell r="C951" t="str">
            <v>RPRO-260319-0542</v>
          </cell>
          <cell r="D951" t="str">
            <v>MPS 17.3+18.3</v>
          </cell>
          <cell r="E951" t="str">
            <v>BDB-000348</v>
          </cell>
          <cell r="F951" t="str">
            <v>PVN-004210</v>
          </cell>
          <cell r="G951" t="str">
            <v>OrthoLite IMPERIAL SEEDPEARL/12-0703TPX Flat Sheet 0.22D 25+/-4 Asker C 1.1M 1.47M 5mm</v>
          </cell>
          <cell r="H951">
            <v>28</v>
          </cell>
          <cell r="I951">
            <v>28</v>
          </cell>
          <cell r="J951">
            <v>28</v>
          </cell>
          <cell r="K951">
            <v>0</v>
          </cell>
          <cell r="L951"/>
          <cell r="M951" t="str">
            <v>MPS</v>
          </cell>
          <cell r="N951" t="str">
            <v>SPLITTING</v>
          </cell>
          <cell r="O951">
            <v>2</v>
          </cell>
          <cell r="P951">
            <v>46100</v>
          </cell>
          <cell r="Q951">
            <v>46115</v>
          </cell>
          <cell r="R951">
            <v>46112</v>
          </cell>
          <cell r="S951">
            <v>15</v>
          </cell>
          <cell r="T951">
            <v>5</v>
          </cell>
          <cell r="U951">
            <v>28</v>
          </cell>
          <cell r="V951">
            <v>1</v>
          </cell>
          <cell r="W951" t="e">
            <v>#N/A</v>
          </cell>
          <cell r="X951" t="str">
            <v>4-2026</v>
          </cell>
          <cell r="Y951" t="str">
            <v>Week 13</v>
          </cell>
          <cell r="Z951">
            <v>46104</v>
          </cell>
          <cell r="AA951">
            <v>100</v>
          </cell>
          <cell r="AB951">
            <v>3.5709999999999999E-2</v>
          </cell>
        </row>
        <row r="952">
          <cell r="A952" t="str">
            <v>F-2026-03-311</v>
          </cell>
          <cell r="B952"/>
          <cell r="C952" t="str">
            <v>RPRO-260319-0543</v>
          </cell>
          <cell r="D952" t="str">
            <v>Pro.sche.report 17.3+18.3</v>
          </cell>
          <cell r="E952" t="str">
            <v>BDB-000129</v>
          </cell>
          <cell r="F952" t="str">
            <v>PVN-001550</v>
          </cell>
          <cell r="G952" t="str">
            <v>OrthoLite Regular-Nike AIR BLUE/16-4134TPX Flat Sheet 0.11D 25+/-4 Asker C 1.1M 1.7M 2mm</v>
          </cell>
          <cell r="H952">
            <v>1610</v>
          </cell>
          <cell r="I952">
            <v>1610</v>
          </cell>
          <cell r="J952">
            <v>0</v>
          </cell>
          <cell r="K952">
            <v>1610</v>
          </cell>
          <cell r="L952" t="str">
            <v>NIKE</v>
          </cell>
          <cell r="M952" t="str">
            <v>Pr.Sch.R</v>
          </cell>
          <cell r="N952" t="str">
            <v>LAMINATING</v>
          </cell>
          <cell r="O952">
            <v>1</v>
          </cell>
          <cell r="P952">
            <v>46100</v>
          </cell>
          <cell r="Q952">
            <v>46121</v>
          </cell>
          <cell r="R952">
            <v>46118</v>
          </cell>
          <cell r="S952">
            <v>21</v>
          </cell>
          <cell r="T952">
            <v>2</v>
          </cell>
          <cell r="U952">
            <v>70</v>
          </cell>
          <cell r="V952">
            <v>24</v>
          </cell>
          <cell r="W952" t="str">
            <v>0.11D</v>
          </cell>
          <cell r="X952" t="str">
            <v>4-2026</v>
          </cell>
          <cell r="Y952" t="str">
            <v>Week 14</v>
          </cell>
          <cell r="Z952">
            <v>46111</v>
          </cell>
          <cell r="AA952">
            <v>70</v>
          </cell>
          <cell r="AB952">
            <v>1.4290000000000001E-2</v>
          </cell>
        </row>
        <row r="953">
          <cell r="A953" t="str">
            <v>F-2026-03-312</v>
          </cell>
          <cell r="B953"/>
          <cell r="C953" t="str">
            <v>RPRO-260319-0544</v>
          </cell>
          <cell r="D953" t="str">
            <v>Pro.sche.report 17.3+18.3</v>
          </cell>
          <cell r="E953" t="str">
            <v>BDB-000162</v>
          </cell>
          <cell r="F953" t="str">
            <v>PVN-001566</v>
          </cell>
          <cell r="G953" t="str">
            <v>OrthoLite Ultra-Nike SEEDPEARL/12-0703TPX Flat Sheet 0.085D 25+/-4 Asker C 1.1M 2M 4mm</v>
          </cell>
          <cell r="H953">
            <v>2000</v>
          </cell>
          <cell r="I953">
            <v>2000</v>
          </cell>
          <cell r="J953">
            <v>0</v>
          </cell>
          <cell r="K953">
            <v>2000</v>
          </cell>
          <cell r="L953" t="str">
            <v>NIKE</v>
          </cell>
          <cell r="M953" t="str">
            <v>Pr.Sch.R</v>
          </cell>
          <cell r="N953" t="str">
            <v>DIE CUT</v>
          </cell>
          <cell r="O953">
            <v>1</v>
          </cell>
          <cell r="P953">
            <v>46100</v>
          </cell>
          <cell r="Q953">
            <v>46119</v>
          </cell>
          <cell r="R953">
            <v>46116</v>
          </cell>
          <cell r="S953">
            <v>19</v>
          </cell>
          <cell r="T953">
            <v>4</v>
          </cell>
          <cell r="U953">
            <v>35</v>
          </cell>
          <cell r="V953">
            <v>58</v>
          </cell>
          <cell r="W953" t="str">
            <v>0.085D</v>
          </cell>
          <cell r="X953" t="str">
            <v>4-2026</v>
          </cell>
          <cell r="Y953" t="str">
            <v>Week 14</v>
          </cell>
          <cell r="Z953">
            <v>46111</v>
          </cell>
          <cell r="AA953">
            <v>270</v>
          </cell>
          <cell r="AB953">
            <v>2.8570000000000002E-2</v>
          </cell>
        </row>
        <row r="954">
          <cell r="A954" t="str">
            <v>F-2026-03-313</v>
          </cell>
          <cell r="B954"/>
          <cell r="C954" t="str">
            <v>RPRO-260319-0545</v>
          </cell>
          <cell r="D954" t="str">
            <v>Pro.sche.report 17.3+18.3</v>
          </cell>
          <cell r="E954" t="str">
            <v>BDB-000162</v>
          </cell>
          <cell r="F954" t="str">
            <v>PVN-001566</v>
          </cell>
          <cell r="G954" t="str">
            <v>OrthoLite Ultra-Nike SEEDPEARL/12-0703TPX Flat Sheet 0.085D 25+/-4 Asker C 1.1M 2M 4mm</v>
          </cell>
          <cell r="H954">
            <v>2620</v>
          </cell>
          <cell r="I954">
            <v>2620</v>
          </cell>
          <cell r="J954">
            <v>0</v>
          </cell>
          <cell r="K954">
            <v>2620</v>
          </cell>
          <cell r="L954" t="str">
            <v>NIKE</v>
          </cell>
          <cell r="M954" t="str">
            <v>Pr.Sch.R</v>
          </cell>
          <cell r="N954" t="str">
            <v>DIE CUT</v>
          </cell>
          <cell r="O954">
            <v>1</v>
          </cell>
          <cell r="P954">
            <v>46100</v>
          </cell>
          <cell r="Q954">
            <v>46129</v>
          </cell>
          <cell r="R954">
            <v>46126</v>
          </cell>
          <cell r="S954">
            <v>29</v>
          </cell>
          <cell r="T954">
            <v>4</v>
          </cell>
          <cell r="U954">
            <v>35</v>
          </cell>
          <cell r="V954">
            <v>75</v>
          </cell>
          <cell r="W954" t="str">
            <v>0.085D</v>
          </cell>
          <cell r="X954" t="str">
            <v>4-2026</v>
          </cell>
          <cell r="Y954" t="str">
            <v>Week 16</v>
          </cell>
          <cell r="Z954">
            <v>46125</v>
          </cell>
          <cell r="AA954">
            <v>215</v>
          </cell>
          <cell r="AB954">
            <v>2.8570000000000002E-2</v>
          </cell>
        </row>
        <row r="955">
          <cell r="A955" t="str">
            <v>F-2026-03-314</v>
          </cell>
          <cell r="B955"/>
          <cell r="C955" t="str">
            <v>RPRO-260319-0546</v>
          </cell>
          <cell r="D955" t="str">
            <v>Pro.sche.report 17.3+18.3</v>
          </cell>
          <cell r="E955" t="str">
            <v>BDB-000076</v>
          </cell>
          <cell r="F955" t="str">
            <v>PVN-003448</v>
          </cell>
          <cell r="G955" t="str">
            <v>OrthoLite X-25 BILLIARD/16-5427TPX Flat Sheet 0.12D 20+/-4 Asker C 1.1M 2M 6.2mm</v>
          </cell>
          <cell r="H955">
            <v>353</v>
          </cell>
          <cell r="I955">
            <v>353</v>
          </cell>
          <cell r="J955">
            <v>353</v>
          </cell>
          <cell r="K955">
            <v>0</v>
          </cell>
          <cell r="L955" t="str">
            <v>ADIDAS</v>
          </cell>
          <cell r="M955" t="str">
            <v>Pr.Sch.R</v>
          </cell>
          <cell r="N955" t="str">
            <v>MOLDED</v>
          </cell>
          <cell r="O955">
            <v>1</v>
          </cell>
          <cell r="P955">
            <v>46100</v>
          </cell>
          <cell r="Q955">
            <v>46114</v>
          </cell>
          <cell r="R955">
            <v>46111</v>
          </cell>
          <cell r="S955">
            <v>14</v>
          </cell>
          <cell r="T955">
            <v>6.2</v>
          </cell>
          <cell r="U955">
            <v>22</v>
          </cell>
          <cell r="V955">
            <v>17</v>
          </cell>
          <cell r="W955" t="str">
            <v>0.12D</v>
          </cell>
          <cell r="X955" t="str">
            <v>4-2026</v>
          </cell>
          <cell r="Y955" t="str">
            <v>Week 13</v>
          </cell>
          <cell r="Z955">
            <v>46104</v>
          </cell>
          <cell r="AA955">
            <v>8</v>
          </cell>
          <cell r="AB955">
            <v>4.5449999999999997E-2</v>
          </cell>
        </row>
        <row r="956">
          <cell r="A956" t="str">
            <v>F-2026-03-315</v>
          </cell>
          <cell r="B956"/>
          <cell r="C956" t="str">
            <v>RPRO-260319-0547</v>
          </cell>
          <cell r="D956" t="str">
            <v>Pro.sche.report 17.3+18.3</v>
          </cell>
          <cell r="E956" t="str">
            <v>BDB-000346</v>
          </cell>
          <cell r="F956" t="str">
            <v>PVN-004188</v>
          </cell>
          <cell r="G956" t="str">
            <v>OrthoLite Float NEUTRAL GRAY/17-4402TPX Flat Sheet 0.12D 21+/-4 Asker C 1.1M 1.47M 5.5mm</v>
          </cell>
          <cell r="H956">
            <v>375</v>
          </cell>
          <cell r="I956">
            <v>375</v>
          </cell>
          <cell r="J956">
            <v>0</v>
          </cell>
          <cell r="K956">
            <v>375</v>
          </cell>
          <cell r="L956" t="str">
            <v>PUMA</v>
          </cell>
          <cell r="M956" t="str">
            <v>Pr.Sch.R</v>
          </cell>
          <cell r="N956" t="str">
            <v>MOLDED</v>
          </cell>
          <cell r="O956">
            <v>1</v>
          </cell>
          <cell r="P956">
            <v>46100</v>
          </cell>
          <cell r="Q956">
            <v>46116</v>
          </cell>
          <cell r="R956">
            <v>46113</v>
          </cell>
          <cell r="S956">
            <v>16</v>
          </cell>
          <cell r="T956">
            <v>5.5</v>
          </cell>
          <cell r="U956">
            <v>25</v>
          </cell>
          <cell r="V956">
            <v>15</v>
          </cell>
          <cell r="W956" t="e">
            <v>#N/A</v>
          </cell>
          <cell r="X956" t="str">
            <v>4-2026</v>
          </cell>
          <cell r="Y956" t="str">
            <v>Week 14</v>
          </cell>
          <cell r="Z956">
            <v>46111</v>
          </cell>
          <cell r="AA956">
            <v>136</v>
          </cell>
          <cell r="AB956">
            <v>0.04</v>
          </cell>
        </row>
        <row r="957">
          <cell r="A957" t="str">
            <v>F-2026-03-316</v>
          </cell>
          <cell r="B957"/>
          <cell r="C957" t="str">
            <v>RPRO-260319-0548</v>
          </cell>
          <cell r="D957" t="str">
            <v>Pro.sche.report 17.3+18.3</v>
          </cell>
          <cell r="E957" t="str">
            <v>BDB-000339</v>
          </cell>
          <cell r="F957" t="str">
            <v>PVN-004178</v>
          </cell>
          <cell r="G957" t="str">
            <v>OrthoLite Float NEUTRAL GRAY/17-4402TPX Flat Sheet 0.12D 21+/-4 Asker C 1.1M 2M 5.5mm</v>
          </cell>
          <cell r="H957">
            <v>850</v>
          </cell>
          <cell r="I957">
            <v>850</v>
          </cell>
          <cell r="J957">
            <v>0</v>
          </cell>
          <cell r="K957">
            <v>850</v>
          </cell>
          <cell r="L957" t="str">
            <v>PUMA</v>
          </cell>
          <cell r="M957" t="str">
            <v>Pr.Sch.R</v>
          </cell>
          <cell r="N957" t="str">
            <v>MOLDED</v>
          </cell>
          <cell r="O957">
            <v>1</v>
          </cell>
          <cell r="P957">
            <v>46100</v>
          </cell>
          <cell r="Q957">
            <v>46116</v>
          </cell>
          <cell r="R957">
            <v>46113</v>
          </cell>
          <cell r="S957">
            <v>16</v>
          </cell>
          <cell r="T957">
            <v>5.5</v>
          </cell>
          <cell r="U957">
            <v>25</v>
          </cell>
          <cell r="V957">
            <v>34</v>
          </cell>
          <cell r="W957" t="e">
            <v>#N/A</v>
          </cell>
          <cell r="X957" t="str">
            <v>4-2026</v>
          </cell>
          <cell r="Y957" t="str">
            <v>Week 14</v>
          </cell>
          <cell r="Z957">
            <v>46111</v>
          </cell>
          <cell r="AA957">
            <v>163</v>
          </cell>
          <cell r="AB957">
            <v>0.04</v>
          </cell>
        </row>
        <row r="958">
          <cell r="A958" t="str">
            <v>F-2026-03-317</v>
          </cell>
          <cell r="B958"/>
          <cell r="C958" t="str">
            <v>RPRO-260319-0549</v>
          </cell>
          <cell r="D958" t="str">
            <v>Pro.sche.report 17.3+18.3</v>
          </cell>
          <cell r="E958" t="str">
            <v>BDB-000209</v>
          </cell>
          <cell r="F958" t="str">
            <v>PVN-003461</v>
          </cell>
          <cell r="G958" t="str">
            <v>OrthoLite HybridPlus-Recycled MINT GREEN/11-4805TPX Hybrid Flat Sheet 0.12D 25+/-4 Asker C 1.1M 2M 11mm</v>
          </cell>
          <cell r="H958">
            <v>120</v>
          </cell>
          <cell r="I958">
            <v>120</v>
          </cell>
          <cell r="J958">
            <v>0</v>
          </cell>
          <cell r="K958">
            <v>120</v>
          </cell>
          <cell r="L958" t="str">
            <v>AKU</v>
          </cell>
          <cell r="M958" t="str">
            <v>Pr.Sch.R</v>
          </cell>
          <cell r="N958" t="str">
            <v>MOLDED</v>
          </cell>
          <cell r="O958">
            <v>1</v>
          </cell>
          <cell r="P958">
            <v>46100</v>
          </cell>
          <cell r="Q958">
            <v>46116</v>
          </cell>
          <cell r="R958">
            <v>46113</v>
          </cell>
          <cell r="S958">
            <v>16</v>
          </cell>
          <cell r="T958">
            <v>11</v>
          </cell>
          <cell r="U958">
            <v>12</v>
          </cell>
          <cell r="V958">
            <v>10</v>
          </cell>
          <cell r="W958" t="str">
            <v>0.12D</v>
          </cell>
          <cell r="X958" t="str">
            <v>4-2026</v>
          </cell>
          <cell r="Y958" t="str">
            <v>Week 14</v>
          </cell>
          <cell r="Z958">
            <v>46111</v>
          </cell>
          <cell r="AA958">
            <v>18</v>
          </cell>
          <cell r="AB958">
            <v>8.3330000000000001E-2</v>
          </cell>
        </row>
        <row r="959">
          <cell r="A959" t="str">
            <v>F-2026-03-318</v>
          </cell>
          <cell r="B959"/>
          <cell r="C959" t="str">
            <v>RPRO-260319-0550</v>
          </cell>
          <cell r="D959" t="str">
            <v>Pro.sche.report 17.3+18.3</v>
          </cell>
          <cell r="E959" t="str">
            <v>BDB-000363</v>
          </cell>
          <cell r="F959" t="str">
            <v>PVN-004260</v>
          </cell>
          <cell r="G959" t="str">
            <v>OrthoLite HybridPlus-Recycled MINT GREEN/11-4805TPX Hybrid Flat Sheet 0.12D 35+/-4 Asker C 1.1M 2M 5.5mm</v>
          </cell>
          <cell r="H959">
            <v>25</v>
          </cell>
          <cell r="I959">
            <v>25</v>
          </cell>
          <cell r="J959">
            <v>25</v>
          </cell>
          <cell r="K959">
            <v>0</v>
          </cell>
          <cell r="L959" t="str">
            <v>ON RUNNING</v>
          </cell>
          <cell r="M959" t="str">
            <v>Pr.Sch.R</v>
          </cell>
          <cell r="N959" t="str">
            <v>MOLDED</v>
          </cell>
          <cell r="O959">
            <v>1</v>
          </cell>
          <cell r="P959">
            <v>46100</v>
          </cell>
          <cell r="Q959">
            <v>46108</v>
          </cell>
          <cell r="R959">
            <v>46105</v>
          </cell>
          <cell r="S959">
            <v>8</v>
          </cell>
          <cell r="T959">
            <v>5.5</v>
          </cell>
          <cell r="U959">
            <v>25</v>
          </cell>
          <cell r="V959">
            <v>1</v>
          </cell>
          <cell r="W959" t="e">
            <v>#N/A</v>
          </cell>
          <cell r="X959" t="str">
            <v>3-2026</v>
          </cell>
          <cell r="Y959" t="str">
            <v>Week 13</v>
          </cell>
          <cell r="Z959">
            <v>46104</v>
          </cell>
          <cell r="AA959">
            <v>1</v>
          </cell>
          <cell r="AB959">
            <v>0.04</v>
          </cell>
        </row>
        <row r="960">
          <cell r="A960" t="str">
            <v>F-2026-03-319</v>
          </cell>
          <cell r="B960"/>
          <cell r="C960" t="str">
            <v>RPRO-260319-0551</v>
          </cell>
          <cell r="D960" t="str">
            <v>Pro.sche.report 17.3+18.3</v>
          </cell>
          <cell r="E960" t="str">
            <v>BDB-000218</v>
          </cell>
          <cell r="F960" t="str">
            <v>PVN-003488</v>
          </cell>
          <cell r="G960" t="str">
            <v>OrthoLite Ultra-Nike SEEDPEARL/12-0703TPX Flat Sheet 0.085D 5-10 Asker C 1.1M 2M 4mm</v>
          </cell>
          <cell r="H960">
            <v>420</v>
          </cell>
          <cell r="I960">
            <v>420</v>
          </cell>
          <cell r="J960">
            <v>0</v>
          </cell>
          <cell r="K960">
            <v>420</v>
          </cell>
          <cell r="L960" t="str">
            <v>NIKE</v>
          </cell>
          <cell r="M960" t="str">
            <v>Pr.Sch.R</v>
          </cell>
          <cell r="N960" t="str">
            <v>DIE CUT</v>
          </cell>
          <cell r="O960">
            <v>1</v>
          </cell>
          <cell r="P960">
            <v>46100</v>
          </cell>
          <cell r="Q960">
            <v>46116</v>
          </cell>
          <cell r="R960">
            <v>46113</v>
          </cell>
          <cell r="S960">
            <v>16</v>
          </cell>
          <cell r="T960">
            <v>4</v>
          </cell>
          <cell r="U960">
            <v>35</v>
          </cell>
          <cell r="V960">
            <v>12</v>
          </cell>
          <cell r="W960" t="str">
            <v>0.085D</v>
          </cell>
          <cell r="X960" t="str">
            <v>4-2026</v>
          </cell>
          <cell r="Y960" t="str">
            <v>Week 14</v>
          </cell>
          <cell r="Z960">
            <v>46111</v>
          </cell>
          <cell r="AA960">
            <v>116</v>
          </cell>
          <cell r="AB960">
            <v>2.8570000000000002E-2</v>
          </cell>
        </row>
        <row r="961">
          <cell r="A961" t="str">
            <v>F-2026-03-320</v>
          </cell>
          <cell r="B961"/>
          <cell r="C961" t="str">
            <v>RPRO-260319-0552</v>
          </cell>
          <cell r="D961" t="str">
            <v>Pro.sche.report 17.3+18.3</v>
          </cell>
          <cell r="E961" t="str">
            <v>BDB-000117</v>
          </cell>
          <cell r="F961" t="str">
            <v>PVN-003234</v>
          </cell>
          <cell r="G961" t="str">
            <v>OrthoLite X-35-Hybrid SEEDPEARL/12-0703TPX Hybrid Flat Sheet 0.145D 25+/-4 Asker C 1.1M 2M 5.5mm</v>
          </cell>
          <cell r="H961">
            <v>75</v>
          </cell>
          <cell r="I961">
            <v>75</v>
          </cell>
          <cell r="J961">
            <v>75</v>
          </cell>
          <cell r="K961">
            <v>0</v>
          </cell>
          <cell r="L961" t="str">
            <v>PUMA</v>
          </cell>
          <cell r="M961" t="str">
            <v>Pr.Sch.R</v>
          </cell>
          <cell r="N961" t="str">
            <v>MOLDED</v>
          </cell>
          <cell r="O961">
            <v>1</v>
          </cell>
          <cell r="P961">
            <v>46100</v>
          </cell>
          <cell r="Q961">
            <v>46109</v>
          </cell>
          <cell r="R961">
            <v>46106</v>
          </cell>
          <cell r="S961">
            <v>9</v>
          </cell>
          <cell r="T961">
            <v>5.5</v>
          </cell>
          <cell r="U961">
            <v>25</v>
          </cell>
          <cell r="V961">
            <v>3</v>
          </cell>
          <cell r="W961" t="str">
            <v>0.145D</v>
          </cell>
          <cell r="X961" t="str">
            <v>3-2026</v>
          </cell>
          <cell r="Y961" t="str">
            <v>Week 13</v>
          </cell>
          <cell r="Z961">
            <v>46104</v>
          </cell>
          <cell r="AA961">
            <v>57</v>
          </cell>
          <cell r="AB961">
            <v>0.04</v>
          </cell>
        </row>
        <row r="962">
          <cell r="A962" t="str">
            <v>F-2026-03-321</v>
          </cell>
          <cell r="B962"/>
          <cell r="C962" t="str">
            <v>RPRO-260319-0553</v>
          </cell>
          <cell r="D962" t="str">
            <v>Pro.sche.report 17.3+18.3</v>
          </cell>
          <cell r="E962" t="str">
            <v>BDB-000180</v>
          </cell>
          <cell r="F962" t="str">
            <v>PVN-003236</v>
          </cell>
          <cell r="G962" t="str">
            <v>OrthoLite Eco LT-Hybrid-Converse SEEDPEARL/12-0703TPX Hybrid Flat Sheet 0.13D 25+/-4 Asker C 1.1M 2M 5mm</v>
          </cell>
          <cell r="H962">
            <v>476</v>
          </cell>
          <cell r="I962">
            <v>476</v>
          </cell>
          <cell r="J962">
            <v>476</v>
          </cell>
          <cell r="K962">
            <v>0</v>
          </cell>
          <cell r="L962" t="str">
            <v>CONVERSE</v>
          </cell>
          <cell r="M962" t="str">
            <v>Pr.Sch.R</v>
          </cell>
          <cell r="N962" t="str">
            <v>DIE CUT</v>
          </cell>
          <cell r="O962">
            <v>1</v>
          </cell>
          <cell r="P962">
            <v>46100</v>
          </cell>
          <cell r="Q962">
            <v>46109</v>
          </cell>
          <cell r="R962">
            <v>46106</v>
          </cell>
          <cell r="S962">
            <v>9</v>
          </cell>
          <cell r="T962">
            <v>5</v>
          </cell>
          <cell r="U962">
            <v>28</v>
          </cell>
          <cell r="V962">
            <v>17</v>
          </cell>
          <cell r="W962" t="str">
            <v>0.13D</v>
          </cell>
          <cell r="X962" t="str">
            <v>3-2026</v>
          </cell>
          <cell r="Y962" t="str">
            <v>Week 13</v>
          </cell>
          <cell r="Z962">
            <v>46104</v>
          </cell>
          <cell r="AA962">
            <v>284</v>
          </cell>
          <cell r="AB962">
            <v>3.5709999999999999E-2</v>
          </cell>
        </row>
        <row r="963">
          <cell r="A963" t="str">
            <v>F-2026-03-322</v>
          </cell>
          <cell r="B963"/>
          <cell r="C963" t="str">
            <v>RPRO-260319-0554</v>
          </cell>
          <cell r="D963" t="str">
            <v>Pro.sche.report 17.3+18.3</v>
          </cell>
          <cell r="E963" t="str">
            <v>BDB-000125</v>
          </cell>
          <cell r="F963" t="str">
            <v>PVN-002413</v>
          </cell>
          <cell r="G963" t="str">
            <v>OrthoLite Regular-Nike AIR BLUE/16-4134TPX Flat Sheet 0.11D 25+/-4 Asker C 1.1M 2M 4.2mm</v>
          </cell>
          <cell r="H963">
            <v>3498</v>
          </cell>
          <cell r="I963">
            <v>3498</v>
          </cell>
          <cell r="J963">
            <v>0</v>
          </cell>
          <cell r="K963">
            <v>3498</v>
          </cell>
          <cell r="L963" t="str">
            <v>NIKE</v>
          </cell>
          <cell r="M963" t="str">
            <v>Pr.Sch.R</v>
          </cell>
          <cell r="N963" t="str">
            <v>MOLDED</v>
          </cell>
          <cell r="O963">
            <v>1</v>
          </cell>
          <cell r="P963">
            <v>46100</v>
          </cell>
          <cell r="Q963">
            <v>46121</v>
          </cell>
          <cell r="R963">
            <v>46118</v>
          </cell>
          <cell r="S963">
            <v>21</v>
          </cell>
          <cell r="T963">
            <v>4.2</v>
          </cell>
          <cell r="U963">
            <v>33</v>
          </cell>
          <cell r="V963">
            <v>106</v>
          </cell>
          <cell r="W963" t="str">
            <v>0.11D</v>
          </cell>
          <cell r="X963" t="str">
            <v>4-2026</v>
          </cell>
          <cell r="Y963" t="str">
            <v>Week 14</v>
          </cell>
          <cell r="Z963">
            <v>46111</v>
          </cell>
          <cell r="AA963">
            <v>93</v>
          </cell>
          <cell r="AB963">
            <v>3.0300000000000001E-2</v>
          </cell>
        </row>
        <row r="964">
          <cell r="A964" t="str">
            <v>F-2026-03-323</v>
          </cell>
          <cell r="B964"/>
          <cell r="C964" t="str">
            <v>RPRO-260319-0555</v>
          </cell>
          <cell r="D964" t="str">
            <v>Pro.sche.report 17.3+18.3</v>
          </cell>
          <cell r="E964" t="str">
            <v>BDB-000055</v>
          </cell>
          <cell r="F964" t="str">
            <v>PVN-003326</v>
          </cell>
          <cell r="G964" t="str">
            <v>OrthoLite X-40 TRUE BLUE/19-4057TPX Flat Sheet 0.16D 35+/-4 Asker C 1.1M 1.7M 14mm</v>
          </cell>
          <cell r="H964">
            <v>108</v>
          </cell>
          <cell r="I964">
            <v>108</v>
          </cell>
          <cell r="J964">
            <v>108</v>
          </cell>
          <cell r="K964">
            <v>0</v>
          </cell>
          <cell r="L964" t="str">
            <v>ADIDAS</v>
          </cell>
          <cell r="M964" t="str">
            <v>Pr.Sch.R</v>
          </cell>
          <cell r="N964" t="str">
            <v>MOLDED</v>
          </cell>
          <cell r="O964">
            <v>1</v>
          </cell>
          <cell r="P964">
            <v>46100</v>
          </cell>
          <cell r="Q964">
            <v>46108</v>
          </cell>
          <cell r="R964">
            <v>46105</v>
          </cell>
          <cell r="S964">
            <v>8</v>
          </cell>
          <cell r="T964">
            <v>14</v>
          </cell>
          <cell r="U964">
            <v>9</v>
          </cell>
          <cell r="V964">
            <v>12</v>
          </cell>
          <cell r="W964" t="str">
            <v>0.16D</v>
          </cell>
          <cell r="X964" t="str">
            <v>3-2026</v>
          </cell>
          <cell r="Y964" t="str">
            <v>Week 13</v>
          </cell>
          <cell r="Z964">
            <v>46104</v>
          </cell>
          <cell r="AA964">
            <v>34</v>
          </cell>
          <cell r="AB964">
            <v>0.11111</v>
          </cell>
        </row>
        <row r="965">
          <cell r="A965" t="str">
            <v>F-2026-03-324</v>
          </cell>
          <cell r="B965"/>
          <cell r="C965" t="str">
            <v>RPRO-260319-0556</v>
          </cell>
          <cell r="D965" t="str">
            <v>Pro.sche.report 17.3+18.3</v>
          </cell>
          <cell r="E965" t="str">
            <v>BDB-000156</v>
          </cell>
          <cell r="F965" t="str">
            <v>PVN-003243</v>
          </cell>
          <cell r="G965" t="str">
            <v>OrthoLite X-35-Hybrid-Nike AMAZON/18-6024TPX Hybrid Flat Sheet 0.145D 25+/-4 Asker C 1.1M 2M 5.2mm</v>
          </cell>
          <cell r="H965">
            <v>78</v>
          </cell>
          <cell r="I965">
            <v>78</v>
          </cell>
          <cell r="J965">
            <v>0</v>
          </cell>
          <cell r="K965">
            <v>78</v>
          </cell>
          <cell r="L965" t="str">
            <v>NIKE</v>
          </cell>
          <cell r="M965" t="str">
            <v>Pr.Sch.R</v>
          </cell>
          <cell r="N965" t="str">
            <v>MOLDED</v>
          </cell>
          <cell r="O965">
            <v>1</v>
          </cell>
          <cell r="P965">
            <v>46100</v>
          </cell>
          <cell r="Q965">
            <v>46116</v>
          </cell>
          <cell r="R965">
            <v>46113</v>
          </cell>
          <cell r="S965">
            <v>16</v>
          </cell>
          <cell r="T965">
            <v>5.2</v>
          </cell>
          <cell r="U965">
            <v>26</v>
          </cell>
          <cell r="V965">
            <v>3</v>
          </cell>
          <cell r="W965" t="str">
            <v>0.145D</v>
          </cell>
          <cell r="X965" t="str">
            <v>4-2026</v>
          </cell>
          <cell r="Y965" t="str">
            <v>Week 13</v>
          </cell>
          <cell r="Z965">
            <v>46104</v>
          </cell>
          <cell r="AA965">
            <v>339</v>
          </cell>
          <cell r="AB965">
            <v>3.8460000000000001E-2</v>
          </cell>
        </row>
        <row r="966">
          <cell r="A966" t="str">
            <v>F-2026-03-325</v>
          </cell>
          <cell r="B966"/>
          <cell r="C966" t="str">
            <v>RPRO-260319-0557</v>
          </cell>
          <cell r="D966" t="str">
            <v>Pro.sche.report 17.3+18.3</v>
          </cell>
          <cell r="E966" t="str">
            <v>BDB-000262</v>
          </cell>
          <cell r="F966" t="str">
            <v>PVN-003816</v>
          </cell>
          <cell r="G966" t="str">
            <v>OrthoLite Ultra-Hybrid SEEDPEARL/12-0703TPX Hybrid Flat Sheet 0.085D 78-90 Asker F 1.1M 2M 2.5mm</v>
          </cell>
          <cell r="H966">
            <v>112</v>
          </cell>
          <cell r="I966">
            <v>112</v>
          </cell>
          <cell r="J966">
            <v>112</v>
          </cell>
          <cell r="K966">
            <v>0</v>
          </cell>
          <cell r="L966" t="str">
            <v>FOOTJOY</v>
          </cell>
          <cell r="M966" t="str">
            <v>Pr.Sch.R</v>
          </cell>
          <cell r="N966" t="str">
            <v>DIE CUT</v>
          </cell>
          <cell r="O966">
            <v>1</v>
          </cell>
          <cell r="P966">
            <v>46100</v>
          </cell>
          <cell r="Q966">
            <v>46111</v>
          </cell>
          <cell r="R966">
            <v>46108</v>
          </cell>
          <cell r="S966">
            <v>11</v>
          </cell>
          <cell r="T966">
            <v>2.5</v>
          </cell>
          <cell r="U966">
            <v>56</v>
          </cell>
          <cell r="V966">
            <v>3</v>
          </cell>
          <cell r="W966" t="str">
            <v>0.085D</v>
          </cell>
          <cell r="X966" t="str">
            <v>3-2026</v>
          </cell>
          <cell r="Y966" t="str">
            <v>Week 13</v>
          </cell>
          <cell r="Z966">
            <v>46104</v>
          </cell>
          <cell r="AA966">
            <v>383</v>
          </cell>
          <cell r="AB966">
            <v>1.7860000000000001E-2</v>
          </cell>
        </row>
        <row r="967">
          <cell r="A967" t="str">
            <v>F-2026-03-326</v>
          </cell>
          <cell r="B967"/>
          <cell r="C967" t="str">
            <v>RPRO-260319-0558</v>
          </cell>
          <cell r="D967" t="str">
            <v>Pro.sche.report 17.3+18.3</v>
          </cell>
          <cell r="E967" t="str">
            <v>BDB-000314</v>
          </cell>
          <cell r="F967" t="str">
            <v>PVN-004066</v>
          </cell>
          <cell r="G967" t="str">
            <v>OrthoLite Regular NEUTRAL GRAY/17-4402TPX Flat Sheet 0.16D 51+/-4 Asker C 1.1M 1.7M 9.5mm</v>
          </cell>
          <cell r="H967">
            <v>14</v>
          </cell>
          <cell r="I967">
            <v>14</v>
          </cell>
          <cell r="J967">
            <v>14</v>
          </cell>
          <cell r="K967">
            <v>0</v>
          </cell>
          <cell r="L967" t="str">
            <v>FOOTJOY</v>
          </cell>
          <cell r="M967" t="str">
            <v>Pr.Sch.R</v>
          </cell>
          <cell r="N967" t="str">
            <v>MOLDED</v>
          </cell>
          <cell r="O967">
            <v>1</v>
          </cell>
          <cell r="P967">
            <v>46100</v>
          </cell>
          <cell r="Q967">
            <v>46112</v>
          </cell>
          <cell r="R967">
            <v>46109</v>
          </cell>
          <cell r="S967">
            <v>12</v>
          </cell>
          <cell r="T967">
            <v>9.5</v>
          </cell>
          <cell r="U967">
            <v>14</v>
          </cell>
          <cell r="V967">
            <v>2</v>
          </cell>
          <cell r="W967" t="e">
            <v>#N/A</v>
          </cell>
          <cell r="X967" t="str">
            <v>3-2026</v>
          </cell>
          <cell r="Y967" t="str">
            <v>Week 13</v>
          </cell>
          <cell r="Z967">
            <v>46104</v>
          </cell>
          <cell r="AA967">
            <v>51</v>
          </cell>
          <cell r="AB967">
            <v>7.1429999999999993E-2</v>
          </cell>
        </row>
        <row r="968">
          <cell r="A968" t="str">
            <v>F-2026-03-327</v>
          </cell>
          <cell r="B968"/>
          <cell r="C968" t="str">
            <v>RPRO-260319-0559</v>
          </cell>
          <cell r="D968" t="str">
            <v>Pro.sche.report 17.3+18.3</v>
          </cell>
          <cell r="E968" t="str">
            <v>BDB-000113</v>
          </cell>
          <cell r="F968" t="str">
            <v>PVN-002515</v>
          </cell>
          <cell r="G968" t="str">
            <v>OrthoLite Regular-Hybrid SEEDPEARL/12-0703TPX Hybrid Flat Sheet 0.11D 25+/-4 Asker C 1.1M 2M 11mm</v>
          </cell>
          <cell r="H968">
            <v>12</v>
          </cell>
          <cell r="I968">
            <v>12</v>
          </cell>
          <cell r="J968">
            <v>12</v>
          </cell>
          <cell r="K968">
            <v>0</v>
          </cell>
          <cell r="L968" t="str">
            <v>ASICS</v>
          </cell>
          <cell r="M968" t="str">
            <v>Pr.Sch.R</v>
          </cell>
          <cell r="N968" t="str">
            <v>MOLDED</v>
          </cell>
          <cell r="O968">
            <v>1</v>
          </cell>
          <cell r="P968">
            <v>46100</v>
          </cell>
          <cell r="Q968">
            <v>46111</v>
          </cell>
          <cell r="R968">
            <v>46108</v>
          </cell>
          <cell r="S968">
            <v>11</v>
          </cell>
          <cell r="T968">
            <v>11</v>
          </cell>
          <cell r="U968">
            <v>12</v>
          </cell>
          <cell r="V968">
            <v>1</v>
          </cell>
          <cell r="W968" t="str">
            <v>0.11D</v>
          </cell>
          <cell r="X968" t="str">
            <v>3-2026</v>
          </cell>
          <cell r="Y968" t="str">
            <v>Week 13</v>
          </cell>
          <cell r="Z968">
            <v>46104</v>
          </cell>
          <cell r="AA968">
            <v>16</v>
          </cell>
          <cell r="AB968">
            <v>8.3330000000000001E-2</v>
          </cell>
        </row>
        <row r="969">
          <cell r="A969" t="str">
            <v>F-2026-03-328</v>
          </cell>
          <cell r="B969"/>
          <cell r="C969" t="str">
            <v>RPRO-260319-0560</v>
          </cell>
          <cell r="D969" t="str">
            <v>Pro.sche.report 17.3+18.3</v>
          </cell>
          <cell r="E969" t="str">
            <v>BDB-000339</v>
          </cell>
          <cell r="F969" t="str">
            <v>PVN-004223</v>
          </cell>
          <cell r="G969" t="str">
            <v>OrthoLite Float NEUTRAL GRAY/17-4402TPX Flat Sheet 0.12D 21+/-4 Asker C 1.1M 2M 5mm</v>
          </cell>
          <cell r="H969">
            <v>28</v>
          </cell>
          <cell r="I969">
            <v>28</v>
          </cell>
          <cell r="J969">
            <v>28</v>
          </cell>
          <cell r="K969">
            <v>0</v>
          </cell>
          <cell r="L969" t="str">
            <v>PUMA</v>
          </cell>
          <cell r="M969" t="str">
            <v>Pr.Sch.R</v>
          </cell>
          <cell r="N969" t="str">
            <v>DIE CUT</v>
          </cell>
          <cell r="O969">
            <v>1</v>
          </cell>
          <cell r="P969">
            <v>46100</v>
          </cell>
          <cell r="Q969">
            <v>46111</v>
          </cell>
          <cell r="R969">
            <v>46108</v>
          </cell>
          <cell r="S969">
            <v>11</v>
          </cell>
          <cell r="T969">
            <v>5</v>
          </cell>
          <cell r="U969">
            <v>28</v>
          </cell>
          <cell r="V969">
            <v>1</v>
          </cell>
          <cell r="W969" t="e">
            <v>#N/A</v>
          </cell>
          <cell r="X969" t="str">
            <v>3-2026</v>
          </cell>
          <cell r="Y969" t="str">
            <v>Week 13</v>
          </cell>
          <cell r="Z969">
            <v>46104</v>
          </cell>
          <cell r="AA969">
            <v>37</v>
          </cell>
          <cell r="AB969">
            <v>3.5709999999999999E-2</v>
          </cell>
        </row>
        <row r="970">
          <cell r="A970" t="str">
            <v>F-2026-03-329</v>
          </cell>
          <cell r="B970"/>
          <cell r="C970" t="str">
            <v>RPRO-260319-0561</v>
          </cell>
          <cell r="D970" t="str">
            <v>Pro.sche.report 17.3+18.3</v>
          </cell>
          <cell r="E970" t="str">
            <v>BDB-000175</v>
          </cell>
          <cell r="F970" t="str">
            <v>PVN-002875</v>
          </cell>
          <cell r="G970" t="str">
            <v>OrthoLite Ultra-Hybrid-Nike SEEDPEARL/12-0703TPX Hybrid Flat Sheet 0.085D 25+/-4 Asker C 1.1M 2M 3mm</v>
          </cell>
          <cell r="H970">
            <v>138</v>
          </cell>
          <cell r="I970">
            <v>138</v>
          </cell>
          <cell r="J970">
            <v>138</v>
          </cell>
          <cell r="K970">
            <v>0</v>
          </cell>
          <cell r="L970" t="str">
            <v>NIKE</v>
          </cell>
          <cell r="M970" t="str">
            <v>Pr.Sch.R</v>
          </cell>
          <cell r="N970" t="str">
            <v>DIE CUT</v>
          </cell>
          <cell r="O970">
            <v>1</v>
          </cell>
          <cell r="P970">
            <v>46100</v>
          </cell>
          <cell r="Q970">
            <v>46115</v>
          </cell>
          <cell r="R970">
            <v>46112</v>
          </cell>
          <cell r="S970">
            <v>15</v>
          </cell>
          <cell r="T970">
            <v>3</v>
          </cell>
          <cell r="U970">
            <v>46</v>
          </cell>
          <cell r="V970">
            <v>4</v>
          </cell>
          <cell r="W970" t="str">
            <v>0.085D</v>
          </cell>
          <cell r="X970" t="str">
            <v>4-2026</v>
          </cell>
          <cell r="Y970" t="str">
            <v>Week 13</v>
          </cell>
          <cell r="Z970">
            <v>46104</v>
          </cell>
          <cell r="AA970">
            <v>27</v>
          </cell>
          <cell r="AB970">
            <v>2.1739999999999999E-2</v>
          </cell>
        </row>
        <row r="971">
          <cell r="A971" t="str">
            <v>F-2026-03-330</v>
          </cell>
          <cell r="B971"/>
          <cell r="C971" t="str">
            <v>RPRO-260319-0562</v>
          </cell>
          <cell r="D971" t="str">
            <v>Pro.sche.report 17.3+18.3</v>
          </cell>
          <cell r="E971" t="str">
            <v>BDB-000212</v>
          </cell>
          <cell r="F971" t="str">
            <v>PVN-003764</v>
          </cell>
          <cell r="G971" t="str">
            <v>OrthoLite X-25-Hybrid SEEDPEARL/12-0703TPX Hybrid Flat Sheet 0.12D 20+/-4 Asker C 1.1M 2M 5mm</v>
          </cell>
          <cell r="H971">
            <v>28</v>
          </cell>
          <cell r="I971">
            <v>28</v>
          </cell>
          <cell r="J971">
            <v>28</v>
          </cell>
          <cell r="K971">
            <v>0</v>
          </cell>
          <cell r="L971" t="str">
            <v>FOOTJOY</v>
          </cell>
          <cell r="M971" t="str">
            <v>Pr.Sch.R</v>
          </cell>
          <cell r="N971" t="str">
            <v>OTHERS</v>
          </cell>
          <cell r="O971">
            <v>1</v>
          </cell>
          <cell r="P971">
            <v>46100</v>
          </cell>
          <cell r="Q971">
            <v>46109</v>
          </cell>
          <cell r="R971">
            <v>46106</v>
          </cell>
          <cell r="S971">
            <v>9</v>
          </cell>
          <cell r="T971">
            <v>5</v>
          </cell>
          <cell r="U971">
            <v>28</v>
          </cell>
          <cell r="V971">
            <v>1</v>
          </cell>
          <cell r="W971" t="str">
            <v>0.12D</v>
          </cell>
          <cell r="X971" t="str">
            <v>3-2026</v>
          </cell>
          <cell r="Y971" t="str">
            <v>Week 13</v>
          </cell>
          <cell r="Z971">
            <v>46104</v>
          </cell>
          <cell r="AA971">
            <v>141</v>
          </cell>
          <cell r="AB971">
            <v>3.5709999999999999E-2</v>
          </cell>
        </row>
        <row r="972">
          <cell r="A972" t="str">
            <v>F-2026-03-331</v>
          </cell>
          <cell r="B972"/>
          <cell r="C972" t="str">
            <v>RPRO-260319-0563</v>
          </cell>
          <cell r="D972" t="str">
            <v>Pro.sche.report 17.3+18.3</v>
          </cell>
          <cell r="E972" t="str">
            <v>BDB-000157</v>
          </cell>
          <cell r="F972" t="str">
            <v>PVN-003244</v>
          </cell>
          <cell r="G972" t="str">
            <v>OrthoLite X-35-Hybrid-Nike SEEDPEARL/12-0703TPX Hybrid Flat Sheet 0.145D 25+/-4 Asker C 1.1M 2M 5.2mm</v>
          </cell>
          <cell r="H972">
            <v>26</v>
          </cell>
          <cell r="I972">
            <v>26</v>
          </cell>
          <cell r="J972">
            <v>26</v>
          </cell>
          <cell r="K972">
            <v>0</v>
          </cell>
          <cell r="L972" t="str">
            <v>NIKE</v>
          </cell>
          <cell r="M972" t="str">
            <v>Pr.Sch.R</v>
          </cell>
          <cell r="N972" t="str">
            <v>MOLDED</v>
          </cell>
          <cell r="O972" t="str">
            <v>1-SLT</v>
          </cell>
          <cell r="P972">
            <v>46100</v>
          </cell>
          <cell r="Q972">
            <v>46116</v>
          </cell>
          <cell r="R972">
            <v>46113</v>
          </cell>
          <cell r="S972">
            <v>16</v>
          </cell>
          <cell r="T972">
            <v>5.2</v>
          </cell>
          <cell r="U972">
            <v>26</v>
          </cell>
          <cell r="V972">
            <v>1</v>
          </cell>
          <cell r="W972" t="str">
            <v>0.145D</v>
          </cell>
          <cell r="X972" t="str">
            <v>4-2026</v>
          </cell>
          <cell r="Y972" t="str">
            <v>Week 13</v>
          </cell>
          <cell r="Z972">
            <v>46104</v>
          </cell>
          <cell r="AA972">
            <v>11</v>
          </cell>
          <cell r="AB972">
            <v>3.8460000000000001E-2</v>
          </cell>
        </row>
        <row r="973">
          <cell r="A973" t="str">
            <v>F-2026-03-332</v>
          </cell>
          <cell r="B973"/>
          <cell r="C973" t="str">
            <v>RPRO-260319-0564</v>
          </cell>
          <cell r="D973" t="str">
            <v>Pro.sche.report 17.3+18.3</v>
          </cell>
          <cell r="E973" t="str">
            <v>BDB-000175</v>
          </cell>
          <cell r="F973" t="str">
            <v>PVN-003018</v>
          </cell>
          <cell r="G973" t="str">
            <v>OrthoLite Ultra-Hybrid-Nike SEEDPEARL/12-0703TPX Hybrid Flat Sheet 0.085D 25+/-4 Asker C 1.1M 2M 2mm</v>
          </cell>
          <cell r="H973">
            <v>70</v>
          </cell>
          <cell r="I973">
            <v>70</v>
          </cell>
          <cell r="J973">
            <v>70</v>
          </cell>
          <cell r="K973">
            <v>0</v>
          </cell>
          <cell r="L973" t="str">
            <v>NIKE</v>
          </cell>
          <cell r="M973" t="str">
            <v>Pr.Sch.R</v>
          </cell>
          <cell r="N973" t="str">
            <v>DIE CUT</v>
          </cell>
          <cell r="O973">
            <v>1</v>
          </cell>
          <cell r="P973">
            <v>46100</v>
          </cell>
          <cell r="Q973">
            <v>46109</v>
          </cell>
          <cell r="R973">
            <v>46106</v>
          </cell>
          <cell r="S973">
            <v>9</v>
          </cell>
          <cell r="T973">
            <v>2</v>
          </cell>
          <cell r="U973">
            <v>70</v>
          </cell>
          <cell r="V973">
            <v>2</v>
          </cell>
          <cell r="W973" t="str">
            <v>0.085D</v>
          </cell>
          <cell r="X973" t="str">
            <v>3-2026</v>
          </cell>
          <cell r="Y973" t="str">
            <v>Week 13</v>
          </cell>
          <cell r="Z973">
            <v>46104</v>
          </cell>
          <cell r="AA973">
            <v>108</v>
          </cell>
          <cell r="AB973">
            <v>1.4290000000000001E-2</v>
          </cell>
        </row>
        <row r="974">
          <cell r="A974" t="str">
            <v>F-2026-03-333</v>
          </cell>
          <cell r="B974"/>
          <cell r="C974" t="str">
            <v>RPRO-260319-0565</v>
          </cell>
          <cell r="D974" t="str">
            <v>Pro.sche.report 17.3+18.3</v>
          </cell>
          <cell r="E974" t="str">
            <v>BDB-000076</v>
          </cell>
          <cell r="F974" t="str">
            <v>PVN-003342</v>
          </cell>
          <cell r="G974" t="str">
            <v>OrthoLite X-25 BILLIARD/16-5427TPX Flat Sheet 0.12D 20+/-4 Asker C 1.1M 2M 4.5mm</v>
          </cell>
          <cell r="H974">
            <v>93</v>
          </cell>
          <cell r="I974">
            <v>93</v>
          </cell>
          <cell r="J974">
            <v>93</v>
          </cell>
          <cell r="K974">
            <v>0</v>
          </cell>
          <cell r="L974" t="str">
            <v>ADIDAS</v>
          </cell>
          <cell r="M974" t="str">
            <v>Pr.Sch.R</v>
          </cell>
          <cell r="N974" t="str">
            <v>MOLDED</v>
          </cell>
          <cell r="O974">
            <v>1</v>
          </cell>
          <cell r="P974">
            <v>46100</v>
          </cell>
          <cell r="Q974">
            <v>46116</v>
          </cell>
          <cell r="R974">
            <v>46113</v>
          </cell>
          <cell r="S974">
            <v>16</v>
          </cell>
          <cell r="T974">
            <v>4.5</v>
          </cell>
          <cell r="U974">
            <v>31</v>
          </cell>
          <cell r="V974">
            <v>4</v>
          </cell>
          <cell r="W974" t="str">
            <v>0.12D</v>
          </cell>
          <cell r="X974" t="str">
            <v>4-2026</v>
          </cell>
          <cell r="Y974" t="str">
            <v>Week 13</v>
          </cell>
          <cell r="Z974">
            <v>46104</v>
          </cell>
          <cell r="AA974">
            <v>108</v>
          </cell>
          <cell r="AB974">
            <v>3.2259999999999997E-2</v>
          </cell>
        </row>
        <row r="975">
          <cell r="A975" t="str">
            <v>F-2026-03-334</v>
          </cell>
          <cell r="B975"/>
          <cell r="C975" t="str">
            <v>RPRO-260319-0566</v>
          </cell>
          <cell r="D975" t="str">
            <v>Pro.sche.report 17.3+18.3</v>
          </cell>
          <cell r="E975" t="str">
            <v>BDB-000212</v>
          </cell>
          <cell r="F975" t="str">
            <v>PVN-004002</v>
          </cell>
          <cell r="G975" t="str">
            <v>OrthoLite X-25-Hybrid SEEDPEARL/12-0703TPX Hybrid Flat Sheet 0.12D 20+/-4 Asker C 1.1M 2M 14mm</v>
          </cell>
          <cell r="H975">
            <v>9</v>
          </cell>
          <cell r="I975">
            <v>9</v>
          </cell>
          <cell r="J975">
            <v>9</v>
          </cell>
          <cell r="K975">
            <v>0</v>
          </cell>
          <cell r="L975" t="str">
            <v>FOOTJOY</v>
          </cell>
          <cell r="M975" t="str">
            <v>Pr.Sch.R</v>
          </cell>
          <cell r="N975" t="str">
            <v>MOLDED</v>
          </cell>
          <cell r="O975">
            <v>1</v>
          </cell>
          <cell r="P975">
            <v>46100</v>
          </cell>
          <cell r="Q975">
            <v>46116</v>
          </cell>
          <cell r="R975">
            <v>46113</v>
          </cell>
          <cell r="S975">
            <v>16</v>
          </cell>
          <cell r="T975">
            <v>14</v>
          </cell>
          <cell r="U975">
            <v>9</v>
          </cell>
          <cell r="V975">
            <v>1</v>
          </cell>
          <cell r="W975" t="str">
            <v>0.12D</v>
          </cell>
          <cell r="X975" t="str">
            <v>4-2026</v>
          </cell>
          <cell r="Y975" t="str">
            <v>Week 13</v>
          </cell>
          <cell r="Z975">
            <v>46104</v>
          </cell>
          <cell r="AA975">
            <v>65</v>
          </cell>
          <cell r="AB975">
            <v>0.11111</v>
          </cell>
        </row>
        <row r="976">
          <cell r="A976" t="str">
            <v>F-2026-03-335</v>
          </cell>
          <cell r="B976"/>
          <cell r="C976" t="str">
            <v>RPRO-260319-0567-doen delete firm plan</v>
          </cell>
          <cell r="D976" t="str">
            <v>Pro.sche.report 17.3+18.3</v>
          </cell>
          <cell r="E976" t="str">
            <v>BDB-000373</v>
          </cell>
          <cell r="F976" t="str">
            <v>PVN-004315</v>
          </cell>
          <cell r="G976" t="str">
            <v>OrthoLite X-25-Nike BILLIARD/16-5427TPX Flat Sheet 0.12D 20+/-4 Asker C 1.1M 2M 5mm</v>
          </cell>
          <cell r="H976">
            <v>560</v>
          </cell>
          <cell r="I976">
            <v>560</v>
          </cell>
          <cell r="J976">
            <v>0</v>
          </cell>
          <cell r="K976">
            <v>560</v>
          </cell>
          <cell r="L976" t="str">
            <v>NIKE</v>
          </cell>
          <cell r="M976" t="str">
            <v>Pr.Sch.R</v>
          </cell>
          <cell r="N976" t="str">
            <v>DIE CUT</v>
          </cell>
          <cell r="O976">
            <v>1</v>
          </cell>
          <cell r="P976">
            <v>46100</v>
          </cell>
          <cell r="Q976" t="str">
            <v>delete firm plan 19.3 (hold material is no demand)</v>
          </cell>
          <cell r="R976" t="e">
            <v>#VALUE!</v>
          </cell>
          <cell r="S976" t="e">
            <v>#VALUE!</v>
          </cell>
          <cell r="T976">
            <v>5</v>
          </cell>
          <cell r="U976">
            <v>28</v>
          </cell>
          <cell r="V976">
            <v>20</v>
          </cell>
          <cell r="W976" t="e">
            <v>#N/A</v>
          </cell>
          <cell r="X976" t="e">
            <v>#VALUE!</v>
          </cell>
          <cell r="Y976" t="e">
            <v>#VALUE!</v>
          </cell>
          <cell r="Z976" t="str">
            <v/>
          </cell>
          <cell r="AA976">
            <v>139</v>
          </cell>
          <cell r="AB976">
            <v>3.5709999999999999E-2</v>
          </cell>
        </row>
        <row r="977">
          <cell r="A977" t="str">
            <v>F-2026-03-336</v>
          </cell>
          <cell r="B977"/>
          <cell r="C977" t="str">
            <v>RPRO-260319-0568</v>
          </cell>
          <cell r="D977" t="str">
            <v>Pro.sche.report 17.3+18.3</v>
          </cell>
          <cell r="E977" t="str">
            <v>BDB-000321</v>
          </cell>
          <cell r="F977" t="str">
            <v>PVN-004105</v>
          </cell>
          <cell r="G977" t="str">
            <v>OrthoLite Float BLUE ATOLL/16-4535TPX Flat Sheet 0.12D 21+/-4 Asker C 1.1M 2M 4mm</v>
          </cell>
          <cell r="H977">
            <v>35</v>
          </cell>
          <cell r="I977">
            <v>35</v>
          </cell>
          <cell r="J977">
            <v>0</v>
          </cell>
          <cell r="K977">
            <v>35</v>
          </cell>
          <cell r="L977" t="str">
            <v>DESCENTE</v>
          </cell>
          <cell r="M977" t="str">
            <v>Pr.Sch.R</v>
          </cell>
          <cell r="N977" t="str">
            <v>DIE CUT</v>
          </cell>
          <cell r="O977">
            <v>1</v>
          </cell>
          <cell r="P977">
            <v>46100</v>
          </cell>
          <cell r="Q977">
            <v>46116</v>
          </cell>
          <cell r="R977">
            <v>46113</v>
          </cell>
          <cell r="S977">
            <v>16</v>
          </cell>
          <cell r="T977">
            <v>4</v>
          </cell>
          <cell r="U977">
            <v>35</v>
          </cell>
          <cell r="V977">
            <v>1</v>
          </cell>
          <cell r="W977" t="e">
            <v>#N/A</v>
          </cell>
          <cell r="X977" t="str">
            <v>4-2026</v>
          </cell>
          <cell r="Y977" t="str">
            <v>Week 13</v>
          </cell>
          <cell r="Z977">
            <v>46104</v>
          </cell>
          <cell r="AA977">
            <v>100</v>
          </cell>
          <cell r="AB977">
            <v>2.8570000000000002E-2</v>
          </cell>
        </row>
        <row r="978">
          <cell r="A978" t="str">
            <v>F-2026-03-337</v>
          </cell>
          <cell r="B978"/>
          <cell r="C978" t="str">
            <v>RPRO-260319-0569</v>
          </cell>
          <cell r="D978" t="str">
            <v>Pro.sche.report 17.3+18.3</v>
          </cell>
          <cell r="E978" t="str">
            <v>BDB-000010</v>
          </cell>
          <cell r="F978" t="str">
            <v>PVN-000093</v>
          </cell>
          <cell r="G978" t="str">
            <v>OrthoLite Regular AIR BLUE/16-4134TPX Flat Sheet 0.11D 25+/-4 Asker C 1.1M 2M 11mm</v>
          </cell>
          <cell r="H978">
            <v>24</v>
          </cell>
          <cell r="I978">
            <v>24</v>
          </cell>
          <cell r="J978">
            <v>24</v>
          </cell>
          <cell r="K978">
            <v>0</v>
          </cell>
          <cell r="L978" t="str">
            <v>DESCENTE</v>
          </cell>
          <cell r="M978" t="str">
            <v>Pr.Sch.R</v>
          </cell>
          <cell r="N978" t="str">
            <v>MOLDED</v>
          </cell>
          <cell r="O978">
            <v>1</v>
          </cell>
          <cell r="P978">
            <v>46100</v>
          </cell>
          <cell r="Q978">
            <v>46116</v>
          </cell>
          <cell r="R978">
            <v>46113</v>
          </cell>
          <cell r="S978">
            <v>16</v>
          </cell>
          <cell r="T978">
            <v>11</v>
          </cell>
          <cell r="U978">
            <v>12</v>
          </cell>
          <cell r="V978">
            <v>2</v>
          </cell>
          <cell r="W978" t="str">
            <v>0.11D</v>
          </cell>
          <cell r="X978" t="str">
            <v>4-2026</v>
          </cell>
          <cell r="Y978" t="str">
            <v>Week 13</v>
          </cell>
          <cell r="Z978">
            <v>46104</v>
          </cell>
          <cell r="AA978">
            <v>215</v>
          </cell>
          <cell r="AB978">
            <v>8.3330000000000001E-2</v>
          </cell>
        </row>
        <row r="979">
          <cell r="A979" t="str">
            <v>F-2026-03-338</v>
          </cell>
          <cell r="B979"/>
          <cell r="C979" t="str">
            <v>RPRO-260319-0570</v>
          </cell>
          <cell r="D979" t="str">
            <v>Pro.sche.report 17.3+18.3</v>
          </cell>
          <cell r="E979" t="str">
            <v>BDB-000076</v>
          </cell>
          <cell r="F979" t="str">
            <v>PVN-003740</v>
          </cell>
          <cell r="G979" t="str">
            <v>OrthoLite X-25 BILLIARD/16-5427TPX Flat Sheet 0.12D 20+/-4 Asker C 1.1M 2M 10.5mm</v>
          </cell>
          <cell r="H979">
            <v>12</v>
          </cell>
          <cell r="I979">
            <v>12</v>
          </cell>
          <cell r="J979">
            <v>12</v>
          </cell>
          <cell r="K979">
            <v>0</v>
          </cell>
          <cell r="L979" t="str">
            <v>FOOTJOY</v>
          </cell>
          <cell r="M979" t="str">
            <v>Pr.Sch.R</v>
          </cell>
          <cell r="N979" t="str">
            <v>MOLDED</v>
          </cell>
          <cell r="O979">
            <v>1</v>
          </cell>
          <cell r="P979">
            <v>46100</v>
          </cell>
          <cell r="Q979">
            <v>46116</v>
          </cell>
          <cell r="R979">
            <v>46113</v>
          </cell>
          <cell r="S979">
            <v>16</v>
          </cell>
          <cell r="T979">
            <v>10.5</v>
          </cell>
          <cell r="U979">
            <v>12</v>
          </cell>
          <cell r="V979">
            <v>1</v>
          </cell>
          <cell r="W979" t="str">
            <v>0.12D</v>
          </cell>
          <cell r="X979" t="str">
            <v>4-2026</v>
          </cell>
          <cell r="Y979" t="str">
            <v>Week 13</v>
          </cell>
          <cell r="Z979">
            <v>46104</v>
          </cell>
          <cell r="AA979">
            <v>20</v>
          </cell>
          <cell r="AB979">
            <v>8.3330000000000001E-2</v>
          </cell>
        </row>
        <row r="980">
          <cell r="A980" t="str">
            <v>F-2026-03-339</v>
          </cell>
          <cell r="B980"/>
          <cell r="C980" t="str">
            <v>RPRO-260320-0668</v>
          </cell>
          <cell r="D980" t="str">
            <v>MPS 4.4</v>
          </cell>
          <cell r="E980" t="str">
            <v>BDB-000058</v>
          </cell>
          <cell r="F980" t="str">
            <v>PVN-001277</v>
          </cell>
          <cell r="G980" t="str">
            <v>OrthoLite Ultra GREEN/16-5932TPX Flat Sheet 0.085D 25+/-4 Asker C 1.1M 2M 4mm</v>
          </cell>
          <cell r="H980">
            <v>210</v>
          </cell>
          <cell r="I980">
            <v>210</v>
          </cell>
          <cell r="J980">
            <v>0</v>
          </cell>
          <cell r="K980">
            <v>210</v>
          </cell>
          <cell r="L980"/>
          <cell r="M980" t="str">
            <v>MPS</v>
          </cell>
          <cell r="N980" t="str">
            <v>SPLITTING</v>
          </cell>
          <cell r="O980">
            <v>2</v>
          </cell>
          <cell r="P980">
            <v>46101</v>
          </cell>
          <cell r="Q980">
            <v>46116</v>
          </cell>
          <cell r="R980">
            <v>46113</v>
          </cell>
          <cell r="S980">
            <v>15</v>
          </cell>
          <cell r="T980">
            <v>4</v>
          </cell>
          <cell r="U980">
            <v>35</v>
          </cell>
          <cell r="V980">
            <v>6</v>
          </cell>
          <cell r="W980" t="str">
            <v>0.085D</v>
          </cell>
          <cell r="X980" t="str">
            <v>4-2026</v>
          </cell>
          <cell r="Y980" t="str">
            <v>Week 14</v>
          </cell>
          <cell r="Z980">
            <v>46111</v>
          </cell>
          <cell r="AA980">
            <v>20</v>
          </cell>
          <cell r="AB980">
            <v>2.8570000000000002E-2</v>
          </cell>
        </row>
        <row r="981">
          <cell r="A981" t="str">
            <v>F-2026-03-340</v>
          </cell>
          <cell r="B981"/>
          <cell r="C981" t="str">
            <v>RPRO-260320-0669</v>
          </cell>
          <cell r="D981" t="str">
            <v>MPS 4.4</v>
          </cell>
          <cell r="E981" t="str">
            <v>BDB-000353</v>
          </cell>
          <cell r="F981" t="str">
            <v>PVN-004219</v>
          </cell>
          <cell r="G981" t="str">
            <v>OrthoLite Regular SEEDPEARL/12-0703TPX Flat Sheet 0.13D 35+/-4 Asker C 1.1M 1.47M 4mm</v>
          </cell>
          <cell r="H981">
            <v>280</v>
          </cell>
          <cell r="I981">
            <v>280</v>
          </cell>
          <cell r="J981">
            <v>0</v>
          </cell>
          <cell r="K981">
            <v>280</v>
          </cell>
          <cell r="L981"/>
          <cell r="M981" t="str">
            <v>MPS</v>
          </cell>
          <cell r="N981" t="str">
            <v>SPLITTING</v>
          </cell>
          <cell r="O981">
            <v>2</v>
          </cell>
          <cell r="P981">
            <v>46101</v>
          </cell>
          <cell r="Q981">
            <v>46116</v>
          </cell>
          <cell r="R981">
            <v>46113</v>
          </cell>
          <cell r="S981">
            <v>15</v>
          </cell>
          <cell r="T981">
            <v>4</v>
          </cell>
          <cell r="U981">
            <v>35</v>
          </cell>
          <cell r="V981">
            <v>8</v>
          </cell>
          <cell r="W981" t="e">
            <v>#N/A</v>
          </cell>
          <cell r="X981" t="str">
            <v>4-2026</v>
          </cell>
          <cell r="Y981" t="str">
            <v>Week 14</v>
          </cell>
          <cell r="Z981">
            <v>46111</v>
          </cell>
          <cell r="AA981">
            <v>254</v>
          </cell>
          <cell r="AB981">
            <v>2.8570000000000002E-2</v>
          </cell>
        </row>
        <row r="982">
          <cell r="A982" t="str">
            <v>F-2026-03-341</v>
          </cell>
          <cell r="B982"/>
          <cell r="C982" t="str">
            <v>RPRO-260320-0670</v>
          </cell>
          <cell r="D982" t="str">
            <v>Pro.sche.report 4.4</v>
          </cell>
          <cell r="E982" t="str">
            <v>BDB-000162</v>
          </cell>
          <cell r="F982" t="str">
            <v>PVN-001566</v>
          </cell>
          <cell r="G982" t="str">
            <v>OrthoLite Ultra-Nike SEEDPEARL/12-0703TPX Flat Sheet 0.085D 25+/-4 Asker C 1.1M 2M 4mm</v>
          </cell>
          <cell r="H982">
            <v>245</v>
          </cell>
          <cell r="I982">
            <v>245</v>
          </cell>
          <cell r="J982">
            <v>0</v>
          </cell>
          <cell r="K982">
            <v>245</v>
          </cell>
          <cell r="L982" t="str">
            <v>NIKE</v>
          </cell>
          <cell r="M982" t="str">
            <v>Pr.Sch.R</v>
          </cell>
          <cell r="N982" t="str">
            <v>DIE CUT</v>
          </cell>
          <cell r="O982">
            <v>1</v>
          </cell>
          <cell r="P982">
            <v>46101</v>
          </cell>
          <cell r="Q982">
            <v>46118</v>
          </cell>
          <cell r="R982">
            <v>46115</v>
          </cell>
          <cell r="S982">
            <v>17</v>
          </cell>
          <cell r="T982">
            <v>4</v>
          </cell>
          <cell r="U982">
            <v>35</v>
          </cell>
          <cell r="V982">
            <v>7</v>
          </cell>
          <cell r="W982" t="str">
            <v>0.085D</v>
          </cell>
          <cell r="X982" t="str">
            <v>4-2026</v>
          </cell>
          <cell r="Y982" t="str">
            <v>Week 14</v>
          </cell>
          <cell r="Z982">
            <v>46111</v>
          </cell>
          <cell r="AA982">
            <v>37</v>
          </cell>
          <cell r="AB982">
            <v>2.8570000000000002E-2</v>
          </cell>
        </row>
        <row r="983">
          <cell r="A983" t="str">
            <v>F-2026-03-342</v>
          </cell>
          <cell r="B983"/>
          <cell r="C983" t="str">
            <v>RPRO-260320-0671</v>
          </cell>
          <cell r="D983" t="str">
            <v>Pro.sche.report 4.4</v>
          </cell>
          <cell r="E983" t="str">
            <v>BDB-000212</v>
          </cell>
          <cell r="F983" t="str">
            <v>PVN-003460</v>
          </cell>
          <cell r="G983" t="str">
            <v>OrthoLite X-25-Hybrid SEEDPEARL/12-0703TPX Hybrid Flat Sheet 0.12D 20+/-4 Asker C 1.1M 2M 5.5mm</v>
          </cell>
          <cell r="H983">
            <v>50</v>
          </cell>
          <cell r="I983">
            <v>50</v>
          </cell>
          <cell r="J983">
            <v>50</v>
          </cell>
          <cell r="K983">
            <v>0</v>
          </cell>
          <cell r="L983" t="str">
            <v>ON RUNNING</v>
          </cell>
          <cell r="M983" t="str">
            <v>Pr.Sch.R</v>
          </cell>
          <cell r="N983" t="str">
            <v>MOLDED</v>
          </cell>
          <cell r="O983">
            <v>1</v>
          </cell>
          <cell r="P983">
            <v>46101</v>
          </cell>
          <cell r="Q983">
            <v>46109</v>
          </cell>
          <cell r="R983">
            <v>46106</v>
          </cell>
          <cell r="S983">
            <v>8</v>
          </cell>
          <cell r="T983">
            <v>5.5</v>
          </cell>
          <cell r="U983">
            <v>25</v>
          </cell>
          <cell r="V983">
            <v>2</v>
          </cell>
          <cell r="W983" t="str">
            <v>0.12D</v>
          </cell>
          <cell r="X983" t="str">
            <v>3-2026</v>
          </cell>
          <cell r="Y983" t="str">
            <v>Week 13</v>
          </cell>
          <cell r="Z983">
            <v>46104</v>
          </cell>
          <cell r="AA983">
            <v>237</v>
          </cell>
          <cell r="AB983">
            <v>0.04</v>
          </cell>
        </row>
        <row r="984">
          <cell r="A984" t="str">
            <v>F-2026-03-343</v>
          </cell>
          <cell r="B984"/>
          <cell r="C984" t="str">
            <v>RPRO-260320-0672</v>
          </cell>
          <cell r="D984" t="str">
            <v>Pro.sche.report 4.4</v>
          </cell>
          <cell r="E984" t="str">
            <v>BDB-000346</v>
          </cell>
          <cell r="F984" t="str">
            <v>PVN-004188</v>
          </cell>
          <cell r="G984" t="str">
            <v>OrthoLite Float NEUTRAL GRAY/17-4402TPX Flat Sheet 0.12D 21+/-4 Asker C 1.1M 1.47M 5.5mm</v>
          </cell>
          <cell r="H984">
            <v>25</v>
          </cell>
          <cell r="I984">
            <v>25</v>
          </cell>
          <cell r="J984">
            <v>0</v>
          </cell>
          <cell r="K984">
            <v>25</v>
          </cell>
          <cell r="L984" t="str">
            <v>PUMA</v>
          </cell>
          <cell r="M984" t="str">
            <v>Pr.Sch.R</v>
          </cell>
          <cell r="N984" t="str">
            <v>MOLDED</v>
          </cell>
          <cell r="O984">
            <v>1</v>
          </cell>
          <cell r="P984">
            <v>46101</v>
          </cell>
          <cell r="Q984">
            <v>46114</v>
          </cell>
          <cell r="R984">
            <v>46111</v>
          </cell>
          <cell r="S984">
            <v>13</v>
          </cell>
          <cell r="T984">
            <v>5.5</v>
          </cell>
          <cell r="U984">
            <v>25</v>
          </cell>
          <cell r="V984">
            <v>1</v>
          </cell>
          <cell r="W984" t="e">
            <v>#N/A</v>
          </cell>
          <cell r="X984" t="str">
            <v>4-2026</v>
          </cell>
          <cell r="Y984" t="str">
            <v>Week 13</v>
          </cell>
          <cell r="Z984">
            <v>46104</v>
          </cell>
          <cell r="AA984">
            <v>45</v>
          </cell>
          <cell r="AB984">
            <v>0.04</v>
          </cell>
        </row>
        <row r="985">
          <cell r="A985" t="str">
            <v>F-2026-03-344</v>
          </cell>
          <cell r="B985"/>
          <cell r="C985" t="str">
            <v>RPRO-260320-0673</v>
          </cell>
          <cell r="D985" t="str">
            <v>Pro.sche.report 4.4</v>
          </cell>
          <cell r="E985" t="str">
            <v>BDB-000054</v>
          </cell>
          <cell r="F985" t="str">
            <v>PVN-003895</v>
          </cell>
          <cell r="G985" t="str">
            <v>OrthoLite X-40 RED/19-1764TPX Flat Sheet 0.16D 25+/-4 Asker C 1.1M 1.7M 5mm</v>
          </cell>
          <cell r="H985">
            <v>28</v>
          </cell>
          <cell r="I985">
            <v>28</v>
          </cell>
          <cell r="J985">
            <v>28</v>
          </cell>
          <cell r="K985">
            <v>0</v>
          </cell>
          <cell r="L985" t="str">
            <v>PAYNTR</v>
          </cell>
          <cell r="M985" t="str">
            <v>Pr.Sch.R</v>
          </cell>
          <cell r="N985" t="str">
            <v>MOLDED</v>
          </cell>
          <cell r="O985">
            <v>1</v>
          </cell>
          <cell r="P985">
            <v>46101</v>
          </cell>
          <cell r="Q985">
            <v>46112</v>
          </cell>
          <cell r="R985">
            <v>46109</v>
          </cell>
          <cell r="S985">
            <v>11</v>
          </cell>
          <cell r="T985">
            <v>5</v>
          </cell>
          <cell r="U985">
            <v>28</v>
          </cell>
          <cell r="V985">
            <v>1</v>
          </cell>
          <cell r="W985" t="str">
            <v>0.16D</v>
          </cell>
          <cell r="X985" t="str">
            <v>3-2026</v>
          </cell>
          <cell r="Y985" t="str">
            <v>Week 13</v>
          </cell>
          <cell r="Z985">
            <v>46104</v>
          </cell>
          <cell r="AA985">
            <v>26</v>
          </cell>
          <cell r="AB985">
            <v>3.5709999999999999E-2</v>
          </cell>
        </row>
        <row r="986">
          <cell r="A986" t="str">
            <v>F-2026-03-345</v>
          </cell>
          <cell r="B986"/>
          <cell r="C986" t="str">
            <v>RPRO-260320-0674</v>
          </cell>
          <cell r="D986" t="str">
            <v>Pro.sche.report 4.4</v>
          </cell>
          <cell r="E986" t="str">
            <v>BDB-000363</v>
          </cell>
          <cell r="F986" t="str">
            <v>PVN-004260</v>
          </cell>
          <cell r="G986" t="str">
            <v>OrthoLite HybridPlus-Recycled MINT GREEN/11-4805TPX Hybrid Flat Sheet 0.12D 35+/-4 Asker C 1.1M 2M 5.5mm</v>
          </cell>
          <cell r="H986">
            <v>175</v>
          </cell>
          <cell r="I986">
            <v>175</v>
          </cell>
          <cell r="J986">
            <v>0</v>
          </cell>
          <cell r="K986">
            <v>175</v>
          </cell>
          <cell r="L986" t="str">
            <v>ON RUNNING</v>
          </cell>
          <cell r="M986" t="str">
            <v>Pr.Sch.R</v>
          </cell>
          <cell r="N986" t="str">
            <v>MOLDED</v>
          </cell>
          <cell r="O986">
            <v>1</v>
          </cell>
          <cell r="P986">
            <v>46101</v>
          </cell>
          <cell r="Q986">
            <v>46115</v>
          </cell>
          <cell r="R986">
            <v>46112</v>
          </cell>
          <cell r="S986">
            <v>14</v>
          </cell>
          <cell r="T986">
            <v>5.5</v>
          </cell>
          <cell r="U986">
            <v>25</v>
          </cell>
          <cell r="V986">
            <v>7</v>
          </cell>
          <cell r="W986" t="e">
            <v>#N/A</v>
          </cell>
          <cell r="X986" t="str">
            <v>4-2026</v>
          </cell>
          <cell r="Y986" t="str">
            <v>Week 14</v>
          </cell>
          <cell r="Z986">
            <v>46111</v>
          </cell>
          <cell r="AA986">
            <v>127</v>
          </cell>
          <cell r="AB986">
            <v>0.04</v>
          </cell>
        </row>
        <row r="987">
          <cell r="A987" t="str">
            <v>F-2026-03-346</v>
          </cell>
          <cell r="B987"/>
          <cell r="C987" t="str">
            <v>RPRO-260320-0675</v>
          </cell>
          <cell r="D987" t="str">
            <v>Pro.sche.report 4.4</v>
          </cell>
          <cell r="E987" t="str">
            <v>BDB-000273</v>
          </cell>
          <cell r="F987" t="str">
            <v>PVN-004138</v>
          </cell>
          <cell r="G987" t="str">
            <v>OrthoLite X-40-Hybrid SEEDPEARL/12-0703TPX Hybrid Flat Sheet 0.16D 25+/-4 Asker C 1.1M 2M 5.5mm</v>
          </cell>
          <cell r="H987">
            <v>1375</v>
          </cell>
          <cell r="I987">
            <v>1375</v>
          </cell>
          <cell r="J987">
            <v>0</v>
          </cell>
          <cell r="K987">
            <v>1375</v>
          </cell>
          <cell r="L987" t="str">
            <v>ON RUNNING</v>
          </cell>
          <cell r="M987" t="str">
            <v>Pr.Sch.R</v>
          </cell>
          <cell r="N987" t="str">
            <v>MOLDED</v>
          </cell>
          <cell r="O987">
            <v>1</v>
          </cell>
          <cell r="P987">
            <v>46101</v>
          </cell>
          <cell r="Q987">
            <v>46118</v>
          </cell>
          <cell r="R987">
            <v>46115</v>
          </cell>
          <cell r="S987">
            <v>17</v>
          </cell>
          <cell r="T987">
            <v>5.5</v>
          </cell>
          <cell r="U987">
            <v>25</v>
          </cell>
          <cell r="V987">
            <v>55</v>
          </cell>
          <cell r="W987" t="str">
            <v>0.16D</v>
          </cell>
          <cell r="X987" t="str">
            <v>4-2026</v>
          </cell>
          <cell r="Y987" t="str">
            <v>Week 14</v>
          </cell>
          <cell r="Z987">
            <v>46111</v>
          </cell>
          <cell r="AA987">
            <v>6</v>
          </cell>
          <cell r="AB987">
            <v>0.04</v>
          </cell>
        </row>
        <row r="988">
          <cell r="A988" t="str">
            <v>F-2026-03-347</v>
          </cell>
          <cell r="B988"/>
          <cell r="C988" t="str">
            <v>RPRO-260320-0676</v>
          </cell>
          <cell r="D988" t="str">
            <v>Pro.sche.report 4.4</v>
          </cell>
          <cell r="E988" t="str">
            <v>BDB-000126</v>
          </cell>
          <cell r="F988" t="str">
            <v>PVN-002325</v>
          </cell>
          <cell r="G988" t="str">
            <v>OrthoLite Regular-Nike RED/19-1764TPX Flat Sheet 0.11D 25+/-4 Asker C 1.1M 2M 5.2mm</v>
          </cell>
          <cell r="H988">
            <v>26</v>
          </cell>
          <cell r="I988">
            <v>26</v>
          </cell>
          <cell r="J988">
            <v>26</v>
          </cell>
          <cell r="K988">
            <v>0</v>
          </cell>
          <cell r="L988" t="str">
            <v>NIKE</v>
          </cell>
          <cell r="M988" t="str">
            <v>Pr.Sch.R</v>
          </cell>
          <cell r="N988" t="str">
            <v>MOLDED</v>
          </cell>
          <cell r="O988">
            <v>1</v>
          </cell>
          <cell r="P988">
            <v>46101</v>
          </cell>
          <cell r="Q988">
            <v>46113</v>
          </cell>
          <cell r="R988">
            <v>46110</v>
          </cell>
          <cell r="S988">
            <v>12</v>
          </cell>
          <cell r="T988">
            <v>5.2</v>
          </cell>
          <cell r="U988">
            <v>26</v>
          </cell>
          <cell r="V988">
            <v>1</v>
          </cell>
          <cell r="W988" t="str">
            <v>0.11D</v>
          </cell>
          <cell r="X988" t="str">
            <v>4-2026</v>
          </cell>
          <cell r="Y988" t="str">
            <v>Week 13</v>
          </cell>
          <cell r="Z988">
            <v>46104</v>
          </cell>
          <cell r="AA988">
            <v>0</v>
          </cell>
          <cell r="AB988">
            <v>3.8460000000000001E-2</v>
          </cell>
        </row>
        <row r="989">
          <cell r="A989" t="str">
            <v>F-2026-03-348</v>
          </cell>
          <cell r="B989"/>
          <cell r="C989" t="str">
            <v>RPRO-260320-0677</v>
          </cell>
          <cell r="D989" t="str">
            <v>Pro.sche.report 4.4</v>
          </cell>
          <cell r="E989" t="str">
            <v>BDB-000229</v>
          </cell>
          <cell r="F989" t="str">
            <v>PVN-003878</v>
          </cell>
          <cell r="G989" t="str">
            <v>OrthoLite Ultra-Hybrid SEEDPEARL/12-0703TPX Hybrid Flat Sheet 0.095D 33+/-4 Asker C 1.1M 2M 4mm</v>
          </cell>
          <cell r="H989">
            <v>35</v>
          </cell>
          <cell r="I989">
            <v>35</v>
          </cell>
          <cell r="J989">
            <v>0</v>
          </cell>
          <cell r="K989">
            <v>35</v>
          </cell>
          <cell r="L989" t="str">
            <v>ON RUNNING</v>
          </cell>
          <cell r="M989" t="str">
            <v>Pr.Sch.R</v>
          </cell>
          <cell r="N989" t="str">
            <v>DIE CUT</v>
          </cell>
          <cell r="O989">
            <v>1</v>
          </cell>
          <cell r="P989">
            <v>46101</v>
          </cell>
          <cell r="Q989">
            <v>46118</v>
          </cell>
          <cell r="R989">
            <v>46115</v>
          </cell>
          <cell r="S989">
            <v>17</v>
          </cell>
          <cell r="T989">
            <v>4</v>
          </cell>
          <cell r="U989">
            <v>35</v>
          </cell>
          <cell r="V989">
            <v>1</v>
          </cell>
          <cell r="W989" t="str">
            <v>0.095D</v>
          </cell>
          <cell r="X989" t="str">
            <v>4-2026</v>
          </cell>
          <cell r="Y989" t="str">
            <v>Week 14</v>
          </cell>
          <cell r="Z989">
            <v>46111</v>
          </cell>
          <cell r="AA989">
            <v>103</v>
          </cell>
          <cell r="AB989">
            <v>2.8570000000000002E-2</v>
          </cell>
        </row>
        <row r="990">
          <cell r="A990" t="str">
            <v>F-2026-03-349</v>
          </cell>
          <cell r="B990"/>
          <cell r="C990" t="str">
            <v>RPRO-260320-0678</v>
          </cell>
          <cell r="D990" t="str">
            <v>Pro.sche.report 4.4</v>
          </cell>
          <cell r="E990" t="str">
            <v>BDB-000355</v>
          </cell>
          <cell r="F990" t="str">
            <v>PVN-004231</v>
          </cell>
          <cell r="G990" t="str">
            <v>OrthoLite HybridPlus-Recycled CASTLEROCK/18-0201TPX Hybrid Flat Sheet 0.12D 25+/-4 Asker C 1.1M 2M 4.5mm</v>
          </cell>
          <cell r="H990">
            <v>1736</v>
          </cell>
          <cell r="I990">
            <v>1736</v>
          </cell>
          <cell r="J990">
            <v>0</v>
          </cell>
          <cell r="K990">
            <v>1736</v>
          </cell>
          <cell r="L990" t="str">
            <v>ON RUNNING</v>
          </cell>
          <cell r="M990" t="str">
            <v>Pr.Sch.R</v>
          </cell>
          <cell r="N990" t="str">
            <v>MOLDED</v>
          </cell>
          <cell r="O990">
            <v>1</v>
          </cell>
          <cell r="P990">
            <v>46101</v>
          </cell>
          <cell r="Q990">
            <v>46123</v>
          </cell>
          <cell r="R990">
            <v>46120</v>
          </cell>
          <cell r="S990">
            <v>22</v>
          </cell>
          <cell r="T990">
            <v>4.5</v>
          </cell>
          <cell r="U990">
            <v>31</v>
          </cell>
          <cell r="V990">
            <v>57</v>
          </cell>
          <cell r="W990" t="e">
            <v>#N/A</v>
          </cell>
          <cell r="X990" t="str">
            <v>4-2026</v>
          </cell>
          <cell r="Y990" t="str">
            <v>Week 15</v>
          </cell>
          <cell r="Z990">
            <v>46118</v>
          </cell>
          <cell r="AA990">
            <v>140</v>
          </cell>
          <cell r="AB990">
            <v>3.2259999999999997E-2</v>
          </cell>
        </row>
        <row r="991">
          <cell r="A991" t="str">
            <v>F-2026-03-350</v>
          </cell>
          <cell r="B991"/>
          <cell r="C991" t="str">
            <v>RPRO-260320-0679</v>
          </cell>
          <cell r="D991" t="str">
            <v>Pro.sche.report 4.4</v>
          </cell>
          <cell r="E991" t="str">
            <v>BDB-000076</v>
          </cell>
          <cell r="F991" t="str">
            <v>PVN-004091</v>
          </cell>
          <cell r="G991" t="str">
            <v>OrthoLite X-25 BILLIARD/16-5427TPX Flat Sheet 0.12D 20+/-4 Asker C 1.1M 2M 3.5mm</v>
          </cell>
          <cell r="H991">
            <v>320</v>
          </cell>
          <cell r="I991">
            <v>320</v>
          </cell>
          <cell r="J991">
            <v>0</v>
          </cell>
          <cell r="K991">
            <v>320</v>
          </cell>
          <cell r="L991" t="str">
            <v>BROOKS</v>
          </cell>
          <cell r="M991" t="str">
            <v>Pr.Sch.R</v>
          </cell>
          <cell r="N991" t="str">
            <v>MOLDED</v>
          </cell>
          <cell r="O991">
            <v>1</v>
          </cell>
          <cell r="P991">
            <v>46101</v>
          </cell>
          <cell r="Q991">
            <v>46118</v>
          </cell>
          <cell r="R991">
            <v>46115</v>
          </cell>
          <cell r="S991">
            <v>17</v>
          </cell>
          <cell r="T991">
            <v>3.5</v>
          </cell>
          <cell r="U991">
            <v>40</v>
          </cell>
          <cell r="V991">
            <v>8</v>
          </cell>
          <cell r="W991" t="str">
            <v>0.12D</v>
          </cell>
          <cell r="X991" t="str">
            <v>4-2026</v>
          </cell>
          <cell r="Y991" t="str">
            <v>Week 14</v>
          </cell>
          <cell r="Z991">
            <v>46111</v>
          </cell>
          <cell r="AA991">
            <v>136</v>
          </cell>
          <cell r="AB991">
            <v>2.5000000000000001E-2</v>
          </cell>
        </row>
        <row r="992">
          <cell r="A992" t="str">
            <v>F-2026-03-351</v>
          </cell>
          <cell r="B992"/>
          <cell r="C992" t="str">
            <v>RPRO-260320-0680</v>
          </cell>
          <cell r="D992" t="str">
            <v>Pro.sche.report 4.4</v>
          </cell>
          <cell r="E992" t="str">
            <v>BDB-000234</v>
          </cell>
          <cell r="F992" t="str">
            <v>PVN-003575</v>
          </cell>
          <cell r="G992" t="str">
            <v>OrthoLite X-30-Hybrid BROWN SUGAR/17-1134TPX Hybrid Flat Sheet 0.13D 25+/-4 Asker C 1.1M 2M 10mm</v>
          </cell>
          <cell r="H992">
            <v>13</v>
          </cell>
          <cell r="I992">
            <v>13</v>
          </cell>
          <cell r="J992">
            <v>13</v>
          </cell>
          <cell r="K992">
            <v>0</v>
          </cell>
          <cell r="L992" t="str">
            <v>ASICS</v>
          </cell>
          <cell r="M992" t="str">
            <v>Pr.Sch.R</v>
          </cell>
          <cell r="N992" t="str">
            <v>MOLDED</v>
          </cell>
          <cell r="O992">
            <v>1</v>
          </cell>
          <cell r="P992">
            <v>46101</v>
          </cell>
          <cell r="Q992">
            <v>46112</v>
          </cell>
          <cell r="R992">
            <v>46109</v>
          </cell>
          <cell r="S992">
            <v>11</v>
          </cell>
          <cell r="T992">
            <v>10</v>
          </cell>
          <cell r="U992">
            <v>13</v>
          </cell>
          <cell r="V992">
            <v>1</v>
          </cell>
          <cell r="W992" t="str">
            <v>0.13D</v>
          </cell>
          <cell r="X992" t="str">
            <v>3-2026</v>
          </cell>
          <cell r="Y992" t="str">
            <v>Week 13</v>
          </cell>
          <cell r="Z992">
            <v>46104</v>
          </cell>
          <cell r="AA992">
            <v>136</v>
          </cell>
          <cell r="AB992">
            <v>7.6920000000000002E-2</v>
          </cell>
        </row>
        <row r="993">
          <cell r="A993" t="str">
            <v>F-2026-03-352</v>
          </cell>
          <cell r="B993"/>
          <cell r="C993" t="str">
            <v>RPRO-260320-0681</v>
          </cell>
          <cell r="D993" t="str">
            <v>Pro.sche.report 4.4</v>
          </cell>
          <cell r="E993" t="str">
            <v>BDB-000332</v>
          </cell>
          <cell r="F993" t="str">
            <v>PVN-004146</v>
          </cell>
          <cell r="G993" t="str">
            <v>OrthoLite X-25 CASTLEROCK/18-0201TPX Flat Sheet 0.12D 20+/-4 Asker C 1.1M 2M 5.5mm</v>
          </cell>
          <cell r="H993">
            <v>850</v>
          </cell>
          <cell r="I993">
            <v>850</v>
          </cell>
          <cell r="J993">
            <v>850</v>
          </cell>
          <cell r="K993">
            <v>0</v>
          </cell>
          <cell r="L993" t="str">
            <v>ON RUNNING</v>
          </cell>
          <cell r="M993" t="str">
            <v>Pr.Sch.R</v>
          </cell>
          <cell r="N993" t="str">
            <v>MOLDED</v>
          </cell>
          <cell r="O993">
            <v>1</v>
          </cell>
          <cell r="P993">
            <v>46101</v>
          </cell>
          <cell r="Q993">
            <v>46112</v>
          </cell>
          <cell r="R993">
            <v>46109</v>
          </cell>
          <cell r="S993">
            <v>11</v>
          </cell>
          <cell r="T993">
            <v>5.5</v>
          </cell>
          <cell r="U993">
            <v>25</v>
          </cell>
          <cell r="V993">
            <v>34</v>
          </cell>
          <cell r="W993" t="e">
            <v>#N/A</v>
          </cell>
          <cell r="X993" t="str">
            <v>3-2026</v>
          </cell>
          <cell r="Y993" t="str">
            <v>Week 13</v>
          </cell>
          <cell r="Z993">
            <v>46104</v>
          </cell>
          <cell r="AA993">
            <v>136</v>
          </cell>
          <cell r="AB993">
            <v>0.04</v>
          </cell>
        </row>
        <row r="994">
          <cell r="A994" t="str">
            <v>F-2026-03-353</v>
          </cell>
          <cell r="B994"/>
          <cell r="C994" t="str">
            <v>RPRO-260320-0682</v>
          </cell>
          <cell r="D994" t="str">
            <v>Pro.sche.report 4.4</v>
          </cell>
          <cell r="E994" t="str">
            <v>BDB-000077</v>
          </cell>
          <cell r="F994" t="str">
            <v>PVN-004147</v>
          </cell>
          <cell r="G994" t="str">
            <v>OrthoLite X-25 SEEDPEARL/12-0703TPX Flat Sheet 0.12D 20+/-4 Asker C 1.1M 2M 5.5mm</v>
          </cell>
          <cell r="H994">
            <v>150</v>
          </cell>
          <cell r="I994">
            <v>150</v>
          </cell>
          <cell r="J994">
            <v>0</v>
          </cell>
          <cell r="K994">
            <v>150</v>
          </cell>
          <cell r="L994" t="str">
            <v>ON RUNNING</v>
          </cell>
          <cell r="M994" t="str">
            <v>Pr.Sch.R</v>
          </cell>
          <cell r="N994" t="str">
            <v>MOLDED</v>
          </cell>
          <cell r="O994">
            <v>1</v>
          </cell>
          <cell r="P994">
            <v>46101</v>
          </cell>
          <cell r="Q994">
            <v>46118</v>
          </cell>
          <cell r="R994">
            <v>46115</v>
          </cell>
          <cell r="S994">
            <v>17</v>
          </cell>
          <cell r="T994">
            <v>5.5</v>
          </cell>
          <cell r="U994">
            <v>25</v>
          </cell>
          <cell r="V994">
            <v>6</v>
          </cell>
          <cell r="W994" t="str">
            <v>0.12D</v>
          </cell>
          <cell r="X994" t="str">
            <v>4-2026</v>
          </cell>
          <cell r="Y994" t="str">
            <v>Week 14</v>
          </cell>
          <cell r="Z994">
            <v>46111</v>
          </cell>
          <cell r="AA994">
            <v>136</v>
          </cell>
          <cell r="AB994">
            <v>0.04</v>
          </cell>
        </row>
        <row r="995">
          <cell r="A995" t="str">
            <v>F-2026-03-354</v>
          </cell>
          <cell r="B995"/>
          <cell r="C995" t="str">
            <v>RPRO-260320-0683</v>
          </cell>
          <cell r="D995" t="str">
            <v>Pro.sche.report 4.4</v>
          </cell>
          <cell r="E995" t="str">
            <v>BDB-000157</v>
          </cell>
          <cell r="F995" t="str">
            <v>PVN-003642</v>
          </cell>
          <cell r="G995" t="str">
            <v>OrthoLite X-35-Hybrid-Nike SEEDPEARL/12-0703TPX Hybrid Flat Sheet 0.145D 25+/-4 Asker C 1.1M 2M 6.2mm</v>
          </cell>
          <cell r="H995">
            <v>22</v>
          </cell>
          <cell r="I995">
            <v>22</v>
          </cell>
          <cell r="J995">
            <v>22</v>
          </cell>
          <cell r="K995">
            <v>0</v>
          </cell>
          <cell r="L995" t="str">
            <v>NIKE</v>
          </cell>
          <cell r="M995" t="str">
            <v>Pr.Sch.R</v>
          </cell>
          <cell r="N995" t="str">
            <v>MOLDED</v>
          </cell>
          <cell r="O995">
            <v>1</v>
          </cell>
          <cell r="P995">
            <v>46101</v>
          </cell>
          <cell r="Q995">
            <v>46113</v>
          </cell>
          <cell r="R995">
            <v>46110</v>
          </cell>
          <cell r="S995">
            <v>12</v>
          </cell>
          <cell r="T995">
            <v>6.2</v>
          </cell>
          <cell r="U995">
            <v>22</v>
          </cell>
          <cell r="V995">
            <v>1</v>
          </cell>
          <cell r="W995" t="str">
            <v>0.145D</v>
          </cell>
          <cell r="X995" t="str">
            <v>4-2026</v>
          </cell>
          <cell r="Y995" t="str">
            <v>Week 13</v>
          </cell>
          <cell r="Z995">
            <v>46104</v>
          </cell>
          <cell r="AA995">
            <v>136</v>
          </cell>
          <cell r="AB995">
            <v>4.5449999999999997E-2</v>
          </cell>
        </row>
        <row r="996">
          <cell r="A996" t="str">
            <v>F-2026-03-355</v>
          </cell>
          <cell r="B996"/>
          <cell r="C996" t="str">
            <v>RPRO-260320-0684</v>
          </cell>
          <cell r="D996" t="str">
            <v>Pro.sche.report 4.4</v>
          </cell>
          <cell r="E996" t="str">
            <v>BDB-000319</v>
          </cell>
          <cell r="F996" t="str">
            <v>PVN-004081</v>
          </cell>
          <cell r="G996" t="str">
            <v>OrthoLite X-40-Hybrid-Nike SEEDPEARL/12-0703TPX Hybrid Flat Sheet 0.16D 25+/-4 Asker C 1.1M 2M 6mm</v>
          </cell>
          <cell r="H996">
            <v>138</v>
          </cell>
          <cell r="I996">
            <v>138</v>
          </cell>
          <cell r="J996">
            <v>0</v>
          </cell>
          <cell r="K996">
            <v>138</v>
          </cell>
          <cell r="L996" t="str">
            <v>NIKE</v>
          </cell>
          <cell r="M996" t="str">
            <v>Pr.Sch.R</v>
          </cell>
          <cell r="N996" t="str">
            <v>MOLDED</v>
          </cell>
          <cell r="O996">
            <v>1</v>
          </cell>
          <cell r="P996">
            <v>46101</v>
          </cell>
          <cell r="Q996">
            <v>46118</v>
          </cell>
          <cell r="R996">
            <v>46115</v>
          </cell>
          <cell r="S996">
            <v>17</v>
          </cell>
          <cell r="T996">
            <v>6</v>
          </cell>
          <cell r="U996">
            <v>23</v>
          </cell>
          <cell r="V996">
            <v>7</v>
          </cell>
          <cell r="W996" t="e">
            <v>#N/A</v>
          </cell>
          <cell r="X996" t="str">
            <v>4-2026</v>
          </cell>
          <cell r="Y996" t="str">
            <v>Week 14</v>
          </cell>
          <cell r="Z996">
            <v>46111</v>
          </cell>
          <cell r="AA996">
            <v>136</v>
          </cell>
          <cell r="AB996">
            <v>4.3479999999999998E-2</v>
          </cell>
        </row>
        <row r="997">
          <cell r="A997" t="str">
            <v>F-2026-03-356</v>
          </cell>
          <cell r="B997"/>
          <cell r="C997" t="str">
            <v>RPRO-260320-0685</v>
          </cell>
          <cell r="D997" t="str">
            <v>Pro.sche.report 4.4</v>
          </cell>
          <cell r="E997" t="str">
            <v>BDB-000149</v>
          </cell>
          <cell r="F997" t="str">
            <v>PVN-002773</v>
          </cell>
          <cell r="G997" t="str">
            <v>OrthoLite Regular-Hybrid-Nike SEEDPEARL/12-0703TPX Hybrid Flat Sheet 0.11D 25+/-4 Asker C 1.1M 2M 4mm</v>
          </cell>
          <cell r="H997">
            <v>70</v>
          </cell>
          <cell r="I997">
            <v>70</v>
          </cell>
          <cell r="J997">
            <v>70</v>
          </cell>
          <cell r="K997">
            <v>0</v>
          </cell>
          <cell r="L997" t="str">
            <v>NIKE</v>
          </cell>
          <cell r="M997" t="str">
            <v>Pr.Sch.R</v>
          </cell>
          <cell r="N997" t="str">
            <v>DIE CUT</v>
          </cell>
          <cell r="O997">
            <v>1</v>
          </cell>
          <cell r="P997">
            <v>46101</v>
          </cell>
          <cell r="Q997">
            <v>46109</v>
          </cell>
          <cell r="R997">
            <v>46106</v>
          </cell>
          <cell r="S997">
            <v>8</v>
          </cell>
          <cell r="T997">
            <v>4</v>
          </cell>
          <cell r="U997">
            <v>35</v>
          </cell>
          <cell r="V997">
            <v>2</v>
          </cell>
          <cell r="W997" t="str">
            <v>0.11D</v>
          </cell>
          <cell r="X997" t="str">
            <v>3-2026</v>
          </cell>
          <cell r="Y997" t="str">
            <v>Week 13</v>
          </cell>
          <cell r="Z997">
            <v>46104</v>
          </cell>
          <cell r="AA997">
            <v>56</v>
          </cell>
          <cell r="AB997">
            <v>2.8570000000000002E-2</v>
          </cell>
        </row>
        <row r="998">
          <cell r="A998" t="str">
            <v>F-2026-03-357</v>
          </cell>
          <cell r="B998"/>
          <cell r="C998" t="str">
            <v>FPRO-260318-0001</v>
          </cell>
          <cell r="D998" t="str">
            <v>Firm plan 18.3</v>
          </cell>
          <cell r="E998" t="str">
            <v>BDB-000011</v>
          </cell>
          <cell r="F998" t="str">
            <v>PVN-000121</v>
          </cell>
          <cell r="G998" t="str">
            <v>OrthoLite Regular AIR BLUE/16-4134TPX Flat Sheet 0.13D 35+/-4 Asker C 1.1M 2M 12mm</v>
          </cell>
          <cell r="H998">
            <v>500</v>
          </cell>
          <cell r="I998">
            <v>500</v>
          </cell>
          <cell r="J998">
            <v>0</v>
          </cell>
          <cell r="K998">
            <v>500</v>
          </cell>
          <cell r="L998" t="str">
            <v>ASICS</v>
          </cell>
          <cell r="M998" t="str">
            <v>Forecast</v>
          </cell>
          <cell r="N998" t="str">
            <v>MOLDED</v>
          </cell>
          <cell r="O998">
            <v>1</v>
          </cell>
          <cell r="P998">
            <v>46099</v>
          </cell>
          <cell r="Q998">
            <v>46125</v>
          </cell>
          <cell r="R998">
            <v>46122</v>
          </cell>
          <cell r="S998">
            <v>26</v>
          </cell>
          <cell r="T998">
            <v>12</v>
          </cell>
          <cell r="U998">
            <v>11.5</v>
          </cell>
          <cell r="V998">
            <v>44</v>
          </cell>
          <cell r="W998" t="str">
            <v>0.13D</v>
          </cell>
          <cell r="X998" t="str">
            <v>4-2026</v>
          </cell>
          <cell r="Y998" t="str">
            <v>Week 15</v>
          </cell>
          <cell r="Z998">
            <v>46118</v>
          </cell>
          <cell r="AA998">
            <v>284</v>
          </cell>
          <cell r="AB998">
            <v>8.6959999999999996E-2</v>
          </cell>
        </row>
        <row r="999">
          <cell r="A999" t="str">
            <v>F-2026-03-358-1</v>
          </cell>
          <cell r="B999"/>
          <cell r="C999" t="str">
            <v>FPRO-260318-0002</v>
          </cell>
          <cell r="D999" t="str">
            <v>Firm plan 18.3</v>
          </cell>
          <cell r="E999" t="str">
            <v>BDB-000011</v>
          </cell>
          <cell r="F999" t="str">
            <v>PVN-000242</v>
          </cell>
          <cell r="G999" t="str">
            <v>OrthoLite Regular AIR BLUE/16-4134TPX Flat Sheet 0.13D 35+/-4 Asker C 1.1M 2M 2mm</v>
          </cell>
          <cell r="H999">
            <v>500</v>
          </cell>
          <cell r="I999">
            <v>500</v>
          </cell>
          <cell r="J999">
            <v>0</v>
          </cell>
          <cell r="K999">
            <v>500</v>
          </cell>
          <cell r="L999" t="str">
            <v>ASICS</v>
          </cell>
          <cell r="M999" t="str">
            <v>Forecast</v>
          </cell>
          <cell r="N999" t="str">
            <v>SPLITTING</v>
          </cell>
          <cell r="O999">
            <v>2</v>
          </cell>
          <cell r="P999">
            <v>46099</v>
          </cell>
          <cell r="Q999">
            <v>46156</v>
          </cell>
          <cell r="R999">
            <v>46153</v>
          </cell>
          <cell r="S999">
            <v>57</v>
          </cell>
          <cell r="T999">
            <v>2</v>
          </cell>
          <cell r="U999">
            <v>70</v>
          </cell>
          <cell r="V999">
            <v>8</v>
          </cell>
          <cell r="W999" t="str">
            <v>0.13D</v>
          </cell>
          <cell r="X999" t="str">
            <v>5-2026</v>
          </cell>
          <cell r="Y999" t="str">
            <v>Week 19</v>
          </cell>
          <cell r="Z999">
            <v>46146</v>
          </cell>
          <cell r="AA999">
            <v>114</v>
          </cell>
          <cell r="AB999">
            <v>1.4290000000000001E-2</v>
          </cell>
        </row>
        <row r="1000">
          <cell r="A1000" t="str">
            <v>F-2026-03-358-2</v>
          </cell>
          <cell r="B1000"/>
          <cell r="C1000" t="str">
            <v>FPRO-260507-0004</v>
          </cell>
          <cell r="D1000" t="str">
            <v>Firm plan 18.3</v>
          </cell>
          <cell r="E1000" t="str">
            <v>BDB-000011</v>
          </cell>
          <cell r="F1000" t="str">
            <v>PVN-000242</v>
          </cell>
          <cell r="G1000" t="str">
            <v>OrthoLite Regular AIR BLUE/16-4134TPX Flat Sheet 0.13D 35+/-4 Asker C 1.1M 2M 2mm</v>
          </cell>
          <cell r="H1000">
            <v>500</v>
          </cell>
          <cell r="I1000">
            <v>500</v>
          </cell>
          <cell r="J1000">
            <v>0</v>
          </cell>
          <cell r="K1000">
            <v>500</v>
          </cell>
          <cell r="L1000" t="str">
            <v>ASICS</v>
          </cell>
          <cell r="M1000" t="str">
            <v>Forecast</v>
          </cell>
          <cell r="N1000" t="str">
            <v>SPLITTING</v>
          </cell>
          <cell r="O1000">
            <v>2</v>
          </cell>
          <cell r="P1000">
            <v>46099</v>
          </cell>
          <cell r="Q1000">
            <v>46157</v>
          </cell>
          <cell r="R1000">
            <v>46154</v>
          </cell>
          <cell r="S1000">
            <v>58</v>
          </cell>
          <cell r="T1000">
            <v>2</v>
          </cell>
          <cell r="U1000">
            <v>70</v>
          </cell>
          <cell r="V1000">
            <v>8</v>
          </cell>
          <cell r="W1000" t="str">
            <v>0.13D</v>
          </cell>
          <cell r="X1000" t="str">
            <v>5-2026</v>
          </cell>
          <cell r="Y1000" t="str">
            <v>Week 20</v>
          </cell>
          <cell r="Z1000">
            <v>46153</v>
          </cell>
          <cell r="AA1000">
            <v>41</v>
          </cell>
          <cell r="AB1000">
            <v>1.4290000000000001E-2</v>
          </cell>
        </row>
        <row r="1001">
          <cell r="A1001" t="str">
            <v>F-2026-03-359</v>
          </cell>
          <cell r="B1001"/>
          <cell r="C1001" t="str">
            <v>FPRO-260318-0003</v>
          </cell>
          <cell r="D1001" t="str">
            <v>Firm plan 18.3</v>
          </cell>
          <cell r="E1001" t="str">
            <v>BDB-000011</v>
          </cell>
          <cell r="F1001" t="str">
            <v>PVN-000242</v>
          </cell>
          <cell r="G1001" t="str">
            <v>OrthoLite Regular AIR BLUE/16-4134TPX Flat Sheet 0.13D 35+/-4 Asker C 1.1M 2M 2mm</v>
          </cell>
          <cell r="H1001">
            <v>1000</v>
          </cell>
          <cell r="I1001">
            <v>1000</v>
          </cell>
          <cell r="J1001">
            <v>0</v>
          </cell>
          <cell r="K1001">
            <v>1000</v>
          </cell>
          <cell r="L1001" t="str">
            <v>ASICS</v>
          </cell>
          <cell r="M1001" t="str">
            <v>Forecast</v>
          </cell>
          <cell r="N1001" t="str">
            <v>SPLITTING</v>
          </cell>
          <cell r="O1001">
            <v>2</v>
          </cell>
          <cell r="P1001">
            <v>46099</v>
          </cell>
          <cell r="Q1001">
            <v>46179</v>
          </cell>
          <cell r="R1001">
            <v>46176</v>
          </cell>
          <cell r="S1001">
            <v>80</v>
          </cell>
          <cell r="T1001">
            <v>2</v>
          </cell>
          <cell r="U1001">
            <v>70</v>
          </cell>
          <cell r="V1001">
            <v>15</v>
          </cell>
          <cell r="W1001" t="str">
            <v>0.13D</v>
          </cell>
          <cell r="X1001" t="str">
            <v>6-2026</v>
          </cell>
          <cell r="Y1001" t="str">
            <v>Week 22</v>
          </cell>
          <cell r="Z1001">
            <v>46167</v>
          </cell>
          <cell r="AA1001">
            <v>41</v>
          </cell>
          <cell r="AB1001">
            <v>1.4290000000000001E-2</v>
          </cell>
        </row>
        <row r="1002">
          <cell r="A1002" t="str">
            <v>F-2026-03-360</v>
          </cell>
          <cell r="B1002"/>
          <cell r="C1002" t="str">
            <v>FPRO-260318-0004</v>
          </cell>
          <cell r="D1002" t="str">
            <v>Firm plan 18.3</v>
          </cell>
          <cell r="E1002" t="str">
            <v>BDB-000011</v>
          </cell>
          <cell r="F1002" t="str">
            <v>PVN-000242</v>
          </cell>
          <cell r="G1002" t="str">
            <v>OrthoLite Regular AIR BLUE/16-4134TPX Flat Sheet 0.13D 35+/-4 Asker C 1.1M 2M 2mm</v>
          </cell>
          <cell r="H1002">
            <v>500</v>
          </cell>
          <cell r="I1002">
            <v>500</v>
          </cell>
          <cell r="J1002">
            <v>0</v>
          </cell>
          <cell r="K1002">
            <v>500</v>
          </cell>
          <cell r="L1002" t="str">
            <v>ASICS</v>
          </cell>
          <cell r="M1002" t="str">
            <v>Forecast</v>
          </cell>
          <cell r="N1002" t="str">
            <v>SPLITTING</v>
          </cell>
          <cell r="O1002">
            <v>2</v>
          </cell>
          <cell r="P1002">
            <v>46099</v>
          </cell>
          <cell r="Q1002">
            <v>46160</v>
          </cell>
          <cell r="R1002">
            <v>46157</v>
          </cell>
          <cell r="S1002">
            <v>61</v>
          </cell>
          <cell r="T1002">
            <v>2</v>
          </cell>
          <cell r="U1002">
            <v>70</v>
          </cell>
          <cell r="V1002">
            <v>8</v>
          </cell>
          <cell r="W1002" t="str">
            <v>0.13D</v>
          </cell>
          <cell r="X1002" t="str">
            <v>5-2026</v>
          </cell>
          <cell r="Y1002" t="str">
            <v>Week 20</v>
          </cell>
          <cell r="Z1002">
            <v>46153</v>
          </cell>
          <cell r="AA1002">
            <v>25</v>
          </cell>
          <cell r="AB1002">
            <v>1.4290000000000001E-2</v>
          </cell>
        </row>
        <row r="1003">
          <cell r="A1003" t="str">
            <v>F-2026-03-361-1</v>
          </cell>
          <cell r="B1003"/>
          <cell r="C1003" t="str">
            <v>FPRO-260318-0005</v>
          </cell>
          <cell r="D1003" t="str">
            <v>Firm plan 18.3</v>
          </cell>
          <cell r="E1003" t="str">
            <v>BDB-000008</v>
          </cell>
          <cell r="F1003" t="str">
            <v>PVN-000505</v>
          </cell>
          <cell r="G1003" t="str">
            <v>OrthoLite Regular LIME GREEN/14-0452TPX Flat Sheet 0.11D 25+/-4 Asker C 1.1M 2M 12mm</v>
          </cell>
          <cell r="H1003">
            <v>200</v>
          </cell>
          <cell r="I1003">
            <v>200</v>
          </cell>
          <cell r="J1003">
            <v>0</v>
          </cell>
          <cell r="K1003">
            <v>200</v>
          </cell>
          <cell r="L1003" t="str">
            <v>ASICS</v>
          </cell>
          <cell r="M1003" t="str">
            <v>Forecast</v>
          </cell>
          <cell r="N1003" t="str">
            <v>MOLDED</v>
          </cell>
          <cell r="O1003">
            <v>1</v>
          </cell>
          <cell r="P1003">
            <v>46099</v>
          </cell>
          <cell r="Q1003">
            <v>46123</v>
          </cell>
          <cell r="R1003">
            <v>46120</v>
          </cell>
          <cell r="S1003">
            <v>24</v>
          </cell>
          <cell r="T1003">
            <v>12</v>
          </cell>
          <cell r="U1003">
            <v>11.5</v>
          </cell>
          <cell r="V1003">
            <v>18</v>
          </cell>
          <cell r="W1003" t="str">
            <v>0.11D</v>
          </cell>
          <cell r="X1003" t="str">
            <v>4-2026</v>
          </cell>
          <cell r="Y1003" t="str">
            <v>Week 14</v>
          </cell>
          <cell r="Z1003">
            <v>46111</v>
          </cell>
          <cell r="AA1003">
            <v>141</v>
          </cell>
          <cell r="AB1003">
            <v>8.6959999999999996E-2</v>
          </cell>
        </row>
        <row r="1004">
          <cell r="A1004" t="str">
            <v>F-2026-03-361-2</v>
          </cell>
          <cell r="B1004"/>
          <cell r="C1004" t="str">
            <v>FPRO-260330-0005</v>
          </cell>
          <cell r="D1004" t="str">
            <v>Firm plan 18.3</v>
          </cell>
          <cell r="E1004" t="str">
            <v>BDB-000008</v>
          </cell>
          <cell r="F1004" t="str">
            <v>PVN-000505</v>
          </cell>
          <cell r="G1004" t="str">
            <v>OrthoLite Regular LIME GREEN/14-0452TPX Flat Sheet 0.11D 25+/-4 Asker C 1.1M 2M 12mm</v>
          </cell>
          <cell r="H1004">
            <v>300</v>
          </cell>
          <cell r="I1004">
            <v>300</v>
          </cell>
          <cell r="J1004">
            <v>0</v>
          </cell>
          <cell r="K1004">
            <v>300</v>
          </cell>
          <cell r="L1004" t="str">
            <v>ASICS</v>
          </cell>
          <cell r="M1004" t="str">
            <v>Forecast</v>
          </cell>
          <cell r="N1004" t="str">
            <v>MOLDED</v>
          </cell>
          <cell r="O1004">
            <v>1</v>
          </cell>
          <cell r="P1004">
            <v>46099</v>
          </cell>
          <cell r="Q1004">
            <v>46130</v>
          </cell>
          <cell r="R1004">
            <v>46127</v>
          </cell>
          <cell r="S1004">
            <v>31</v>
          </cell>
          <cell r="T1004">
            <v>12</v>
          </cell>
          <cell r="U1004">
            <v>11.5</v>
          </cell>
          <cell r="V1004">
            <v>27</v>
          </cell>
          <cell r="W1004" t="str">
            <v>0.11D</v>
          </cell>
          <cell r="X1004" t="str">
            <v>4-2026</v>
          </cell>
          <cell r="Y1004" t="str">
            <v>Week 16</v>
          </cell>
          <cell r="Z1004">
            <v>46125</v>
          </cell>
          <cell r="AA1004">
            <v>18</v>
          </cell>
          <cell r="AB1004">
            <v>8.6959999999999996E-2</v>
          </cell>
        </row>
        <row r="1005">
          <cell r="A1005" t="str">
            <v>F-2026-03-362</v>
          </cell>
          <cell r="B1005"/>
          <cell r="C1005" t="str">
            <v>FPRO-260318-0006</v>
          </cell>
          <cell r="D1005" t="str">
            <v>Firm plan 18.3</v>
          </cell>
          <cell r="E1005" t="str">
            <v>BDB-000057</v>
          </cell>
          <cell r="F1005" t="str">
            <v>PVN-000925</v>
          </cell>
          <cell r="G1005" t="str">
            <v>OrthoLite Ultra YELLOW/13-0858TPX Flat Sheet 0.085D 25+/-4 Asker C 1.1M 2M 5mm</v>
          </cell>
          <cell r="H1005">
            <v>500</v>
          </cell>
          <cell r="I1005">
            <v>500</v>
          </cell>
          <cell r="J1005">
            <v>500</v>
          </cell>
          <cell r="K1005">
            <v>0</v>
          </cell>
          <cell r="L1005" t="str">
            <v>ASICS</v>
          </cell>
          <cell r="M1005" t="str">
            <v>Forecast</v>
          </cell>
          <cell r="N1005" t="str">
            <v>LAMINATING</v>
          </cell>
          <cell r="O1005">
            <v>1</v>
          </cell>
          <cell r="P1005">
            <v>46099</v>
          </cell>
          <cell r="Q1005">
            <v>46114</v>
          </cell>
          <cell r="R1005">
            <v>46111</v>
          </cell>
          <cell r="S1005">
            <v>15</v>
          </cell>
          <cell r="T1005">
            <v>5</v>
          </cell>
          <cell r="U1005">
            <v>28</v>
          </cell>
          <cell r="V1005">
            <v>18</v>
          </cell>
          <cell r="W1005" t="str">
            <v>0.085D</v>
          </cell>
          <cell r="X1005" t="str">
            <v>4-2026</v>
          </cell>
          <cell r="Y1005" t="str">
            <v>Week 13</v>
          </cell>
          <cell r="Z1005">
            <v>46104</v>
          </cell>
          <cell r="AA1005">
            <v>18</v>
          </cell>
          <cell r="AB1005">
            <v>3.5709999999999999E-2</v>
          </cell>
        </row>
        <row r="1006">
          <cell r="A1006" t="str">
            <v>F-2026-03-363</v>
          </cell>
          <cell r="B1006"/>
          <cell r="C1006" t="str">
            <v>FPRO-260318-0007</v>
          </cell>
          <cell r="D1006" t="str">
            <v>Firm plan 18.3</v>
          </cell>
          <cell r="E1006" t="str">
            <v>BDB-000057</v>
          </cell>
          <cell r="F1006" t="str">
            <v>PVN-000925</v>
          </cell>
          <cell r="G1006" t="str">
            <v>OrthoLite Ultra YELLOW/13-0858TPX Flat Sheet 0.085D 25+/-4 Asker C 1.1M 2M 5mm</v>
          </cell>
          <cell r="H1006">
            <v>500</v>
          </cell>
          <cell r="I1006">
            <v>500</v>
          </cell>
          <cell r="J1006">
            <v>0</v>
          </cell>
          <cell r="K1006">
            <v>500</v>
          </cell>
          <cell r="L1006" t="str">
            <v>ASICS</v>
          </cell>
          <cell r="M1006" t="str">
            <v>Forecast</v>
          </cell>
          <cell r="N1006" t="str">
            <v>LAMINATING</v>
          </cell>
          <cell r="O1006">
            <v>1</v>
          </cell>
          <cell r="P1006">
            <v>46099</v>
          </cell>
          <cell r="Q1006">
            <v>46123</v>
          </cell>
          <cell r="R1006">
            <v>46120</v>
          </cell>
          <cell r="S1006">
            <v>24</v>
          </cell>
          <cell r="T1006">
            <v>5</v>
          </cell>
          <cell r="U1006">
            <v>28</v>
          </cell>
          <cell r="V1006">
            <v>18</v>
          </cell>
          <cell r="W1006" t="str">
            <v>0.085D</v>
          </cell>
          <cell r="X1006" t="str">
            <v>4-2026</v>
          </cell>
          <cell r="Y1006" t="str">
            <v>Week 14</v>
          </cell>
          <cell r="Z1006">
            <v>46111</v>
          </cell>
          <cell r="AA1006">
            <v>89</v>
          </cell>
          <cell r="AB1006">
            <v>3.5709999999999999E-2</v>
          </cell>
        </row>
        <row r="1007">
          <cell r="A1007" t="str">
            <v>F-2026-03-364</v>
          </cell>
          <cell r="B1007"/>
          <cell r="C1007" t="str">
            <v>FPRO-260318-0008</v>
          </cell>
          <cell r="D1007" t="str">
            <v>Firm plan 18.3</v>
          </cell>
          <cell r="E1007" t="str">
            <v>BDB-000113</v>
          </cell>
          <cell r="F1007" t="str">
            <v>PVN-002465</v>
          </cell>
          <cell r="G1007" t="str">
            <v>OrthoLite Regular-Hybrid SEEDPEARL/12-0703TPX Hybrid Flat Sheet 0.11D 25+/-4 Asker C 1.1M 2M 5mm</v>
          </cell>
          <cell r="H1007">
            <v>2500</v>
          </cell>
          <cell r="I1007">
            <v>2500</v>
          </cell>
          <cell r="J1007">
            <v>0</v>
          </cell>
          <cell r="K1007">
            <v>2500</v>
          </cell>
          <cell r="L1007" t="str">
            <v>ASICS</v>
          </cell>
          <cell r="M1007" t="str">
            <v>Forecast</v>
          </cell>
          <cell r="N1007" t="str">
            <v>DIE CUT</v>
          </cell>
          <cell r="O1007">
            <v>1</v>
          </cell>
          <cell r="P1007">
            <v>46099</v>
          </cell>
          <cell r="Q1007">
            <v>46156</v>
          </cell>
          <cell r="R1007">
            <v>46153</v>
          </cell>
          <cell r="S1007">
            <v>57</v>
          </cell>
          <cell r="T1007">
            <v>5</v>
          </cell>
          <cell r="U1007">
            <v>28</v>
          </cell>
          <cell r="V1007">
            <v>90</v>
          </cell>
          <cell r="W1007" t="str">
            <v>0.11D</v>
          </cell>
          <cell r="X1007" t="str">
            <v>5-2026</v>
          </cell>
          <cell r="Y1007" t="str">
            <v>Week 19</v>
          </cell>
          <cell r="Z1007">
            <v>46146</v>
          </cell>
          <cell r="AA1007">
            <v>78</v>
          </cell>
          <cell r="AB1007">
            <v>3.5709999999999999E-2</v>
          </cell>
        </row>
        <row r="1008">
          <cell r="A1008" t="str">
            <v>F-2026-03-365</v>
          </cell>
          <cell r="B1008"/>
          <cell r="C1008" t="str">
            <v>FPRO-260318-0009-(500pcs- SLT+ 2000pcs - RM)</v>
          </cell>
          <cell r="D1008" t="str">
            <v>Firm plan 18.3</v>
          </cell>
          <cell r="E1008" t="str">
            <v>BDB-000113</v>
          </cell>
          <cell r="F1008" t="str">
            <v>PVN-002465</v>
          </cell>
          <cell r="G1008" t="str">
            <v>OrthoLite Regular-Hybrid SEEDPEARL/12-0703TPX Hybrid Flat Sheet 0.11D 25+/-4 Asker C 1.1M 2M 5mm</v>
          </cell>
          <cell r="H1008">
            <v>2500</v>
          </cell>
          <cell r="I1008">
            <v>2500</v>
          </cell>
          <cell r="J1008">
            <v>0</v>
          </cell>
          <cell r="K1008">
            <v>2500</v>
          </cell>
          <cell r="L1008" t="str">
            <v>ASICS</v>
          </cell>
          <cell r="M1008" t="str">
            <v>Forecast</v>
          </cell>
          <cell r="N1008" t="str">
            <v>DIE CUT</v>
          </cell>
          <cell r="O1008" t="str">
            <v>1-SLT</v>
          </cell>
          <cell r="P1008">
            <v>46099</v>
          </cell>
          <cell r="Q1008">
            <v>46149</v>
          </cell>
          <cell r="R1008">
            <v>46146</v>
          </cell>
          <cell r="S1008">
            <v>50</v>
          </cell>
          <cell r="T1008">
            <v>5</v>
          </cell>
          <cell r="U1008">
            <v>28</v>
          </cell>
          <cell r="V1008">
            <v>90</v>
          </cell>
          <cell r="W1008" t="str">
            <v>0.11D</v>
          </cell>
          <cell r="X1008" t="str">
            <v>5-2026</v>
          </cell>
          <cell r="Y1008" t="str">
            <v>Week 17</v>
          </cell>
          <cell r="Z1008">
            <v>46132</v>
          </cell>
          <cell r="AA1008">
            <v>136</v>
          </cell>
          <cell r="AB1008">
            <v>3.5709999999999999E-2</v>
          </cell>
        </row>
        <row r="1009">
          <cell r="A1009" t="str">
            <v>F-2026-03-366</v>
          </cell>
          <cell r="B1009"/>
          <cell r="C1009" t="str">
            <v>FPRO-260318-0010</v>
          </cell>
          <cell r="D1009" t="str">
            <v>Firm plan 18.3</v>
          </cell>
          <cell r="E1009" t="str">
            <v>BDB-000113</v>
          </cell>
          <cell r="F1009" t="str">
            <v>PVN-002465</v>
          </cell>
          <cell r="G1009" t="str">
            <v>OrthoLite Regular-Hybrid SEEDPEARL/12-0703TPX Hybrid Flat Sheet 0.11D 25+/-4 Asker C 1.1M 2M 5mm</v>
          </cell>
          <cell r="H1009">
            <v>2500</v>
          </cell>
          <cell r="I1009">
            <v>2500</v>
          </cell>
          <cell r="J1009">
            <v>0</v>
          </cell>
          <cell r="K1009">
            <v>2500</v>
          </cell>
          <cell r="L1009" t="str">
            <v>ASICS</v>
          </cell>
          <cell r="M1009" t="str">
            <v>Forecast</v>
          </cell>
          <cell r="N1009" t="str">
            <v>DIE CUT</v>
          </cell>
          <cell r="O1009">
            <v>1</v>
          </cell>
          <cell r="P1009">
            <v>46099</v>
          </cell>
          <cell r="Q1009">
            <v>46129</v>
          </cell>
          <cell r="R1009">
            <v>46126</v>
          </cell>
          <cell r="S1009">
            <v>30</v>
          </cell>
          <cell r="T1009">
            <v>5</v>
          </cell>
          <cell r="U1009">
            <v>28</v>
          </cell>
          <cell r="V1009">
            <v>90</v>
          </cell>
          <cell r="W1009" t="str">
            <v>0.11D</v>
          </cell>
          <cell r="X1009" t="str">
            <v>4-2026</v>
          </cell>
          <cell r="Y1009" t="str">
            <v>Week 15</v>
          </cell>
          <cell r="Z1009">
            <v>46118</v>
          </cell>
          <cell r="AA1009">
            <v>34</v>
          </cell>
          <cell r="AB1009">
            <v>3.5709999999999999E-2</v>
          </cell>
        </row>
        <row r="1010">
          <cell r="A1010" t="str">
            <v>F-2026-03-367</v>
          </cell>
          <cell r="B1010"/>
          <cell r="C1010" t="str">
            <v>FPRO-260318-0011</v>
          </cell>
          <cell r="D1010" t="str">
            <v>Firm plan 18.3</v>
          </cell>
          <cell r="E1010" t="str">
            <v>BDB-000113</v>
          </cell>
          <cell r="F1010" t="str">
            <v>PVN-002465</v>
          </cell>
          <cell r="G1010" t="str">
            <v>OrthoLite Regular-Hybrid SEEDPEARL/12-0703TPX Hybrid Flat Sheet 0.11D 25+/-4 Asker C 1.1M 2M 5mm</v>
          </cell>
          <cell r="H1010">
            <v>2500</v>
          </cell>
          <cell r="I1010">
            <v>2500</v>
          </cell>
          <cell r="J1010">
            <v>0</v>
          </cell>
          <cell r="K1010">
            <v>2500</v>
          </cell>
          <cell r="L1010" t="str">
            <v>ASICS</v>
          </cell>
          <cell r="M1010" t="str">
            <v>Forecast</v>
          </cell>
          <cell r="N1010" t="str">
            <v>DIE CUT</v>
          </cell>
          <cell r="O1010" t="str">
            <v>1-SLT</v>
          </cell>
          <cell r="P1010">
            <v>46099</v>
          </cell>
          <cell r="Q1010">
            <v>46132</v>
          </cell>
          <cell r="R1010">
            <v>46129</v>
          </cell>
          <cell r="S1010">
            <v>33</v>
          </cell>
          <cell r="T1010">
            <v>5</v>
          </cell>
          <cell r="U1010">
            <v>28</v>
          </cell>
          <cell r="V1010">
            <v>90</v>
          </cell>
          <cell r="W1010" t="str">
            <v>0.11D</v>
          </cell>
          <cell r="X1010" t="str">
            <v>4-2026</v>
          </cell>
          <cell r="Y1010" t="str">
            <v>Week 16</v>
          </cell>
          <cell r="Z1010">
            <v>46125</v>
          </cell>
          <cell r="AA1010">
            <v>339</v>
          </cell>
          <cell r="AB1010">
            <v>3.5709999999999999E-2</v>
          </cell>
        </row>
        <row r="1011">
          <cell r="A1011" t="str">
            <v>F-2026-03-368</v>
          </cell>
          <cell r="B1011"/>
          <cell r="C1011" t="str">
            <v>FPRO-260318-0012</v>
          </cell>
          <cell r="D1011" t="str">
            <v>Firm plan 18.3</v>
          </cell>
          <cell r="E1011" t="str">
            <v>BDB-000113</v>
          </cell>
          <cell r="F1011" t="str">
            <v>PVN-002465</v>
          </cell>
          <cell r="G1011" t="str">
            <v>OrthoLite Regular-Hybrid SEEDPEARL/12-0703TPX Hybrid Flat Sheet 0.11D 25+/-4 Asker C 1.1M 2M 5mm</v>
          </cell>
          <cell r="H1011">
            <v>2500</v>
          </cell>
          <cell r="I1011">
            <v>2500</v>
          </cell>
          <cell r="J1011">
            <v>0</v>
          </cell>
          <cell r="K1011">
            <v>2500</v>
          </cell>
          <cell r="L1011" t="str">
            <v>ASICS</v>
          </cell>
          <cell r="M1011" t="str">
            <v>Forecast</v>
          </cell>
          <cell r="N1011" t="str">
            <v>DIE CUT</v>
          </cell>
          <cell r="O1011">
            <v>1</v>
          </cell>
          <cell r="P1011">
            <v>46099</v>
          </cell>
          <cell r="Q1011">
            <v>46135</v>
          </cell>
          <cell r="R1011">
            <v>46132</v>
          </cell>
          <cell r="S1011">
            <v>36</v>
          </cell>
          <cell r="T1011">
            <v>5</v>
          </cell>
          <cell r="U1011">
            <v>28</v>
          </cell>
          <cell r="V1011">
            <v>90</v>
          </cell>
          <cell r="W1011" t="str">
            <v>0.11D</v>
          </cell>
          <cell r="X1011" t="str">
            <v>4-2026</v>
          </cell>
          <cell r="Y1011" t="str">
            <v>Week 16</v>
          </cell>
          <cell r="Z1011">
            <v>46125</v>
          </cell>
          <cell r="AA1011">
            <v>383</v>
          </cell>
          <cell r="AB1011">
            <v>3.5709999999999999E-2</v>
          </cell>
        </row>
        <row r="1012">
          <cell r="A1012" t="str">
            <v>F-2026-03-369</v>
          </cell>
          <cell r="B1012"/>
          <cell r="C1012" t="str">
            <v>FPRO-260318-0013</v>
          </cell>
          <cell r="D1012" t="str">
            <v>Firm plan 18.3</v>
          </cell>
          <cell r="E1012" t="str">
            <v>BDB-000113</v>
          </cell>
          <cell r="F1012" t="str">
            <v>PVN-002465</v>
          </cell>
          <cell r="G1012" t="str">
            <v>OrthoLite Regular-Hybrid SEEDPEARL/12-0703TPX Hybrid Flat Sheet 0.11D 25+/-4 Asker C 1.1M 2M 5mm</v>
          </cell>
          <cell r="H1012">
            <v>2000</v>
          </cell>
          <cell r="I1012">
            <v>2000</v>
          </cell>
          <cell r="J1012">
            <v>0</v>
          </cell>
          <cell r="K1012">
            <v>2000</v>
          </cell>
          <cell r="L1012" t="str">
            <v>ASICS</v>
          </cell>
          <cell r="M1012" t="str">
            <v>Forecast</v>
          </cell>
          <cell r="N1012" t="str">
            <v>DIE CUT</v>
          </cell>
          <cell r="O1012">
            <v>1</v>
          </cell>
          <cell r="P1012">
            <v>46099</v>
          </cell>
          <cell r="Q1012">
            <v>46177</v>
          </cell>
          <cell r="R1012">
            <v>46174</v>
          </cell>
          <cell r="S1012">
            <v>78</v>
          </cell>
          <cell r="T1012">
            <v>5</v>
          </cell>
          <cell r="U1012">
            <v>28</v>
          </cell>
          <cell r="V1012">
            <v>72</v>
          </cell>
          <cell r="W1012" t="str">
            <v>0.11D</v>
          </cell>
          <cell r="X1012" t="str">
            <v>6-2026</v>
          </cell>
          <cell r="Y1012" t="str">
            <v>Week 22</v>
          </cell>
          <cell r="Z1012">
            <v>46167</v>
          </cell>
          <cell r="AA1012">
            <v>383</v>
          </cell>
          <cell r="AB1012">
            <v>3.5709999999999999E-2</v>
          </cell>
        </row>
        <row r="1013">
          <cell r="A1013" t="str">
            <v>F-2026-03-370</v>
          </cell>
          <cell r="B1013"/>
          <cell r="C1013" t="str">
            <v>FPRO-260318-0014</v>
          </cell>
          <cell r="D1013" t="str">
            <v>Firm plan 18.3</v>
          </cell>
          <cell r="E1013" t="str">
            <v>BDB-000051</v>
          </cell>
          <cell r="F1013" t="str">
            <v>PVN-003319</v>
          </cell>
          <cell r="G1013" t="str">
            <v>OrthoLite X-40 TRUE BLUE/19-4057TPX Flat Sheet 0.16D 25+/-4 Asker C 1.1M 1.7M 12mm</v>
          </cell>
          <cell r="H1013">
            <v>300</v>
          </cell>
          <cell r="I1013">
            <v>300</v>
          </cell>
          <cell r="J1013">
            <v>0</v>
          </cell>
          <cell r="K1013">
            <v>300</v>
          </cell>
          <cell r="L1013" t="str">
            <v>ASICS</v>
          </cell>
          <cell r="M1013" t="str">
            <v>Forecast</v>
          </cell>
          <cell r="N1013" t="str">
            <v>MOLDED</v>
          </cell>
          <cell r="O1013">
            <v>1</v>
          </cell>
          <cell r="P1013">
            <v>46099</v>
          </cell>
          <cell r="Q1013">
            <v>46151</v>
          </cell>
          <cell r="R1013">
            <v>46148</v>
          </cell>
          <cell r="S1013">
            <v>52</v>
          </cell>
          <cell r="T1013">
            <v>12</v>
          </cell>
          <cell r="U1013">
            <v>11.5</v>
          </cell>
          <cell r="V1013">
            <v>27</v>
          </cell>
          <cell r="W1013" t="str">
            <v>0.16D</v>
          </cell>
          <cell r="X1013" t="str">
            <v>5-2026</v>
          </cell>
          <cell r="Y1013" t="str">
            <v>Week 19</v>
          </cell>
          <cell r="Z1013">
            <v>46146</v>
          </cell>
          <cell r="AA1013">
            <v>111</v>
          </cell>
          <cell r="AB1013">
            <v>8.6959999999999996E-2</v>
          </cell>
        </row>
        <row r="1014">
          <cell r="A1014" t="str">
            <v>F-2026-03-371</v>
          </cell>
          <cell r="B1014"/>
          <cell r="C1014" t="str">
            <v>FPRO-260318-0015</v>
          </cell>
          <cell r="D1014" t="str">
            <v>Firm plan 18.3</v>
          </cell>
          <cell r="E1014" t="str">
            <v>BDB-000051</v>
          </cell>
          <cell r="F1014" t="str">
            <v>PVN-003319</v>
          </cell>
          <cell r="G1014" t="str">
            <v>OrthoLite X-40 TRUE BLUE/19-4057TPX Flat Sheet 0.16D 25+/-4 Asker C 1.1M 1.7M 12mm</v>
          </cell>
          <cell r="H1014">
            <v>300</v>
          </cell>
          <cell r="I1014">
            <v>300</v>
          </cell>
          <cell r="J1014">
            <v>0</v>
          </cell>
          <cell r="K1014">
            <v>300</v>
          </cell>
          <cell r="L1014" t="str">
            <v>ASICS</v>
          </cell>
          <cell r="M1014" t="str">
            <v>Forecast</v>
          </cell>
          <cell r="N1014" t="str">
            <v>MOLDED</v>
          </cell>
          <cell r="O1014">
            <v>1</v>
          </cell>
          <cell r="P1014">
            <v>46099</v>
          </cell>
          <cell r="Q1014">
            <v>46128</v>
          </cell>
          <cell r="R1014">
            <v>46125</v>
          </cell>
          <cell r="S1014">
            <v>29</v>
          </cell>
          <cell r="T1014">
            <v>12</v>
          </cell>
          <cell r="U1014">
            <v>11.5</v>
          </cell>
          <cell r="V1014">
            <v>27</v>
          </cell>
          <cell r="W1014" t="str">
            <v>0.16D</v>
          </cell>
          <cell r="X1014" t="str">
            <v>4-2026</v>
          </cell>
          <cell r="Y1014" t="str">
            <v>Week 15</v>
          </cell>
          <cell r="Z1014">
            <v>46118</v>
          </cell>
          <cell r="AA1014">
            <v>16</v>
          </cell>
          <cell r="AB1014">
            <v>8.6959999999999996E-2</v>
          </cell>
        </row>
        <row r="1015">
          <cell r="A1015" t="str">
            <v>F-2026-03-372</v>
          </cell>
          <cell r="B1015"/>
          <cell r="C1015" t="str">
            <v>FPRO-260318-0016</v>
          </cell>
          <cell r="D1015" t="str">
            <v>Firm plan 18.3</v>
          </cell>
          <cell r="E1015" t="str">
            <v>BDB-000051</v>
          </cell>
          <cell r="F1015" t="str">
            <v>PVN-003319</v>
          </cell>
          <cell r="G1015" t="str">
            <v>OrthoLite X-40 TRUE BLUE/19-4057TPX Flat Sheet 0.16D 25+/-4 Asker C 1.1M 1.7M 12mm</v>
          </cell>
          <cell r="H1015">
            <v>300</v>
          </cell>
          <cell r="I1015">
            <v>300</v>
          </cell>
          <cell r="J1015">
            <v>0</v>
          </cell>
          <cell r="K1015">
            <v>300</v>
          </cell>
          <cell r="L1015" t="str">
            <v>ASICS</v>
          </cell>
          <cell r="M1015" t="str">
            <v>Forecast</v>
          </cell>
          <cell r="N1015" t="str">
            <v>MOLDED</v>
          </cell>
          <cell r="O1015">
            <v>1</v>
          </cell>
          <cell r="P1015">
            <v>46099</v>
          </cell>
          <cell r="Q1015">
            <v>46130</v>
          </cell>
          <cell r="R1015">
            <v>46127</v>
          </cell>
          <cell r="S1015">
            <v>31</v>
          </cell>
          <cell r="T1015">
            <v>12</v>
          </cell>
          <cell r="U1015">
            <v>11.5</v>
          </cell>
          <cell r="V1015">
            <v>27</v>
          </cell>
          <cell r="W1015" t="str">
            <v>0.16D</v>
          </cell>
          <cell r="X1015" t="str">
            <v>4-2026</v>
          </cell>
          <cell r="Y1015" t="str">
            <v>Week 16</v>
          </cell>
          <cell r="Z1015">
            <v>46125</v>
          </cell>
          <cell r="AA1015">
            <v>27</v>
          </cell>
          <cell r="AB1015">
            <v>8.6959999999999996E-2</v>
          </cell>
        </row>
        <row r="1016">
          <cell r="A1016" t="str">
            <v>F-2026-03-373</v>
          </cell>
          <cell r="B1016"/>
          <cell r="C1016" t="str">
            <v>FPRO-260318-0017</v>
          </cell>
          <cell r="D1016" t="str">
            <v>Firm plan 18.3</v>
          </cell>
          <cell r="E1016" t="str">
            <v>BDB-000113</v>
          </cell>
          <cell r="F1016" t="str">
            <v>PVN-003414</v>
          </cell>
          <cell r="G1016" t="str">
            <v>OrthoLite Regular-Hybrid SEEDPEARL/12-0703TPX Hybrid Flat Sheet 0.11D 25+/-4 Asker C 1.1M 2M 12mm</v>
          </cell>
          <cell r="H1016">
            <v>3000</v>
          </cell>
          <cell r="I1016">
            <v>3000</v>
          </cell>
          <cell r="J1016">
            <v>0</v>
          </cell>
          <cell r="K1016">
            <v>3000</v>
          </cell>
          <cell r="L1016" t="str">
            <v>ASICS</v>
          </cell>
          <cell r="M1016" t="str">
            <v>Forecast</v>
          </cell>
          <cell r="N1016" t="str">
            <v>MOLDED</v>
          </cell>
          <cell r="O1016">
            <v>1</v>
          </cell>
          <cell r="P1016">
            <v>46099</v>
          </cell>
          <cell r="Q1016">
            <v>46122</v>
          </cell>
          <cell r="R1016">
            <v>46119</v>
          </cell>
          <cell r="S1016">
            <v>23</v>
          </cell>
          <cell r="T1016">
            <v>12</v>
          </cell>
          <cell r="U1016">
            <v>11.5</v>
          </cell>
          <cell r="V1016">
            <v>261</v>
          </cell>
          <cell r="W1016" t="str">
            <v>0.11D</v>
          </cell>
          <cell r="X1016" t="str">
            <v>4-2026</v>
          </cell>
          <cell r="Y1016" t="str">
            <v>Week 14</v>
          </cell>
          <cell r="Z1016">
            <v>46111</v>
          </cell>
          <cell r="AA1016">
            <v>50</v>
          </cell>
          <cell r="AB1016">
            <v>8.6959999999999996E-2</v>
          </cell>
        </row>
        <row r="1017">
          <cell r="A1017" t="str">
            <v>F-2026-03-374</v>
          </cell>
          <cell r="B1017"/>
          <cell r="C1017" t="str">
            <v>FPRO-260318-0018</v>
          </cell>
          <cell r="D1017" t="str">
            <v>Firm plan 18.3</v>
          </cell>
          <cell r="E1017" t="str">
            <v>BDB-000113</v>
          </cell>
          <cell r="F1017" t="str">
            <v>PVN-003414</v>
          </cell>
          <cell r="G1017" t="str">
            <v>OrthoLite Regular-Hybrid SEEDPEARL/12-0703TPX Hybrid Flat Sheet 0.11D 25+/-4 Asker C 1.1M 2M 12mm</v>
          </cell>
          <cell r="H1017">
            <v>2500</v>
          </cell>
          <cell r="I1017">
            <v>2500</v>
          </cell>
          <cell r="J1017">
            <v>0</v>
          </cell>
          <cell r="K1017">
            <v>2500</v>
          </cell>
          <cell r="L1017" t="str">
            <v>ASICS</v>
          </cell>
          <cell r="M1017" t="str">
            <v>Forecast</v>
          </cell>
          <cell r="N1017" t="str">
            <v>MOLDED</v>
          </cell>
          <cell r="O1017">
            <v>1</v>
          </cell>
          <cell r="P1017">
            <v>46099</v>
          </cell>
          <cell r="Q1017">
            <v>46157</v>
          </cell>
          <cell r="R1017">
            <v>46154</v>
          </cell>
          <cell r="S1017">
            <v>58</v>
          </cell>
          <cell r="T1017">
            <v>12</v>
          </cell>
          <cell r="U1017">
            <v>11.5</v>
          </cell>
          <cell r="V1017">
            <v>218</v>
          </cell>
          <cell r="W1017" t="str">
            <v>0.11D</v>
          </cell>
          <cell r="X1017" t="str">
            <v>5-2026</v>
          </cell>
          <cell r="Y1017" t="str">
            <v>Week 19</v>
          </cell>
          <cell r="Z1017">
            <v>46146</v>
          </cell>
          <cell r="AA1017">
            <v>3</v>
          </cell>
          <cell r="AB1017">
            <v>8.6959999999999996E-2</v>
          </cell>
        </row>
        <row r="1018">
          <cell r="A1018" t="str">
            <v>F-2026-03-375</v>
          </cell>
          <cell r="B1018"/>
          <cell r="C1018" t="str">
            <v>FPRO-260318-0019</v>
          </cell>
          <cell r="D1018" t="str">
            <v>Firm plan 18.3</v>
          </cell>
          <cell r="E1018" t="str">
            <v>BDB-000113</v>
          </cell>
          <cell r="F1018" t="str">
            <v>PVN-003414</v>
          </cell>
          <cell r="G1018" t="str">
            <v>OrthoLite Regular-Hybrid SEEDPEARL/12-0703TPX Hybrid Flat Sheet 0.11D 25+/-4 Asker C 1.1M 2M 12mm</v>
          </cell>
          <cell r="H1018">
            <v>2500</v>
          </cell>
          <cell r="I1018">
            <v>2500</v>
          </cell>
          <cell r="J1018">
            <v>0</v>
          </cell>
          <cell r="K1018">
            <v>2500</v>
          </cell>
          <cell r="L1018" t="str">
            <v>ASICS</v>
          </cell>
          <cell r="M1018" t="str">
            <v>Forecast</v>
          </cell>
          <cell r="N1018" t="str">
            <v>MOLDED</v>
          </cell>
          <cell r="O1018">
            <v>1</v>
          </cell>
          <cell r="P1018">
            <v>46099</v>
          </cell>
          <cell r="Q1018">
            <v>46127</v>
          </cell>
          <cell r="R1018">
            <v>46124</v>
          </cell>
          <cell r="S1018">
            <v>28</v>
          </cell>
          <cell r="T1018">
            <v>12</v>
          </cell>
          <cell r="U1018">
            <v>11.5</v>
          </cell>
          <cell r="V1018">
            <v>218</v>
          </cell>
          <cell r="W1018" t="str">
            <v>0.11D</v>
          </cell>
          <cell r="X1018" t="str">
            <v>4-2026</v>
          </cell>
          <cell r="Y1018" t="str">
            <v>Week 15</v>
          </cell>
          <cell r="Z1018">
            <v>46118</v>
          </cell>
          <cell r="AA1018">
            <v>108</v>
          </cell>
          <cell r="AB1018">
            <v>8.6959999999999996E-2</v>
          </cell>
        </row>
        <row r="1019">
          <cell r="A1019" t="str">
            <v>F-2026-03-376</v>
          </cell>
          <cell r="B1019"/>
          <cell r="C1019" t="str">
            <v>FPRO-260318-0020</v>
          </cell>
          <cell r="D1019" t="str">
            <v>Firm plan 18.3</v>
          </cell>
          <cell r="E1019" t="str">
            <v>BDB-000113</v>
          </cell>
          <cell r="F1019" t="str">
            <v>PVN-003414</v>
          </cell>
          <cell r="G1019" t="str">
            <v>OrthoLite Regular-Hybrid SEEDPEARL/12-0703TPX Hybrid Flat Sheet 0.11D 25+/-4 Asker C 1.1M 2M 12mm</v>
          </cell>
          <cell r="H1019">
            <v>2500</v>
          </cell>
          <cell r="I1019">
            <v>2500</v>
          </cell>
          <cell r="J1019">
            <v>0</v>
          </cell>
          <cell r="K1019">
            <v>2500</v>
          </cell>
          <cell r="L1019" t="str">
            <v>ASICS</v>
          </cell>
          <cell r="M1019" t="str">
            <v>Forecast</v>
          </cell>
          <cell r="N1019" t="str">
            <v>MOLDED</v>
          </cell>
          <cell r="O1019">
            <v>1</v>
          </cell>
          <cell r="P1019">
            <v>46099</v>
          </cell>
          <cell r="Q1019">
            <v>46160</v>
          </cell>
          <cell r="R1019">
            <v>46157</v>
          </cell>
          <cell r="S1019">
            <v>61</v>
          </cell>
          <cell r="T1019">
            <v>12</v>
          </cell>
          <cell r="U1019">
            <v>11.5</v>
          </cell>
          <cell r="V1019">
            <v>218</v>
          </cell>
          <cell r="W1019" t="str">
            <v>0.11D</v>
          </cell>
          <cell r="X1019" t="str">
            <v>5-2026</v>
          </cell>
          <cell r="Y1019" t="str">
            <v>Week 20</v>
          </cell>
          <cell r="Z1019">
            <v>46153</v>
          </cell>
          <cell r="AA1019">
            <v>115</v>
          </cell>
          <cell r="AB1019">
            <v>8.6959999999999996E-2</v>
          </cell>
        </row>
        <row r="1020">
          <cell r="A1020" t="str">
            <v>F-2026-03-377</v>
          </cell>
          <cell r="B1020"/>
          <cell r="C1020" t="str">
            <v>FPRO-260318-0021</v>
          </cell>
          <cell r="D1020" t="str">
            <v>Firm plan 18.3</v>
          </cell>
          <cell r="E1020" t="str">
            <v>BDB-000113</v>
          </cell>
          <cell r="F1020" t="str">
            <v>PVN-003414</v>
          </cell>
          <cell r="G1020" t="str">
            <v>OrthoLite Regular-Hybrid SEEDPEARL/12-0703TPX Hybrid Flat Sheet 0.11D 25+/-4 Asker C 1.1M 2M 12mm</v>
          </cell>
          <cell r="H1020">
            <v>2500</v>
          </cell>
          <cell r="I1020">
            <v>2500</v>
          </cell>
          <cell r="J1020">
            <v>0</v>
          </cell>
          <cell r="K1020">
            <v>2500</v>
          </cell>
          <cell r="L1020" t="str">
            <v>ASICS</v>
          </cell>
          <cell r="M1020" t="str">
            <v>Forecast</v>
          </cell>
          <cell r="N1020" t="str">
            <v>MOLDED</v>
          </cell>
          <cell r="O1020">
            <v>1</v>
          </cell>
          <cell r="P1020">
            <v>46099</v>
          </cell>
          <cell r="Q1020">
            <v>46129</v>
          </cell>
          <cell r="R1020">
            <v>46126</v>
          </cell>
          <cell r="S1020">
            <v>30</v>
          </cell>
          <cell r="T1020">
            <v>12</v>
          </cell>
          <cell r="U1020">
            <v>11.5</v>
          </cell>
          <cell r="V1020">
            <v>218</v>
          </cell>
          <cell r="W1020" t="str">
            <v>0.11D</v>
          </cell>
          <cell r="X1020" t="str">
            <v>4-2026</v>
          </cell>
          <cell r="Y1020" t="str">
            <v>Week 15</v>
          </cell>
          <cell r="Z1020">
            <v>46118</v>
          </cell>
          <cell r="AA1020">
            <v>270</v>
          </cell>
          <cell r="AB1020">
            <v>8.6959999999999996E-2</v>
          </cell>
        </row>
        <row r="1021">
          <cell r="A1021" t="str">
            <v>F-2026-03-378</v>
          </cell>
          <cell r="B1021"/>
          <cell r="C1021" t="str">
            <v>FPRO-260318-0022</v>
          </cell>
          <cell r="D1021" t="str">
            <v>Firm plan 18.3</v>
          </cell>
          <cell r="E1021" t="str">
            <v>BDB-000113</v>
          </cell>
          <cell r="F1021" t="str">
            <v>PVN-003414</v>
          </cell>
          <cell r="G1021" t="str">
            <v>OrthoLite Regular-Hybrid SEEDPEARL/12-0703TPX Hybrid Flat Sheet 0.11D 25+/-4 Asker C 1.1M 2M 12mm</v>
          </cell>
          <cell r="H1021">
            <v>2500</v>
          </cell>
          <cell r="I1021">
            <v>2500</v>
          </cell>
          <cell r="J1021">
            <v>0</v>
          </cell>
          <cell r="K1021">
            <v>2500</v>
          </cell>
          <cell r="L1021" t="str">
            <v>ASICS</v>
          </cell>
          <cell r="M1021" t="str">
            <v>Forecast</v>
          </cell>
          <cell r="N1021" t="str">
            <v>MOLDED</v>
          </cell>
          <cell r="O1021">
            <v>1</v>
          </cell>
          <cell r="P1021">
            <v>46099</v>
          </cell>
          <cell r="Q1021">
            <v>46133</v>
          </cell>
          <cell r="R1021">
            <v>46130</v>
          </cell>
          <cell r="S1021">
            <v>34</v>
          </cell>
          <cell r="T1021">
            <v>12</v>
          </cell>
          <cell r="U1021">
            <v>11.5</v>
          </cell>
          <cell r="V1021">
            <v>218</v>
          </cell>
          <cell r="W1021" t="str">
            <v>0.11D</v>
          </cell>
          <cell r="X1021" t="str">
            <v>4-2026</v>
          </cell>
          <cell r="Y1021" t="str">
            <v>Week 16</v>
          </cell>
          <cell r="Z1021">
            <v>46125</v>
          </cell>
          <cell r="AA1021">
            <v>215</v>
          </cell>
          <cell r="AB1021">
            <v>8.6959999999999996E-2</v>
          </cell>
        </row>
        <row r="1022">
          <cell r="A1022" t="str">
            <v>F-2026-03-379</v>
          </cell>
          <cell r="B1022"/>
          <cell r="C1022" t="str">
            <v>FPRO-260318-0023</v>
          </cell>
          <cell r="D1022" t="str">
            <v>Firm plan 18.3</v>
          </cell>
          <cell r="E1022" t="str">
            <v>BDB-000113</v>
          </cell>
          <cell r="F1022" t="str">
            <v>PVN-003414</v>
          </cell>
          <cell r="G1022" t="str">
            <v>OrthoLite Regular-Hybrid SEEDPEARL/12-0703TPX Hybrid Flat Sheet 0.11D 25+/-4 Asker C 1.1M 2M 12mm</v>
          </cell>
          <cell r="H1022">
            <v>2500</v>
          </cell>
          <cell r="I1022">
            <v>2500</v>
          </cell>
          <cell r="J1022">
            <v>0</v>
          </cell>
          <cell r="K1022">
            <v>2500</v>
          </cell>
          <cell r="L1022" t="str">
            <v>ASICS</v>
          </cell>
          <cell r="M1022" t="str">
            <v>Forecast</v>
          </cell>
          <cell r="N1022" t="str">
            <v>MOLDED</v>
          </cell>
          <cell r="O1022">
            <v>1</v>
          </cell>
          <cell r="P1022">
            <v>46099</v>
          </cell>
          <cell r="Q1022">
            <v>46140</v>
          </cell>
          <cell r="R1022">
            <v>46137</v>
          </cell>
          <cell r="S1022">
            <v>41</v>
          </cell>
          <cell r="T1022">
            <v>12</v>
          </cell>
          <cell r="U1022">
            <v>11.5</v>
          </cell>
          <cell r="V1022">
            <v>218</v>
          </cell>
          <cell r="W1022" t="str">
            <v>0.11D</v>
          </cell>
          <cell r="X1022" t="str">
            <v>4-2026</v>
          </cell>
          <cell r="Y1022" t="str">
            <v>Week 17</v>
          </cell>
          <cell r="Z1022">
            <v>46132</v>
          </cell>
          <cell r="AA1022">
            <v>133</v>
          </cell>
          <cell r="AB1022">
            <v>8.6959999999999996E-2</v>
          </cell>
        </row>
        <row r="1023">
          <cell r="A1023" t="str">
            <v>F-2026-03-380</v>
          </cell>
          <cell r="B1023"/>
          <cell r="C1023" t="str">
            <v>FPRO-260318-0024</v>
          </cell>
          <cell r="D1023" t="str">
            <v>Firm plan 18.3</v>
          </cell>
          <cell r="E1023" t="str">
            <v>BDB-000113</v>
          </cell>
          <cell r="F1023" t="str">
            <v>PVN-003414</v>
          </cell>
          <cell r="G1023" t="str">
            <v>OrthoLite Regular-Hybrid SEEDPEARL/12-0703TPX Hybrid Flat Sheet 0.11D 25+/-4 Asker C 1.1M 2M 12mm</v>
          </cell>
          <cell r="H1023">
            <v>2500</v>
          </cell>
          <cell r="I1023">
            <v>2500</v>
          </cell>
          <cell r="J1023">
            <v>0</v>
          </cell>
          <cell r="K1023">
            <v>2500</v>
          </cell>
          <cell r="L1023" t="str">
            <v>ASICS</v>
          </cell>
          <cell r="M1023" t="str">
            <v>Forecast</v>
          </cell>
          <cell r="N1023" t="str">
            <v>MOLDED</v>
          </cell>
          <cell r="O1023">
            <v>1</v>
          </cell>
          <cell r="P1023">
            <v>46099</v>
          </cell>
          <cell r="Q1023">
            <v>46150</v>
          </cell>
          <cell r="R1023">
            <v>46147</v>
          </cell>
          <cell r="S1023">
            <v>51</v>
          </cell>
          <cell r="T1023">
            <v>12</v>
          </cell>
          <cell r="U1023">
            <v>11.5</v>
          </cell>
          <cell r="V1023">
            <v>218</v>
          </cell>
          <cell r="W1023" t="str">
            <v>0.11D</v>
          </cell>
          <cell r="X1023" t="str">
            <v>5-2026</v>
          </cell>
          <cell r="Y1023" t="str">
            <v>Week 17</v>
          </cell>
          <cell r="Z1023">
            <v>46132</v>
          </cell>
          <cell r="AA1023">
            <v>163</v>
          </cell>
          <cell r="AB1023">
            <v>8.6959999999999996E-2</v>
          </cell>
        </row>
        <row r="1024">
          <cell r="A1024" t="str">
            <v>F-2026-03-381</v>
          </cell>
          <cell r="B1024" t="str">
            <v>Diem request 04.4</v>
          </cell>
          <cell r="C1024" t="str">
            <v>FPRO-260318-0025</v>
          </cell>
          <cell r="D1024" t="str">
            <v>Firm plan 18.3</v>
          </cell>
          <cell r="E1024" t="str">
            <v>BDB-000113</v>
          </cell>
          <cell r="F1024" t="str">
            <v>PVN-003414</v>
          </cell>
          <cell r="G1024" t="str">
            <v>OrthoLite Regular-Hybrid SEEDPEARL/12-0703TPX Hybrid Flat Sheet 0.11D 25+/-4 Asker C 1.1M 2M 12mm</v>
          </cell>
          <cell r="H1024">
            <v>2500</v>
          </cell>
          <cell r="I1024">
            <v>2500</v>
          </cell>
          <cell r="J1024">
            <v>0</v>
          </cell>
          <cell r="K1024">
            <v>2500</v>
          </cell>
          <cell r="L1024" t="str">
            <v>ASICS</v>
          </cell>
          <cell r="M1024" t="str">
            <v>Forecast</v>
          </cell>
          <cell r="N1024" t="str">
            <v>MOLDED</v>
          </cell>
          <cell r="O1024" t="str">
            <v>1-Giao 1000pcs SLT, 1500pcs RM-WIP</v>
          </cell>
          <cell r="P1024">
            <v>46099</v>
          </cell>
          <cell r="Q1024">
            <v>46151</v>
          </cell>
          <cell r="R1024">
            <v>46148</v>
          </cell>
          <cell r="S1024">
            <v>52</v>
          </cell>
          <cell r="T1024">
            <v>12</v>
          </cell>
          <cell r="U1024">
            <v>11.5</v>
          </cell>
          <cell r="V1024">
            <v>218</v>
          </cell>
          <cell r="W1024" t="str">
            <v>0.11D</v>
          </cell>
          <cell r="X1024" t="str">
            <v>5-2026</v>
          </cell>
          <cell r="Y1024" t="str">
            <v>Week 19</v>
          </cell>
          <cell r="Z1024">
            <v>46146</v>
          </cell>
          <cell r="AA1024">
            <v>10</v>
          </cell>
          <cell r="AB1024">
            <v>8.6959999999999996E-2</v>
          </cell>
        </row>
        <row r="1025">
          <cell r="A1025" t="str">
            <v>F-2026-03-382</v>
          </cell>
          <cell r="B1025"/>
          <cell r="C1025" t="str">
            <v>FPRO-260318-0026</v>
          </cell>
          <cell r="D1025" t="str">
            <v>Firm plan 18.3</v>
          </cell>
          <cell r="E1025" t="str">
            <v>BDB-000235</v>
          </cell>
          <cell r="F1025" t="str">
            <v>PVN-003576</v>
          </cell>
          <cell r="G1025" t="str">
            <v>OrthoLite X-55-Hybrid FOSSIL/17-0909TPX Hybrid Flat Sheet 0.16D 25+/-4 Asker C 1.1M 1.7M 12mm</v>
          </cell>
          <cell r="H1025">
            <v>2000</v>
          </cell>
          <cell r="I1025">
            <v>2000</v>
          </cell>
          <cell r="J1025">
            <v>0</v>
          </cell>
          <cell r="K1025">
            <v>2000</v>
          </cell>
          <cell r="L1025" t="str">
            <v>ASICS</v>
          </cell>
          <cell r="M1025" t="str">
            <v>Forecast</v>
          </cell>
          <cell r="N1025" t="str">
            <v>MOLDED</v>
          </cell>
          <cell r="O1025">
            <v>1</v>
          </cell>
          <cell r="P1025">
            <v>46099</v>
          </cell>
          <cell r="Q1025">
            <v>46114</v>
          </cell>
          <cell r="R1025">
            <v>46111</v>
          </cell>
          <cell r="S1025">
            <v>15</v>
          </cell>
          <cell r="T1025">
            <v>12</v>
          </cell>
          <cell r="U1025">
            <v>11.5</v>
          </cell>
          <cell r="V1025">
            <v>174</v>
          </cell>
          <cell r="W1025" t="str">
            <v>0.16D</v>
          </cell>
          <cell r="X1025" t="str">
            <v>4-2026</v>
          </cell>
          <cell r="Y1025" t="str">
            <v>Week 13</v>
          </cell>
          <cell r="Z1025">
            <v>46104</v>
          </cell>
          <cell r="AA1025">
            <v>16</v>
          </cell>
          <cell r="AB1025">
            <v>8.6959999999999996E-2</v>
          </cell>
        </row>
        <row r="1026">
          <cell r="A1026" t="str">
            <v>F-2026-03-383</v>
          </cell>
          <cell r="B1026"/>
          <cell r="C1026" t="str">
            <v>FPRO-260318-0027</v>
          </cell>
          <cell r="D1026" t="str">
            <v>Firm plan 18.3</v>
          </cell>
          <cell r="E1026" t="str">
            <v>BDB-000235</v>
          </cell>
          <cell r="F1026" t="str">
            <v>PVN-003576</v>
          </cell>
          <cell r="G1026" t="str">
            <v>OrthoLite X-55-Hybrid FOSSIL/17-0909TPX Hybrid Flat Sheet 0.16D 25+/-4 Asker C 1.1M 1.7M 12mm</v>
          </cell>
          <cell r="H1026">
            <v>2000</v>
          </cell>
          <cell r="I1026">
            <v>2000</v>
          </cell>
          <cell r="J1026">
            <v>0</v>
          </cell>
          <cell r="K1026">
            <v>2000</v>
          </cell>
          <cell r="L1026" t="str">
            <v>ASICS</v>
          </cell>
          <cell r="M1026" t="str">
            <v>Forecast</v>
          </cell>
          <cell r="N1026" t="str">
            <v>MOLDED</v>
          </cell>
          <cell r="O1026">
            <v>1</v>
          </cell>
          <cell r="P1026">
            <v>46099</v>
          </cell>
          <cell r="Q1026">
            <v>46130</v>
          </cell>
          <cell r="R1026">
            <v>46127</v>
          </cell>
          <cell r="S1026">
            <v>31</v>
          </cell>
          <cell r="T1026">
            <v>12</v>
          </cell>
          <cell r="U1026">
            <v>11.5</v>
          </cell>
          <cell r="V1026">
            <v>174</v>
          </cell>
          <cell r="W1026" t="str">
            <v>0.16D</v>
          </cell>
          <cell r="X1026" t="str">
            <v>4-2026</v>
          </cell>
          <cell r="Y1026" t="str">
            <v>Week 16</v>
          </cell>
          <cell r="Z1026">
            <v>46125</v>
          </cell>
          <cell r="AA1026">
            <v>37</v>
          </cell>
          <cell r="AB1026">
            <v>8.6959999999999996E-2</v>
          </cell>
        </row>
        <row r="1027">
          <cell r="A1027" t="str">
            <v>F-2026-03-384</v>
          </cell>
          <cell r="B1027"/>
          <cell r="C1027" t="str">
            <v>FPRO-260318-0028</v>
          </cell>
          <cell r="D1027" t="str">
            <v>Firm plan 18.3</v>
          </cell>
          <cell r="E1027" t="str">
            <v>BDB-000235</v>
          </cell>
          <cell r="F1027" t="str">
            <v>PVN-003576</v>
          </cell>
          <cell r="G1027" t="str">
            <v>OrthoLite X-55-Hybrid FOSSIL/17-0909TPX Hybrid Flat Sheet 0.16D 25+/-4 Asker C 1.1M 1.7M 12mm</v>
          </cell>
          <cell r="H1027">
            <v>1700</v>
          </cell>
          <cell r="I1027">
            <v>1700</v>
          </cell>
          <cell r="J1027">
            <v>0</v>
          </cell>
          <cell r="K1027">
            <v>1700</v>
          </cell>
          <cell r="L1027" t="str">
            <v>ASICS</v>
          </cell>
          <cell r="M1027" t="str">
            <v>Forecast</v>
          </cell>
          <cell r="N1027" t="str">
            <v>MOLDED</v>
          </cell>
          <cell r="O1027">
            <v>1</v>
          </cell>
          <cell r="P1027">
            <v>46099</v>
          </cell>
          <cell r="Q1027">
            <v>46135</v>
          </cell>
          <cell r="R1027">
            <v>46132</v>
          </cell>
          <cell r="S1027">
            <v>36</v>
          </cell>
          <cell r="T1027">
            <v>12</v>
          </cell>
          <cell r="U1027">
            <v>11.5</v>
          </cell>
          <cell r="V1027">
            <v>148</v>
          </cell>
          <cell r="W1027" t="str">
            <v>0.16D</v>
          </cell>
          <cell r="X1027" t="str">
            <v>4-2026</v>
          </cell>
          <cell r="Y1027" t="str">
            <v>Week 16</v>
          </cell>
          <cell r="Z1027">
            <v>46125</v>
          </cell>
          <cell r="AA1027">
            <v>9</v>
          </cell>
          <cell r="AB1027">
            <v>8.6959999999999996E-2</v>
          </cell>
        </row>
        <row r="1028">
          <cell r="A1028" t="str">
            <v>F-2026-03-385</v>
          </cell>
          <cell r="B1028"/>
          <cell r="C1028" t="str">
            <v>FPRO-260318-0029</v>
          </cell>
          <cell r="D1028" t="str">
            <v>Firm plan 18.3</v>
          </cell>
          <cell r="E1028" t="str">
            <v>BDB-000234</v>
          </cell>
          <cell r="F1028" t="str">
            <v>PVN-003581</v>
          </cell>
          <cell r="G1028" t="str">
            <v>OrthoLite X-30-Hybrid BROWN SUGAR/17-1134TPX Hybrid Flat Sheet 0.13D 25+/-4 Asker C 1.1M 2M 12mm</v>
          </cell>
          <cell r="H1028">
            <v>1000</v>
          </cell>
          <cell r="I1028">
            <v>1000</v>
          </cell>
          <cell r="J1028">
            <v>0</v>
          </cell>
          <cell r="K1028">
            <v>1000</v>
          </cell>
          <cell r="L1028" t="str">
            <v>ASICS</v>
          </cell>
          <cell r="M1028" t="str">
            <v>Forecast</v>
          </cell>
          <cell r="N1028" t="str">
            <v>MOLDED</v>
          </cell>
          <cell r="O1028">
            <v>1</v>
          </cell>
          <cell r="P1028">
            <v>46099</v>
          </cell>
          <cell r="Q1028">
            <v>46122</v>
          </cell>
          <cell r="R1028">
            <v>46119</v>
          </cell>
          <cell r="S1028">
            <v>23</v>
          </cell>
          <cell r="T1028">
            <v>12</v>
          </cell>
          <cell r="U1028">
            <v>11.5</v>
          </cell>
          <cell r="V1028">
            <v>87</v>
          </cell>
          <cell r="W1028" t="str">
            <v>0.13D</v>
          </cell>
          <cell r="X1028" t="str">
            <v>4-2026</v>
          </cell>
          <cell r="Y1028" t="str">
            <v>Week 15</v>
          </cell>
          <cell r="Z1028">
            <v>46118</v>
          </cell>
          <cell r="AA1028">
            <v>135</v>
          </cell>
          <cell r="AB1028">
            <v>8.6959999999999996E-2</v>
          </cell>
        </row>
        <row r="1029">
          <cell r="A1029" t="str">
            <v>F-2026-03-386</v>
          </cell>
          <cell r="B1029"/>
          <cell r="C1029" t="str">
            <v>FPRO-260318-0030</v>
          </cell>
          <cell r="D1029" t="str">
            <v>Firm plan 18.3</v>
          </cell>
          <cell r="E1029" t="str">
            <v>BDB-000234</v>
          </cell>
          <cell r="F1029" t="str">
            <v>PVN-003581</v>
          </cell>
          <cell r="G1029" t="str">
            <v>OrthoLite X-30-Hybrid BROWN SUGAR/17-1134TPX Hybrid Flat Sheet 0.13D 25+/-4 Asker C 1.1M 2M 12mm</v>
          </cell>
          <cell r="H1029">
            <v>1000</v>
          </cell>
          <cell r="I1029">
            <v>1000</v>
          </cell>
          <cell r="J1029">
            <v>0</v>
          </cell>
          <cell r="K1029">
            <v>1000</v>
          </cell>
          <cell r="L1029" t="str">
            <v>ASICS</v>
          </cell>
          <cell r="M1029" t="str">
            <v>Forecast</v>
          </cell>
          <cell r="N1029" t="str">
            <v>MOLDED</v>
          </cell>
          <cell r="O1029">
            <v>1</v>
          </cell>
          <cell r="P1029">
            <v>46099</v>
          </cell>
          <cell r="Q1029">
            <v>46176</v>
          </cell>
          <cell r="R1029">
            <v>46173</v>
          </cell>
          <cell r="S1029">
            <v>77</v>
          </cell>
          <cell r="T1029">
            <v>12</v>
          </cell>
          <cell r="U1029">
            <v>11.5</v>
          </cell>
          <cell r="V1029">
            <v>87</v>
          </cell>
          <cell r="W1029" t="str">
            <v>0.13D</v>
          </cell>
          <cell r="X1029" t="str">
            <v>6-2026</v>
          </cell>
          <cell r="Y1029" t="str">
            <v>Week 22</v>
          </cell>
          <cell r="Z1029">
            <v>46167</v>
          </cell>
          <cell r="AA1029">
            <v>8</v>
          </cell>
          <cell r="AB1029">
            <v>8.6959999999999996E-2</v>
          </cell>
        </row>
        <row r="1030">
          <cell r="A1030" t="str">
            <v>F-2026-03-387</v>
          </cell>
          <cell r="B1030"/>
          <cell r="C1030" t="str">
            <v>FPRO-260318-0031</v>
          </cell>
          <cell r="D1030" t="str">
            <v>Firm plan 18.3</v>
          </cell>
          <cell r="E1030" t="str">
            <v>BDB-000234</v>
          </cell>
          <cell r="F1030" t="str">
            <v>PVN-003581</v>
          </cell>
          <cell r="G1030" t="str">
            <v>OrthoLite X-30-Hybrid BROWN SUGAR/17-1134TPX Hybrid Flat Sheet 0.13D 25+/-4 Asker C 1.1M 2M 12mm</v>
          </cell>
          <cell r="H1030">
            <v>1000</v>
          </cell>
          <cell r="I1030">
            <v>1000</v>
          </cell>
          <cell r="J1030">
            <v>0</v>
          </cell>
          <cell r="K1030">
            <v>1000</v>
          </cell>
          <cell r="L1030" t="str">
            <v>ASICS</v>
          </cell>
          <cell r="M1030" t="str">
            <v>Forecast</v>
          </cell>
          <cell r="N1030" t="str">
            <v>MOLDED</v>
          </cell>
          <cell r="O1030">
            <v>1</v>
          </cell>
          <cell r="P1030">
            <v>46099</v>
          </cell>
          <cell r="Q1030">
            <v>46165</v>
          </cell>
          <cell r="R1030">
            <v>46162</v>
          </cell>
          <cell r="S1030">
            <v>66</v>
          </cell>
          <cell r="T1030">
            <v>12</v>
          </cell>
          <cell r="U1030">
            <v>11.5</v>
          </cell>
          <cell r="V1030">
            <v>87</v>
          </cell>
          <cell r="W1030" t="str">
            <v>0.13D</v>
          </cell>
          <cell r="X1030" t="str">
            <v>5-2026</v>
          </cell>
          <cell r="Y1030" t="str">
            <v>Week 21</v>
          </cell>
          <cell r="Z1030">
            <v>46160</v>
          </cell>
          <cell r="AA1030">
            <v>122</v>
          </cell>
          <cell r="AB1030">
            <v>8.6959999999999996E-2</v>
          </cell>
        </row>
        <row r="1031">
          <cell r="A1031" t="str">
            <v>F-2026-03-388</v>
          </cell>
          <cell r="B1031" t="str">
            <v>Diem request 04.4</v>
          </cell>
          <cell r="C1031" t="str">
            <v>FPRO-260318-0032</v>
          </cell>
          <cell r="D1031" t="str">
            <v>Firm plan 18.3</v>
          </cell>
          <cell r="E1031" t="str">
            <v>BDB-000234</v>
          </cell>
          <cell r="F1031" t="str">
            <v>PVN-003581</v>
          </cell>
          <cell r="G1031" t="str">
            <v>OrthoLite X-30-Hybrid BROWN SUGAR/17-1134TPX Hybrid Flat Sheet 0.13D 25+/-4 Asker C 1.1M 2M 12mm</v>
          </cell>
          <cell r="H1031">
            <v>700</v>
          </cell>
          <cell r="I1031">
            <v>700</v>
          </cell>
          <cell r="J1031">
            <v>0</v>
          </cell>
          <cell r="K1031">
            <v>700</v>
          </cell>
          <cell r="L1031" t="str">
            <v>ASICS</v>
          </cell>
          <cell r="M1031" t="str">
            <v>Forecast</v>
          </cell>
          <cell r="N1031" t="str">
            <v>MOLDED</v>
          </cell>
          <cell r="O1031" t="str">
            <v>1-SLT</v>
          </cell>
          <cell r="P1031">
            <v>46099</v>
          </cell>
          <cell r="Q1031">
            <v>46156</v>
          </cell>
          <cell r="R1031">
            <v>46153</v>
          </cell>
          <cell r="S1031">
            <v>57</v>
          </cell>
          <cell r="T1031">
            <v>12</v>
          </cell>
          <cell r="U1031">
            <v>11.5</v>
          </cell>
          <cell r="V1031">
            <v>61</v>
          </cell>
          <cell r="W1031" t="str">
            <v>0.13D</v>
          </cell>
          <cell r="X1031" t="str">
            <v>5-2026</v>
          </cell>
          <cell r="Y1031" t="str">
            <v>Week 19</v>
          </cell>
          <cell r="Z1031">
            <v>46146</v>
          </cell>
          <cell r="AA1031">
            <v>43</v>
          </cell>
          <cell r="AB1031">
            <v>8.6959999999999996E-2</v>
          </cell>
        </row>
        <row r="1032">
          <cell r="A1032" t="str">
            <v>F-2026-03-389</v>
          </cell>
          <cell r="B1032"/>
          <cell r="C1032" t="str">
            <v>FPRO-260318-0033</v>
          </cell>
          <cell r="D1032" t="str">
            <v>Firm plan 18.3</v>
          </cell>
          <cell r="E1032" t="str">
            <v>BDB-000052</v>
          </cell>
          <cell r="F1032" t="str">
            <v>PVN-003603</v>
          </cell>
          <cell r="G1032" t="str">
            <v>OrthoLite X-40 TRUE BLUE/19-4057TPX Flat Sheet 0.16D 25+/-4 Asker C 1.1M 1.47M 12mm</v>
          </cell>
          <cell r="H1032">
            <v>400</v>
          </cell>
          <cell r="I1032">
            <v>400</v>
          </cell>
          <cell r="J1032">
            <v>0</v>
          </cell>
          <cell r="K1032">
            <v>400</v>
          </cell>
          <cell r="L1032" t="str">
            <v>ASICS</v>
          </cell>
          <cell r="M1032" t="str">
            <v>Forecast</v>
          </cell>
          <cell r="N1032" t="str">
            <v>MOLDED</v>
          </cell>
          <cell r="O1032">
            <v>1</v>
          </cell>
          <cell r="P1032">
            <v>46099</v>
          </cell>
          <cell r="Q1032">
            <v>46120</v>
          </cell>
          <cell r="R1032">
            <v>46117</v>
          </cell>
          <cell r="S1032">
            <v>21</v>
          </cell>
          <cell r="T1032">
            <v>12</v>
          </cell>
          <cell r="U1032">
            <v>11.5</v>
          </cell>
          <cell r="V1032">
            <v>35</v>
          </cell>
          <cell r="W1032" t="str">
            <v>0.16D</v>
          </cell>
          <cell r="X1032" t="str">
            <v>4-2026</v>
          </cell>
          <cell r="Y1032" t="str">
            <v>Week 14</v>
          </cell>
          <cell r="Z1032">
            <v>46111</v>
          </cell>
          <cell r="AA1032">
            <v>8</v>
          </cell>
          <cell r="AB1032">
            <v>8.6959999999999996E-2</v>
          </cell>
        </row>
        <row r="1033">
          <cell r="A1033" t="str">
            <v>F-2026-03-390</v>
          </cell>
          <cell r="B1033"/>
          <cell r="C1033" t="str">
            <v>FPRO-260318-0034</v>
          </cell>
          <cell r="D1033" t="str">
            <v>Firm plan 18.3</v>
          </cell>
          <cell r="E1033" t="str">
            <v>BDB-000052</v>
          </cell>
          <cell r="F1033" t="str">
            <v>PVN-003603</v>
          </cell>
          <cell r="G1033" t="str">
            <v>OrthoLite X-40 TRUE BLUE/19-4057TPX Flat Sheet 0.16D 25+/-4 Asker C 1.1M 1.47M 12mm</v>
          </cell>
          <cell r="H1033">
            <v>400</v>
          </cell>
          <cell r="I1033">
            <v>400</v>
          </cell>
          <cell r="J1033">
            <v>0</v>
          </cell>
          <cell r="K1033">
            <v>400</v>
          </cell>
          <cell r="L1033" t="str">
            <v>ASICS</v>
          </cell>
          <cell r="M1033" t="str">
            <v>Forecast</v>
          </cell>
          <cell r="N1033" t="str">
            <v>MOLDED</v>
          </cell>
          <cell r="O1033">
            <v>1</v>
          </cell>
          <cell r="P1033">
            <v>46099</v>
          </cell>
          <cell r="Q1033">
            <v>46127</v>
          </cell>
          <cell r="R1033">
            <v>46124</v>
          </cell>
          <cell r="S1033">
            <v>28</v>
          </cell>
          <cell r="T1033">
            <v>12</v>
          </cell>
          <cell r="U1033">
            <v>11.5</v>
          </cell>
          <cell r="V1033">
            <v>35</v>
          </cell>
          <cell r="W1033" t="str">
            <v>0.16D</v>
          </cell>
          <cell r="X1033" t="str">
            <v>4-2026</v>
          </cell>
          <cell r="Y1033" t="str">
            <v>Week 15</v>
          </cell>
          <cell r="Z1033">
            <v>46118</v>
          </cell>
          <cell r="AA1033">
            <v>1</v>
          </cell>
          <cell r="AB1033">
            <v>8.6959999999999996E-2</v>
          </cell>
        </row>
        <row r="1034">
          <cell r="A1034" t="str">
            <v>F-2026-03-391</v>
          </cell>
          <cell r="B1034"/>
          <cell r="C1034" t="str">
            <v>FPRO-260319-0001</v>
          </cell>
          <cell r="D1034" t="str">
            <v>Firm plan 19.3</v>
          </cell>
          <cell r="E1034" t="str">
            <v>BDB-000113</v>
          </cell>
          <cell r="F1034" t="str">
            <v>PVN-003414</v>
          </cell>
          <cell r="G1034" t="str">
            <v>OrthoLite Regular-Hybrid SEEDPEARL/12-0703TPX Hybrid Flat Sheet 0.11D 25+/-4 Asker C 1.1M 2M 12mm</v>
          </cell>
          <cell r="H1034">
            <v>2500</v>
          </cell>
          <cell r="I1034">
            <v>2500</v>
          </cell>
          <cell r="J1034">
            <v>0</v>
          </cell>
          <cell r="K1034">
            <v>2500</v>
          </cell>
          <cell r="L1034" t="str">
            <v>ASICS</v>
          </cell>
          <cell r="M1034" t="str">
            <v>Forecast</v>
          </cell>
          <cell r="N1034" t="str">
            <v>MOLDED</v>
          </cell>
          <cell r="O1034" t="str">
            <v>1-SLT</v>
          </cell>
          <cell r="P1034">
            <v>46100</v>
          </cell>
          <cell r="Q1034">
            <v>46119</v>
          </cell>
          <cell r="R1034">
            <v>46116</v>
          </cell>
          <cell r="S1034">
            <v>19</v>
          </cell>
          <cell r="T1034">
            <v>12</v>
          </cell>
          <cell r="U1034">
            <v>11.5</v>
          </cell>
          <cell r="V1034">
            <v>218</v>
          </cell>
          <cell r="W1034" t="str">
            <v>0.11D</v>
          </cell>
          <cell r="X1034" t="str">
            <v>4-2026</v>
          </cell>
          <cell r="Y1034" t="str">
            <v>Week 14</v>
          </cell>
          <cell r="Z1034">
            <v>46111</v>
          </cell>
          <cell r="AA1034">
            <v>3</v>
          </cell>
          <cell r="AB1034">
            <v>8.6959999999999996E-2</v>
          </cell>
        </row>
        <row r="1035">
          <cell r="A1035" t="str">
            <v>F-2026-03-392</v>
          </cell>
          <cell r="B1035"/>
          <cell r="C1035" t="str">
            <v>FPRO-260319-0002</v>
          </cell>
          <cell r="D1035" t="str">
            <v>Firm plan 19.3</v>
          </cell>
          <cell r="E1035" t="str">
            <v>BDB-000113</v>
          </cell>
          <cell r="F1035" t="str">
            <v>PVN-003414</v>
          </cell>
          <cell r="G1035" t="str">
            <v>OrthoLite Regular-Hybrid SEEDPEARL/12-0703TPX Hybrid Flat Sheet 0.11D 25+/-4 Asker C 1.1M 2M 12mm</v>
          </cell>
          <cell r="H1035">
            <v>1750</v>
          </cell>
          <cell r="I1035">
            <v>1750</v>
          </cell>
          <cell r="J1035">
            <v>0</v>
          </cell>
          <cell r="K1035">
            <v>1750</v>
          </cell>
          <cell r="L1035" t="str">
            <v>ASICS</v>
          </cell>
          <cell r="M1035" t="str">
            <v>Forecast</v>
          </cell>
          <cell r="N1035" t="str">
            <v>MOLDED</v>
          </cell>
          <cell r="O1035">
            <v>1</v>
          </cell>
          <cell r="P1035">
            <v>46100</v>
          </cell>
          <cell r="Q1035">
            <v>46130</v>
          </cell>
          <cell r="R1035">
            <v>46127</v>
          </cell>
          <cell r="S1035">
            <v>30</v>
          </cell>
          <cell r="T1035">
            <v>12</v>
          </cell>
          <cell r="U1035">
            <v>11.5</v>
          </cell>
          <cell r="V1035">
            <v>153</v>
          </cell>
          <cell r="W1035" t="str">
            <v>0.11D</v>
          </cell>
          <cell r="X1035" t="str">
            <v>4-2026</v>
          </cell>
          <cell r="Y1035" t="str">
            <v>Week 16</v>
          </cell>
          <cell r="Z1035">
            <v>46125</v>
          </cell>
          <cell r="AA1035">
            <v>1</v>
          </cell>
          <cell r="AB1035">
            <v>8.6959999999999996E-2</v>
          </cell>
        </row>
        <row r="1036">
          <cell r="A1036" t="str">
            <v>F-2026-03-393</v>
          </cell>
          <cell r="B1036"/>
          <cell r="C1036" t="str">
            <v>FPRO-260319-0003</v>
          </cell>
          <cell r="D1036" t="str">
            <v>Firm plan 19.3</v>
          </cell>
          <cell r="E1036" t="str">
            <v>BDB-000234</v>
          </cell>
          <cell r="F1036" t="str">
            <v>PVN-003581</v>
          </cell>
          <cell r="G1036" t="str">
            <v>OrthoLite X-30-Hybrid BROWN SUGAR/17-1134TPX Hybrid Flat Sheet 0.13D 25+/-4 Asker C 1.1M 2M 12mm</v>
          </cell>
          <cell r="H1036">
            <v>1000</v>
          </cell>
          <cell r="I1036">
            <v>1000</v>
          </cell>
          <cell r="J1036">
            <v>0</v>
          </cell>
          <cell r="K1036">
            <v>1000</v>
          </cell>
          <cell r="L1036" t="str">
            <v>ASICS</v>
          </cell>
          <cell r="M1036" t="str">
            <v>Forecast</v>
          </cell>
          <cell r="N1036" t="str">
            <v>MOLDED</v>
          </cell>
          <cell r="O1036" t="str">
            <v>1-SLT</v>
          </cell>
          <cell r="P1036">
            <v>46100</v>
          </cell>
          <cell r="Q1036">
            <v>46118</v>
          </cell>
          <cell r="R1036">
            <v>46115</v>
          </cell>
          <cell r="S1036">
            <v>18</v>
          </cell>
          <cell r="T1036">
            <v>12</v>
          </cell>
          <cell r="U1036">
            <v>11.5</v>
          </cell>
          <cell r="V1036">
            <v>87</v>
          </cell>
          <cell r="W1036" t="str">
            <v>0.13D</v>
          </cell>
          <cell r="X1036" t="str">
            <v>4-2026</v>
          </cell>
          <cell r="Y1036" t="str">
            <v>Week 14</v>
          </cell>
          <cell r="Z1036">
            <v>46111</v>
          </cell>
          <cell r="AA1036">
            <v>28</v>
          </cell>
          <cell r="AB1036">
            <v>8.6959999999999996E-2</v>
          </cell>
        </row>
        <row r="1037">
          <cell r="A1037" t="str">
            <v>F-2026-03-394</v>
          </cell>
          <cell r="B1037" t="str">
            <v>Diem request 04.4</v>
          </cell>
          <cell r="C1037" t="str">
            <v>FPRO-260319-0004</v>
          </cell>
          <cell r="D1037" t="str">
            <v>Firm plan 19.3</v>
          </cell>
          <cell r="E1037" t="str">
            <v>BDB-000234</v>
          </cell>
          <cell r="F1037" t="str">
            <v>PVN-003581</v>
          </cell>
          <cell r="G1037" t="str">
            <v>OrthoLite X-30-Hybrid BROWN SUGAR/17-1134TPX Hybrid Flat Sheet 0.13D 25+/-4 Asker C 1.1M 2M 12mm</v>
          </cell>
          <cell r="H1037">
            <v>320</v>
          </cell>
          <cell r="I1037">
            <v>320</v>
          </cell>
          <cell r="J1037">
            <v>0</v>
          </cell>
          <cell r="K1037">
            <v>320</v>
          </cell>
          <cell r="L1037" t="str">
            <v>ASICS</v>
          </cell>
          <cell r="M1037" t="str">
            <v>Forecast</v>
          </cell>
          <cell r="N1037" t="str">
            <v>MOLDED</v>
          </cell>
          <cell r="O1037">
            <v>1</v>
          </cell>
          <cell r="P1037">
            <v>46100</v>
          </cell>
          <cell r="Q1037">
            <v>46123</v>
          </cell>
          <cell r="R1037">
            <v>46120</v>
          </cell>
          <cell r="S1037">
            <v>23</v>
          </cell>
          <cell r="T1037">
            <v>12</v>
          </cell>
          <cell r="U1037">
            <v>11.5</v>
          </cell>
          <cell r="V1037">
            <v>28</v>
          </cell>
          <cell r="W1037" t="str">
            <v>0.13D</v>
          </cell>
          <cell r="X1037" t="str">
            <v>4-2026</v>
          </cell>
          <cell r="Y1037" t="str">
            <v>Week 14</v>
          </cell>
          <cell r="Z1037">
            <v>46111</v>
          </cell>
          <cell r="AA1037">
            <v>10</v>
          </cell>
          <cell r="AB1037">
            <v>8.6959999999999996E-2</v>
          </cell>
        </row>
        <row r="1038">
          <cell r="A1038" t="str">
            <v>F-2026-03-395-1-1</v>
          </cell>
          <cell r="B1038" t="str">
            <v>Color</v>
          </cell>
          <cell r="C1038" t="str">
            <v>FPRO-260319-0005</v>
          </cell>
          <cell r="D1038" t="str">
            <v>Firm plan 19.3</v>
          </cell>
          <cell r="E1038" t="str">
            <v>BDB-000113</v>
          </cell>
          <cell r="F1038" t="str">
            <v>PVN-002465</v>
          </cell>
          <cell r="G1038" t="str">
            <v>OrthoLite Regular-Hybrid SEEDPEARL/12-0703TPX Hybrid Flat Sheet 0.11D 25+/-4 Asker C 1.1M 2M 5mm</v>
          </cell>
          <cell r="H1038">
            <v>550</v>
          </cell>
          <cell r="I1038">
            <v>328</v>
          </cell>
          <cell r="J1038">
            <v>328</v>
          </cell>
          <cell r="K1038">
            <v>0</v>
          </cell>
          <cell r="L1038" t="str">
            <v>ASICS</v>
          </cell>
          <cell r="M1038" t="str">
            <v>Forecast</v>
          </cell>
          <cell r="N1038" t="str">
            <v>DIE CUT</v>
          </cell>
          <cell r="O1038" t="str">
            <v>1-SLT</v>
          </cell>
          <cell r="P1038">
            <v>46100</v>
          </cell>
          <cell r="Q1038">
            <v>46111</v>
          </cell>
          <cell r="R1038">
            <v>46108</v>
          </cell>
          <cell r="S1038">
            <v>11</v>
          </cell>
          <cell r="T1038">
            <v>5</v>
          </cell>
          <cell r="U1038">
            <v>28</v>
          </cell>
          <cell r="V1038">
            <v>12</v>
          </cell>
          <cell r="W1038" t="str">
            <v>0.11D</v>
          </cell>
          <cell r="X1038" t="str">
            <v>3-2026</v>
          </cell>
          <cell r="Y1038" t="str">
            <v>Week 13</v>
          </cell>
          <cell r="Z1038">
            <v>46104</v>
          </cell>
          <cell r="AA1038">
            <v>114</v>
          </cell>
          <cell r="AB1038">
            <v>3.5709999999999999E-2</v>
          </cell>
        </row>
        <row r="1039">
          <cell r="A1039" t="str">
            <v>F-2026-03-395-1-2</v>
          </cell>
          <cell r="B1039" t="str">
            <v>Color</v>
          </cell>
          <cell r="C1039" t="str">
            <v>FPRO-260319-0005</v>
          </cell>
          <cell r="D1039" t="str">
            <v>Firm plan 19.3</v>
          </cell>
          <cell r="E1039" t="str">
            <v>BDB-000113</v>
          </cell>
          <cell r="F1039" t="str">
            <v>PVN-002465</v>
          </cell>
          <cell r="G1039" t="str">
            <v>OrthoLite Regular-Hybrid SEEDPEARL/12-0703TPX Hybrid Flat Sheet 0.11D 25+/-4 Asker C 1.1M 2M 5mm</v>
          </cell>
          <cell r="H1039">
            <v>550</v>
          </cell>
          <cell r="I1039">
            <v>222</v>
          </cell>
          <cell r="J1039">
            <v>222</v>
          </cell>
          <cell r="K1039">
            <v>0</v>
          </cell>
          <cell r="L1039" t="str">
            <v>ASICS</v>
          </cell>
          <cell r="M1039" t="str">
            <v>Forecast</v>
          </cell>
          <cell r="N1039" t="str">
            <v>DIE CUT</v>
          </cell>
          <cell r="O1039" t="str">
            <v>1-SLT</v>
          </cell>
          <cell r="P1039">
            <v>46100</v>
          </cell>
          <cell r="Q1039">
            <v>46111</v>
          </cell>
          <cell r="R1039">
            <v>46108</v>
          </cell>
          <cell r="S1039">
            <v>11</v>
          </cell>
          <cell r="T1039">
            <v>5</v>
          </cell>
          <cell r="U1039">
            <v>28</v>
          </cell>
          <cell r="V1039">
            <v>8</v>
          </cell>
          <cell r="W1039" t="str">
            <v>0.11D</v>
          </cell>
          <cell r="X1039" t="str">
            <v>3-2026</v>
          </cell>
          <cell r="Y1039" t="str">
            <v>Week 13</v>
          </cell>
          <cell r="Z1039">
            <v>46104</v>
          </cell>
          <cell r="AA1039">
            <v>1</v>
          </cell>
          <cell r="AB1039">
            <v>3.5709999999999999E-2</v>
          </cell>
        </row>
        <row r="1040">
          <cell r="A1040" t="str">
            <v>F-2026-03-395-2</v>
          </cell>
          <cell r="B1040"/>
          <cell r="C1040" t="str">
            <v>FPRO-260328-0001</v>
          </cell>
          <cell r="D1040" t="str">
            <v>Firm plan 19.3</v>
          </cell>
          <cell r="E1040" t="str">
            <v>BDB-000113</v>
          </cell>
          <cell r="F1040" t="str">
            <v>PVN-002465</v>
          </cell>
          <cell r="G1040" t="str">
            <v>OrthoLite Regular-Hybrid SEEDPEARL/12-0703TPX Hybrid Flat Sheet 0.11D 25+/-4 Asker C 1.1M 2M 5mm</v>
          </cell>
          <cell r="H1040">
            <v>2500</v>
          </cell>
          <cell r="I1040">
            <v>2500</v>
          </cell>
          <cell r="J1040">
            <v>0</v>
          </cell>
          <cell r="K1040">
            <v>2500</v>
          </cell>
          <cell r="L1040" t="str">
            <v>ASICS</v>
          </cell>
          <cell r="M1040" t="str">
            <v>Forecast</v>
          </cell>
          <cell r="N1040" t="str">
            <v>DIE CUT</v>
          </cell>
          <cell r="O1040">
            <v>1</v>
          </cell>
          <cell r="P1040">
            <v>46100</v>
          </cell>
          <cell r="Q1040">
            <v>46134</v>
          </cell>
          <cell r="R1040">
            <v>46131</v>
          </cell>
          <cell r="S1040">
            <v>34</v>
          </cell>
          <cell r="T1040">
            <v>5</v>
          </cell>
          <cell r="U1040">
            <v>28</v>
          </cell>
          <cell r="V1040">
            <v>90</v>
          </cell>
          <cell r="W1040" t="str">
            <v>0.11D</v>
          </cell>
          <cell r="X1040" t="str">
            <v>4-2026</v>
          </cell>
          <cell r="Y1040" t="str">
            <v>Week 16</v>
          </cell>
          <cell r="Z1040">
            <v>46125</v>
          </cell>
          <cell r="AA1040">
            <v>1</v>
          </cell>
          <cell r="AB1040">
            <v>3.5709999999999999E-2</v>
          </cell>
        </row>
        <row r="1041">
          <cell r="A1041" t="str">
            <v>F-2026-03-396</v>
          </cell>
          <cell r="B1041"/>
          <cell r="C1041" t="str">
            <v>FPRO-260319-0006</v>
          </cell>
          <cell r="D1041" t="str">
            <v>Firm plan 19.3</v>
          </cell>
          <cell r="E1041" t="str">
            <v>BDB-000113</v>
          </cell>
          <cell r="F1041" t="str">
            <v>PVN-002465</v>
          </cell>
          <cell r="G1041" t="str">
            <v>OrthoLite Regular-Hybrid SEEDPEARL/12-0703TPX Hybrid Flat Sheet 0.11D 25+/-4 Asker C 1.1M 2M 5mm</v>
          </cell>
          <cell r="H1041">
            <v>3000</v>
          </cell>
          <cell r="I1041">
            <v>3000</v>
          </cell>
          <cell r="J1041">
            <v>0</v>
          </cell>
          <cell r="K1041">
            <v>3000</v>
          </cell>
          <cell r="L1041" t="str">
            <v>ASICS</v>
          </cell>
          <cell r="M1041" t="str">
            <v>Forecast</v>
          </cell>
          <cell r="N1041" t="str">
            <v>DIE CUT</v>
          </cell>
          <cell r="O1041" t="str">
            <v>1-SLT</v>
          </cell>
          <cell r="P1041">
            <v>46100</v>
          </cell>
          <cell r="Q1041">
            <v>46121</v>
          </cell>
          <cell r="R1041">
            <v>46118</v>
          </cell>
          <cell r="S1041">
            <v>21</v>
          </cell>
          <cell r="T1041">
            <v>5</v>
          </cell>
          <cell r="U1041">
            <v>28</v>
          </cell>
          <cell r="V1041">
            <v>108</v>
          </cell>
          <cell r="W1041" t="str">
            <v>0.11D</v>
          </cell>
          <cell r="X1041" t="str">
            <v>4-2026</v>
          </cell>
          <cell r="Y1041" t="str">
            <v>Week 14</v>
          </cell>
          <cell r="Z1041">
            <v>46111</v>
          </cell>
          <cell r="AA1041">
            <v>1</v>
          </cell>
          <cell r="AB1041">
            <v>3.5709999999999999E-2</v>
          </cell>
        </row>
        <row r="1042">
          <cell r="A1042" t="str">
            <v>OIN-2026.03.17-01</v>
          </cell>
          <cell r="B1042" t="str">
            <v>Urgent/LCL</v>
          </cell>
          <cell r="C1042" t="str">
            <v>RPRO-260323-0194</v>
          </cell>
          <cell r="D1042" t="str">
            <v>OIN</v>
          </cell>
          <cell r="E1042" t="str">
            <v>BDB-000097</v>
          </cell>
          <cell r="F1042" t="str">
            <v>PVN-003977</v>
          </cell>
          <cell r="G1042" t="str">
            <v>[116-3829] Eco Lite Hybrid 25+/-4 Asker C 0.11D Seedpearl 12-0703 Tpx 1.10M X 2.00M 47mm</v>
          </cell>
          <cell r="H1042">
            <v>43</v>
          </cell>
          <cell r="I1042">
            <v>43</v>
          </cell>
          <cell r="J1042">
            <v>0</v>
          </cell>
          <cell r="K1042">
            <v>43</v>
          </cell>
          <cell r="L1042" t="str">
            <v>Geox</v>
          </cell>
          <cell r="M1042" t="str">
            <v>PO-6900-SO-260319-0555</v>
          </cell>
          <cell r="N1042" t="str">
            <v>FLAT SHEET</v>
          </cell>
          <cell r="O1042">
            <v>2</v>
          </cell>
          <cell r="P1042">
            <v>46098</v>
          </cell>
          <cell r="Q1042">
            <v>46116</v>
          </cell>
          <cell r="R1042">
            <v>46113</v>
          </cell>
          <cell r="S1042">
            <v>18</v>
          </cell>
          <cell r="T1042">
            <v>47</v>
          </cell>
          <cell r="U1042">
            <v>3</v>
          </cell>
          <cell r="V1042">
            <v>15</v>
          </cell>
          <cell r="W1042" t="str">
            <v>0.11D</v>
          </cell>
          <cell r="X1042" t="str">
            <v>4-2026</v>
          </cell>
          <cell r="Y1042" t="str">
            <v>Week 13</v>
          </cell>
          <cell r="Z1042">
            <v>46104</v>
          </cell>
          <cell r="AA1042">
            <v>383</v>
          </cell>
          <cell r="AB1042">
            <v>0.33333000000000002</v>
          </cell>
        </row>
        <row r="1043">
          <cell r="A1043" t="str">
            <v>OIN-2026.03.17-02</v>
          </cell>
          <cell r="B1043" t="str">
            <v>Urgent/LCL</v>
          </cell>
          <cell r="C1043" t="str">
            <v>RPRO-260323-0195</v>
          </cell>
          <cell r="D1043" t="str">
            <v>OIN</v>
          </cell>
          <cell r="E1043" t="str">
            <v>BDB-000102</v>
          </cell>
          <cell r="F1043" t="str">
            <v>PVN-003821</v>
          </cell>
          <cell r="G1043" t="str">
            <v>[118-467] Eco Lite Hybrid 35+/-4 Asker C 0.13D Lime Green 14-0452 Tpx 1.10M X 2.00M 47mm</v>
          </cell>
          <cell r="H1043">
            <v>21</v>
          </cell>
          <cell r="I1043">
            <v>21</v>
          </cell>
          <cell r="J1043">
            <v>0</v>
          </cell>
          <cell r="K1043">
            <v>21</v>
          </cell>
          <cell r="L1043" t="str">
            <v>Geox</v>
          </cell>
          <cell r="M1043" t="str">
            <v>PO-6900-SO-260319-0556</v>
          </cell>
          <cell r="N1043" t="str">
            <v>FLAT SHEET</v>
          </cell>
          <cell r="O1043">
            <v>2</v>
          </cell>
          <cell r="P1043">
            <v>46098</v>
          </cell>
          <cell r="Q1043">
            <v>46116</v>
          </cell>
          <cell r="R1043">
            <v>46113</v>
          </cell>
          <cell r="S1043">
            <v>18</v>
          </cell>
          <cell r="T1043">
            <v>47</v>
          </cell>
          <cell r="U1043">
            <v>3</v>
          </cell>
          <cell r="V1043">
            <v>7</v>
          </cell>
          <cell r="W1043" t="str">
            <v>0.13D</v>
          </cell>
          <cell r="X1043" t="str">
            <v>4-2026</v>
          </cell>
          <cell r="Y1043" t="str">
            <v>Week 13</v>
          </cell>
          <cell r="Z1043">
            <v>46104</v>
          </cell>
          <cell r="AA1043">
            <v>51</v>
          </cell>
          <cell r="AB1043">
            <v>0.33333000000000002</v>
          </cell>
        </row>
        <row r="1044">
          <cell r="A1044" t="str">
            <v>OIN-2026.03.18-01</v>
          </cell>
          <cell r="B1044" t="str">
            <v>Urgent/LCL_combine FCL PO-6793</v>
          </cell>
          <cell r="C1044" t="str">
            <v>RPRO-260323-0191</v>
          </cell>
          <cell r="D1044" t="str">
            <v>OIN</v>
          </cell>
          <cell r="E1044" t="str">
            <v>BDB-000078</v>
          </cell>
          <cell r="F1044" t="str">
            <v>PVN-003912</v>
          </cell>
          <cell r="G1044" t="str">
            <v>[116-1517] X 30 25+/-4 Asker C 0.13D Red 19-1764 Tpx 1.10M X 2.00M 47mm</v>
          </cell>
          <cell r="H1044">
            <v>106</v>
          </cell>
          <cell r="I1044">
            <v>106</v>
          </cell>
          <cell r="J1044">
            <v>0</v>
          </cell>
          <cell r="K1044">
            <v>106</v>
          </cell>
          <cell r="L1044" t="str">
            <v>BATA</v>
          </cell>
          <cell r="M1044" t="str">
            <v>PO-6915-SO-260319-0552</v>
          </cell>
          <cell r="N1044" t="str">
            <v>FLAT SHEET</v>
          </cell>
          <cell r="O1044">
            <v>2</v>
          </cell>
          <cell r="P1044">
            <v>46099</v>
          </cell>
          <cell r="Q1044">
            <v>46111</v>
          </cell>
          <cell r="R1044">
            <v>46108</v>
          </cell>
          <cell r="S1044">
            <v>12</v>
          </cell>
          <cell r="T1044">
            <v>47</v>
          </cell>
          <cell r="U1044">
            <v>3</v>
          </cell>
          <cell r="V1044">
            <v>36</v>
          </cell>
          <cell r="W1044" t="str">
            <v>0.13D</v>
          </cell>
          <cell r="X1044" t="str">
            <v>3-2026</v>
          </cell>
          <cell r="Y1044" t="str">
            <v>Week 13</v>
          </cell>
          <cell r="Z1044">
            <v>46104</v>
          </cell>
          <cell r="AA1044">
            <v>16</v>
          </cell>
          <cell r="AB1044">
            <v>0.33333000000000002</v>
          </cell>
        </row>
        <row r="1045">
          <cell r="A1045" t="str">
            <v>OIN-2026.03.18-02</v>
          </cell>
          <cell r="B1045" t="str">
            <v>Urgent/LCL_combine FCL PO-6793</v>
          </cell>
          <cell r="C1045" t="str">
            <v>RPRO-260323-0192</v>
          </cell>
          <cell r="D1045" t="str">
            <v>OIN</v>
          </cell>
          <cell r="E1045" t="str">
            <v>BDB-000001</v>
          </cell>
          <cell r="F1045" t="str">
            <v>PVN-003935</v>
          </cell>
          <cell r="G1045" t="str">
            <v>[116-205] Regular 15+/-4 Asker C 0.11D Burnt Sienna 17-1544 Tpx 1.10M X 2.00M 47mm</v>
          </cell>
          <cell r="H1045">
            <v>26</v>
          </cell>
          <cell r="I1045">
            <v>26</v>
          </cell>
          <cell r="J1045">
            <v>0</v>
          </cell>
          <cell r="K1045">
            <v>26</v>
          </cell>
          <cell r="L1045" t="str">
            <v>CLARKS</v>
          </cell>
          <cell r="M1045" t="str">
            <v>PO-6915-SO-260319-0553</v>
          </cell>
          <cell r="N1045" t="str">
            <v>FLAT SHEET</v>
          </cell>
          <cell r="O1045">
            <v>2</v>
          </cell>
          <cell r="P1045">
            <v>46099</v>
          </cell>
          <cell r="Q1045">
            <v>46111</v>
          </cell>
          <cell r="R1045">
            <v>46108</v>
          </cell>
          <cell r="S1045">
            <v>12</v>
          </cell>
          <cell r="T1045">
            <v>47</v>
          </cell>
          <cell r="U1045">
            <v>3</v>
          </cell>
          <cell r="V1045">
            <v>9</v>
          </cell>
          <cell r="W1045" t="str">
            <v>0.11D</v>
          </cell>
          <cell r="X1045" t="str">
            <v>3-2026</v>
          </cell>
          <cell r="Y1045" t="str">
            <v>Week 13</v>
          </cell>
          <cell r="Z1045">
            <v>46104</v>
          </cell>
          <cell r="AA1045">
            <v>37</v>
          </cell>
          <cell r="AB1045">
            <v>0.33333000000000002</v>
          </cell>
        </row>
        <row r="1046">
          <cell r="A1046" t="str">
            <v>OIN-2026.03.18-03</v>
          </cell>
          <cell r="B1046" t="str">
            <v>Urgent/LCL_combine FCL PO-6793</v>
          </cell>
          <cell r="C1046" t="str">
            <v>RPRO-260323-0193</v>
          </cell>
          <cell r="D1046" t="str">
            <v>OIN</v>
          </cell>
          <cell r="E1046" t="str">
            <v>BDB-000025</v>
          </cell>
          <cell r="F1046" t="str">
            <v>PVN-003785</v>
          </cell>
          <cell r="G1046" t="str">
            <v>[116-247] Regular 25+/-4 Asker C 0.11D Green 16-5932 Tpx 1.10M X 2.00M 47mm</v>
          </cell>
          <cell r="H1046">
            <v>13</v>
          </cell>
          <cell r="I1046">
            <v>13</v>
          </cell>
          <cell r="J1046">
            <v>0</v>
          </cell>
          <cell r="K1046">
            <v>13</v>
          </cell>
          <cell r="L1046" t="str">
            <v>CLARKS</v>
          </cell>
          <cell r="M1046" t="str">
            <v>PO-6915-SO-260319-0554</v>
          </cell>
          <cell r="N1046" t="str">
            <v>FLAT SHEET</v>
          </cell>
          <cell r="O1046">
            <v>2</v>
          </cell>
          <cell r="P1046">
            <v>46099</v>
          </cell>
          <cell r="Q1046">
            <v>46111</v>
          </cell>
          <cell r="R1046">
            <v>46108</v>
          </cell>
          <cell r="S1046">
            <v>12</v>
          </cell>
          <cell r="T1046">
            <v>47</v>
          </cell>
          <cell r="U1046">
            <v>3</v>
          </cell>
          <cell r="V1046">
            <v>5</v>
          </cell>
          <cell r="W1046" t="str">
            <v>0.11D</v>
          </cell>
          <cell r="X1046" t="str">
            <v>3-2026</v>
          </cell>
          <cell r="Y1046" t="str">
            <v>Week 13</v>
          </cell>
          <cell r="Z1046">
            <v>46104</v>
          </cell>
          <cell r="AA1046">
            <v>3</v>
          </cell>
          <cell r="AB1046">
            <v>0.33333000000000002</v>
          </cell>
        </row>
        <row r="1047">
          <cell r="A1047" t="str">
            <v>OIN-2026.03.18-04</v>
          </cell>
          <cell r="B1047" t="str">
            <v>Urgent/LCL</v>
          </cell>
          <cell r="C1047" t="str">
            <v>RPRO-260323-0197</v>
          </cell>
          <cell r="D1047" t="str">
            <v>OIN</v>
          </cell>
          <cell r="E1047" t="str">
            <v>BDB-000020</v>
          </cell>
          <cell r="F1047" t="str">
            <v>PVN-004180</v>
          </cell>
          <cell r="G1047" t="str">
            <v>[116-013] Regular 35+/-4 Asker C 0.13D Red 19-1764 Tpx 1.10M X 2.00M 12.5mm</v>
          </cell>
          <cell r="H1047">
            <v>190</v>
          </cell>
          <cell r="I1047">
            <v>190</v>
          </cell>
          <cell r="J1047">
            <v>0</v>
          </cell>
          <cell r="K1047">
            <v>190</v>
          </cell>
          <cell r="L1047" t="str">
            <v>HUGO BOSS</v>
          </cell>
          <cell r="M1047" t="str">
            <v>PO-6915-SO-260320-0124</v>
          </cell>
          <cell r="N1047" t="str">
            <v>FLAT SHEET</v>
          </cell>
          <cell r="O1047">
            <v>2</v>
          </cell>
          <cell r="P1047">
            <v>46099</v>
          </cell>
          <cell r="Q1047">
            <v>46116</v>
          </cell>
          <cell r="R1047">
            <v>46113</v>
          </cell>
          <cell r="S1047">
            <v>17</v>
          </cell>
          <cell r="T1047">
            <v>12.5</v>
          </cell>
          <cell r="U1047">
            <v>10</v>
          </cell>
          <cell r="V1047">
            <v>19</v>
          </cell>
          <cell r="W1047" t="str">
            <v>0.13D</v>
          </cell>
          <cell r="X1047" t="str">
            <v>4-2026</v>
          </cell>
          <cell r="Y1047" t="str">
            <v>Week 13</v>
          </cell>
          <cell r="Z1047">
            <v>46104</v>
          </cell>
          <cell r="AA1047">
            <v>11</v>
          </cell>
          <cell r="AB1047">
            <v>0.1</v>
          </cell>
        </row>
        <row r="1048">
          <cell r="A1048" t="str">
            <v>F-2026-03-397</v>
          </cell>
          <cell r="B1048"/>
          <cell r="C1048" t="str">
            <v>RPRO-260323-0428</v>
          </cell>
          <cell r="D1048" t="str">
            <v>MPS 20.3+21.3</v>
          </cell>
          <cell r="E1048" t="str">
            <v>BDB-000067</v>
          </cell>
          <cell r="F1048" t="str">
            <v>PVN-004301</v>
          </cell>
          <cell r="G1048" t="str">
            <v>OrthoLite Ultra SEEDPEARL/12-0703TPX 0.085D 25+/-4 Asker C 1.1M 2M 2mm</v>
          </cell>
          <cell r="H1048">
            <v>140</v>
          </cell>
          <cell r="I1048">
            <v>140</v>
          </cell>
          <cell r="J1048">
            <v>0</v>
          </cell>
          <cell r="K1048">
            <v>140</v>
          </cell>
          <cell r="L1048"/>
          <cell r="M1048" t="str">
            <v>MPS</v>
          </cell>
          <cell r="N1048" t="str">
            <v>SPLITTING</v>
          </cell>
          <cell r="O1048">
            <v>2</v>
          </cell>
          <cell r="P1048">
            <v>46104</v>
          </cell>
          <cell r="Q1048">
            <v>46119</v>
          </cell>
          <cell r="R1048">
            <v>46116</v>
          </cell>
          <cell r="S1048">
            <v>15</v>
          </cell>
          <cell r="T1048">
            <v>2</v>
          </cell>
          <cell r="U1048">
            <v>70</v>
          </cell>
          <cell r="V1048">
            <v>3</v>
          </cell>
          <cell r="W1048" t="str">
            <v>0.085D</v>
          </cell>
          <cell r="X1048" t="str">
            <v>4-2026</v>
          </cell>
          <cell r="Y1048" t="str">
            <v>Week 14</v>
          </cell>
          <cell r="Z1048">
            <v>46111</v>
          </cell>
          <cell r="AA1048">
            <v>100</v>
          </cell>
          <cell r="AB1048">
            <v>1.4290000000000001E-2</v>
          </cell>
        </row>
        <row r="1049">
          <cell r="A1049" t="str">
            <v>F-2026-03-398</v>
          </cell>
          <cell r="B1049"/>
          <cell r="C1049" t="str">
            <v>RPRO-260323-0429</v>
          </cell>
          <cell r="D1049" t="str">
            <v>MPS 20.3+21.3</v>
          </cell>
          <cell r="E1049" t="str">
            <v>BDB-000016</v>
          </cell>
          <cell r="F1049" t="str">
            <v>PVN-000458</v>
          </cell>
          <cell r="G1049" t="str">
            <v>OrthoLite Regular GREEN/16-5932TPX Flat Sheet 0.13D 35+/-4 Asker C 1.1M 2M 3mm</v>
          </cell>
          <cell r="H1049">
            <v>230</v>
          </cell>
          <cell r="I1049">
            <v>230</v>
          </cell>
          <cell r="J1049">
            <v>0</v>
          </cell>
          <cell r="K1049">
            <v>230</v>
          </cell>
          <cell r="L1049"/>
          <cell r="M1049" t="str">
            <v>MPS</v>
          </cell>
          <cell r="N1049" t="str">
            <v>SPLITTING</v>
          </cell>
          <cell r="O1049">
            <v>2</v>
          </cell>
          <cell r="P1049">
            <v>46104</v>
          </cell>
          <cell r="Q1049">
            <v>46116</v>
          </cell>
          <cell r="R1049">
            <v>46113</v>
          </cell>
          <cell r="S1049">
            <v>12</v>
          </cell>
          <cell r="T1049">
            <v>3</v>
          </cell>
          <cell r="U1049">
            <v>46</v>
          </cell>
          <cell r="V1049">
            <v>6</v>
          </cell>
          <cell r="W1049" t="str">
            <v>0.13D</v>
          </cell>
          <cell r="X1049" t="str">
            <v>4-2026</v>
          </cell>
          <cell r="Y1049" t="str">
            <v>Week 14</v>
          </cell>
          <cell r="Z1049">
            <v>46111</v>
          </cell>
          <cell r="AA1049">
            <v>33</v>
          </cell>
          <cell r="AB1049">
            <v>2.1739999999999999E-2</v>
          </cell>
        </row>
        <row r="1050">
          <cell r="A1050" t="str">
            <v>F-2026-03-399</v>
          </cell>
          <cell r="B1050"/>
          <cell r="C1050" t="str">
            <v>RPRO-260323-0430</v>
          </cell>
          <cell r="D1050" t="str">
            <v>MPS 20.3+21.3</v>
          </cell>
          <cell r="E1050" t="str">
            <v>BDB-000123</v>
          </cell>
          <cell r="F1050" t="str">
            <v>PVN-003300</v>
          </cell>
          <cell r="G1050" t="str">
            <v>OrthoLite Ultra-Hybrid SEEDPEARL/12-0703TPX Hybrid Flat Sheet 0.085D 25+/-4 Asker C 1.1M 2M 2mm</v>
          </cell>
          <cell r="H1050">
            <v>70</v>
          </cell>
          <cell r="I1050">
            <v>70</v>
          </cell>
          <cell r="J1050">
            <v>0</v>
          </cell>
          <cell r="K1050">
            <v>70</v>
          </cell>
          <cell r="L1050"/>
          <cell r="M1050" t="str">
            <v>MPS</v>
          </cell>
          <cell r="N1050" t="str">
            <v>SPLITTING</v>
          </cell>
          <cell r="O1050">
            <v>2</v>
          </cell>
          <cell r="P1050">
            <v>46104</v>
          </cell>
          <cell r="Q1050">
            <v>46116</v>
          </cell>
          <cell r="R1050">
            <v>46113</v>
          </cell>
          <cell r="S1050">
            <v>12</v>
          </cell>
          <cell r="T1050">
            <v>2</v>
          </cell>
          <cell r="U1050">
            <v>70</v>
          </cell>
          <cell r="V1050">
            <v>2</v>
          </cell>
          <cell r="W1050" t="str">
            <v>0.085D</v>
          </cell>
          <cell r="X1050" t="str">
            <v>4-2026</v>
          </cell>
          <cell r="Y1050" t="str">
            <v>Week 14</v>
          </cell>
          <cell r="Z1050">
            <v>46111</v>
          </cell>
          <cell r="AA1050">
            <v>7</v>
          </cell>
          <cell r="AB1050">
            <v>1.4290000000000001E-2</v>
          </cell>
        </row>
        <row r="1051">
          <cell r="A1051" t="str">
            <v>F-2026-03-400</v>
          </cell>
          <cell r="B1051"/>
          <cell r="C1051" t="str">
            <v>RPRO-260323-0431</v>
          </cell>
          <cell r="D1051" t="str">
            <v>MPS 20.3+21.3</v>
          </cell>
          <cell r="E1051" t="str">
            <v>BDB-000305</v>
          </cell>
          <cell r="F1051" t="str">
            <v>PVN-004000</v>
          </cell>
          <cell r="G1051" t="str">
            <v>OrthoLite X-35-Nike YELLOW/13-0858TPX Flat Sheet 0.145D 25+/-4 Asker C 1.1M 2M 5.5mm</v>
          </cell>
          <cell r="H1051">
            <v>50</v>
          </cell>
          <cell r="I1051">
            <v>50</v>
          </cell>
          <cell r="J1051">
            <v>0</v>
          </cell>
          <cell r="K1051">
            <v>50</v>
          </cell>
          <cell r="L1051"/>
          <cell r="M1051" t="str">
            <v>MPS</v>
          </cell>
          <cell r="N1051" t="str">
            <v>SPLITTING</v>
          </cell>
          <cell r="O1051">
            <v>2</v>
          </cell>
          <cell r="P1051">
            <v>46104</v>
          </cell>
          <cell r="Q1051">
            <v>46119</v>
          </cell>
          <cell r="R1051">
            <v>46116</v>
          </cell>
          <cell r="S1051">
            <v>15</v>
          </cell>
          <cell r="T1051">
            <v>5.5</v>
          </cell>
          <cell r="U1051">
            <v>25</v>
          </cell>
          <cell r="V1051">
            <v>2</v>
          </cell>
          <cell r="W1051" t="str">
            <v>0.145D</v>
          </cell>
          <cell r="X1051" t="str">
            <v>4-2026</v>
          </cell>
          <cell r="Y1051" t="str">
            <v>Week 14</v>
          </cell>
          <cell r="Z1051">
            <v>46111</v>
          </cell>
          <cell r="AA1051">
            <v>8</v>
          </cell>
          <cell r="AB1051">
            <v>0.04</v>
          </cell>
        </row>
        <row r="1052">
          <cell r="A1052" t="str">
            <v>F-2026-03-401</v>
          </cell>
          <cell r="B1052"/>
          <cell r="C1052" t="str">
            <v>RPRO-260323-0432</v>
          </cell>
          <cell r="D1052" t="str">
            <v>MPS 20.3+21.3</v>
          </cell>
          <cell r="E1052" t="str">
            <v>BDB-000348</v>
          </cell>
          <cell r="F1052" t="str">
            <v>PVN-004210</v>
          </cell>
          <cell r="G1052" t="str">
            <v>OrthoLite IMPERIAL SEEDPEARL/12-0703TPX Flat Sheet 0.22D 25+/-4 Asker C 1.1M 1.47M 5mm</v>
          </cell>
          <cell r="H1052">
            <v>168</v>
          </cell>
          <cell r="I1052">
            <v>168</v>
          </cell>
          <cell r="J1052">
            <v>0</v>
          </cell>
          <cell r="K1052">
            <v>168</v>
          </cell>
          <cell r="L1052"/>
          <cell r="M1052" t="str">
            <v>MPS</v>
          </cell>
          <cell r="N1052" t="str">
            <v>SPLITTING</v>
          </cell>
          <cell r="O1052">
            <v>2</v>
          </cell>
          <cell r="P1052">
            <v>46104</v>
          </cell>
          <cell r="Q1052">
            <v>46119</v>
          </cell>
          <cell r="R1052">
            <v>46116</v>
          </cell>
          <cell r="S1052">
            <v>15</v>
          </cell>
          <cell r="T1052">
            <v>5</v>
          </cell>
          <cell r="U1052">
            <v>28</v>
          </cell>
          <cell r="V1052">
            <v>6</v>
          </cell>
          <cell r="W1052" t="e">
            <v>#N/A</v>
          </cell>
          <cell r="X1052" t="str">
            <v>4-2026</v>
          </cell>
          <cell r="Y1052" t="str">
            <v>Week 14</v>
          </cell>
          <cell r="Z1052">
            <v>46111</v>
          </cell>
          <cell r="AA1052">
            <v>22</v>
          </cell>
          <cell r="AB1052">
            <v>3.5709999999999999E-2</v>
          </cell>
        </row>
        <row r="1053">
          <cell r="A1053" t="str">
            <v>F-2026-03-402</v>
          </cell>
          <cell r="B1053"/>
          <cell r="C1053" t="str">
            <v>RPRO-260323-0433</v>
          </cell>
          <cell r="D1053" t="str">
            <v>MPS 20.3+21.3</v>
          </cell>
          <cell r="E1053" t="str">
            <v>BDB-000057</v>
          </cell>
          <cell r="F1053" t="str">
            <v>PVN-001236</v>
          </cell>
          <cell r="G1053" t="str">
            <v>OrthoLite Ultra YELLOW/13-0858TPX 0.085D 25+/-4 Asker C 1.1M 2M 3.5mm</v>
          </cell>
          <cell r="H1053">
            <v>7</v>
          </cell>
          <cell r="I1053">
            <v>7</v>
          </cell>
          <cell r="J1053">
            <v>0</v>
          </cell>
          <cell r="K1053">
            <v>7</v>
          </cell>
          <cell r="L1053"/>
          <cell r="M1053" t="str">
            <v>MPS</v>
          </cell>
          <cell r="N1053" t="str">
            <v>SPLITTING</v>
          </cell>
          <cell r="O1053">
            <v>2</v>
          </cell>
          <cell r="P1053">
            <v>46104</v>
          </cell>
          <cell r="Q1053">
            <v>46119</v>
          </cell>
          <cell r="R1053">
            <v>46116</v>
          </cell>
          <cell r="S1053">
            <v>15</v>
          </cell>
          <cell r="T1053">
            <v>3.5</v>
          </cell>
          <cell r="U1053">
            <v>40</v>
          </cell>
          <cell r="V1053">
            <v>1</v>
          </cell>
          <cell r="W1053" t="str">
            <v>0.085D</v>
          </cell>
          <cell r="X1053" t="str">
            <v>4-2026</v>
          </cell>
          <cell r="Y1053" t="str">
            <v>Week 14</v>
          </cell>
          <cell r="Z1053">
            <v>46111</v>
          </cell>
          <cell r="AA1053">
            <v>26</v>
          </cell>
          <cell r="AB1053">
            <v>2.5000000000000001E-2</v>
          </cell>
        </row>
        <row r="1054">
          <cell r="A1054" t="str">
            <v>F-2026-03-403</v>
          </cell>
          <cell r="B1054"/>
          <cell r="C1054" t="str">
            <v>RPRO-260323-0434</v>
          </cell>
          <cell r="D1054" t="str">
            <v>Pro.sche.report 20.3+21.3</v>
          </cell>
          <cell r="E1054" t="str">
            <v>BDB-000129</v>
          </cell>
          <cell r="F1054" t="str">
            <v>PVN-001550</v>
          </cell>
          <cell r="G1054" t="str">
            <v>OrthoLite Regular-Nike AIR BLUE/16-4134TPX Flat Sheet 0.11D 25+/-4 Asker C 1.1M 1.7M 2mm</v>
          </cell>
          <cell r="H1054">
            <v>350</v>
          </cell>
          <cell r="I1054">
            <v>350</v>
          </cell>
          <cell r="J1054">
            <v>0</v>
          </cell>
          <cell r="K1054">
            <v>350</v>
          </cell>
          <cell r="L1054" t="str">
            <v>NIKE</v>
          </cell>
          <cell r="M1054" t="str">
            <v>Pr.Sch.R</v>
          </cell>
          <cell r="N1054" t="str">
            <v>LAMINATING</v>
          </cell>
          <cell r="O1054">
            <v>1</v>
          </cell>
          <cell r="P1054">
            <v>46104</v>
          </cell>
          <cell r="Q1054">
            <v>46120</v>
          </cell>
          <cell r="R1054">
            <v>46117</v>
          </cell>
          <cell r="S1054">
            <v>16</v>
          </cell>
          <cell r="T1054">
            <v>2</v>
          </cell>
          <cell r="U1054">
            <v>70</v>
          </cell>
          <cell r="V1054">
            <v>6</v>
          </cell>
          <cell r="W1054" t="str">
            <v>0.11D</v>
          </cell>
          <cell r="X1054" t="str">
            <v>4-2026</v>
          </cell>
          <cell r="Y1054" t="str">
            <v>Week 14</v>
          </cell>
          <cell r="Z1054">
            <v>46111</v>
          </cell>
          <cell r="AA1054">
            <v>24</v>
          </cell>
          <cell r="AB1054">
            <v>1.4290000000000001E-2</v>
          </cell>
        </row>
        <row r="1055">
          <cell r="A1055" t="str">
            <v>F-2026-03-404</v>
          </cell>
          <cell r="B1055"/>
          <cell r="C1055" t="str">
            <v>RPRO-260323-0435</v>
          </cell>
          <cell r="D1055" t="str">
            <v>Pro.sche.report 20.3+21.3</v>
          </cell>
          <cell r="E1055" t="str">
            <v>BDB-000162</v>
          </cell>
          <cell r="F1055" t="str">
            <v>PVN-001566</v>
          </cell>
          <cell r="G1055" t="str">
            <v>OrthoLite Ultra-Nike SEEDPEARL/12-0703TPX Flat Sheet 0.085D 25+/-4 Asker C 1.1M 2M 4mm</v>
          </cell>
          <cell r="H1055">
            <v>1295</v>
          </cell>
          <cell r="I1055">
            <v>1295</v>
          </cell>
          <cell r="J1055">
            <v>0</v>
          </cell>
          <cell r="K1055">
            <v>1295</v>
          </cell>
          <cell r="L1055" t="str">
            <v>NIKE</v>
          </cell>
          <cell r="M1055" t="str">
            <v>Pr.Sch.R</v>
          </cell>
          <cell r="N1055" t="str">
            <v>DIE CUT</v>
          </cell>
          <cell r="O1055">
            <v>1</v>
          </cell>
          <cell r="P1055">
            <v>46104</v>
          </cell>
          <cell r="Q1055">
            <v>46121</v>
          </cell>
          <cell r="R1055">
            <v>46118</v>
          </cell>
          <cell r="S1055">
            <v>17</v>
          </cell>
          <cell r="T1055">
            <v>4</v>
          </cell>
          <cell r="U1055">
            <v>35</v>
          </cell>
          <cell r="V1055">
            <v>37</v>
          </cell>
          <cell r="W1055" t="str">
            <v>0.085D</v>
          </cell>
          <cell r="X1055" t="str">
            <v>4-2026</v>
          </cell>
          <cell r="Y1055" t="str">
            <v>Week 14</v>
          </cell>
          <cell r="Z1055">
            <v>46111</v>
          </cell>
          <cell r="AA1055">
            <v>70</v>
          </cell>
          <cell r="AB1055">
            <v>2.8570000000000002E-2</v>
          </cell>
        </row>
        <row r="1056">
          <cell r="A1056" t="str">
            <v>F-2026-03-405</v>
          </cell>
          <cell r="B1056"/>
          <cell r="C1056" t="str">
            <v>RPRO-260323-0436</v>
          </cell>
          <cell r="D1056" t="str">
            <v>Pro.sche.report 20.3+21.3</v>
          </cell>
          <cell r="E1056" t="str">
            <v>BDB-000336</v>
          </cell>
          <cell r="F1056" t="str">
            <v>PVN-004168</v>
          </cell>
          <cell r="G1056" t="str">
            <v>OrthoLite X-40-Nike SEEDPEARL/12-0703TPX Flat Sheet 0.16D 35+/-4 Asker C 1.1M 2M 4.5mm</v>
          </cell>
          <cell r="H1056">
            <v>31</v>
          </cell>
          <cell r="I1056">
            <v>31</v>
          </cell>
          <cell r="J1056">
            <v>0</v>
          </cell>
          <cell r="K1056">
            <v>31</v>
          </cell>
          <cell r="L1056" t="str">
            <v>NIKE</v>
          </cell>
          <cell r="M1056" t="str">
            <v>Pr.Sch.R</v>
          </cell>
          <cell r="N1056" t="str">
            <v>MOLDED</v>
          </cell>
          <cell r="O1056">
            <v>1</v>
          </cell>
          <cell r="P1056">
            <v>46104</v>
          </cell>
          <cell r="Q1056">
            <v>46118</v>
          </cell>
          <cell r="R1056">
            <v>46115</v>
          </cell>
          <cell r="S1056">
            <v>14</v>
          </cell>
          <cell r="T1056">
            <v>4.5</v>
          </cell>
          <cell r="U1056">
            <v>31</v>
          </cell>
          <cell r="V1056">
            <v>2</v>
          </cell>
          <cell r="W1056" t="e">
            <v>#N/A</v>
          </cell>
          <cell r="X1056" t="str">
            <v>4-2026</v>
          </cell>
          <cell r="Y1056" t="str">
            <v>Week 14</v>
          </cell>
          <cell r="Z1056">
            <v>46111</v>
          </cell>
          <cell r="AA1056">
            <v>26</v>
          </cell>
          <cell r="AB1056">
            <v>3.3329999999999999E-2</v>
          </cell>
        </row>
        <row r="1057">
          <cell r="A1057" t="str">
            <v>F-2026-03-406</v>
          </cell>
          <cell r="B1057"/>
          <cell r="C1057" t="str">
            <v>RPRO-260323-0437</v>
          </cell>
          <cell r="D1057" t="str">
            <v>Pro.sche.report 20.3+21.3</v>
          </cell>
          <cell r="E1057" t="str">
            <v>BDB-000123</v>
          </cell>
          <cell r="F1057" t="str">
            <v>PVN-002539</v>
          </cell>
          <cell r="G1057" t="str">
            <v>OrthoLite Ultra-Hybrid SEEDPEARL/12-0703TPX Hybrid Flat Sheet 0.085D 25+/-4 Asker C 1.1M 2M 5mm</v>
          </cell>
          <cell r="H1057">
            <v>28</v>
          </cell>
          <cell r="I1057">
            <v>28</v>
          </cell>
          <cell r="J1057">
            <v>0</v>
          </cell>
          <cell r="K1057">
            <v>28</v>
          </cell>
          <cell r="L1057" t="str">
            <v>BROOKS</v>
          </cell>
          <cell r="M1057" t="str">
            <v>Pr.Sch.R</v>
          </cell>
          <cell r="N1057" t="str">
            <v>DIE CUT</v>
          </cell>
          <cell r="O1057">
            <v>1</v>
          </cell>
          <cell r="P1057">
            <v>46104</v>
          </cell>
          <cell r="Q1057">
            <v>46120</v>
          </cell>
          <cell r="R1057">
            <v>46117</v>
          </cell>
          <cell r="S1057">
            <v>16</v>
          </cell>
          <cell r="T1057">
            <v>5</v>
          </cell>
          <cell r="U1057">
            <v>28</v>
          </cell>
          <cell r="V1057">
            <v>1</v>
          </cell>
          <cell r="W1057" t="str">
            <v>0.085D</v>
          </cell>
          <cell r="X1057" t="str">
            <v>4-2026</v>
          </cell>
          <cell r="Y1057" t="str">
            <v>Week 14</v>
          </cell>
          <cell r="Z1057">
            <v>46111</v>
          </cell>
          <cell r="AA1057">
            <v>127</v>
          </cell>
          <cell r="AB1057">
            <v>3.5709999999999999E-2</v>
          </cell>
        </row>
        <row r="1058">
          <cell r="A1058" t="str">
            <v>F-2026-03-407</v>
          </cell>
          <cell r="B1058"/>
          <cell r="C1058" t="str">
            <v>RPRO-260323-0438</v>
          </cell>
          <cell r="D1058" t="str">
            <v>Pro.sche.report 20.3+21.3</v>
          </cell>
          <cell r="E1058" t="str">
            <v>BDB-000126</v>
          </cell>
          <cell r="F1058" t="str">
            <v>PVN-002325</v>
          </cell>
          <cell r="G1058" t="str">
            <v>OrthoLite Regular-Nike RED/19-1764TPX Flat Sheet 0.11D 25+/-4 Asker C 1.1M 2M 5.2mm</v>
          </cell>
          <cell r="H1058">
            <v>26</v>
          </cell>
          <cell r="I1058">
            <v>26</v>
          </cell>
          <cell r="J1058">
            <v>0</v>
          </cell>
          <cell r="K1058">
            <v>26</v>
          </cell>
          <cell r="L1058" t="str">
            <v>NIKE</v>
          </cell>
          <cell r="M1058" t="str">
            <v>Pr.Sch.R</v>
          </cell>
          <cell r="N1058" t="str">
            <v>MOLDED</v>
          </cell>
          <cell r="O1058">
            <v>1</v>
          </cell>
          <cell r="P1058">
            <v>46104</v>
          </cell>
          <cell r="Q1058">
            <v>46118</v>
          </cell>
          <cell r="R1058">
            <v>46115</v>
          </cell>
          <cell r="S1058">
            <v>14</v>
          </cell>
          <cell r="T1058">
            <v>5.2</v>
          </cell>
          <cell r="U1058">
            <v>26</v>
          </cell>
          <cell r="V1058">
            <v>1</v>
          </cell>
          <cell r="W1058" t="str">
            <v>0.11D</v>
          </cell>
          <cell r="X1058" t="str">
            <v>4-2026</v>
          </cell>
          <cell r="Y1058" t="str">
            <v>Week 14</v>
          </cell>
          <cell r="Z1058">
            <v>46111</v>
          </cell>
          <cell r="AA1058">
            <v>108</v>
          </cell>
          <cell r="AB1058">
            <v>3.8460000000000001E-2</v>
          </cell>
        </row>
        <row r="1059">
          <cell r="A1059" t="str">
            <v>F-2026-03-408</v>
          </cell>
          <cell r="B1059"/>
          <cell r="C1059" t="str">
            <v>RPRO-260323-0439</v>
          </cell>
          <cell r="D1059" t="str">
            <v>Pro.sche.report 20.3+21.3</v>
          </cell>
          <cell r="E1059" t="str">
            <v>BDB-000125</v>
          </cell>
          <cell r="F1059" t="str">
            <v>PVN-002413</v>
          </cell>
          <cell r="G1059" t="str">
            <v>OrthoLite Regular-Nike AIR BLUE/16-4134TPX Flat Sheet 0.11D 25+/-4 Asker C 1.1M 2M 4.2mm</v>
          </cell>
          <cell r="H1059">
            <v>660</v>
          </cell>
          <cell r="I1059">
            <v>660</v>
          </cell>
          <cell r="J1059">
            <v>0</v>
          </cell>
          <cell r="K1059">
            <v>660</v>
          </cell>
          <cell r="L1059" t="str">
            <v>NIKE</v>
          </cell>
          <cell r="M1059" t="str">
            <v>Pr.Sch.R</v>
          </cell>
          <cell r="N1059" t="str">
            <v>MOLDED</v>
          </cell>
          <cell r="O1059">
            <v>1</v>
          </cell>
          <cell r="P1059">
            <v>46104</v>
          </cell>
          <cell r="Q1059">
            <v>46120</v>
          </cell>
          <cell r="R1059">
            <v>46117</v>
          </cell>
          <cell r="S1059">
            <v>16</v>
          </cell>
          <cell r="T1059">
            <v>4.2</v>
          </cell>
          <cell r="U1059">
            <v>33</v>
          </cell>
          <cell r="V1059">
            <v>20</v>
          </cell>
          <cell r="W1059" t="str">
            <v>0.11D</v>
          </cell>
          <cell r="X1059" t="str">
            <v>4-2026</v>
          </cell>
          <cell r="Y1059" t="str">
            <v>Week 14</v>
          </cell>
          <cell r="Z1059">
            <v>46111</v>
          </cell>
          <cell r="AA1059">
            <v>47</v>
          </cell>
          <cell r="AB1059">
            <v>3.0300000000000001E-2</v>
          </cell>
        </row>
        <row r="1060">
          <cell r="A1060" t="str">
            <v>F-2026-03-409</v>
          </cell>
          <cell r="B1060"/>
          <cell r="C1060" t="str">
            <v>RPRO-260323-0440</v>
          </cell>
          <cell r="D1060" t="str">
            <v>Pro.sche.report 20.3+21.3</v>
          </cell>
          <cell r="E1060" t="str">
            <v>BDB-000055</v>
          </cell>
          <cell r="F1060" t="str">
            <v>PVN-003326</v>
          </cell>
          <cell r="G1060" t="str">
            <v>OrthoLite X-40 TRUE BLUE/19-4057TPX Flat Sheet 0.16D 35+/-4 Asker C 1.1M 1.7M 14mm</v>
          </cell>
          <cell r="H1060">
            <v>63</v>
          </cell>
          <cell r="I1060">
            <v>63</v>
          </cell>
          <cell r="J1060">
            <v>63</v>
          </cell>
          <cell r="K1060">
            <v>0</v>
          </cell>
          <cell r="L1060" t="str">
            <v>ADIDAS</v>
          </cell>
          <cell r="M1060" t="str">
            <v>Pr.Sch.R</v>
          </cell>
          <cell r="N1060" t="str">
            <v>MOLDED</v>
          </cell>
          <cell r="O1060">
            <v>1</v>
          </cell>
          <cell r="P1060">
            <v>46104</v>
          </cell>
          <cell r="Q1060">
            <v>46112</v>
          </cell>
          <cell r="R1060">
            <v>46109</v>
          </cell>
          <cell r="S1060">
            <v>8</v>
          </cell>
          <cell r="T1060">
            <v>14</v>
          </cell>
          <cell r="U1060">
            <v>9</v>
          </cell>
          <cell r="V1060">
            <v>7</v>
          </cell>
          <cell r="W1060" t="str">
            <v>0.16D</v>
          </cell>
          <cell r="X1060" t="str">
            <v>3-2026</v>
          </cell>
          <cell r="Y1060" t="str">
            <v>Week 13</v>
          </cell>
          <cell r="Z1060">
            <v>46104</v>
          </cell>
          <cell r="AA1060">
            <v>47</v>
          </cell>
          <cell r="AB1060">
            <v>0.11111</v>
          </cell>
        </row>
        <row r="1061">
          <cell r="A1061" t="str">
            <v>F-2026-03-410</v>
          </cell>
          <cell r="B1061"/>
          <cell r="C1061" t="str">
            <v>RPRO-260323-0441</v>
          </cell>
          <cell r="D1061" t="str">
            <v>Pro.sche.report 20.3+21.3</v>
          </cell>
          <cell r="E1061" t="str">
            <v>BDB-000113</v>
          </cell>
          <cell r="F1061" t="str">
            <v>PVN-002515</v>
          </cell>
          <cell r="G1061" t="str">
            <v>OrthoLite Regular-Hybrid SEEDPEARL/12-0703TPX Hybrid Flat Sheet 0.11D 25+/-4 Asker C 1.1M 2M 11mm</v>
          </cell>
          <cell r="H1061">
            <v>12</v>
          </cell>
          <cell r="I1061">
            <v>12</v>
          </cell>
          <cell r="J1061">
            <v>0</v>
          </cell>
          <cell r="K1061">
            <v>12</v>
          </cell>
          <cell r="L1061" t="str">
            <v>ASICS</v>
          </cell>
          <cell r="M1061" t="str">
            <v>Pr.Sch.R</v>
          </cell>
          <cell r="N1061" t="str">
            <v>MOLDED</v>
          </cell>
          <cell r="O1061">
            <v>1</v>
          </cell>
          <cell r="P1061">
            <v>46104</v>
          </cell>
          <cell r="Q1061">
            <v>46115</v>
          </cell>
          <cell r="R1061">
            <v>46112</v>
          </cell>
          <cell r="S1061">
            <v>11</v>
          </cell>
          <cell r="T1061">
            <v>11</v>
          </cell>
          <cell r="U1061">
            <v>12</v>
          </cell>
          <cell r="V1061">
            <v>1</v>
          </cell>
          <cell r="W1061" t="str">
            <v>0.11D</v>
          </cell>
          <cell r="X1061" t="str">
            <v>4-2026</v>
          </cell>
          <cell r="Y1061" t="str">
            <v>Week 14</v>
          </cell>
          <cell r="Z1061">
            <v>46111</v>
          </cell>
          <cell r="AA1061">
            <v>47</v>
          </cell>
          <cell r="AB1061">
            <v>8.3330000000000001E-2</v>
          </cell>
        </row>
        <row r="1062">
          <cell r="A1062" t="str">
            <v>F-2026-03-411</v>
          </cell>
          <cell r="B1062"/>
          <cell r="C1062" t="str">
            <v>RPRO-260323-0442</v>
          </cell>
          <cell r="D1062" t="str">
            <v>Pro.sche.report 20.3+21.3</v>
          </cell>
          <cell r="E1062" t="str">
            <v>BDB-000156</v>
          </cell>
          <cell r="F1062" t="str">
            <v>PVN-003243</v>
          </cell>
          <cell r="G1062" t="str">
            <v>OrthoLite X-35-Hybrid-Nike AMAZON/18-6024TPX Hybrid Flat Sheet 0.145D 25+/-4 Asker C 1.1M 2M 5.2mm</v>
          </cell>
          <cell r="H1062">
            <v>26</v>
          </cell>
          <cell r="I1062">
            <v>26</v>
          </cell>
          <cell r="J1062">
            <v>0</v>
          </cell>
          <cell r="K1062">
            <v>26</v>
          </cell>
          <cell r="L1062" t="str">
            <v>NIKE</v>
          </cell>
          <cell r="M1062" t="str">
            <v>Pr.Sch.R</v>
          </cell>
          <cell r="N1062" t="str">
            <v>MOLDED</v>
          </cell>
          <cell r="O1062">
            <v>1</v>
          </cell>
          <cell r="P1062">
            <v>46104</v>
          </cell>
          <cell r="Q1062">
            <v>46120</v>
          </cell>
          <cell r="R1062">
            <v>46117</v>
          </cell>
          <cell r="S1062">
            <v>16</v>
          </cell>
          <cell r="T1062">
            <v>5.2</v>
          </cell>
          <cell r="U1062">
            <v>26</v>
          </cell>
          <cell r="V1062">
            <v>1</v>
          </cell>
          <cell r="W1062" t="str">
            <v>0.145D</v>
          </cell>
          <cell r="X1062" t="str">
            <v>4-2026</v>
          </cell>
          <cell r="Y1062" t="str">
            <v>Week 14</v>
          </cell>
          <cell r="Z1062">
            <v>46111</v>
          </cell>
          <cell r="AA1062">
            <v>71</v>
          </cell>
          <cell r="AB1062">
            <v>3.8460000000000001E-2</v>
          </cell>
        </row>
        <row r="1063">
          <cell r="A1063" t="str">
            <v>F-2026-03-412</v>
          </cell>
          <cell r="B1063"/>
          <cell r="C1063" t="str">
            <v>RPRO-260323-0443</v>
          </cell>
          <cell r="D1063" t="str">
            <v>Pro.sche.report 20.3+21.3</v>
          </cell>
          <cell r="E1063" t="str">
            <v>BDB-000046</v>
          </cell>
          <cell r="F1063" t="str">
            <v>PVN-000448</v>
          </cell>
          <cell r="G1063" t="str">
            <v>OrthoLite Regular RED/19-1764TPX Flat Sheet 0.13D 35+/-4 Asker C 1.1M 1.47M 4mm</v>
          </cell>
          <cell r="H1063">
            <v>70</v>
          </cell>
          <cell r="I1063">
            <v>70</v>
          </cell>
          <cell r="J1063">
            <v>0</v>
          </cell>
          <cell r="K1063">
            <v>70</v>
          </cell>
          <cell r="L1063" t="str">
            <v>REEBOK</v>
          </cell>
          <cell r="M1063" t="str">
            <v>Pr.Sch.R</v>
          </cell>
          <cell r="N1063" t="str">
            <v>DIE CUT</v>
          </cell>
          <cell r="O1063">
            <v>1</v>
          </cell>
          <cell r="P1063">
            <v>46104</v>
          </cell>
          <cell r="Q1063">
            <v>46120</v>
          </cell>
          <cell r="R1063">
            <v>46117</v>
          </cell>
          <cell r="S1063">
            <v>16</v>
          </cell>
          <cell r="T1063">
            <v>4</v>
          </cell>
          <cell r="U1063">
            <v>35</v>
          </cell>
          <cell r="V1063">
            <v>2</v>
          </cell>
          <cell r="W1063" t="str">
            <v>0.13D</v>
          </cell>
          <cell r="X1063" t="str">
            <v>4-2026</v>
          </cell>
          <cell r="Y1063" t="str">
            <v>Week 14</v>
          </cell>
          <cell r="Z1063">
            <v>46111</v>
          </cell>
          <cell r="AA1063">
            <v>57</v>
          </cell>
          <cell r="AB1063">
            <v>2.8570000000000002E-2</v>
          </cell>
        </row>
        <row r="1064">
          <cell r="A1064" t="str">
            <v>F-2026-03-413</v>
          </cell>
          <cell r="B1064"/>
          <cell r="C1064" t="str">
            <v>RPRO-260323-0444</v>
          </cell>
          <cell r="D1064" t="str">
            <v>Pro.sche.report 20.3+21.3</v>
          </cell>
          <cell r="E1064" t="str">
            <v>BDB-000149</v>
          </cell>
          <cell r="F1064" t="str">
            <v>PVN-002773</v>
          </cell>
          <cell r="G1064" t="str">
            <v>OrthoLite Regular-Hybrid-Nike SEEDPEARL/12-0703TPX Hybrid Flat Sheet 0.11D 25+/-4 Asker C 1.1M 2M 4mm</v>
          </cell>
          <cell r="H1064">
            <v>35</v>
          </cell>
          <cell r="I1064">
            <v>35</v>
          </cell>
          <cell r="J1064">
            <v>35</v>
          </cell>
          <cell r="K1064">
            <v>0</v>
          </cell>
          <cell r="L1064" t="str">
            <v>NIKE</v>
          </cell>
          <cell r="M1064" t="str">
            <v>Pr.Sch.R</v>
          </cell>
          <cell r="N1064" t="str">
            <v>DIE CUT</v>
          </cell>
          <cell r="O1064">
            <v>1</v>
          </cell>
          <cell r="P1064">
            <v>46104</v>
          </cell>
          <cell r="Q1064">
            <v>46112</v>
          </cell>
          <cell r="R1064">
            <v>46109</v>
          </cell>
          <cell r="S1064">
            <v>8</v>
          </cell>
          <cell r="T1064">
            <v>4</v>
          </cell>
          <cell r="U1064">
            <v>35</v>
          </cell>
          <cell r="V1064">
            <v>1</v>
          </cell>
          <cell r="W1064" t="str">
            <v>0.11D</v>
          </cell>
          <cell r="X1064" t="str">
            <v>3-2026</v>
          </cell>
          <cell r="Y1064" t="str">
            <v>Week 13</v>
          </cell>
          <cell r="Z1064">
            <v>46104</v>
          </cell>
          <cell r="AA1064">
            <v>57</v>
          </cell>
          <cell r="AB1064">
            <v>2.8570000000000002E-2</v>
          </cell>
        </row>
        <row r="1065">
          <cell r="A1065" t="str">
            <v>F-2026-03-414</v>
          </cell>
          <cell r="B1065"/>
          <cell r="C1065" t="str">
            <v>RPRO-260323-0445</v>
          </cell>
          <cell r="D1065" t="str">
            <v>Pro.sche.report 20.3+21.3</v>
          </cell>
          <cell r="E1065" t="str">
            <v>BDB-000057</v>
          </cell>
          <cell r="F1065" t="str">
            <v>PVN-001126</v>
          </cell>
          <cell r="G1065" t="str">
            <v>OrthoLite Ultra YELLOW/13-0858TPX Flat Sheet 0.085D 25+/-4 Asker C 1.1M 2M 11mm</v>
          </cell>
          <cell r="H1065">
            <v>12</v>
          </cell>
          <cell r="I1065">
            <v>12</v>
          </cell>
          <cell r="J1065">
            <v>0</v>
          </cell>
          <cell r="K1065">
            <v>12</v>
          </cell>
          <cell r="L1065" t="str">
            <v>GARMONT</v>
          </cell>
          <cell r="M1065" t="str">
            <v>Pr.Sch.R</v>
          </cell>
          <cell r="N1065" t="str">
            <v>MOLDED</v>
          </cell>
          <cell r="O1065">
            <v>1</v>
          </cell>
          <cell r="P1065">
            <v>46104</v>
          </cell>
          <cell r="Q1065">
            <v>46120</v>
          </cell>
          <cell r="R1065">
            <v>46117</v>
          </cell>
          <cell r="S1065">
            <v>16</v>
          </cell>
          <cell r="T1065">
            <v>11</v>
          </cell>
          <cell r="U1065">
            <v>12</v>
          </cell>
          <cell r="V1065">
            <v>1</v>
          </cell>
          <cell r="W1065" t="str">
            <v>0.085D</v>
          </cell>
          <cell r="X1065" t="str">
            <v>4-2026</v>
          </cell>
          <cell r="Y1065" t="str">
            <v>Week 14</v>
          </cell>
          <cell r="Z1065">
            <v>46111</v>
          </cell>
          <cell r="AA1065">
            <v>136</v>
          </cell>
          <cell r="AB1065">
            <v>8.3330000000000001E-2</v>
          </cell>
        </row>
        <row r="1066">
          <cell r="A1066" t="str">
            <v>F-2026-03-415</v>
          </cell>
          <cell r="B1066"/>
          <cell r="C1066" t="str">
            <v>RPRO-260323-0446</v>
          </cell>
          <cell r="D1066" t="str">
            <v>Pro.sche.report 20.3+21.3</v>
          </cell>
          <cell r="E1066" t="str">
            <v>BDB-000266</v>
          </cell>
          <cell r="F1066" t="str">
            <v>PVN-003732</v>
          </cell>
          <cell r="G1066" t="str">
            <v>OrthoLite Regular BLACK/19-4007TPX Flat Sheet 0.15D 45+/-4 Asker C 1.1M 1.7M 2mm</v>
          </cell>
          <cell r="H1066">
            <v>70</v>
          </cell>
          <cell r="I1066">
            <v>70</v>
          </cell>
          <cell r="J1066">
            <v>0</v>
          </cell>
          <cell r="K1066">
            <v>70</v>
          </cell>
          <cell r="L1066" t="str">
            <v>GARMONT</v>
          </cell>
          <cell r="M1066" t="str">
            <v>Pr.Sch.R</v>
          </cell>
          <cell r="N1066" t="str">
            <v>MOLDED</v>
          </cell>
          <cell r="O1066">
            <v>1</v>
          </cell>
          <cell r="P1066">
            <v>46104</v>
          </cell>
          <cell r="Q1066">
            <v>46120</v>
          </cell>
          <cell r="R1066">
            <v>46117</v>
          </cell>
          <cell r="S1066">
            <v>16</v>
          </cell>
          <cell r="T1066">
            <v>2</v>
          </cell>
          <cell r="U1066">
            <v>70</v>
          </cell>
          <cell r="V1066">
            <v>2</v>
          </cell>
          <cell r="W1066" t="str">
            <v>0.15D</v>
          </cell>
          <cell r="X1066" t="str">
            <v>4-2026</v>
          </cell>
          <cell r="Y1066" t="str">
            <v>Week 14</v>
          </cell>
          <cell r="Z1066">
            <v>46111</v>
          </cell>
          <cell r="AA1066">
            <v>136</v>
          </cell>
          <cell r="AB1066">
            <v>1.4290000000000001E-2</v>
          </cell>
        </row>
        <row r="1067">
          <cell r="A1067" t="str">
            <v>F-2026-03-416</v>
          </cell>
          <cell r="B1067"/>
          <cell r="C1067" t="str">
            <v>RPRO-260323-0447-đã xóa firm</v>
          </cell>
          <cell r="D1067" t="str">
            <v>Pro.sche.report 20.3+21.3</v>
          </cell>
          <cell r="E1067" t="str">
            <v>BDB-000174</v>
          </cell>
          <cell r="F1067" t="str">
            <v>PVN-003503</v>
          </cell>
          <cell r="G1067" t="str">
            <v>OrthoLite Ultra-Hybrid-Nike SEEDPEARL/12-0703TPX Hybrid Flat Sheet 0.085D 15+/-4 Asker C 1.1M 2M 3mm</v>
          </cell>
          <cell r="H1067">
            <v>46</v>
          </cell>
          <cell r="I1067">
            <v>46</v>
          </cell>
          <cell r="J1067">
            <v>0</v>
          </cell>
          <cell r="K1067">
            <v>46</v>
          </cell>
          <cell r="L1067" t="str">
            <v>NIKE</v>
          </cell>
          <cell r="M1067" t="str">
            <v>Pr.Sch.R</v>
          </cell>
          <cell r="N1067" t="str">
            <v>DIE CUT</v>
          </cell>
          <cell r="O1067">
            <v>1</v>
          </cell>
          <cell r="P1067">
            <v>46104</v>
          </cell>
          <cell r="Q1067" t="str">
            <v>Delete by My mail 30.3</v>
          </cell>
          <cell r="R1067" t="e">
            <v>#VALUE!</v>
          </cell>
          <cell r="S1067" t="e">
            <v>#VALUE!</v>
          </cell>
          <cell r="T1067">
            <v>3</v>
          </cell>
          <cell r="U1067">
            <v>46</v>
          </cell>
          <cell r="V1067">
            <v>2</v>
          </cell>
          <cell r="W1067" t="str">
            <v>0.085D</v>
          </cell>
          <cell r="X1067" t="e">
            <v>#VALUE!</v>
          </cell>
          <cell r="Y1067" t="e">
            <v>#VALUE!</v>
          </cell>
          <cell r="Z1067" t="str">
            <v/>
          </cell>
          <cell r="AA1067">
            <v>136</v>
          </cell>
          <cell r="AB1067">
            <v>2.1739999999999999E-2</v>
          </cell>
        </row>
        <row r="1068">
          <cell r="A1068" t="str">
            <v>F-2026-03-417</v>
          </cell>
          <cell r="B1068"/>
          <cell r="C1068" t="str">
            <v>RPRO-260324-0563</v>
          </cell>
          <cell r="D1068" t="str">
            <v>MPS 23.3</v>
          </cell>
          <cell r="E1068" t="str">
            <v>BDB-000353</v>
          </cell>
          <cell r="F1068" t="str">
            <v>PVN-004350</v>
          </cell>
          <cell r="G1068" t="str">
            <v>OrthoLite Regular SEEDPEARL/12-0703TPX Flat Sheet 0.13D 35+/-4 Asker C 1.1M 1.47M 13mm</v>
          </cell>
          <cell r="H1068">
            <v>30</v>
          </cell>
          <cell r="I1068">
            <v>30</v>
          </cell>
          <cell r="J1068">
            <v>0</v>
          </cell>
          <cell r="K1068">
            <v>30</v>
          </cell>
          <cell r="L1068"/>
          <cell r="M1068" t="str">
            <v>MPS</v>
          </cell>
          <cell r="N1068" t="str">
            <v>SPLITTING</v>
          </cell>
          <cell r="O1068">
            <v>2</v>
          </cell>
          <cell r="P1068">
            <v>46105</v>
          </cell>
          <cell r="Q1068">
            <v>46120</v>
          </cell>
          <cell r="R1068">
            <v>46117</v>
          </cell>
          <cell r="S1068">
            <v>15</v>
          </cell>
          <cell r="T1068">
            <v>13</v>
          </cell>
          <cell r="U1068">
            <v>10</v>
          </cell>
          <cell r="V1068">
            <v>3</v>
          </cell>
          <cell r="W1068" t="e">
            <v>#N/A</v>
          </cell>
          <cell r="X1068" t="str">
            <v>4-2026</v>
          </cell>
          <cell r="Y1068" t="str">
            <v>Week 14</v>
          </cell>
          <cell r="Z1068">
            <v>46111</v>
          </cell>
          <cell r="AA1068">
            <v>136</v>
          </cell>
          <cell r="AB1068">
            <v>0.1</v>
          </cell>
        </row>
        <row r="1069">
          <cell r="A1069" t="str">
            <v>F-2026-03-418</v>
          </cell>
          <cell r="B1069"/>
          <cell r="C1069" t="str">
            <v>RPRO-260324-0564</v>
          </cell>
          <cell r="D1069" t="str">
            <v>Pro.sche.report 23.3</v>
          </cell>
          <cell r="E1069" t="str">
            <v>BDB-000339</v>
          </cell>
          <cell r="F1069" t="str">
            <v>PVN-004178</v>
          </cell>
          <cell r="G1069" t="str">
            <v>OrthoLite Float NEUTRAL GRAY/17-4402TPX Flat Sheet 0.12D 21+/-4 Asker C 1.1M 2M 5.5mm</v>
          </cell>
          <cell r="H1069">
            <v>50</v>
          </cell>
          <cell r="I1069">
            <v>50</v>
          </cell>
          <cell r="J1069">
            <v>0</v>
          </cell>
          <cell r="K1069">
            <v>50</v>
          </cell>
          <cell r="L1069" t="str">
            <v>PUMA</v>
          </cell>
          <cell r="M1069" t="str">
            <v>Pr.Sch.R</v>
          </cell>
          <cell r="N1069" t="str">
            <v>MOLDED</v>
          </cell>
          <cell r="O1069">
            <v>1</v>
          </cell>
          <cell r="P1069">
            <v>46105</v>
          </cell>
          <cell r="Q1069">
            <v>46116</v>
          </cell>
          <cell r="R1069">
            <v>46113</v>
          </cell>
          <cell r="S1069">
            <v>11</v>
          </cell>
          <cell r="T1069">
            <v>5.5</v>
          </cell>
          <cell r="U1069">
            <v>25</v>
          </cell>
          <cell r="V1069">
            <v>2</v>
          </cell>
          <cell r="W1069" t="e">
            <v>#N/A</v>
          </cell>
          <cell r="X1069" t="str">
            <v>4-2026</v>
          </cell>
          <cell r="Y1069" t="str">
            <v>Week 14</v>
          </cell>
          <cell r="Z1069">
            <v>46111</v>
          </cell>
          <cell r="AA1069">
            <v>136</v>
          </cell>
          <cell r="AB1069">
            <v>0.04</v>
          </cell>
        </row>
        <row r="1070">
          <cell r="A1070" t="str">
            <v>F-2026-03-419</v>
          </cell>
          <cell r="B1070"/>
          <cell r="C1070" t="str">
            <v>RPRO-260324-0565</v>
          </cell>
          <cell r="D1070" t="str">
            <v>Pro.sche.report 23.3</v>
          </cell>
          <cell r="E1070" t="str">
            <v>BDB-000336</v>
          </cell>
          <cell r="F1070" t="str">
            <v>PVN-004168</v>
          </cell>
          <cell r="G1070" t="str">
            <v>OrthoLite X-40-Nike SEEDPEARL/12-0703TPX Flat Sheet 0.16D 35+/-4 Asker C 1.1M 2M 4.5mm</v>
          </cell>
          <cell r="H1070">
            <v>248</v>
          </cell>
          <cell r="I1070">
            <v>248</v>
          </cell>
          <cell r="J1070">
            <v>0</v>
          </cell>
          <cell r="K1070">
            <v>248</v>
          </cell>
          <cell r="L1070" t="str">
            <v>NIKE</v>
          </cell>
          <cell r="M1070" t="str">
            <v>Pr.Sch.R</v>
          </cell>
          <cell r="N1070" t="str">
            <v>MOLDED</v>
          </cell>
          <cell r="O1070">
            <v>1</v>
          </cell>
          <cell r="P1070">
            <v>46105</v>
          </cell>
          <cell r="Q1070">
            <v>46118</v>
          </cell>
          <cell r="R1070">
            <v>46115</v>
          </cell>
          <cell r="S1070">
            <v>13</v>
          </cell>
          <cell r="T1070">
            <v>4.5</v>
          </cell>
          <cell r="U1070">
            <v>31</v>
          </cell>
          <cell r="V1070">
            <v>9</v>
          </cell>
          <cell r="W1070" t="e">
            <v>#N/A</v>
          </cell>
          <cell r="X1070" t="str">
            <v>4-2026</v>
          </cell>
          <cell r="Y1070" t="str">
            <v>Week 14</v>
          </cell>
          <cell r="Z1070">
            <v>46111</v>
          </cell>
          <cell r="AA1070">
            <v>136</v>
          </cell>
          <cell r="AB1070">
            <v>3.3329999999999999E-2</v>
          </cell>
        </row>
        <row r="1071">
          <cell r="A1071" t="str">
            <v>F-2026-03-420</v>
          </cell>
          <cell r="B1071"/>
          <cell r="C1071" t="str">
            <v>RPRO-260324-0566</v>
          </cell>
          <cell r="D1071" t="str">
            <v>Pro.sche.report 23.3</v>
          </cell>
          <cell r="E1071" t="str">
            <v>BDB-000123</v>
          </cell>
          <cell r="F1071" t="str">
            <v>PVN-002539</v>
          </cell>
          <cell r="G1071" t="str">
            <v>OrthoLite Ultra-Hybrid SEEDPEARL/12-0703TPX Hybrid Flat Sheet 0.085D 25+/-4 Asker C 1.1M 2M 5mm</v>
          </cell>
          <cell r="H1071">
            <v>196</v>
          </cell>
          <cell r="I1071">
            <v>196</v>
          </cell>
          <cell r="J1071">
            <v>0</v>
          </cell>
          <cell r="K1071">
            <v>196</v>
          </cell>
          <cell r="L1071" t="str">
            <v>BROOKS</v>
          </cell>
          <cell r="M1071" t="str">
            <v>Pr.Sch.R</v>
          </cell>
          <cell r="N1071" t="str">
            <v>DIE CUT</v>
          </cell>
          <cell r="O1071">
            <v>1</v>
          </cell>
          <cell r="P1071">
            <v>46105</v>
          </cell>
          <cell r="Q1071">
            <v>46121</v>
          </cell>
          <cell r="R1071">
            <v>46118</v>
          </cell>
          <cell r="S1071">
            <v>16</v>
          </cell>
          <cell r="T1071">
            <v>5</v>
          </cell>
          <cell r="U1071">
            <v>28</v>
          </cell>
          <cell r="V1071">
            <v>7</v>
          </cell>
          <cell r="W1071" t="str">
            <v>0.085D</v>
          </cell>
          <cell r="X1071" t="str">
            <v>4-2026</v>
          </cell>
          <cell r="Y1071" t="str">
            <v>Week 14</v>
          </cell>
          <cell r="Z1071">
            <v>46111</v>
          </cell>
          <cell r="AA1071">
            <v>20</v>
          </cell>
          <cell r="AB1071">
            <v>3.5709999999999999E-2</v>
          </cell>
        </row>
        <row r="1072">
          <cell r="A1072" t="str">
            <v>F-2026-03-421</v>
          </cell>
          <cell r="B1072"/>
          <cell r="C1072" t="str">
            <v>RPRO-260324-0567</v>
          </cell>
          <cell r="D1072" t="str">
            <v>Pro.sche.report 23.3</v>
          </cell>
          <cell r="E1072" t="str">
            <v>BDB-000181</v>
          </cell>
          <cell r="F1072" t="str">
            <v>PVN-003238</v>
          </cell>
          <cell r="G1072" t="str">
            <v>OrthoLite Eco LT-Hybrid-Converse SEEDPEARL/12-0703TPX Hybrid Flat Sheet 0.11D 25+/-4 Asker C 1.1M 2M 5mm</v>
          </cell>
          <cell r="H1072">
            <v>112</v>
          </cell>
          <cell r="I1072">
            <v>112</v>
          </cell>
          <cell r="J1072">
            <v>0</v>
          </cell>
          <cell r="K1072">
            <v>112</v>
          </cell>
          <cell r="L1072" t="str">
            <v>CONVERSE</v>
          </cell>
          <cell r="M1072" t="str">
            <v>Pr.Sch.R</v>
          </cell>
          <cell r="N1072" t="str">
            <v>DIE CUT</v>
          </cell>
          <cell r="O1072">
            <v>1</v>
          </cell>
          <cell r="P1072">
            <v>46105</v>
          </cell>
          <cell r="Q1072">
            <v>46121</v>
          </cell>
          <cell r="R1072">
            <v>46118</v>
          </cell>
          <cell r="S1072">
            <v>16</v>
          </cell>
          <cell r="T1072">
            <v>5</v>
          </cell>
          <cell r="U1072">
            <v>28</v>
          </cell>
          <cell r="V1072">
            <v>4</v>
          </cell>
          <cell r="W1072" t="str">
            <v>0.11D</v>
          </cell>
          <cell r="X1072" t="str">
            <v>4-2026</v>
          </cell>
          <cell r="Y1072" t="str">
            <v>Week 14</v>
          </cell>
          <cell r="Z1072">
            <v>46111</v>
          </cell>
          <cell r="AA1072">
            <v>20</v>
          </cell>
          <cell r="AB1072">
            <v>3.5709999999999999E-2</v>
          </cell>
        </row>
        <row r="1073">
          <cell r="A1073" t="str">
            <v>F-2026-03-422</v>
          </cell>
          <cell r="B1073"/>
          <cell r="C1073" t="str">
            <v>RPRO-260324-0568</v>
          </cell>
          <cell r="D1073" t="str">
            <v>Pro.sche.report 23.3</v>
          </cell>
          <cell r="E1073" t="str">
            <v>BDB-000255</v>
          </cell>
          <cell r="F1073" t="str">
            <v>PVN-003730</v>
          </cell>
          <cell r="G1073" t="str">
            <v>OrthoLite Regular GREY/17-1501TPX Flat Sheet 0.15D 45+/-4 Asker C 1.1M 1.7M 2mm</v>
          </cell>
          <cell r="H1073">
            <v>140</v>
          </cell>
          <cell r="I1073">
            <v>140</v>
          </cell>
          <cell r="J1073">
            <v>0</v>
          </cell>
          <cell r="K1073">
            <v>140</v>
          </cell>
          <cell r="L1073" t="str">
            <v>OBOZ</v>
          </cell>
          <cell r="M1073" t="str">
            <v>Pr.Sch.R</v>
          </cell>
          <cell r="N1073" t="str">
            <v>MOLDED</v>
          </cell>
          <cell r="O1073">
            <v>1</v>
          </cell>
          <cell r="P1073">
            <v>46105</v>
          </cell>
          <cell r="Q1073">
            <v>46120</v>
          </cell>
          <cell r="R1073">
            <v>46117</v>
          </cell>
          <cell r="S1073">
            <v>15</v>
          </cell>
          <cell r="T1073">
            <v>2</v>
          </cell>
          <cell r="U1073">
            <v>70</v>
          </cell>
          <cell r="V1073">
            <v>3</v>
          </cell>
          <cell r="W1073" t="str">
            <v>0.15D</v>
          </cell>
          <cell r="X1073" t="str">
            <v>4-2026</v>
          </cell>
          <cell r="Y1073" t="str">
            <v>Week 14</v>
          </cell>
          <cell r="Z1073">
            <v>46111</v>
          </cell>
          <cell r="AA1073">
            <v>20</v>
          </cell>
          <cell r="AB1073">
            <v>1.4290000000000001E-2</v>
          </cell>
        </row>
        <row r="1074">
          <cell r="A1074" t="str">
            <v>F-2026-03-423</v>
          </cell>
          <cell r="B1074"/>
          <cell r="C1074" t="str">
            <v>RPRO-260324-0569</v>
          </cell>
          <cell r="D1074" t="str">
            <v>Pro.sche.report 23.3</v>
          </cell>
          <cell r="E1074" t="str">
            <v>BDB-000217</v>
          </cell>
          <cell r="F1074" t="str">
            <v>PVN-003733</v>
          </cell>
          <cell r="G1074" t="str">
            <v>OrthoLite X-40-Hybrid SEEDPEARL/12-0703TPX Hybrid Flat Sheet 0.16D 35+/-4 Asker C 1.1M 1.7M 12.5mm</v>
          </cell>
          <cell r="H1074">
            <v>110</v>
          </cell>
          <cell r="I1074">
            <v>110</v>
          </cell>
          <cell r="J1074">
            <v>0</v>
          </cell>
          <cell r="K1074">
            <v>110</v>
          </cell>
          <cell r="L1074" t="str">
            <v>OBOZ</v>
          </cell>
          <cell r="M1074" t="str">
            <v>Pr.Sch.R</v>
          </cell>
          <cell r="N1074" t="str">
            <v>MOLDED</v>
          </cell>
          <cell r="O1074">
            <v>1</v>
          </cell>
          <cell r="P1074">
            <v>46105</v>
          </cell>
          <cell r="Q1074">
            <v>46121</v>
          </cell>
          <cell r="R1074">
            <v>46118</v>
          </cell>
          <cell r="S1074">
            <v>16</v>
          </cell>
          <cell r="T1074">
            <v>12.5</v>
          </cell>
          <cell r="U1074">
            <v>10</v>
          </cell>
          <cell r="V1074">
            <v>11</v>
          </cell>
          <cell r="W1074" t="str">
            <v>0.16D</v>
          </cell>
          <cell r="X1074" t="str">
            <v>4-2026</v>
          </cell>
          <cell r="Y1074" t="str">
            <v>Week 14</v>
          </cell>
          <cell r="Z1074">
            <v>46111</v>
          </cell>
          <cell r="AA1074">
            <v>140</v>
          </cell>
          <cell r="AB1074">
            <v>0.1</v>
          </cell>
        </row>
        <row r="1075">
          <cell r="A1075" t="str">
            <v>F-2026-03-424</v>
          </cell>
          <cell r="B1075"/>
          <cell r="C1075" t="str">
            <v>RPRO-260324-0570</v>
          </cell>
          <cell r="D1075" t="str">
            <v>Pro.sche.report 23.3</v>
          </cell>
          <cell r="E1075" t="str">
            <v>BDB-000282</v>
          </cell>
          <cell r="F1075" t="str">
            <v>PVN-003834</v>
          </cell>
          <cell r="G1075" t="str">
            <v>OrthoLite X-40-Hybrid SEEDPEARL/12-0703TPX Hybrid Flat Sheet 0.16D 35+/-4 Asker C 1.1M 2M 12.5mm</v>
          </cell>
          <cell r="H1075">
            <v>40</v>
          </cell>
          <cell r="I1075">
            <v>40</v>
          </cell>
          <cell r="J1075">
            <v>0</v>
          </cell>
          <cell r="K1075">
            <v>40</v>
          </cell>
          <cell r="L1075" t="str">
            <v>OBOZ</v>
          </cell>
          <cell r="M1075" t="str">
            <v>Pr.Sch.R</v>
          </cell>
          <cell r="N1075" t="str">
            <v>MOLDED</v>
          </cell>
          <cell r="O1075">
            <v>1</v>
          </cell>
          <cell r="P1075">
            <v>46105</v>
          </cell>
          <cell r="Q1075">
            <v>46120</v>
          </cell>
          <cell r="R1075">
            <v>46117</v>
          </cell>
          <cell r="S1075">
            <v>15</v>
          </cell>
          <cell r="T1075">
            <v>12.5</v>
          </cell>
          <cell r="U1075">
            <v>10</v>
          </cell>
          <cell r="V1075">
            <v>4</v>
          </cell>
          <cell r="W1075" t="str">
            <v>0.16D</v>
          </cell>
          <cell r="X1075" t="str">
            <v>4-2026</v>
          </cell>
          <cell r="Y1075" t="str">
            <v>Week 14</v>
          </cell>
          <cell r="Z1075">
            <v>46111</v>
          </cell>
          <cell r="AA1075">
            <v>140</v>
          </cell>
          <cell r="AB1075">
            <v>0.1</v>
          </cell>
        </row>
        <row r="1076">
          <cell r="A1076" t="str">
            <v>F-2026-03-425</v>
          </cell>
          <cell r="B1076"/>
          <cell r="C1076" t="str">
            <v>RPRO-260324-0571</v>
          </cell>
          <cell r="D1076" t="str">
            <v>Pro.sche.report 23.3</v>
          </cell>
          <cell r="E1076" t="str">
            <v>BDB-000313</v>
          </cell>
          <cell r="F1076" t="str">
            <v>PVN-004061</v>
          </cell>
          <cell r="G1076" t="str">
            <v>OrthoLite X-55 RED/19-1764TPX Flat Sheet 0.16D 25+/-4 Asker C 1.1M 1.47M 18mm</v>
          </cell>
          <cell r="H1076">
            <v>14</v>
          </cell>
          <cell r="I1076">
            <v>14</v>
          </cell>
          <cell r="J1076">
            <v>0</v>
          </cell>
          <cell r="K1076">
            <v>14</v>
          </cell>
          <cell r="L1076" t="str">
            <v>WILSON</v>
          </cell>
          <cell r="M1076" t="str">
            <v>Pr.Sch.R</v>
          </cell>
          <cell r="N1076" t="str">
            <v>MOLDED</v>
          </cell>
          <cell r="O1076">
            <v>1</v>
          </cell>
          <cell r="P1076">
            <v>46105</v>
          </cell>
          <cell r="Q1076">
            <v>46119</v>
          </cell>
          <cell r="R1076">
            <v>46116</v>
          </cell>
          <cell r="S1076">
            <v>14</v>
          </cell>
          <cell r="T1076">
            <v>18</v>
          </cell>
          <cell r="U1076">
            <v>7</v>
          </cell>
          <cell r="V1076">
            <v>3</v>
          </cell>
          <cell r="W1076" t="e">
            <v>#N/A</v>
          </cell>
          <cell r="X1076" t="str">
            <v>4-2026</v>
          </cell>
          <cell r="Y1076" t="str">
            <v>Week 14</v>
          </cell>
          <cell r="Z1076">
            <v>46111</v>
          </cell>
          <cell r="AA1076">
            <v>140</v>
          </cell>
          <cell r="AB1076">
            <v>0.14285999999999999</v>
          </cell>
        </row>
        <row r="1077">
          <cell r="A1077" t="str">
            <v>F-2026-03-426</v>
          </cell>
          <cell r="B1077"/>
          <cell r="C1077" t="str">
            <v>RPRO-260324-0572</v>
          </cell>
          <cell r="D1077" t="str">
            <v>Pro.sche.report 23.3</v>
          </cell>
          <cell r="E1077" t="str">
            <v>BDB-000229</v>
          </cell>
          <cell r="F1077" t="str">
            <v>PVN-003692</v>
          </cell>
          <cell r="G1077" t="str">
            <v>OrthoLite Ultra-Hybrid SEEDPEARL/12-0703TPX Hybrid Flat Sheet 0.095D 33+/-4 Asker C 1.1M 2M 15.5mm</v>
          </cell>
          <cell r="H1077">
            <v>168</v>
          </cell>
          <cell r="I1077">
            <v>168</v>
          </cell>
          <cell r="J1077">
            <v>0</v>
          </cell>
          <cell r="K1077">
            <v>168</v>
          </cell>
          <cell r="L1077" t="str">
            <v>GARMONT</v>
          </cell>
          <cell r="M1077" t="str">
            <v>Pr.Sch.R</v>
          </cell>
          <cell r="N1077" t="str">
            <v>MOLDED</v>
          </cell>
          <cell r="O1077">
            <v>1</v>
          </cell>
          <cell r="P1077">
            <v>46105</v>
          </cell>
          <cell r="Q1077">
            <v>46115</v>
          </cell>
          <cell r="R1077">
            <v>46112</v>
          </cell>
          <cell r="S1077">
            <v>10</v>
          </cell>
          <cell r="T1077">
            <v>15.5</v>
          </cell>
          <cell r="U1077">
            <v>8</v>
          </cell>
          <cell r="V1077">
            <v>21</v>
          </cell>
          <cell r="W1077" t="str">
            <v>0.095D</v>
          </cell>
          <cell r="X1077" t="str">
            <v>4-2026</v>
          </cell>
          <cell r="Y1077" t="str">
            <v>Week 14</v>
          </cell>
          <cell r="Z1077">
            <v>46111</v>
          </cell>
          <cell r="AA1077">
            <v>140</v>
          </cell>
          <cell r="AB1077">
            <v>0.125</v>
          </cell>
        </row>
        <row r="1078">
          <cell r="A1078" t="str">
            <v>F-2026-03-427</v>
          </cell>
          <cell r="B1078"/>
          <cell r="C1078" t="str">
            <v>RPRO-260324-0573</v>
          </cell>
          <cell r="D1078" t="str">
            <v>Pro.sche.report 23.3</v>
          </cell>
          <cell r="E1078" t="str">
            <v>BDB-000188</v>
          </cell>
          <cell r="F1078" t="str">
            <v>PVN-003479</v>
          </cell>
          <cell r="G1078" t="str">
            <v>OrthoLite Ultra-Hybrid SEEDPEARL/12-0703TPX Hybrid Flat Sheet 0.085D 25+/-4 Asker C 1.1M 1.47M 4mm</v>
          </cell>
          <cell r="H1078">
            <v>560</v>
          </cell>
          <cell r="I1078">
            <v>560</v>
          </cell>
          <cell r="J1078">
            <v>0</v>
          </cell>
          <cell r="K1078">
            <v>560</v>
          </cell>
          <cell r="L1078" t="str">
            <v>SALOMON</v>
          </cell>
          <cell r="M1078" t="str">
            <v>Pr.Sch.R</v>
          </cell>
          <cell r="N1078" t="str">
            <v>LAMINATING</v>
          </cell>
          <cell r="O1078">
            <v>1</v>
          </cell>
          <cell r="P1078">
            <v>46105</v>
          </cell>
          <cell r="Q1078">
            <v>46121</v>
          </cell>
          <cell r="R1078">
            <v>46118</v>
          </cell>
          <cell r="S1078">
            <v>16</v>
          </cell>
          <cell r="T1078">
            <v>4</v>
          </cell>
          <cell r="U1078">
            <v>35</v>
          </cell>
          <cell r="V1078">
            <v>16</v>
          </cell>
          <cell r="W1078" t="str">
            <v>0.085D</v>
          </cell>
          <cell r="X1078" t="str">
            <v>4-2026</v>
          </cell>
          <cell r="Y1078" t="str">
            <v>Week 14</v>
          </cell>
          <cell r="Z1078">
            <v>46111</v>
          </cell>
          <cell r="AA1078">
            <v>140</v>
          </cell>
          <cell r="AB1078">
            <v>2.8570000000000002E-2</v>
          </cell>
        </row>
        <row r="1079">
          <cell r="A1079" t="str">
            <v>F-2026-03-428</v>
          </cell>
          <cell r="B1079"/>
          <cell r="C1079" t="str">
            <v>RPRO-260324-0574</v>
          </cell>
          <cell r="D1079" t="str">
            <v>Pro.sche.report 23.3</v>
          </cell>
          <cell r="E1079" t="str">
            <v>BDB-000154</v>
          </cell>
          <cell r="F1079" t="str">
            <v>PVN-003347</v>
          </cell>
          <cell r="G1079" t="str">
            <v>OrthoLite X-40-Nike TRUE BLUE/19-4057TPX Flat Sheet 0.16D 35+/-4 Asker C 1.1M 1.7M 4mm</v>
          </cell>
          <cell r="H1079">
            <v>35</v>
          </cell>
          <cell r="I1079">
            <v>35</v>
          </cell>
          <cell r="J1079">
            <v>0</v>
          </cell>
          <cell r="K1079">
            <v>35</v>
          </cell>
          <cell r="L1079" t="str">
            <v>NIKE</v>
          </cell>
          <cell r="M1079" t="str">
            <v>Pr.Sch.R</v>
          </cell>
          <cell r="N1079" t="str">
            <v>LAMINATING</v>
          </cell>
          <cell r="O1079">
            <v>1</v>
          </cell>
          <cell r="P1079">
            <v>46105</v>
          </cell>
          <cell r="Q1079">
            <v>46118</v>
          </cell>
          <cell r="R1079">
            <v>46115</v>
          </cell>
          <cell r="S1079">
            <v>13</v>
          </cell>
          <cell r="T1079">
            <v>4</v>
          </cell>
          <cell r="U1079">
            <v>35</v>
          </cell>
          <cell r="V1079">
            <v>1</v>
          </cell>
          <cell r="W1079" t="str">
            <v>0.16D</v>
          </cell>
          <cell r="X1079" t="str">
            <v>4-2026</v>
          </cell>
          <cell r="Y1079" t="str">
            <v>Week 14</v>
          </cell>
          <cell r="Z1079">
            <v>46111</v>
          </cell>
          <cell r="AA1079">
            <v>140</v>
          </cell>
          <cell r="AB1079">
            <v>2.8570000000000002E-2</v>
          </cell>
        </row>
        <row r="1080">
          <cell r="A1080" t="str">
            <v>F-2026-03-429</v>
          </cell>
          <cell r="B1080"/>
          <cell r="C1080" t="str">
            <v>RPRO-260324-0575</v>
          </cell>
          <cell r="D1080" t="str">
            <v>Pro.sche.report 23.3</v>
          </cell>
          <cell r="E1080" t="str">
            <v>BDB-000339</v>
          </cell>
          <cell r="F1080" t="str">
            <v>PVN-004223</v>
          </cell>
          <cell r="G1080" t="str">
            <v>OrthoLite Float NEUTRAL GRAY/17-4402TPX Flat Sheet 0.12D 21+/-4 Asker C 1.1M 2M 5mm</v>
          </cell>
          <cell r="H1080">
            <v>140</v>
          </cell>
          <cell r="I1080">
            <v>140</v>
          </cell>
          <cell r="J1080">
            <v>0</v>
          </cell>
          <cell r="K1080">
            <v>140</v>
          </cell>
          <cell r="L1080" t="str">
            <v>PUMA</v>
          </cell>
          <cell r="M1080" t="str">
            <v>Pr.Sch.R</v>
          </cell>
          <cell r="N1080" t="str">
            <v>DIE CUT</v>
          </cell>
          <cell r="O1080">
            <v>1</v>
          </cell>
          <cell r="P1080">
            <v>46105</v>
          </cell>
          <cell r="Q1080">
            <v>46121</v>
          </cell>
          <cell r="R1080">
            <v>46118</v>
          </cell>
          <cell r="S1080">
            <v>16</v>
          </cell>
          <cell r="T1080">
            <v>5</v>
          </cell>
          <cell r="U1080">
            <v>28</v>
          </cell>
          <cell r="V1080">
            <v>5</v>
          </cell>
          <cell r="W1080" t="e">
            <v>#N/A</v>
          </cell>
          <cell r="X1080" t="str">
            <v>4-2026</v>
          </cell>
          <cell r="Y1080" t="str">
            <v>Week 14</v>
          </cell>
          <cell r="Z1080">
            <v>46111</v>
          </cell>
          <cell r="AA1080">
            <v>140</v>
          </cell>
          <cell r="AB1080">
            <v>3.5709999999999999E-2</v>
          </cell>
        </row>
        <row r="1081">
          <cell r="A1081" t="str">
            <v>F-2026-03-430</v>
          </cell>
          <cell r="B1081"/>
          <cell r="C1081" t="str">
            <v>FPRO-260324-0001</v>
          </cell>
          <cell r="D1081" t="str">
            <v>Firm plan 24.3</v>
          </cell>
          <cell r="E1081" t="str">
            <v>BDB-000162</v>
          </cell>
          <cell r="F1081" t="str">
            <v>PVN-001566</v>
          </cell>
          <cell r="G1081" t="str">
            <v>OrthoLite Ultra-Nike SEEDPEARL/12-0703TPX 0.085D 25+/-4 Asker C 1.1M 2M 4mm</v>
          </cell>
          <cell r="H1081">
            <v>2000</v>
          </cell>
          <cell r="I1081">
            <v>2000</v>
          </cell>
          <cell r="J1081">
            <v>0</v>
          </cell>
          <cell r="K1081">
            <v>2000</v>
          </cell>
          <cell r="L1081" t="str">
            <v>NIKE</v>
          </cell>
          <cell r="M1081" t="str">
            <v>Forecast</v>
          </cell>
          <cell r="N1081" t="str">
            <v>DIE CUT</v>
          </cell>
          <cell r="O1081">
            <v>1</v>
          </cell>
          <cell r="P1081">
            <v>46105</v>
          </cell>
          <cell r="Q1081">
            <v>46133</v>
          </cell>
          <cell r="R1081">
            <v>46130</v>
          </cell>
          <cell r="S1081">
            <v>28</v>
          </cell>
          <cell r="T1081">
            <v>4</v>
          </cell>
          <cell r="U1081">
            <v>35</v>
          </cell>
          <cell r="V1081">
            <v>58</v>
          </cell>
          <cell r="W1081" t="str">
            <v>0.085D</v>
          </cell>
          <cell r="X1081" t="str">
            <v>4-2026</v>
          </cell>
          <cell r="Y1081" t="str">
            <v>Week 16</v>
          </cell>
          <cell r="Z1081">
            <v>46125</v>
          </cell>
          <cell r="AA1081">
            <v>140</v>
          </cell>
          <cell r="AB1081">
            <v>2.8570000000000002E-2</v>
          </cell>
        </row>
        <row r="1082">
          <cell r="A1082" t="str">
            <v>F-2026-03-431</v>
          </cell>
          <cell r="B1082"/>
          <cell r="C1082" t="str">
            <v>FPRO-260324-0002</v>
          </cell>
          <cell r="D1082" t="str">
            <v>Firm plan 24.3</v>
          </cell>
          <cell r="E1082" t="str">
            <v>BDB-000162</v>
          </cell>
          <cell r="F1082" t="str">
            <v>PVN-001566</v>
          </cell>
          <cell r="G1082" t="str">
            <v>OrthoLite Ultra-Nike SEEDPEARL/12-0703TPX 0.085D 25+/-4 Asker C 1.1M 2M 4mm</v>
          </cell>
          <cell r="H1082">
            <v>2000</v>
          </cell>
          <cell r="I1082">
            <v>2000</v>
          </cell>
          <cell r="J1082">
            <v>0</v>
          </cell>
          <cell r="K1082">
            <v>2000</v>
          </cell>
          <cell r="L1082" t="str">
            <v>NIKE</v>
          </cell>
          <cell r="M1082" t="str">
            <v>Forecast</v>
          </cell>
          <cell r="N1082" t="str">
            <v>DIE CUT</v>
          </cell>
          <cell r="O1082">
            <v>1</v>
          </cell>
          <cell r="P1082">
            <v>46105</v>
          </cell>
          <cell r="Q1082">
            <v>46146</v>
          </cell>
          <cell r="R1082">
            <v>46143</v>
          </cell>
          <cell r="S1082">
            <v>41</v>
          </cell>
          <cell r="T1082">
            <v>4</v>
          </cell>
          <cell r="U1082">
            <v>35</v>
          </cell>
          <cell r="V1082">
            <v>58</v>
          </cell>
          <cell r="W1082" t="str">
            <v>0.085D</v>
          </cell>
          <cell r="X1082" t="str">
            <v>5-2026</v>
          </cell>
          <cell r="Y1082" t="str">
            <v>Week 17</v>
          </cell>
          <cell r="Z1082">
            <v>46132</v>
          </cell>
          <cell r="AA1082">
            <v>140</v>
          </cell>
          <cell r="AB1082">
            <v>2.8570000000000002E-2</v>
          </cell>
        </row>
        <row r="1083">
          <cell r="A1083" t="str">
            <v>F-2026-03-432</v>
          </cell>
          <cell r="B1083"/>
          <cell r="C1083" t="str">
            <v>FPRO-260324-0003</v>
          </cell>
          <cell r="D1083" t="str">
            <v>Firm plan 24.3</v>
          </cell>
          <cell r="E1083" t="str">
            <v>BDB-000162</v>
          </cell>
          <cell r="F1083" t="str">
            <v>PVN-001566</v>
          </cell>
          <cell r="G1083" t="str">
            <v>OrthoLite Ultra-Nike SEEDPEARL/12-0703TPX 0.085D 25+/-4 Asker C 1.1M 2M 4mm</v>
          </cell>
          <cell r="H1083">
            <v>2000</v>
          </cell>
          <cell r="I1083">
            <v>2000</v>
          </cell>
          <cell r="J1083">
            <v>0</v>
          </cell>
          <cell r="K1083">
            <v>2000</v>
          </cell>
          <cell r="L1083" t="str">
            <v>NIKE</v>
          </cell>
          <cell r="M1083" t="str">
            <v>Forecast</v>
          </cell>
          <cell r="N1083" t="str">
            <v>DIE CUT</v>
          </cell>
          <cell r="O1083">
            <v>1</v>
          </cell>
          <cell r="P1083">
            <v>46105</v>
          </cell>
          <cell r="Q1083">
            <v>46175</v>
          </cell>
          <cell r="R1083">
            <v>46172</v>
          </cell>
          <cell r="S1083">
            <v>70</v>
          </cell>
          <cell r="T1083">
            <v>4</v>
          </cell>
          <cell r="U1083">
            <v>35</v>
          </cell>
          <cell r="V1083">
            <v>58</v>
          </cell>
          <cell r="W1083" t="str">
            <v>0.085D</v>
          </cell>
          <cell r="X1083" t="str">
            <v>6-2026</v>
          </cell>
          <cell r="Y1083" t="str">
            <v>Week 22</v>
          </cell>
          <cell r="Z1083">
            <v>46167</v>
          </cell>
          <cell r="AA1083">
            <v>139</v>
          </cell>
          <cell r="AB1083">
            <v>2.8570000000000002E-2</v>
          </cell>
        </row>
        <row r="1084">
          <cell r="A1084" t="str">
            <v>F-2026-03-433</v>
          </cell>
          <cell r="B1084"/>
          <cell r="C1084" t="str">
            <v>FPRO-260324-0004</v>
          </cell>
          <cell r="D1084" t="str">
            <v>Firm plan 24.3</v>
          </cell>
          <cell r="E1084" t="str">
            <v>BDB-000162</v>
          </cell>
          <cell r="F1084" t="str">
            <v>PVN-001566</v>
          </cell>
          <cell r="G1084" t="str">
            <v>OrthoLite Ultra-Nike SEEDPEARL/12-0703TPX 0.085D 25+/-4 Asker C 1.1M 2M 4mm</v>
          </cell>
          <cell r="H1084">
            <v>2000</v>
          </cell>
          <cell r="I1084">
            <v>2000</v>
          </cell>
          <cell r="J1084">
            <v>0</v>
          </cell>
          <cell r="K1084">
            <v>2000</v>
          </cell>
          <cell r="L1084" t="str">
            <v>NIKE</v>
          </cell>
          <cell r="M1084" t="str">
            <v>Forecast</v>
          </cell>
          <cell r="N1084" t="str">
            <v>DIE CUT</v>
          </cell>
          <cell r="O1084">
            <v>1</v>
          </cell>
          <cell r="P1084">
            <v>46105</v>
          </cell>
          <cell r="Q1084">
            <v>46164</v>
          </cell>
          <cell r="R1084">
            <v>46161</v>
          </cell>
          <cell r="S1084">
            <v>59</v>
          </cell>
          <cell r="T1084">
            <v>4</v>
          </cell>
          <cell r="U1084">
            <v>35</v>
          </cell>
          <cell r="V1084">
            <v>58</v>
          </cell>
          <cell r="W1084" t="str">
            <v>0.085D</v>
          </cell>
          <cell r="X1084" t="str">
            <v>5-2026</v>
          </cell>
          <cell r="Y1084" t="str">
            <v>Week 21</v>
          </cell>
          <cell r="Z1084">
            <v>46160</v>
          </cell>
          <cell r="AA1084">
            <v>139</v>
          </cell>
          <cell r="AB1084">
            <v>2.8570000000000002E-2</v>
          </cell>
        </row>
        <row r="1085">
          <cell r="A1085" t="str">
            <v>F-2026-03-434-1</v>
          </cell>
          <cell r="B1085"/>
          <cell r="C1085" t="str">
            <v>FPRO-260324-0005</v>
          </cell>
          <cell r="D1085" t="str">
            <v>Firm plan 24.3</v>
          </cell>
          <cell r="E1085" t="str">
            <v>BDB-000162</v>
          </cell>
          <cell r="F1085" t="str">
            <v>PVN-001566</v>
          </cell>
          <cell r="G1085" t="str">
            <v>OrthoLite Ultra-Nike SEEDPEARL/12-0703TPX 0.085D 25+/-4 Asker C 1.1M 2M 4mm</v>
          </cell>
          <cell r="H1085">
            <v>1000</v>
          </cell>
          <cell r="I1085">
            <v>500</v>
          </cell>
          <cell r="J1085">
            <v>0</v>
          </cell>
          <cell r="K1085">
            <v>500</v>
          </cell>
          <cell r="L1085" t="str">
            <v>NIKE</v>
          </cell>
          <cell r="M1085" t="str">
            <v>Forecast</v>
          </cell>
          <cell r="N1085" t="str">
            <v>DIE CUT</v>
          </cell>
          <cell r="O1085" t="str">
            <v>1-SLT</v>
          </cell>
          <cell r="P1085">
            <v>46105</v>
          </cell>
          <cell r="Q1085">
            <v>46170</v>
          </cell>
          <cell r="R1085">
            <v>46167</v>
          </cell>
          <cell r="S1085">
            <v>65</v>
          </cell>
          <cell r="T1085">
            <v>4</v>
          </cell>
          <cell r="U1085">
            <v>35</v>
          </cell>
          <cell r="V1085">
            <v>15</v>
          </cell>
          <cell r="W1085" t="str">
            <v>0.085D</v>
          </cell>
          <cell r="X1085" t="str">
            <v>5-2026</v>
          </cell>
          <cell r="Y1085" t="str">
            <v>Week 21</v>
          </cell>
          <cell r="Z1085">
            <v>46160</v>
          </cell>
          <cell r="AA1085">
            <v>139</v>
          </cell>
          <cell r="AB1085">
            <v>2.8570000000000002E-2</v>
          </cell>
        </row>
        <row r="1086">
          <cell r="A1086" t="str">
            <v>F-2026-03-434-3</v>
          </cell>
          <cell r="B1086"/>
          <cell r="C1086" t="str">
            <v>FPRO-260324-0005</v>
          </cell>
          <cell r="D1086" t="str">
            <v>Firm plan 24.3</v>
          </cell>
          <cell r="E1086" t="str">
            <v>BDB-000162</v>
          </cell>
          <cell r="F1086" t="str">
            <v>PVN-001566</v>
          </cell>
          <cell r="G1086" t="str">
            <v>OrthoLite Ultra-Nike SEEDPEARL/12-0703TPX 0.085D 25+/-4 Asker C 1.1M 2M 4mm</v>
          </cell>
          <cell r="H1086">
            <v>1000</v>
          </cell>
          <cell r="I1086">
            <v>500</v>
          </cell>
          <cell r="J1086">
            <v>0</v>
          </cell>
          <cell r="K1086">
            <v>500</v>
          </cell>
          <cell r="L1086" t="str">
            <v>NIKE</v>
          </cell>
          <cell r="M1086" t="str">
            <v>Forecast</v>
          </cell>
          <cell r="N1086" t="str">
            <v>DIE CUT</v>
          </cell>
          <cell r="O1086" t="str">
            <v>1-SLT</v>
          </cell>
          <cell r="P1086">
            <v>46105</v>
          </cell>
          <cell r="Q1086">
            <v>46177</v>
          </cell>
          <cell r="R1086">
            <v>46174</v>
          </cell>
          <cell r="S1086">
            <v>72</v>
          </cell>
          <cell r="T1086">
            <v>4</v>
          </cell>
          <cell r="U1086">
            <v>35</v>
          </cell>
          <cell r="V1086">
            <v>15</v>
          </cell>
          <cell r="W1086" t="str">
            <v>0.085D</v>
          </cell>
          <cell r="X1086" t="str">
            <v>6-2026</v>
          </cell>
          <cell r="Y1086" t="str">
            <v>Week 22</v>
          </cell>
          <cell r="Z1086">
            <v>46167</v>
          </cell>
          <cell r="AA1086">
            <v>103</v>
          </cell>
          <cell r="AB1086">
            <v>2.8570000000000002E-2</v>
          </cell>
        </row>
        <row r="1087">
          <cell r="A1087" t="str">
            <v>F-2026-03-434-2-1</v>
          </cell>
          <cell r="B1087"/>
          <cell r="C1087" t="str">
            <v>FPRO-260507-0005</v>
          </cell>
          <cell r="D1087" t="str">
            <v>Firm plan 24.3</v>
          </cell>
          <cell r="E1087" t="str">
            <v>BDB-000162</v>
          </cell>
          <cell r="F1087" t="str">
            <v>PVN-001566</v>
          </cell>
          <cell r="G1087" t="str">
            <v>OrthoLite Ultra-Nike SEEDPEARL/12-0703TPX 0.085D 25+/-4 Asker C 1.1M 2M 4mm</v>
          </cell>
          <cell r="H1087">
            <v>1000</v>
          </cell>
          <cell r="I1087">
            <v>500</v>
          </cell>
          <cell r="J1087">
            <v>0</v>
          </cell>
          <cell r="K1087">
            <v>500</v>
          </cell>
          <cell r="L1087" t="str">
            <v>NIKE</v>
          </cell>
          <cell r="M1087" t="str">
            <v>Forecast</v>
          </cell>
          <cell r="N1087" t="str">
            <v>DIE CUT</v>
          </cell>
          <cell r="O1087" t="str">
            <v>1-SLT</v>
          </cell>
          <cell r="P1087">
            <v>46105</v>
          </cell>
          <cell r="Q1087">
            <v>46184</v>
          </cell>
          <cell r="R1087">
            <v>46181</v>
          </cell>
          <cell r="S1087">
            <v>79</v>
          </cell>
          <cell r="T1087">
            <v>4</v>
          </cell>
          <cell r="U1087">
            <v>35</v>
          </cell>
          <cell r="V1087">
            <v>15</v>
          </cell>
          <cell r="W1087" t="str">
            <v>0.085D</v>
          </cell>
          <cell r="X1087" t="str">
            <v>6-2026</v>
          </cell>
          <cell r="Y1087" t="str">
            <v>Week 23</v>
          </cell>
          <cell r="Z1087">
            <v>46174</v>
          </cell>
          <cell r="AA1087">
            <v>103</v>
          </cell>
          <cell r="AB1087">
            <v>2.8570000000000002E-2</v>
          </cell>
        </row>
        <row r="1088">
          <cell r="A1088" t="str">
            <v>F-2026-03-434-2-2</v>
          </cell>
          <cell r="B1088"/>
          <cell r="C1088" t="str">
            <v>FPRO-260507-0005</v>
          </cell>
          <cell r="D1088" t="str">
            <v>Firm plan 24.3</v>
          </cell>
          <cell r="E1088" t="str">
            <v>BDB-000162</v>
          </cell>
          <cell r="F1088" t="str">
            <v>PVN-001566</v>
          </cell>
          <cell r="G1088" t="str">
            <v>OrthoLite Ultra-Nike SEEDPEARL/12-0703TPX 0.085D 25+/-4 Asker C 1.1M 2M 4mm</v>
          </cell>
          <cell r="H1088">
            <v>1000</v>
          </cell>
          <cell r="I1088">
            <v>500</v>
          </cell>
          <cell r="J1088">
            <v>0</v>
          </cell>
          <cell r="K1088">
            <v>500</v>
          </cell>
          <cell r="L1088" t="str">
            <v>NIKE</v>
          </cell>
          <cell r="M1088" t="str">
            <v>Forecast</v>
          </cell>
          <cell r="N1088" t="str">
            <v>DIE CUT</v>
          </cell>
          <cell r="O1088" t="str">
            <v>1-SLT</v>
          </cell>
          <cell r="P1088">
            <v>46105</v>
          </cell>
          <cell r="Q1088">
            <v>46191</v>
          </cell>
          <cell r="R1088">
            <v>46188</v>
          </cell>
          <cell r="S1088">
            <v>86</v>
          </cell>
          <cell r="T1088">
            <v>4</v>
          </cell>
          <cell r="U1088">
            <v>35</v>
          </cell>
          <cell r="V1088">
            <v>15</v>
          </cell>
          <cell r="W1088" t="str">
            <v>0.085D</v>
          </cell>
          <cell r="X1088" t="str">
            <v>6-2026</v>
          </cell>
          <cell r="Y1088" t="str">
            <v>Week 24</v>
          </cell>
          <cell r="Z1088">
            <v>46181</v>
          </cell>
          <cell r="AA1088">
            <v>103</v>
          </cell>
          <cell r="AB1088">
            <v>2.8570000000000002E-2</v>
          </cell>
        </row>
        <row r="1089">
          <cell r="A1089" t="str">
            <v>F-2026-03-435</v>
          </cell>
          <cell r="B1089"/>
          <cell r="C1089" t="str">
            <v>FPRO-260324-0006</v>
          </cell>
          <cell r="D1089" t="str">
            <v>Firm plan 24.3</v>
          </cell>
          <cell r="E1089" t="str">
            <v>BDB-000162</v>
          </cell>
          <cell r="F1089" t="str">
            <v>PVN-001566</v>
          </cell>
          <cell r="G1089" t="str">
            <v>OrthoLite Ultra-Nike SEEDPEARL/12-0703TPX 0.085D 25+/-4 Asker C 1.1M 2M 4mm</v>
          </cell>
          <cell r="H1089">
            <v>2000</v>
          </cell>
          <cell r="I1089">
            <v>2000</v>
          </cell>
          <cell r="J1089">
            <v>0</v>
          </cell>
          <cell r="K1089">
            <v>2000</v>
          </cell>
          <cell r="L1089" t="str">
            <v>NIKE</v>
          </cell>
          <cell r="M1089" t="str">
            <v>Forecast</v>
          </cell>
          <cell r="N1089" t="str">
            <v>DIE CUT</v>
          </cell>
          <cell r="O1089">
            <v>1</v>
          </cell>
          <cell r="P1089">
            <v>46105</v>
          </cell>
          <cell r="Q1089">
            <v>46133</v>
          </cell>
          <cell r="R1089">
            <v>46130</v>
          </cell>
          <cell r="S1089">
            <v>28</v>
          </cell>
          <cell r="T1089">
            <v>4</v>
          </cell>
          <cell r="U1089">
            <v>35</v>
          </cell>
          <cell r="V1089">
            <v>58</v>
          </cell>
          <cell r="W1089" t="str">
            <v>0.085D</v>
          </cell>
          <cell r="X1089" t="str">
            <v>4-2026</v>
          </cell>
          <cell r="Y1089" t="str">
            <v>Week 16</v>
          </cell>
          <cell r="Z1089">
            <v>46125</v>
          </cell>
          <cell r="AA1089">
            <v>103</v>
          </cell>
          <cell r="AB1089">
            <v>2.8570000000000002E-2</v>
          </cell>
        </row>
        <row r="1090">
          <cell r="A1090" t="str">
            <v>F-2026-03-436</v>
          </cell>
          <cell r="B1090"/>
          <cell r="C1090" t="str">
            <v>FPRO-260324-0007</v>
          </cell>
          <cell r="D1090" t="str">
            <v>Firm plan 24.3</v>
          </cell>
          <cell r="E1090" t="str">
            <v>BDB-000162</v>
          </cell>
          <cell r="F1090" t="str">
            <v>PVN-001566</v>
          </cell>
          <cell r="G1090" t="str">
            <v>OrthoLite Ultra-Nike SEEDPEARL/12-0703TPX 0.085D 25+/-4 Asker C 1.1M 2M 4mm</v>
          </cell>
          <cell r="H1090">
            <v>2000</v>
          </cell>
          <cell r="I1090">
            <v>2000</v>
          </cell>
          <cell r="J1090">
            <v>0</v>
          </cell>
          <cell r="K1090">
            <v>2000</v>
          </cell>
          <cell r="L1090" t="str">
            <v>NIKE</v>
          </cell>
          <cell r="M1090" t="str">
            <v>Forecast</v>
          </cell>
          <cell r="N1090" t="str">
            <v>DIE CUT</v>
          </cell>
          <cell r="O1090">
            <v>1</v>
          </cell>
          <cell r="P1090">
            <v>46105</v>
          </cell>
          <cell r="Q1090">
            <v>46149</v>
          </cell>
          <cell r="R1090">
            <v>46146</v>
          </cell>
          <cell r="S1090">
            <v>44</v>
          </cell>
          <cell r="T1090">
            <v>4</v>
          </cell>
          <cell r="U1090">
            <v>35</v>
          </cell>
          <cell r="V1090">
            <v>58</v>
          </cell>
          <cell r="W1090" t="str">
            <v>0.085D</v>
          </cell>
          <cell r="X1090" t="str">
            <v>5-2026</v>
          </cell>
          <cell r="Y1090" t="str">
            <v>Week 18</v>
          </cell>
          <cell r="Z1090">
            <v>46139</v>
          </cell>
          <cell r="AA1090">
            <v>103</v>
          </cell>
          <cell r="AB1090">
            <v>2.8570000000000002E-2</v>
          </cell>
        </row>
        <row r="1091">
          <cell r="A1091" t="str">
            <v>F-2026-03-437</v>
          </cell>
          <cell r="B1091"/>
          <cell r="C1091" t="str">
            <v>FPRO-260324-0008</v>
          </cell>
          <cell r="D1091" t="str">
            <v>Firm plan 24.3</v>
          </cell>
          <cell r="E1091" t="str">
            <v>BDB-000162</v>
          </cell>
          <cell r="F1091" t="str">
            <v>PVN-001566</v>
          </cell>
          <cell r="G1091" t="str">
            <v>OrthoLite Ultra-Nike SEEDPEARL/12-0703TPX 0.085D 25+/-4 Asker C 1.1M 2M 4mm</v>
          </cell>
          <cell r="H1091">
            <v>2000</v>
          </cell>
          <cell r="I1091">
            <v>2000</v>
          </cell>
          <cell r="J1091">
            <v>0</v>
          </cell>
          <cell r="K1091">
            <v>2000</v>
          </cell>
          <cell r="L1091" t="str">
            <v>NIKE</v>
          </cell>
          <cell r="M1091" t="str">
            <v>Forecast</v>
          </cell>
          <cell r="N1091" t="str">
            <v>DIE CUT</v>
          </cell>
          <cell r="O1091">
            <v>1</v>
          </cell>
          <cell r="P1091">
            <v>46105</v>
          </cell>
          <cell r="Q1091">
            <v>46167</v>
          </cell>
          <cell r="R1091">
            <v>46164</v>
          </cell>
          <cell r="S1091">
            <v>62</v>
          </cell>
          <cell r="T1091">
            <v>4</v>
          </cell>
          <cell r="U1091">
            <v>35</v>
          </cell>
          <cell r="V1091">
            <v>58</v>
          </cell>
          <cell r="W1091" t="str">
            <v>0.085D</v>
          </cell>
          <cell r="X1091" t="str">
            <v>5-2026</v>
          </cell>
          <cell r="Y1091" t="str">
            <v>Week 21</v>
          </cell>
          <cell r="Z1091">
            <v>46160</v>
          </cell>
          <cell r="AA1091">
            <v>103</v>
          </cell>
          <cell r="AB1091">
            <v>2.8570000000000002E-2</v>
          </cell>
        </row>
        <row r="1092">
          <cell r="A1092" t="str">
            <v>F-2026-03-438</v>
          </cell>
          <cell r="B1092"/>
          <cell r="C1092" t="str">
            <v>FPRO-260324-0009</v>
          </cell>
          <cell r="D1092" t="str">
            <v>Firm plan 24.3</v>
          </cell>
          <cell r="E1092" t="str">
            <v>BDB-000162</v>
          </cell>
          <cell r="F1092" t="str">
            <v>PVN-001566</v>
          </cell>
          <cell r="G1092" t="str">
            <v>OrthoLite Ultra-Nike SEEDPEARL/12-0703TPX 0.085D 25+/-4 Asker C 1.1M 2M 4mm</v>
          </cell>
          <cell r="H1092">
            <v>600</v>
          </cell>
          <cell r="I1092">
            <v>600</v>
          </cell>
          <cell r="J1092">
            <v>0</v>
          </cell>
          <cell r="K1092">
            <v>600</v>
          </cell>
          <cell r="L1092" t="str">
            <v>NIKE</v>
          </cell>
          <cell r="M1092" t="str">
            <v>Forecast</v>
          </cell>
          <cell r="N1092" t="str">
            <v>DIE CUT</v>
          </cell>
          <cell r="O1092" t="str">
            <v>1-SLT</v>
          </cell>
          <cell r="P1092">
            <v>46105</v>
          </cell>
          <cell r="Q1092">
            <v>46146</v>
          </cell>
          <cell r="R1092">
            <v>46143</v>
          </cell>
          <cell r="S1092">
            <v>41</v>
          </cell>
          <cell r="T1092">
            <v>4</v>
          </cell>
          <cell r="U1092">
            <v>35</v>
          </cell>
          <cell r="V1092">
            <v>18</v>
          </cell>
          <cell r="W1092" t="str">
            <v>0.085D</v>
          </cell>
          <cell r="X1092" t="str">
            <v>5-2026</v>
          </cell>
          <cell r="Y1092" t="str">
            <v>Week 17</v>
          </cell>
          <cell r="Z1092">
            <v>46132</v>
          </cell>
          <cell r="AA1092">
            <v>103</v>
          </cell>
          <cell r="AB1092">
            <v>2.8570000000000002E-2</v>
          </cell>
        </row>
        <row r="1093">
          <cell r="A1093" t="str">
            <v>F-2026-03-439</v>
          </cell>
          <cell r="B1093"/>
          <cell r="C1093" t="str">
            <v>FPRO-260324-0011</v>
          </cell>
          <cell r="D1093" t="str">
            <v>Firm plan 24.3</v>
          </cell>
          <cell r="E1093" t="str">
            <v>BDB-000175</v>
          </cell>
          <cell r="F1093" t="str">
            <v>PVN-002966</v>
          </cell>
          <cell r="G1093" t="str">
            <v>OrthoLite Ultra-Hybrid-Nike SEEDPEARL/12-0703TPX Hybrid 0.085D 25+/-4 Asker C 1.1M 2M 4mm</v>
          </cell>
          <cell r="H1093">
            <v>3650</v>
          </cell>
          <cell r="I1093">
            <v>3650</v>
          </cell>
          <cell r="J1093">
            <v>0</v>
          </cell>
          <cell r="K1093">
            <v>3650</v>
          </cell>
          <cell r="L1093" t="str">
            <v>NIKE</v>
          </cell>
          <cell r="M1093" t="str">
            <v>Forecast</v>
          </cell>
          <cell r="N1093" t="str">
            <v>DIE CUT</v>
          </cell>
          <cell r="O1093">
            <v>1</v>
          </cell>
          <cell r="P1093">
            <v>46105</v>
          </cell>
          <cell r="Q1093">
            <v>46181</v>
          </cell>
          <cell r="R1093">
            <v>46178</v>
          </cell>
          <cell r="S1093">
            <v>76</v>
          </cell>
          <cell r="T1093">
            <v>4</v>
          </cell>
          <cell r="U1093">
            <v>35</v>
          </cell>
          <cell r="V1093">
            <v>105</v>
          </cell>
          <cell r="W1093" t="str">
            <v>0.085D</v>
          </cell>
          <cell r="X1093" t="str">
            <v>6-2026</v>
          </cell>
          <cell r="Y1093" t="str">
            <v>Week 23</v>
          </cell>
          <cell r="Z1093">
            <v>46174</v>
          </cell>
          <cell r="AA1093">
            <v>65</v>
          </cell>
          <cell r="AB1093">
            <v>2.8570000000000002E-2</v>
          </cell>
        </row>
        <row r="1094">
          <cell r="A1094" t="str">
            <v>F-2026-03-440</v>
          </cell>
          <cell r="B1094"/>
          <cell r="C1094" t="str">
            <v>FPRO-260324-0012</v>
          </cell>
          <cell r="D1094" t="str">
            <v>Firm plan 24.3</v>
          </cell>
          <cell r="E1094" t="str">
            <v>BDB-000175</v>
          </cell>
          <cell r="F1094" t="str">
            <v>PVN-002966</v>
          </cell>
          <cell r="G1094" t="str">
            <v>OrthoLite Ultra-Hybrid-Nike SEEDPEARL/12-0703TPX Hybrid 0.085D 25+/-4 Asker C 1.1M 2M 4mm</v>
          </cell>
          <cell r="H1094">
            <v>3500</v>
          </cell>
          <cell r="I1094">
            <v>3500</v>
          </cell>
          <cell r="J1094">
            <v>0</v>
          </cell>
          <cell r="K1094">
            <v>3500</v>
          </cell>
          <cell r="L1094" t="str">
            <v>NIKE</v>
          </cell>
          <cell r="M1094" t="str">
            <v>Forecast</v>
          </cell>
          <cell r="N1094" t="str">
            <v>DIE CUT</v>
          </cell>
          <cell r="O1094">
            <v>1</v>
          </cell>
          <cell r="P1094">
            <v>46105</v>
          </cell>
          <cell r="Q1094">
            <v>46151</v>
          </cell>
          <cell r="R1094">
            <v>46148</v>
          </cell>
          <cell r="S1094">
            <v>46</v>
          </cell>
          <cell r="T1094">
            <v>4</v>
          </cell>
          <cell r="U1094">
            <v>35</v>
          </cell>
          <cell r="V1094">
            <v>100</v>
          </cell>
          <cell r="W1094" t="str">
            <v>0.085D</v>
          </cell>
          <cell r="X1094" t="str">
            <v>5-2026</v>
          </cell>
          <cell r="Y1094" t="str">
            <v>Week 18</v>
          </cell>
          <cell r="Z1094">
            <v>46139</v>
          </cell>
          <cell r="AA1094">
            <v>65</v>
          </cell>
          <cell r="AB1094">
            <v>2.8570000000000002E-2</v>
          </cell>
        </row>
        <row r="1095">
          <cell r="A1095" t="str">
            <v>F-2026-03-441</v>
          </cell>
          <cell r="B1095"/>
          <cell r="C1095" t="str">
            <v>FPRO-260324-0013</v>
          </cell>
          <cell r="D1095" t="str">
            <v>Firm plan 24.3</v>
          </cell>
          <cell r="E1095" t="str">
            <v>BDB-000175</v>
          </cell>
          <cell r="F1095" t="str">
            <v>PVN-002966</v>
          </cell>
          <cell r="G1095" t="str">
            <v>OrthoLite Ultra-Hybrid-Nike SEEDPEARL/12-0703TPX Hybrid 0.085D 25+/-4 Asker C 1.1M 2M 4mm</v>
          </cell>
          <cell r="H1095">
            <v>3500</v>
          </cell>
          <cell r="I1095">
            <v>3500</v>
          </cell>
          <cell r="J1095">
            <v>0</v>
          </cell>
          <cell r="K1095">
            <v>3500</v>
          </cell>
          <cell r="L1095" t="str">
            <v>NIKE</v>
          </cell>
          <cell r="M1095" t="str">
            <v>Forecast</v>
          </cell>
          <cell r="N1095" t="str">
            <v>DIE CUT</v>
          </cell>
          <cell r="O1095">
            <v>1</v>
          </cell>
          <cell r="P1095">
            <v>46105</v>
          </cell>
          <cell r="Q1095">
            <v>46160</v>
          </cell>
          <cell r="R1095">
            <v>46157</v>
          </cell>
          <cell r="S1095">
            <v>55</v>
          </cell>
          <cell r="T1095">
            <v>4</v>
          </cell>
          <cell r="U1095">
            <v>35</v>
          </cell>
          <cell r="V1095">
            <v>100</v>
          </cell>
          <cell r="W1095" t="str">
            <v>0.085D</v>
          </cell>
          <cell r="X1095" t="str">
            <v>5-2026</v>
          </cell>
          <cell r="Y1095" t="str">
            <v>Week 20</v>
          </cell>
          <cell r="Z1095">
            <v>46153</v>
          </cell>
          <cell r="AA1095">
            <v>140</v>
          </cell>
          <cell r="AB1095">
            <v>2.8570000000000002E-2</v>
          </cell>
        </row>
        <row r="1096">
          <cell r="A1096" t="str">
            <v>F-2026-03-442</v>
          </cell>
          <cell r="B1096"/>
          <cell r="C1096" t="str">
            <v>FPRO-260324-0014</v>
          </cell>
          <cell r="D1096" t="str">
            <v>Firm plan 24.3</v>
          </cell>
          <cell r="E1096" t="str">
            <v>BDB-000175</v>
          </cell>
          <cell r="F1096" t="str">
            <v>PVN-002966</v>
          </cell>
          <cell r="G1096" t="str">
            <v>OrthoLite Ultra-Hybrid-Nike SEEDPEARL/12-0703TPX Hybrid 0.085D 25+/-4 Asker C 1.1M 2M 4mm</v>
          </cell>
          <cell r="H1096">
            <v>3500</v>
          </cell>
          <cell r="I1096">
            <v>3500</v>
          </cell>
          <cell r="J1096">
            <v>0</v>
          </cell>
          <cell r="K1096">
            <v>3500</v>
          </cell>
          <cell r="L1096" t="str">
            <v>NIKE</v>
          </cell>
          <cell r="M1096" t="str">
            <v>Forecast</v>
          </cell>
          <cell r="N1096" t="str">
            <v>DIE CUT</v>
          </cell>
          <cell r="O1096">
            <v>1</v>
          </cell>
          <cell r="P1096">
            <v>46105</v>
          </cell>
          <cell r="Q1096">
            <v>46170</v>
          </cell>
          <cell r="R1096">
            <v>46167</v>
          </cell>
          <cell r="S1096">
            <v>65</v>
          </cell>
          <cell r="T1096">
            <v>4</v>
          </cell>
          <cell r="U1096">
            <v>35</v>
          </cell>
          <cell r="V1096">
            <v>100</v>
          </cell>
          <cell r="W1096" t="str">
            <v>0.085D</v>
          </cell>
          <cell r="X1096" t="str">
            <v>5-2026</v>
          </cell>
          <cell r="Y1096" t="str">
            <v>Week 21</v>
          </cell>
          <cell r="Z1096">
            <v>46160</v>
          </cell>
          <cell r="AA1096">
            <v>140</v>
          </cell>
          <cell r="AB1096">
            <v>2.8570000000000002E-2</v>
          </cell>
        </row>
        <row r="1097">
          <cell r="A1097" t="str">
            <v>F-2026-03-443</v>
          </cell>
          <cell r="B1097"/>
          <cell r="C1097" t="str">
            <v>FPRO-260324-0015</v>
          </cell>
          <cell r="D1097" t="str">
            <v>Firm plan 24.3</v>
          </cell>
          <cell r="E1097" t="str">
            <v>BDB-000175</v>
          </cell>
          <cell r="F1097" t="str">
            <v>PVN-002966</v>
          </cell>
          <cell r="G1097" t="str">
            <v>OrthoLite Ultra-Hybrid-Nike SEEDPEARL/12-0703TPX Hybrid 0.085D 25+/-4 Asker C 1.1M 2M 4mm</v>
          </cell>
          <cell r="H1097">
            <v>3500</v>
          </cell>
          <cell r="I1097">
            <v>3500</v>
          </cell>
          <cell r="J1097">
            <v>0</v>
          </cell>
          <cell r="K1097">
            <v>3500</v>
          </cell>
          <cell r="L1097" t="str">
            <v>NIKE</v>
          </cell>
          <cell r="M1097" t="str">
            <v>Forecast</v>
          </cell>
          <cell r="N1097" t="str">
            <v>DIE CUT</v>
          </cell>
          <cell r="O1097">
            <v>1</v>
          </cell>
          <cell r="P1097">
            <v>46105</v>
          </cell>
          <cell r="Q1097">
            <v>46177</v>
          </cell>
          <cell r="R1097">
            <v>46174</v>
          </cell>
          <cell r="S1097">
            <v>72</v>
          </cell>
          <cell r="T1097">
            <v>4</v>
          </cell>
          <cell r="U1097">
            <v>35</v>
          </cell>
          <cell r="V1097">
            <v>100</v>
          </cell>
          <cell r="W1097" t="str">
            <v>0.085D</v>
          </cell>
          <cell r="X1097" t="str">
            <v>6-2026</v>
          </cell>
          <cell r="Y1097" t="str">
            <v>Week 22</v>
          </cell>
          <cell r="Z1097">
            <v>46167</v>
          </cell>
          <cell r="AA1097">
            <v>103</v>
          </cell>
          <cell r="AB1097">
            <v>2.8570000000000002E-2</v>
          </cell>
        </row>
        <row r="1098">
          <cell r="A1098" t="str">
            <v>F-2026-03-444</v>
          </cell>
          <cell r="B1098"/>
          <cell r="C1098" t="str">
            <v>FPRO-260324-0016</v>
          </cell>
          <cell r="D1098" t="str">
            <v>Firm plan 24.3</v>
          </cell>
          <cell r="E1098" t="str">
            <v>BDB-000125</v>
          </cell>
          <cell r="F1098" t="str">
            <v>PVN-002413</v>
          </cell>
          <cell r="G1098" t="str">
            <v>OrthoLite Regular-Nike AIR BLUE/16-4134TPX 0.11D 25+/-4 Asker C 1.1M 2M 4.2mm</v>
          </cell>
          <cell r="H1098">
            <v>2500</v>
          </cell>
          <cell r="I1098">
            <v>2500</v>
          </cell>
          <cell r="J1098">
            <v>0</v>
          </cell>
          <cell r="K1098">
            <v>2500</v>
          </cell>
          <cell r="L1098" t="str">
            <v>NIKE</v>
          </cell>
          <cell r="M1098" t="str">
            <v>Forecast</v>
          </cell>
          <cell r="N1098" t="str">
            <v>DIE CUT</v>
          </cell>
          <cell r="O1098">
            <v>1</v>
          </cell>
          <cell r="P1098">
            <v>46105</v>
          </cell>
          <cell r="Q1098">
            <v>46126</v>
          </cell>
          <cell r="R1098">
            <v>46123</v>
          </cell>
          <cell r="S1098">
            <v>21</v>
          </cell>
          <cell r="T1098">
            <v>4.2</v>
          </cell>
          <cell r="U1098">
            <v>33</v>
          </cell>
          <cell r="V1098">
            <v>76</v>
          </cell>
          <cell r="W1098" t="str">
            <v>0.11D</v>
          </cell>
          <cell r="X1098" t="str">
            <v>4-2026</v>
          </cell>
          <cell r="Y1098" t="str">
            <v>Week 15</v>
          </cell>
          <cell r="Z1098">
            <v>46118</v>
          </cell>
          <cell r="AA1098">
            <v>103</v>
          </cell>
          <cell r="AB1098">
            <v>3.0300000000000001E-2</v>
          </cell>
        </row>
        <row r="1099">
          <cell r="A1099" t="str">
            <v>F-2026-03-445</v>
          </cell>
          <cell r="B1099"/>
          <cell r="C1099" t="str">
            <v>FPRO-260324-0017</v>
          </cell>
          <cell r="D1099" t="str">
            <v>Firm plan 24.3</v>
          </cell>
          <cell r="E1099" t="str">
            <v>BDB-000125</v>
          </cell>
          <cell r="F1099" t="str">
            <v>PVN-002413</v>
          </cell>
          <cell r="G1099" t="str">
            <v>OrthoLite Regular-Nike AIR BLUE/16-4134TPX 0.11D 25+/-4 Asker C 1.1M 2M 4.2mm</v>
          </cell>
          <cell r="H1099">
            <v>2500</v>
          </cell>
          <cell r="I1099">
            <v>2500</v>
          </cell>
          <cell r="J1099">
            <v>0</v>
          </cell>
          <cell r="K1099">
            <v>2500</v>
          </cell>
          <cell r="L1099" t="str">
            <v>NIKE</v>
          </cell>
          <cell r="M1099" t="str">
            <v>Forecast</v>
          </cell>
          <cell r="N1099" t="str">
            <v>DIE CUT</v>
          </cell>
          <cell r="O1099">
            <v>1</v>
          </cell>
          <cell r="P1099">
            <v>46105</v>
          </cell>
          <cell r="Q1099">
            <v>46132</v>
          </cell>
          <cell r="R1099">
            <v>46129</v>
          </cell>
          <cell r="S1099">
            <v>27</v>
          </cell>
          <cell r="T1099">
            <v>4.2</v>
          </cell>
          <cell r="U1099">
            <v>33</v>
          </cell>
          <cell r="V1099">
            <v>76</v>
          </cell>
          <cell r="W1099" t="str">
            <v>0.11D</v>
          </cell>
          <cell r="X1099" t="str">
            <v>4-2026</v>
          </cell>
          <cell r="Y1099" t="str">
            <v>Week 16</v>
          </cell>
          <cell r="Z1099">
            <v>46125</v>
          </cell>
          <cell r="AA1099">
            <v>136</v>
          </cell>
          <cell r="AB1099">
            <v>3.0300000000000001E-2</v>
          </cell>
        </row>
        <row r="1100">
          <cell r="A1100" t="str">
            <v>F-2026-03-446</v>
          </cell>
          <cell r="B1100"/>
          <cell r="C1100" t="str">
            <v>FPRO-260324-0018</v>
          </cell>
          <cell r="D1100" t="str">
            <v>Firm plan 24.3</v>
          </cell>
          <cell r="E1100" t="str">
            <v>BDB-000125</v>
          </cell>
          <cell r="F1100" t="str">
            <v>PVN-002413</v>
          </cell>
          <cell r="G1100" t="str">
            <v>OrthoLite Regular-Nike AIR BLUE/16-4134TPX 0.11D 25+/-4 Asker C 1.1M 2M 4.2mm</v>
          </cell>
          <cell r="H1100">
            <v>2500</v>
          </cell>
          <cell r="I1100">
            <v>2500</v>
          </cell>
          <cell r="J1100">
            <v>0</v>
          </cell>
          <cell r="K1100">
            <v>2500</v>
          </cell>
          <cell r="L1100" t="str">
            <v>NIKE</v>
          </cell>
          <cell r="M1100" t="str">
            <v>Forecast</v>
          </cell>
          <cell r="N1100" t="str">
            <v>DIE CUT</v>
          </cell>
          <cell r="O1100" t="str">
            <v>1-SLT</v>
          </cell>
          <cell r="P1100">
            <v>46105</v>
          </cell>
          <cell r="Q1100">
            <v>46167</v>
          </cell>
          <cell r="R1100">
            <v>46164</v>
          </cell>
          <cell r="S1100">
            <v>62</v>
          </cell>
          <cell r="T1100">
            <v>4.2</v>
          </cell>
          <cell r="U1100">
            <v>33</v>
          </cell>
          <cell r="V1100">
            <v>76</v>
          </cell>
          <cell r="W1100" t="str">
            <v>0.11D</v>
          </cell>
          <cell r="X1100" t="str">
            <v>5-2026</v>
          </cell>
          <cell r="Y1100" t="str">
            <v>Week 21</v>
          </cell>
          <cell r="Z1100">
            <v>46160</v>
          </cell>
          <cell r="AA1100">
            <v>136</v>
          </cell>
          <cell r="AB1100">
            <v>3.0300000000000001E-2</v>
          </cell>
        </row>
        <row r="1101">
          <cell r="A1101" t="str">
            <v>F-2026-03-447</v>
          </cell>
          <cell r="B1101"/>
          <cell r="C1101" t="str">
            <v>FPRO-260324-0019</v>
          </cell>
          <cell r="D1101" t="str">
            <v>Firm plan 24.3</v>
          </cell>
          <cell r="E1101" t="str">
            <v>BDB-000125</v>
          </cell>
          <cell r="F1101" t="str">
            <v>PVN-002413</v>
          </cell>
          <cell r="G1101" t="str">
            <v>OrthoLite Regular-Nike AIR BLUE/16-4134TPX 0.11D 25+/-4 Asker C 1.1M 2M 4.2mm</v>
          </cell>
          <cell r="H1101">
            <v>2500</v>
          </cell>
          <cell r="I1101">
            <v>2500</v>
          </cell>
          <cell r="J1101">
            <v>0</v>
          </cell>
          <cell r="K1101">
            <v>2500</v>
          </cell>
          <cell r="L1101" t="str">
            <v>NIKE</v>
          </cell>
          <cell r="M1101" t="str">
            <v>Forecast</v>
          </cell>
          <cell r="N1101" t="str">
            <v>DIE CUT</v>
          </cell>
          <cell r="O1101">
            <v>1</v>
          </cell>
          <cell r="P1101">
            <v>46105</v>
          </cell>
          <cell r="Q1101">
            <v>46160</v>
          </cell>
          <cell r="R1101">
            <v>46157</v>
          </cell>
          <cell r="S1101">
            <v>55</v>
          </cell>
          <cell r="T1101">
            <v>4.2</v>
          </cell>
          <cell r="U1101">
            <v>33</v>
          </cell>
          <cell r="V1101">
            <v>76</v>
          </cell>
          <cell r="W1101" t="str">
            <v>0.11D</v>
          </cell>
          <cell r="X1101" t="str">
            <v>5-2026</v>
          </cell>
          <cell r="Y1101" t="str">
            <v>Week 20</v>
          </cell>
          <cell r="Z1101">
            <v>46153</v>
          </cell>
          <cell r="AA1101">
            <v>136</v>
          </cell>
          <cell r="AB1101">
            <v>3.0300000000000001E-2</v>
          </cell>
        </row>
        <row r="1102">
          <cell r="A1102" t="str">
            <v>F-2026-03-448</v>
          </cell>
          <cell r="B1102"/>
          <cell r="C1102" t="str">
            <v>FPRO-260324-0020</v>
          </cell>
          <cell r="D1102" t="str">
            <v>Firm plan 24.3</v>
          </cell>
          <cell r="E1102" t="str">
            <v>BDB-000125</v>
          </cell>
          <cell r="F1102" t="str">
            <v>PVN-002413</v>
          </cell>
          <cell r="G1102" t="str">
            <v>OrthoLite Regular-Nike AIR BLUE/16-4134TPX 0.11D 25+/-4 Asker C 1.1M 2M 4.2mm</v>
          </cell>
          <cell r="H1102">
            <v>2500</v>
          </cell>
          <cell r="I1102">
            <v>2500</v>
          </cell>
          <cell r="J1102">
            <v>0</v>
          </cell>
          <cell r="K1102">
            <v>2500</v>
          </cell>
          <cell r="L1102" t="str">
            <v>NIKE</v>
          </cell>
          <cell r="M1102" t="str">
            <v>Forecast</v>
          </cell>
          <cell r="N1102" t="str">
            <v>DIE CUT</v>
          </cell>
          <cell r="O1102">
            <v>1</v>
          </cell>
          <cell r="P1102">
            <v>46105</v>
          </cell>
          <cell r="Q1102">
            <v>46165</v>
          </cell>
          <cell r="R1102">
            <v>46162</v>
          </cell>
          <cell r="S1102">
            <v>60</v>
          </cell>
          <cell r="T1102">
            <v>4.2</v>
          </cell>
          <cell r="U1102">
            <v>33</v>
          </cell>
          <cell r="V1102">
            <v>76</v>
          </cell>
          <cell r="W1102" t="str">
            <v>0.11D</v>
          </cell>
          <cell r="X1102" t="str">
            <v>5-2026</v>
          </cell>
          <cell r="Y1102" t="str">
            <v>Week 21</v>
          </cell>
          <cell r="Z1102">
            <v>46160</v>
          </cell>
          <cell r="AA1102">
            <v>3</v>
          </cell>
          <cell r="AB1102">
            <v>3.0300000000000001E-2</v>
          </cell>
        </row>
        <row r="1103">
          <cell r="A1103" t="str">
            <v>F-2026-03-449</v>
          </cell>
          <cell r="B1103"/>
          <cell r="C1103" t="str">
            <v>FPRO-260324-0021</v>
          </cell>
          <cell r="D1103" t="str">
            <v>Firm plan 24.3</v>
          </cell>
          <cell r="E1103" t="str">
            <v>BDB-000125</v>
          </cell>
          <cell r="F1103" t="str">
            <v>PVN-002413</v>
          </cell>
          <cell r="G1103" t="str">
            <v>OrthoLite Regular-Nike AIR BLUE/16-4134TPX 0.11D 25+/-4 Asker C 1.1M 2M 4.2mm</v>
          </cell>
          <cell r="H1103">
            <v>2500</v>
          </cell>
          <cell r="I1103">
            <v>2500</v>
          </cell>
          <cell r="J1103">
            <v>0</v>
          </cell>
          <cell r="K1103">
            <v>2500</v>
          </cell>
          <cell r="L1103" t="str">
            <v>NIKE</v>
          </cell>
          <cell r="M1103" t="str">
            <v>Forecast</v>
          </cell>
          <cell r="N1103" t="str">
            <v>DIE CUT</v>
          </cell>
          <cell r="O1103">
            <v>1</v>
          </cell>
          <cell r="P1103">
            <v>46105</v>
          </cell>
          <cell r="Q1103">
            <v>46150</v>
          </cell>
          <cell r="R1103">
            <v>46147</v>
          </cell>
          <cell r="S1103">
            <v>45</v>
          </cell>
          <cell r="T1103">
            <v>4.2</v>
          </cell>
          <cell r="U1103">
            <v>33</v>
          </cell>
          <cell r="V1103">
            <v>76</v>
          </cell>
          <cell r="W1103" t="str">
            <v>0.11D</v>
          </cell>
          <cell r="X1103" t="str">
            <v>5-2026</v>
          </cell>
          <cell r="Y1103" t="str">
            <v>Week 18</v>
          </cell>
          <cell r="Z1103">
            <v>46139</v>
          </cell>
          <cell r="AA1103">
            <v>8</v>
          </cell>
          <cell r="AB1103">
            <v>3.0300000000000001E-2</v>
          </cell>
        </row>
        <row r="1104">
          <cell r="A1104" t="str">
            <v>F-2026-03-450</v>
          </cell>
          <cell r="B1104"/>
          <cell r="C1104" t="str">
            <v>FPRO-260324-0022</v>
          </cell>
          <cell r="D1104" t="str">
            <v>Firm plan 24.3</v>
          </cell>
          <cell r="E1104" t="str">
            <v>BDB-000125</v>
          </cell>
          <cell r="F1104" t="str">
            <v>PVN-002413</v>
          </cell>
          <cell r="G1104" t="str">
            <v>OrthoLite Regular-Nike AIR BLUE/16-4134TPX 0.11D 25+/-4 Asker C 1.1M 2M 4.2mm</v>
          </cell>
          <cell r="H1104">
            <v>2500</v>
          </cell>
          <cell r="I1104">
            <v>2500</v>
          </cell>
          <cell r="J1104">
            <v>0</v>
          </cell>
          <cell r="K1104">
            <v>2500</v>
          </cell>
          <cell r="L1104" t="str">
            <v>NIKE</v>
          </cell>
          <cell r="M1104" t="str">
            <v>Forecast</v>
          </cell>
          <cell r="N1104" t="str">
            <v>DIE CUT</v>
          </cell>
          <cell r="O1104" t="str">
            <v>1-SLT</v>
          </cell>
          <cell r="P1104">
            <v>46105</v>
          </cell>
          <cell r="Q1104">
            <v>46160</v>
          </cell>
          <cell r="R1104">
            <v>46157</v>
          </cell>
          <cell r="S1104">
            <v>55</v>
          </cell>
          <cell r="T1104">
            <v>4.2</v>
          </cell>
          <cell r="U1104">
            <v>33</v>
          </cell>
          <cell r="V1104">
            <v>76</v>
          </cell>
          <cell r="W1104" t="str">
            <v>0.11D</v>
          </cell>
          <cell r="X1104" t="str">
            <v>5-2026</v>
          </cell>
          <cell r="Y1104" t="str">
            <v>Week 20</v>
          </cell>
          <cell r="Z1104">
            <v>46153</v>
          </cell>
          <cell r="AA1104">
            <v>4</v>
          </cell>
          <cell r="AB1104">
            <v>3.0300000000000001E-2</v>
          </cell>
        </row>
        <row r="1105">
          <cell r="A1105" t="str">
            <v>F-2026-03-451</v>
          </cell>
          <cell r="B1105"/>
          <cell r="C1105" t="str">
            <v>FPRO-260324-0023</v>
          </cell>
          <cell r="D1105" t="str">
            <v>Firm plan 24.3</v>
          </cell>
          <cell r="E1105" t="str">
            <v>BDB-000125</v>
          </cell>
          <cell r="F1105" t="str">
            <v>PVN-002413</v>
          </cell>
          <cell r="G1105" t="str">
            <v>OrthoLite Regular-Nike AIR BLUE/16-4134TPX 0.11D 25+/-4 Asker C 1.1M 2M 4.2mm</v>
          </cell>
          <cell r="H1105">
            <v>800</v>
          </cell>
          <cell r="I1105">
            <v>800</v>
          </cell>
          <cell r="J1105">
            <v>0</v>
          </cell>
          <cell r="K1105">
            <v>800</v>
          </cell>
          <cell r="L1105" t="str">
            <v>NIKE</v>
          </cell>
          <cell r="M1105" t="str">
            <v>Forecast</v>
          </cell>
          <cell r="N1105" t="str">
            <v>DIE CUT</v>
          </cell>
          <cell r="O1105">
            <v>1</v>
          </cell>
          <cell r="P1105">
            <v>46105</v>
          </cell>
          <cell r="Q1105">
            <v>46176</v>
          </cell>
          <cell r="R1105">
            <v>46173</v>
          </cell>
          <cell r="S1105">
            <v>71</v>
          </cell>
          <cell r="T1105">
            <v>4.2</v>
          </cell>
          <cell r="U1105">
            <v>33</v>
          </cell>
          <cell r="V1105">
            <v>25</v>
          </cell>
          <cell r="W1105" t="str">
            <v>0.11D</v>
          </cell>
          <cell r="X1105" t="str">
            <v>6-2026</v>
          </cell>
          <cell r="Y1105" t="str">
            <v>Week 22</v>
          </cell>
          <cell r="Z1105">
            <v>46167</v>
          </cell>
          <cell r="AA1105">
            <v>3</v>
          </cell>
          <cell r="AB1105">
            <v>3.0300000000000001E-2</v>
          </cell>
        </row>
        <row r="1106">
          <cell r="A1106" t="str">
            <v>F-2026-03-452</v>
          </cell>
          <cell r="B1106"/>
          <cell r="C1106" t="str">
            <v>FPRO-260324-0024</v>
          </cell>
          <cell r="D1106" t="str">
            <v>Firm plan 24.3</v>
          </cell>
          <cell r="E1106" t="str">
            <v>BDB-000161</v>
          </cell>
          <cell r="F1106" t="str">
            <v>PVN-001560</v>
          </cell>
          <cell r="G1106" t="str">
            <v>OrthoLite Ultra-Nike FOSSIL/17-0909TPX 0.085D 25+/-4 Asker C 1.1M 2M 4mm</v>
          </cell>
          <cell r="H1106">
            <v>1050</v>
          </cell>
          <cell r="I1106">
            <v>1050</v>
          </cell>
          <cell r="J1106">
            <v>0</v>
          </cell>
          <cell r="K1106">
            <v>1050</v>
          </cell>
          <cell r="L1106" t="str">
            <v>NIKE</v>
          </cell>
          <cell r="M1106" t="str">
            <v>Forecast</v>
          </cell>
          <cell r="N1106" t="str">
            <v>DIE CUT</v>
          </cell>
          <cell r="O1106">
            <v>1</v>
          </cell>
          <cell r="P1106">
            <v>46105</v>
          </cell>
          <cell r="Q1106">
            <v>46136</v>
          </cell>
          <cell r="R1106">
            <v>46133</v>
          </cell>
          <cell r="S1106">
            <v>31</v>
          </cell>
          <cell r="T1106">
            <v>4</v>
          </cell>
          <cell r="U1106">
            <v>35</v>
          </cell>
          <cell r="V1106">
            <v>30</v>
          </cell>
          <cell r="W1106" t="str">
            <v>0.085D</v>
          </cell>
          <cell r="X1106" t="str">
            <v>4-2026</v>
          </cell>
          <cell r="Y1106" t="str">
            <v>Week 16</v>
          </cell>
          <cell r="Z1106">
            <v>46125</v>
          </cell>
          <cell r="AA1106">
            <v>13</v>
          </cell>
          <cell r="AB1106">
            <v>2.8570000000000002E-2</v>
          </cell>
        </row>
        <row r="1107">
          <cell r="A1107" t="str">
            <v>F-2026-03-453</v>
          </cell>
          <cell r="B1107"/>
          <cell r="C1107" t="str">
            <v>FPRO-260324-0025</v>
          </cell>
          <cell r="D1107" t="str">
            <v>Firm plan 24.3</v>
          </cell>
          <cell r="E1107" t="str">
            <v>BDB-000161</v>
          </cell>
          <cell r="F1107" t="str">
            <v>PVN-001560</v>
          </cell>
          <cell r="G1107" t="str">
            <v>OrthoLite Ultra-Nike FOSSIL/17-0909TPX 0.085D 25+/-4 Asker C 1.1M 2M 4mm</v>
          </cell>
          <cell r="H1107">
            <v>1000</v>
          </cell>
          <cell r="I1107">
            <v>1000</v>
          </cell>
          <cell r="J1107">
            <v>0</v>
          </cell>
          <cell r="K1107">
            <v>1000</v>
          </cell>
          <cell r="L1107" t="str">
            <v>NIKE</v>
          </cell>
          <cell r="M1107" t="str">
            <v>Forecast</v>
          </cell>
          <cell r="N1107" t="str">
            <v>DIE CUT</v>
          </cell>
          <cell r="O1107">
            <v>1</v>
          </cell>
          <cell r="P1107">
            <v>46105</v>
          </cell>
          <cell r="Q1107">
            <v>46172</v>
          </cell>
          <cell r="R1107">
            <v>46169</v>
          </cell>
          <cell r="S1107">
            <v>67</v>
          </cell>
          <cell r="T1107">
            <v>4</v>
          </cell>
          <cell r="U1107">
            <v>35</v>
          </cell>
          <cell r="V1107">
            <v>29</v>
          </cell>
          <cell r="W1107" t="str">
            <v>0.085D</v>
          </cell>
          <cell r="X1107" t="str">
            <v>5-2026</v>
          </cell>
          <cell r="Y1107" t="str">
            <v>Week 21</v>
          </cell>
          <cell r="Z1107">
            <v>46160</v>
          </cell>
          <cell r="AA1107">
            <v>2</v>
          </cell>
          <cell r="AB1107">
            <v>2.8570000000000002E-2</v>
          </cell>
        </row>
        <row r="1108">
          <cell r="A1108" t="str">
            <v>F-2026-03-454</v>
          </cell>
          <cell r="B1108"/>
          <cell r="C1108" t="str">
            <v>FPRO-260324-0026</v>
          </cell>
          <cell r="D1108" t="str">
            <v>Firm plan 24.3</v>
          </cell>
          <cell r="E1108" t="str">
            <v>BDB-000161</v>
          </cell>
          <cell r="F1108" t="str">
            <v>PVN-001560</v>
          </cell>
          <cell r="G1108" t="str">
            <v>OrthoLite Ultra-Nike FOSSIL/17-0909TPX 0.085D 25+/-4 Asker C 1.1M 2M 4mm</v>
          </cell>
          <cell r="H1108">
            <v>1000</v>
          </cell>
          <cell r="I1108">
            <v>1000</v>
          </cell>
          <cell r="J1108">
            <v>0</v>
          </cell>
          <cell r="K1108">
            <v>1000</v>
          </cell>
          <cell r="L1108" t="str">
            <v>NIKE</v>
          </cell>
          <cell r="M1108" t="str">
            <v>Forecast</v>
          </cell>
          <cell r="N1108" t="str">
            <v>DIE CUT</v>
          </cell>
          <cell r="O1108">
            <v>1</v>
          </cell>
          <cell r="P1108">
            <v>46105</v>
          </cell>
          <cell r="Q1108">
            <v>46179</v>
          </cell>
          <cell r="R1108">
            <v>46176</v>
          </cell>
          <cell r="S1108">
            <v>74</v>
          </cell>
          <cell r="T1108">
            <v>4</v>
          </cell>
          <cell r="U1108">
            <v>35</v>
          </cell>
          <cell r="V1108">
            <v>29</v>
          </cell>
          <cell r="W1108" t="str">
            <v>0.085D</v>
          </cell>
          <cell r="X1108" t="str">
            <v>6-2026</v>
          </cell>
          <cell r="Y1108" t="str">
            <v>Week 22</v>
          </cell>
          <cell r="Z1108">
            <v>46167</v>
          </cell>
          <cell r="AA1108">
            <v>0</v>
          </cell>
          <cell r="AB1108">
            <v>2.8570000000000002E-2</v>
          </cell>
        </row>
        <row r="1109">
          <cell r="A1109" t="str">
            <v>F-2026-03-455</v>
          </cell>
          <cell r="B1109"/>
          <cell r="C1109" t="str">
            <v>FPRO-260324-0027</v>
          </cell>
          <cell r="D1109" t="str">
            <v>Firm plan 24.3</v>
          </cell>
          <cell r="E1109" t="str">
            <v>BDB-000161</v>
          </cell>
          <cell r="F1109" t="str">
            <v>PVN-001560</v>
          </cell>
          <cell r="G1109" t="str">
            <v>OrthoLite Ultra-Nike FOSSIL/17-0909TPX 0.085D 25+/-4 Asker C 1.1M 2M 4mm</v>
          </cell>
          <cell r="H1109">
            <v>1000</v>
          </cell>
          <cell r="I1109">
            <v>1000</v>
          </cell>
          <cell r="J1109">
            <v>0</v>
          </cell>
          <cell r="K1109">
            <v>1000</v>
          </cell>
          <cell r="L1109" t="str">
            <v>NIKE</v>
          </cell>
          <cell r="M1109" t="str">
            <v>Forecast</v>
          </cell>
          <cell r="N1109" t="str">
            <v>DIE CUT</v>
          </cell>
          <cell r="O1109">
            <v>1</v>
          </cell>
          <cell r="P1109">
            <v>46105</v>
          </cell>
          <cell r="Q1109">
            <v>46167</v>
          </cell>
          <cell r="R1109">
            <v>46164</v>
          </cell>
          <cell r="S1109">
            <v>62</v>
          </cell>
          <cell r="T1109">
            <v>4</v>
          </cell>
          <cell r="U1109">
            <v>35</v>
          </cell>
          <cell r="V1109">
            <v>29</v>
          </cell>
          <cell r="W1109" t="str">
            <v>0.085D</v>
          </cell>
          <cell r="X1109" t="str">
            <v>5-2026</v>
          </cell>
          <cell r="Y1109" t="str">
            <v>Week 21</v>
          </cell>
          <cell r="Z1109">
            <v>46160</v>
          </cell>
          <cell r="AA1109">
            <v>13</v>
          </cell>
          <cell r="AB1109">
            <v>2.8570000000000002E-2</v>
          </cell>
        </row>
        <row r="1110">
          <cell r="A1110" t="str">
            <v>F-2026-03-456</v>
          </cell>
          <cell r="B1110"/>
          <cell r="C1110" t="str">
            <v>FPRO-260324-0028</v>
          </cell>
          <cell r="D1110" t="str">
            <v>Firm plan 24.3</v>
          </cell>
          <cell r="E1110" t="str">
            <v>BDB-000161</v>
          </cell>
          <cell r="F1110" t="str">
            <v>PVN-001560</v>
          </cell>
          <cell r="G1110" t="str">
            <v>OrthoLite Ultra-Nike FOSSIL/17-0909TPX 0.085D 25+/-4 Asker C 1.1M 2M 4mm</v>
          </cell>
          <cell r="H1110">
            <v>1000</v>
          </cell>
          <cell r="I1110">
            <v>1000</v>
          </cell>
          <cell r="J1110">
            <v>0</v>
          </cell>
          <cell r="K1110">
            <v>1000</v>
          </cell>
          <cell r="L1110" t="str">
            <v>NIKE</v>
          </cell>
          <cell r="M1110" t="str">
            <v>Forecast</v>
          </cell>
          <cell r="N1110" t="str">
            <v>DIE CUT</v>
          </cell>
          <cell r="O1110">
            <v>1</v>
          </cell>
          <cell r="P1110">
            <v>46105</v>
          </cell>
          <cell r="Q1110">
            <v>46235</v>
          </cell>
          <cell r="R1110">
            <v>46232</v>
          </cell>
          <cell r="S1110">
            <v>130</v>
          </cell>
          <cell r="T1110">
            <v>4</v>
          </cell>
          <cell r="U1110">
            <v>35</v>
          </cell>
          <cell r="V1110">
            <v>29</v>
          </cell>
          <cell r="W1110" t="str">
            <v>0.085D</v>
          </cell>
          <cell r="X1110" t="str">
            <v>8-2026</v>
          </cell>
          <cell r="Y1110" t="str">
            <v>Week 24</v>
          </cell>
          <cell r="Z1110">
            <v>46181</v>
          </cell>
          <cell r="AA1110">
            <v>89</v>
          </cell>
          <cell r="AB1110">
            <v>2.8570000000000002E-2</v>
          </cell>
        </row>
        <row r="1111">
          <cell r="A1111" t="str">
            <v>F-2026-03-457-1</v>
          </cell>
          <cell r="B1111"/>
          <cell r="C1111" t="str">
            <v>FPRO-260330-0004</v>
          </cell>
          <cell r="D1111" t="str">
            <v>Firm plan 24.3</v>
          </cell>
          <cell r="E1111" t="str">
            <v>BDB-000156</v>
          </cell>
          <cell r="F1111" t="str">
            <v>PVN-003243</v>
          </cell>
          <cell r="G1111" t="str">
            <v>OrthoLite X-35-Hybrid-Nike AMAZON/18-6024TPX Hybrid 0.145D 25+/-4 Asker C 1.1M 2M 5.2mm</v>
          </cell>
          <cell r="H1111">
            <v>500</v>
          </cell>
          <cell r="I1111">
            <v>500</v>
          </cell>
          <cell r="J1111">
            <v>0</v>
          </cell>
          <cell r="K1111">
            <v>500</v>
          </cell>
          <cell r="L1111" t="str">
            <v>NIKE</v>
          </cell>
          <cell r="M1111" t="str">
            <v>Forecast</v>
          </cell>
          <cell r="N1111" t="str">
            <v>MOLDED</v>
          </cell>
          <cell r="O1111">
            <v>1</v>
          </cell>
          <cell r="P1111">
            <v>46105</v>
          </cell>
          <cell r="Q1111">
            <v>46132</v>
          </cell>
          <cell r="R1111">
            <v>46129</v>
          </cell>
          <cell r="S1111">
            <v>27</v>
          </cell>
          <cell r="T1111">
            <v>5.2</v>
          </cell>
          <cell r="U1111">
            <v>26</v>
          </cell>
          <cell r="V1111">
            <v>20</v>
          </cell>
          <cell r="W1111" t="str">
            <v>0.145D</v>
          </cell>
          <cell r="X1111" t="str">
            <v>4-2026</v>
          </cell>
          <cell r="Y1111" t="str">
            <v>Week 16</v>
          </cell>
          <cell r="Z1111">
            <v>46125</v>
          </cell>
          <cell r="AA1111">
            <v>15</v>
          </cell>
          <cell r="AB1111">
            <v>3.8460000000000001E-2</v>
          </cell>
        </row>
        <row r="1112">
          <cell r="A1112" t="str">
            <v>F-2026-03-457-2</v>
          </cell>
          <cell r="B1112"/>
          <cell r="C1112" t="str">
            <v>FPRO-260324-0029</v>
          </cell>
          <cell r="D1112" t="str">
            <v>Firm plan 24.3</v>
          </cell>
          <cell r="E1112" t="str">
            <v>BDB-000156</v>
          </cell>
          <cell r="F1112" t="str">
            <v>PVN-003243</v>
          </cell>
          <cell r="G1112" t="str">
            <v>OrthoLite X-35-Hybrid-Nike AMAZON/18-6024TPX Hybrid 0.145D 25+/-4 Asker C 1.1M 2M 5.2mm</v>
          </cell>
          <cell r="H1112">
            <v>500</v>
          </cell>
          <cell r="I1112">
            <v>500</v>
          </cell>
          <cell r="J1112">
            <v>0</v>
          </cell>
          <cell r="K1112">
            <v>500</v>
          </cell>
          <cell r="L1112" t="str">
            <v>NIKE</v>
          </cell>
          <cell r="M1112" t="str">
            <v>Forecast</v>
          </cell>
          <cell r="N1112" t="str">
            <v>MOLDED</v>
          </cell>
          <cell r="O1112">
            <v>1</v>
          </cell>
          <cell r="P1112">
            <v>46105</v>
          </cell>
          <cell r="Q1112">
            <v>46125</v>
          </cell>
          <cell r="R1112">
            <v>46122</v>
          </cell>
          <cell r="S1112">
            <v>20</v>
          </cell>
          <cell r="T1112">
            <v>5.2</v>
          </cell>
          <cell r="U1112">
            <v>26</v>
          </cell>
          <cell r="V1112">
            <v>20</v>
          </cell>
          <cell r="W1112" t="str">
            <v>0.145D</v>
          </cell>
          <cell r="X1112" t="str">
            <v>4-2026</v>
          </cell>
          <cell r="Y1112" t="str">
            <v>Week 15</v>
          </cell>
          <cell r="Z1112">
            <v>46118</v>
          </cell>
          <cell r="AA1112">
            <v>34</v>
          </cell>
          <cell r="AB1112">
            <v>3.8460000000000001E-2</v>
          </cell>
        </row>
        <row r="1113">
          <cell r="A1113" t="str">
            <v>F-2026-03-458</v>
          </cell>
          <cell r="B1113"/>
          <cell r="C1113" t="str">
            <v>FPRO-260324-0030</v>
          </cell>
          <cell r="D1113" t="str">
            <v>Firm plan 24.3</v>
          </cell>
          <cell r="E1113" t="str">
            <v>BDB-000156</v>
          </cell>
          <cell r="F1113" t="str">
            <v>PVN-003243</v>
          </cell>
          <cell r="G1113" t="str">
            <v>OrthoLite X-35-Hybrid-Nike AMAZON/18-6024TPX Hybrid 0.145D 25+/-4 Asker C 1.1M 2M 5.2mm</v>
          </cell>
          <cell r="H1113">
            <v>1000</v>
          </cell>
          <cell r="I1113">
            <v>1000</v>
          </cell>
          <cell r="J1113">
            <v>0</v>
          </cell>
          <cell r="K1113">
            <v>1000</v>
          </cell>
          <cell r="L1113" t="str">
            <v>NIKE</v>
          </cell>
          <cell r="M1113" t="str">
            <v>Forecast</v>
          </cell>
          <cell r="N1113" t="str">
            <v>MOLDED</v>
          </cell>
          <cell r="O1113">
            <v>1</v>
          </cell>
          <cell r="P1113">
            <v>46105</v>
          </cell>
          <cell r="Q1113">
            <v>46136</v>
          </cell>
          <cell r="R1113">
            <v>46133</v>
          </cell>
          <cell r="S1113">
            <v>31</v>
          </cell>
          <cell r="T1113">
            <v>5.2</v>
          </cell>
          <cell r="U1113">
            <v>26</v>
          </cell>
          <cell r="V1113">
            <v>39</v>
          </cell>
          <cell r="W1113" t="str">
            <v>0.145D</v>
          </cell>
          <cell r="X1113" t="str">
            <v>4-2026</v>
          </cell>
          <cell r="Y1113" t="str">
            <v>Week 16</v>
          </cell>
          <cell r="Z1113">
            <v>46125</v>
          </cell>
          <cell r="AA1113">
            <v>34</v>
          </cell>
          <cell r="AB1113">
            <v>3.8460000000000001E-2</v>
          </cell>
        </row>
        <row r="1114">
          <cell r="A1114" t="str">
            <v>F-2026-03-459</v>
          </cell>
          <cell r="B1114" t="str">
            <v>diem reques slt 28.3</v>
          </cell>
          <cell r="C1114" t="str">
            <v>FPRO-260324-0031</v>
          </cell>
          <cell r="D1114" t="str">
            <v>Firm plan 24.3</v>
          </cell>
          <cell r="E1114" t="str">
            <v>BDB-000156</v>
          </cell>
          <cell r="F1114" t="str">
            <v>PVN-003243</v>
          </cell>
          <cell r="G1114" t="str">
            <v>OrthoLite X-35-Hybrid-Nike AMAZON/18-6024TPX Hybrid 0.145D 25+/-4 Asker C 1.1M 2M 5.2mm</v>
          </cell>
          <cell r="H1114">
            <v>450</v>
          </cell>
          <cell r="I1114">
            <v>450</v>
          </cell>
          <cell r="J1114">
            <v>0</v>
          </cell>
          <cell r="K1114">
            <v>450</v>
          </cell>
          <cell r="L1114" t="str">
            <v>NIKE</v>
          </cell>
          <cell r="M1114" t="str">
            <v>Forecast</v>
          </cell>
          <cell r="N1114" t="str">
            <v>MOLDED</v>
          </cell>
          <cell r="O1114">
            <v>1</v>
          </cell>
          <cell r="P1114">
            <v>46105</v>
          </cell>
          <cell r="Q1114">
            <v>46186</v>
          </cell>
          <cell r="R1114">
            <v>46183</v>
          </cell>
          <cell r="S1114">
            <v>81</v>
          </cell>
          <cell r="T1114">
            <v>5.2</v>
          </cell>
          <cell r="U1114">
            <v>26</v>
          </cell>
          <cell r="V1114">
            <v>18</v>
          </cell>
          <cell r="W1114" t="str">
            <v>0.145D</v>
          </cell>
          <cell r="X1114" t="str">
            <v>6-2026</v>
          </cell>
          <cell r="Y1114" t="str">
            <v>Week 23</v>
          </cell>
          <cell r="Z1114">
            <v>46174</v>
          </cell>
          <cell r="AA1114">
            <v>8</v>
          </cell>
          <cell r="AB1114">
            <v>3.8460000000000001E-2</v>
          </cell>
        </row>
        <row r="1115">
          <cell r="A1115" t="str">
            <v>F-2026-03-460</v>
          </cell>
          <cell r="B1115"/>
          <cell r="C1115" t="str">
            <v>FPRO-260324-0032</v>
          </cell>
          <cell r="D1115" t="str">
            <v>Firm plan 24.3</v>
          </cell>
          <cell r="E1115" t="str">
            <v>BDB-000157</v>
          </cell>
          <cell r="F1115" t="str">
            <v>PVN-003244</v>
          </cell>
          <cell r="G1115" t="str">
            <v>OrthoLite X-35-Hybrid-Nike SEEDPEARL/12-0703TPX Hybrid 0.145D 25+/-4 Asker C 1.1M 2M 5.2mm</v>
          </cell>
          <cell r="H1115">
            <v>500</v>
          </cell>
          <cell r="I1115">
            <v>500</v>
          </cell>
          <cell r="J1115">
            <v>0</v>
          </cell>
          <cell r="K1115">
            <v>500</v>
          </cell>
          <cell r="L1115" t="str">
            <v>NIKE</v>
          </cell>
          <cell r="M1115" t="str">
            <v>Forecast</v>
          </cell>
          <cell r="N1115" t="str">
            <v>MOLDED</v>
          </cell>
          <cell r="O1115">
            <v>1</v>
          </cell>
          <cell r="P1115">
            <v>46105</v>
          </cell>
          <cell r="Q1115">
            <v>46116</v>
          </cell>
          <cell r="R1115">
            <v>46113</v>
          </cell>
          <cell r="S1115">
            <v>11</v>
          </cell>
          <cell r="T1115">
            <v>5.2</v>
          </cell>
          <cell r="U1115">
            <v>26</v>
          </cell>
          <cell r="V1115">
            <v>20</v>
          </cell>
          <cell r="W1115" t="str">
            <v>0.145D</v>
          </cell>
          <cell r="X1115" t="str">
            <v>4-2026</v>
          </cell>
          <cell r="Y1115" t="str">
            <v>Week 14</v>
          </cell>
          <cell r="Z1115">
            <v>46111</v>
          </cell>
          <cell r="AA1115">
            <v>339</v>
          </cell>
          <cell r="AB1115">
            <v>3.8460000000000001E-2</v>
          </cell>
        </row>
        <row r="1116">
          <cell r="A1116" t="str">
            <v>F-2026-03-461</v>
          </cell>
          <cell r="B1116"/>
          <cell r="C1116" t="str">
            <v>FPRO-260324-0033</v>
          </cell>
          <cell r="D1116" t="str">
            <v>Firm plan 24.3</v>
          </cell>
          <cell r="E1116" t="str">
            <v>BDB-000157</v>
          </cell>
          <cell r="F1116" t="str">
            <v>PVN-003244</v>
          </cell>
          <cell r="G1116" t="str">
            <v>OrthoLite X-35-Hybrid-Nike SEEDPEARL/12-0703TPX Hybrid 0.145D 25+/-4 Asker C 1.1M 2M 5.2mm</v>
          </cell>
          <cell r="H1116">
            <v>184</v>
          </cell>
          <cell r="I1116">
            <v>184</v>
          </cell>
          <cell r="J1116">
            <v>0</v>
          </cell>
          <cell r="K1116">
            <v>184</v>
          </cell>
          <cell r="L1116" t="str">
            <v>NIKE</v>
          </cell>
          <cell r="M1116" t="str">
            <v>Forecast</v>
          </cell>
          <cell r="N1116" t="str">
            <v>MOLDED</v>
          </cell>
          <cell r="O1116" t="str">
            <v>1-SLT</v>
          </cell>
          <cell r="P1116">
            <v>46105</v>
          </cell>
          <cell r="Q1116">
            <v>46123</v>
          </cell>
          <cell r="R1116">
            <v>46120</v>
          </cell>
          <cell r="S1116">
            <v>18</v>
          </cell>
          <cell r="T1116">
            <v>5.2</v>
          </cell>
          <cell r="U1116">
            <v>26</v>
          </cell>
          <cell r="V1116">
            <v>8</v>
          </cell>
          <cell r="W1116" t="str">
            <v>0.145D</v>
          </cell>
          <cell r="X1116" t="str">
            <v>4-2026</v>
          </cell>
          <cell r="Y1116" t="str">
            <v>Week 14</v>
          </cell>
          <cell r="Z1116">
            <v>46111</v>
          </cell>
          <cell r="AA1116">
            <v>383</v>
          </cell>
          <cell r="AB1116">
            <v>3.8460000000000001E-2</v>
          </cell>
        </row>
        <row r="1117">
          <cell r="A1117" t="str">
            <v>F-2026-03-462-1</v>
          </cell>
          <cell r="B1117"/>
          <cell r="C1117" t="str">
            <v>FPRO-260324-0034</v>
          </cell>
          <cell r="D1117" t="str">
            <v>Firm plan 24.3</v>
          </cell>
          <cell r="E1117" t="str">
            <v>BDB-000259</v>
          </cell>
          <cell r="F1117" t="str">
            <v>PVN-003684</v>
          </cell>
          <cell r="G1117" t="str">
            <v>OrthoLite Nike PP002 GLACIER GRAY/14-4102TPX Flat Sheet 0.145D 25+/-4 asker C 1.1M 2M 4.2mm</v>
          </cell>
          <cell r="H1117">
            <v>1000</v>
          </cell>
          <cell r="I1117">
            <v>1000</v>
          </cell>
          <cell r="J1117">
            <v>0</v>
          </cell>
          <cell r="K1117">
            <v>1000</v>
          </cell>
          <cell r="L1117" t="str">
            <v>NIKE</v>
          </cell>
          <cell r="M1117" t="str">
            <v>Forecast</v>
          </cell>
          <cell r="N1117" t="str">
            <v>MOLDED</v>
          </cell>
          <cell r="O1117">
            <v>1</v>
          </cell>
          <cell r="P1117">
            <v>46105</v>
          </cell>
          <cell r="Q1117">
            <v>46125</v>
          </cell>
          <cell r="R1117">
            <v>46122</v>
          </cell>
          <cell r="S1117">
            <v>20</v>
          </cell>
          <cell r="T1117">
            <v>4.2</v>
          </cell>
          <cell r="U1117">
            <v>33</v>
          </cell>
          <cell r="V1117">
            <v>31</v>
          </cell>
          <cell r="W1117" t="str">
            <v>0.145D</v>
          </cell>
          <cell r="X1117" t="str">
            <v>4-2026</v>
          </cell>
          <cell r="Y1117" t="str">
            <v>Week 15</v>
          </cell>
          <cell r="Z1117">
            <v>46118</v>
          </cell>
          <cell r="AA1117">
            <v>21</v>
          </cell>
          <cell r="AB1117">
            <v>3.0300000000000001E-2</v>
          </cell>
        </row>
        <row r="1118">
          <cell r="A1118" t="str">
            <v>F-2026-03-462-2</v>
          </cell>
          <cell r="B1118"/>
          <cell r="C1118" t="str">
            <v>FPRO-260330-0002</v>
          </cell>
          <cell r="D1118" t="str">
            <v>Firm plan 24.3</v>
          </cell>
          <cell r="E1118" t="str">
            <v>BDB-000259</v>
          </cell>
          <cell r="F1118" t="str">
            <v>PVN-003684</v>
          </cell>
          <cell r="G1118" t="str">
            <v>OrthoLite Nike PP002 GLACIER GRAY/14-4102TPX Flat Sheet 0.145D 25+/-4 asker C 1.1M 2M 4.2mm</v>
          </cell>
          <cell r="H1118">
            <v>1500</v>
          </cell>
          <cell r="I1118">
            <v>1500</v>
          </cell>
          <cell r="J1118">
            <v>0</v>
          </cell>
          <cell r="K1118">
            <v>1500</v>
          </cell>
          <cell r="L1118" t="str">
            <v>NIKE</v>
          </cell>
          <cell r="M1118" t="str">
            <v>Forecast</v>
          </cell>
          <cell r="N1118" t="str">
            <v>MOLDED</v>
          </cell>
          <cell r="O1118">
            <v>1</v>
          </cell>
          <cell r="P1118">
            <v>46105</v>
          </cell>
          <cell r="Q1118">
            <v>46127</v>
          </cell>
          <cell r="R1118">
            <v>46124</v>
          </cell>
          <cell r="S1118">
            <v>22</v>
          </cell>
          <cell r="T1118">
            <v>4.2</v>
          </cell>
          <cell r="U1118">
            <v>33</v>
          </cell>
          <cell r="V1118">
            <v>46</v>
          </cell>
          <cell r="W1118" t="str">
            <v>0.145D</v>
          </cell>
          <cell r="X1118" t="str">
            <v>4-2026</v>
          </cell>
          <cell r="Y1118" t="str">
            <v>Week 15</v>
          </cell>
          <cell r="Z1118">
            <v>46118</v>
          </cell>
          <cell r="AA1118">
            <v>141</v>
          </cell>
          <cell r="AB1118">
            <v>3.0300000000000001E-2</v>
          </cell>
        </row>
        <row r="1119">
          <cell r="A1119" t="str">
            <v>F-2026-03-463-1</v>
          </cell>
          <cell r="B1119"/>
          <cell r="C1119" t="str">
            <v>FPRO-260324-0035</v>
          </cell>
          <cell r="D1119" t="str">
            <v>Firm plan 24.3</v>
          </cell>
          <cell r="E1119" t="str">
            <v>BDB-000259</v>
          </cell>
          <cell r="F1119" t="str">
            <v>PVN-003684</v>
          </cell>
          <cell r="G1119" t="str">
            <v>OrthoLite Nike PP002 GLACIER GRAY/14-4102TPX Flat Sheet 0.145D 25+/-4 asker C 1.1M 2M 4.2mm</v>
          </cell>
          <cell r="H1119">
            <v>1000</v>
          </cell>
          <cell r="I1119">
            <v>1000</v>
          </cell>
          <cell r="J1119">
            <v>0</v>
          </cell>
          <cell r="K1119">
            <v>1000</v>
          </cell>
          <cell r="L1119" t="str">
            <v>NIKE</v>
          </cell>
          <cell r="M1119" t="str">
            <v>Forecast</v>
          </cell>
          <cell r="N1119" t="str">
            <v>MOLDED</v>
          </cell>
          <cell r="O1119">
            <v>1</v>
          </cell>
          <cell r="P1119">
            <v>46105</v>
          </cell>
          <cell r="Q1119">
            <v>46132</v>
          </cell>
          <cell r="R1119">
            <v>46129</v>
          </cell>
          <cell r="S1119">
            <v>27</v>
          </cell>
          <cell r="T1119">
            <v>4.2</v>
          </cell>
          <cell r="U1119">
            <v>33</v>
          </cell>
          <cell r="V1119">
            <v>31</v>
          </cell>
          <cell r="W1119" t="str">
            <v>0.145D</v>
          </cell>
          <cell r="X1119" t="str">
            <v>4-2026</v>
          </cell>
          <cell r="Y1119" t="str">
            <v>Week 16</v>
          </cell>
          <cell r="Z1119">
            <v>46125</v>
          </cell>
          <cell r="AA1119">
            <v>141</v>
          </cell>
          <cell r="AB1119">
            <v>3.0300000000000001E-2</v>
          </cell>
        </row>
        <row r="1120">
          <cell r="A1120" t="str">
            <v>F-2026-03-463-2</v>
          </cell>
          <cell r="B1120"/>
          <cell r="C1120" t="str">
            <v>FPRO-260330-0003</v>
          </cell>
          <cell r="D1120" t="str">
            <v>Firm plan 24.3</v>
          </cell>
          <cell r="E1120" t="str">
            <v>BDB-000259</v>
          </cell>
          <cell r="F1120" t="str">
            <v>PVN-003684</v>
          </cell>
          <cell r="G1120" t="str">
            <v>OrthoLite Nike PP002 GLACIER GRAY/14-4102TPX Flat Sheet 0.145D 25+/-4 asker C 1.1M 2M 4.2mm</v>
          </cell>
          <cell r="H1120">
            <v>1500</v>
          </cell>
          <cell r="I1120">
            <v>1500</v>
          </cell>
          <cell r="J1120">
            <v>0</v>
          </cell>
          <cell r="K1120">
            <v>1500</v>
          </cell>
          <cell r="L1120" t="str">
            <v>NIKE</v>
          </cell>
          <cell r="M1120" t="str">
            <v>Forecast</v>
          </cell>
          <cell r="N1120" t="str">
            <v>MOLDED</v>
          </cell>
          <cell r="O1120">
            <v>1</v>
          </cell>
          <cell r="P1120">
            <v>46105</v>
          </cell>
          <cell r="Q1120">
            <v>46179</v>
          </cell>
          <cell r="R1120">
            <v>46176</v>
          </cell>
          <cell r="S1120">
            <v>74</v>
          </cell>
          <cell r="T1120">
            <v>4.2</v>
          </cell>
          <cell r="U1120">
            <v>33</v>
          </cell>
          <cell r="V1120">
            <v>46</v>
          </cell>
          <cell r="W1120" t="str">
            <v>0.145D</v>
          </cell>
          <cell r="X1120" t="str">
            <v>6-2026</v>
          </cell>
          <cell r="Y1120" t="str">
            <v>Week 22</v>
          </cell>
          <cell r="Z1120">
            <v>46167</v>
          </cell>
          <cell r="AA1120">
            <v>100</v>
          </cell>
          <cell r="AB1120">
            <v>3.0300000000000001E-2</v>
          </cell>
        </row>
        <row r="1121">
          <cell r="A1121" t="str">
            <v>F-2026-03-464-1</v>
          </cell>
          <cell r="B1121"/>
          <cell r="C1121" t="str">
            <v>FPRO-260324-0036</v>
          </cell>
          <cell r="D1121" t="str">
            <v>Firm plan 24.3</v>
          </cell>
          <cell r="E1121" t="str">
            <v>BDB-000259</v>
          </cell>
          <cell r="F1121" t="str">
            <v>PVN-003684</v>
          </cell>
          <cell r="G1121" t="str">
            <v>OrthoLite Nike PP002 GLACIER GRAY/14-4102TPX Flat Sheet 0.145D 25+/-4 asker C 1.1M 2M 4.2mm</v>
          </cell>
          <cell r="H1121">
            <v>1000</v>
          </cell>
          <cell r="I1121">
            <v>1000</v>
          </cell>
          <cell r="J1121">
            <v>0</v>
          </cell>
          <cell r="K1121">
            <v>1000</v>
          </cell>
          <cell r="L1121" t="str">
            <v>NIKE</v>
          </cell>
          <cell r="M1121" t="str">
            <v>Forecast</v>
          </cell>
          <cell r="N1121" t="str">
            <v>MOLDED</v>
          </cell>
          <cell r="O1121" t="str">
            <v>1-SLT</v>
          </cell>
          <cell r="P1121">
            <v>46105</v>
          </cell>
          <cell r="Q1121">
            <v>46165</v>
          </cell>
          <cell r="R1121">
            <v>46162</v>
          </cell>
          <cell r="S1121">
            <v>60</v>
          </cell>
          <cell r="T1121">
            <v>4.2</v>
          </cell>
          <cell r="U1121">
            <v>33</v>
          </cell>
          <cell r="V1121">
            <v>31</v>
          </cell>
          <cell r="W1121" t="str">
            <v>0.145D</v>
          </cell>
          <cell r="X1121" t="str">
            <v>5-2026</v>
          </cell>
          <cell r="Y1121" t="str">
            <v>Week 21</v>
          </cell>
          <cell r="Z1121">
            <v>46160</v>
          </cell>
          <cell r="AA1121">
            <v>100</v>
          </cell>
          <cell r="AB1121">
            <v>3.0300000000000001E-2</v>
          </cell>
        </row>
        <row r="1122">
          <cell r="A1122" t="str">
            <v>F-2026-03-464-2</v>
          </cell>
          <cell r="B1122"/>
          <cell r="C1122" t="str">
            <v>FPRO-260401-0012</v>
          </cell>
          <cell r="D1122" t="str">
            <v>Firm plan 24.3</v>
          </cell>
          <cell r="E1122" t="str">
            <v>BDB-000259</v>
          </cell>
          <cell r="F1122" t="str">
            <v>PVN-003684</v>
          </cell>
          <cell r="G1122" t="str">
            <v>OrthoLite Nike PP002 GLACIER GRAY/14-4102TPX Flat Sheet 0.145D 25+/-4 asker C 1.1M 2M 4.2mm</v>
          </cell>
          <cell r="H1122">
            <v>1500</v>
          </cell>
          <cell r="I1122">
            <v>1500</v>
          </cell>
          <cell r="J1122">
            <v>0</v>
          </cell>
          <cell r="K1122">
            <v>1500</v>
          </cell>
          <cell r="L1122" t="str">
            <v>NIKE</v>
          </cell>
          <cell r="M1122" t="str">
            <v>Forecast</v>
          </cell>
          <cell r="N1122" t="str">
            <v>MOLDED</v>
          </cell>
          <cell r="O1122" t="str">
            <v>1-SLT</v>
          </cell>
          <cell r="P1122">
            <v>46105</v>
          </cell>
          <cell r="Q1122">
            <v>46193</v>
          </cell>
          <cell r="R1122">
            <v>46190</v>
          </cell>
          <cell r="S1122">
            <v>88</v>
          </cell>
          <cell r="T1122">
            <v>4.2</v>
          </cell>
          <cell r="U1122">
            <v>33</v>
          </cell>
          <cell r="V1122">
            <v>46</v>
          </cell>
          <cell r="W1122" t="str">
            <v>0.145D</v>
          </cell>
          <cell r="X1122" t="str">
            <v>6-2026</v>
          </cell>
          <cell r="Y1122" t="str">
            <v>Week 24</v>
          </cell>
          <cell r="Z1122">
            <v>46181</v>
          </cell>
          <cell r="AA1122">
            <v>215</v>
          </cell>
          <cell r="AB1122">
            <v>3.0300000000000001E-2</v>
          </cell>
        </row>
        <row r="1123">
          <cell r="A1123" t="str">
            <v>F-2026-03-465</v>
          </cell>
          <cell r="B1123"/>
          <cell r="C1123" t="str">
            <v>FPRO-260324-0037</v>
          </cell>
          <cell r="D1123" t="str">
            <v>Firm plan 24.3</v>
          </cell>
          <cell r="E1123" t="str">
            <v>BDB-000259</v>
          </cell>
          <cell r="F1123" t="str">
            <v>PVN-003684</v>
          </cell>
          <cell r="G1123" t="str">
            <v>OrthoLite Nike PP002 GLACIER GRAY/14-4102TPX Flat Sheet 0.145D 25+/-4 asker C 1.1M 2M 4.2mm</v>
          </cell>
          <cell r="H1123">
            <v>2500</v>
          </cell>
          <cell r="I1123">
            <v>2500</v>
          </cell>
          <cell r="J1123">
            <v>0</v>
          </cell>
          <cell r="K1123">
            <v>2500</v>
          </cell>
          <cell r="L1123" t="str">
            <v>NIKE</v>
          </cell>
          <cell r="M1123" t="str">
            <v>Forecast</v>
          </cell>
          <cell r="N1123" t="str">
            <v>MOLDED</v>
          </cell>
          <cell r="O1123" t="str">
            <v>1-SLT</v>
          </cell>
          <cell r="P1123">
            <v>46105</v>
          </cell>
          <cell r="Q1123">
            <v>46146</v>
          </cell>
          <cell r="R1123">
            <v>46143</v>
          </cell>
          <cell r="S1123">
            <v>41</v>
          </cell>
          <cell r="T1123">
            <v>4.2</v>
          </cell>
          <cell r="U1123">
            <v>33</v>
          </cell>
          <cell r="V1123">
            <v>76</v>
          </cell>
          <cell r="W1123" t="str">
            <v>0.145D</v>
          </cell>
          <cell r="X1123" t="str">
            <v>5-2026</v>
          </cell>
          <cell r="Y1123" t="str">
            <v>Week 17</v>
          </cell>
          <cell r="Z1123">
            <v>46132</v>
          </cell>
          <cell r="AA1123">
            <v>215</v>
          </cell>
          <cell r="AB1123">
            <v>3.0300000000000001E-2</v>
          </cell>
        </row>
        <row r="1124">
          <cell r="A1124" t="str">
            <v>F-2026-03-466</v>
          </cell>
          <cell r="B1124"/>
          <cell r="C1124" t="str">
            <v>FPRO-260324-0038</v>
          </cell>
          <cell r="D1124" t="str">
            <v>Firm plan 24.3</v>
          </cell>
          <cell r="E1124" t="str">
            <v>BDB-000259</v>
          </cell>
          <cell r="F1124" t="str">
            <v>PVN-003684</v>
          </cell>
          <cell r="G1124" t="str">
            <v>OrthoLite Nike PP002 GLACIER GRAY/14-4102TPX Flat Sheet 0.145D 25+/-4 asker C 1.1M 2M 4.2mm</v>
          </cell>
          <cell r="H1124">
            <v>1800</v>
          </cell>
          <cell r="I1124">
            <v>1800</v>
          </cell>
          <cell r="J1124">
            <v>0</v>
          </cell>
          <cell r="K1124">
            <v>1800</v>
          </cell>
          <cell r="L1124" t="str">
            <v>NIKE</v>
          </cell>
          <cell r="M1124" t="str">
            <v>Forecast</v>
          </cell>
          <cell r="N1124" t="str">
            <v>MOLDED</v>
          </cell>
          <cell r="O1124">
            <v>1</v>
          </cell>
          <cell r="P1124">
            <v>46105</v>
          </cell>
          <cell r="Q1124">
            <v>46186</v>
          </cell>
          <cell r="R1124">
            <v>46183</v>
          </cell>
          <cell r="S1124">
            <v>81</v>
          </cell>
          <cell r="T1124">
            <v>4.2</v>
          </cell>
          <cell r="U1124">
            <v>33</v>
          </cell>
          <cell r="V1124">
            <v>55</v>
          </cell>
          <cell r="W1124" t="str">
            <v>0.145D</v>
          </cell>
          <cell r="X1124" t="str">
            <v>6-2026</v>
          </cell>
          <cell r="Y1124" t="str">
            <v>Week 23</v>
          </cell>
          <cell r="Z1124">
            <v>46174</v>
          </cell>
          <cell r="AA1124">
            <v>133</v>
          </cell>
          <cell r="AB1124">
            <v>3.0300000000000001E-2</v>
          </cell>
        </row>
        <row r="1125">
          <cell r="A1125" t="str">
            <v>F-2026-03-467</v>
          </cell>
          <cell r="B1125"/>
          <cell r="C1125" t="str">
            <v>FPRO-260324-0039</v>
          </cell>
          <cell r="D1125" t="str">
            <v>Firm plan 24.3</v>
          </cell>
          <cell r="E1125" t="str">
            <v>BDB-000129</v>
          </cell>
          <cell r="F1125" t="str">
            <v>PVN-001550</v>
          </cell>
          <cell r="G1125" t="str">
            <v>OrthoLite Regular-Nike AIR BLUE/16-4134TPX 0.11D 25+/-4 Asker C 1.1M 1.7M 2mm</v>
          </cell>
          <cell r="H1125">
            <v>2500</v>
          </cell>
          <cell r="I1125">
            <v>2500</v>
          </cell>
          <cell r="J1125">
            <v>0</v>
          </cell>
          <cell r="K1125">
            <v>2500</v>
          </cell>
          <cell r="L1125" t="str">
            <v>NIKE</v>
          </cell>
          <cell r="M1125" t="str">
            <v>Forecast</v>
          </cell>
          <cell r="N1125" t="str">
            <v>DIE CUT</v>
          </cell>
          <cell r="O1125">
            <v>1</v>
          </cell>
          <cell r="P1125">
            <v>46105</v>
          </cell>
          <cell r="Q1125">
            <v>46132</v>
          </cell>
          <cell r="R1125">
            <v>46129</v>
          </cell>
          <cell r="S1125">
            <v>27</v>
          </cell>
          <cell r="T1125">
            <v>2</v>
          </cell>
          <cell r="U1125">
            <v>70</v>
          </cell>
          <cell r="V1125">
            <v>36</v>
          </cell>
          <cell r="W1125" t="str">
            <v>0.11D</v>
          </cell>
          <cell r="X1125" t="str">
            <v>4-2026</v>
          </cell>
          <cell r="Y1125" t="str">
            <v>Week 16</v>
          </cell>
          <cell r="Z1125">
            <v>46125</v>
          </cell>
          <cell r="AA1125">
            <v>37</v>
          </cell>
          <cell r="AB1125">
            <v>1.4290000000000001E-2</v>
          </cell>
        </row>
        <row r="1126">
          <cell r="A1126" t="str">
            <v>F-2026-03-468</v>
          </cell>
          <cell r="B1126"/>
          <cell r="C1126" t="str">
            <v>FPRO-260324-0040</v>
          </cell>
          <cell r="D1126" t="str">
            <v>Firm plan 24.3</v>
          </cell>
          <cell r="E1126" t="str">
            <v>BDB-000129</v>
          </cell>
          <cell r="F1126" t="str">
            <v>PVN-001550</v>
          </cell>
          <cell r="G1126" t="str">
            <v>OrthoLite Regular-Nike AIR BLUE/16-4134TPX 0.11D 25+/-4 Asker C 1.1M 1.7M 2mm</v>
          </cell>
          <cell r="H1126">
            <v>2500</v>
          </cell>
          <cell r="I1126">
            <v>2500</v>
          </cell>
          <cell r="J1126">
            <v>0</v>
          </cell>
          <cell r="K1126">
            <v>2500</v>
          </cell>
          <cell r="L1126" t="str">
            <v>NIKE</v>
          </cell>
          <cell r="M1126" t="str">
            <v>Forecast</v>
          </cell>
          <cell r="N1126" t="str">
            <v>DIE CUT</v>
          </cell>
          <cell r="O1126">
            <v>1</v>
          </cell>
          <cell r="P1126">
            <v>46105</v>
          </cell>
          <cell r="Q1126">
            <v>46153</v>
          </cell>
          <cell r="R1126">
            <v>46150</v>
          </cell>
          <cell r="S1126">
            <v>48</v>
          </cell>
          <cell r="T1126">
            <v>2</v>
          </cell>
          <cell r="U1126">
            <v>70</v>
          </cell>
          <cell r="V1126">
            <v>36</v>
          </cell>
          <cell r="W1126" t="str">
            <v>0.11D</v>
          </cell>
          <cell r="X1126" t="str">
            <v>5-2026</v>
          </cell>
          <cell r="Y1126" t="str">
            <v>Week 19</v>
          </cell>
          <cell r="Z1126">
            <v>46146</v>
          </cell>
          <cell r="AA1126">
            <v>163</v>
          </cell>
          <cell r="AB1126">
            <v>1.4290000000000001E-2</v>
          </cell>
        </row>
        <row r="1127">
          <cell r="A1127" t="str">
            <v>F-2026-03-469</v>
          </cell>
          <cell r="B1127"/>
          <cell r="C1127" t="str">
            <v>FPRO-260324-0041</v>
          </cell>
          <cell r="D1127" t="str">
            <v>Firm plan 24.3</v>
          </cell>
          <cell r="E1127" t="str">
            <v>BDB-000129</v>
          </cell>
          <cell r="F1127" t="str">
            <v>PVN-001550</v>
          </cell>
          <cell r="G1127" t="str">
            <v>OrthoLite Regular-Nike AIR BLUE/16-4134TPX 0.11D 25+/-4 Asker C 1.1M 1.7M 2mm</v>
          </cell>
          <cell r="H1127">
            <v>2500</v>
          </cell>
          <cell r="I1127">
            <v>2500</v>
          </cell>
          <cell r="J1127">
            <v>0</v>
          </cell>
          <cell r="K1127">
            <v>2500</v>
          </cell>
          <cell r="L1127" t="str">
            <v>NIKE</v>
          </cell>
          <cell r="M1127" t="str">
            <v>Forecast</v>
          </cell>
          <cell r="N1127" t="str">
            <v>DIE CUT</v>
          </cell>
          <cell r="O1127">
            <v>1</v>
          </cell>
          <cell r="P1127">
            <v>46105</v>
          </cell>
          <cell r="Q1127">
            <v>46136</v>
          </cell>
          <cell r="R1127">
            <v>46133</v>
          </cell>
          <cell r="S1127">
            <v>31</v>
          </cell>
          <cell r="T1127">
            <v>2</v>
          </cell>
          <cell r="U1127">
            <v>70</v>
          </cell>
          <cell r="V1127">
            <v>36</v>
          </cell>
          <cell r="W1127" t="str">
            <v>0.11D</v>
          </cell>
          <cell r="X1127" t="str">
            <v>4-2026</v>
          </cell>
          <cell r="Y1127" t="str">
            <v>Week 16</v>
          </cell>
          <cell r="Z1127">
            <v>46125</v>
          </cell>
          <cell r="AA1127">
            <v>18</v>
          </cell>
          <cell r="AB1127">
            <v>1.4290000000000001E-2</v>
          </cell>
        </row>
        <row r="1128">
          <cell r="A1128" t="str">
            <v>F-2026-03-470</v>
          </cell>
          <cell r="B1128"/>
          <cell r="C1128" t="str">
            <v>FPRO-260324-0042</v>
          </cell>
          <cell r="D1128" t="str">
            <v>Firm plan 24.3</v>
          </cell>
          <cell r="E1128" t="str">
            <v>BDB-000129</v>
          </cell>
          <cell r="F1128" t="str">
            <v>PVN-001550</v>
          </cell>
          <cell r="G1128" t="str">
            <v>OrthoLite Regular-Nike AIR BLUE/16-4134TPX 0.11D 25+/-4 Asker C 1.1M 1.7M 2mm</v>
          </cell>
          <cell r="H1128">
            <v>2500</v>
          </cell>
          <cell r="I1128">
            <v>2500</v>
          </cell>
          <cell r="J1128">
            <v>0</v>
          </cell>
          <cell r="K1128">
            <v>2500</v>
          </cell>
          <cell r="L1128" t="str">
            <v>NIKE</v>
          </cell>
          <cell r="M1128" t="str">
            <v>Forecast</v>
          </cell>
          <cell r="N1128" t="str">
            <v>DIE CUT</v>
          </cell>
          <cell r="O1128">
            <v>1</v>
          </cell>
          <cell r="P1128">
            <v>46105</v>
          </cell>
          <cell r="Q1128">
            <v>46147</v>
          </cell>
          <cell r="R1128">
            <v>46144</v>
          </cell>
          <cell r="S1128">
            <v>42</v>
          </cell>
          <cell r="T1128">
            <v>2</v>
          </cell>
          <cell r="U1128">
            <v>70</v>
          </cell>
          <cell r="V1128">
            <v>36</v>
          </cell>
          <cell r="W1128" t="str">
            <v>0.11D</v>
          </cell>
          <cell r="X1128" t="str">
            <v>5-2026</v>
          </cell>
          <cell r="Y1128" t="str">
            <v>Week 17</v>
          </cell>
          <cell r="Z1128">
            <v>46132</v>
          </cell>
          <cell r="AA1128">
            <v>127</v>
          </cell>
          <cell r="AB1128">
            <v>1.4290000000000001E-2</v>
          </cell>
        </row>
        <row r="1129">
          <cell r="A1129" t="str">
            <v>F-2026-03-471</v>
          </cell>
          <cell r="B1129"/>
          <cell r="C1129" t="str">
            <v>FPRO-260324-0043</v>
          </cell>
          <cell r="D1129" t="str">
            <v>Firm plan 24.3</v>
          </cell>
          <cell r="E1129" t="str">
            <v>BDB-000129</v>
          </cell>
          <cell r="F1129" t="str">
            <v>PVN-001550</v>
          </cell>
          <cell r="G1129" t="str">
            <v>OrthoLite Regular-Nike AIR BLUE/16-4134TPX 0.11D 25+/-4 Asker C 1.1M 1.7M 2mm</v>
          </cell>
          <cell r="H1129">
            <v>2500</v>
          </cell>
          <cell r="I1129">
            <v>2500</v>
          </cell>
          <cell r="J1129">
            <v>0</v>
          </cell>
          <cell r="K1129">
            <v>2500</v>
          </cell>
          <cell r="L1129" t="str">
            <v>NIKE</v>
          </cell>
          <cell r="M1129" t="str">
            <v>Forecast</v>
          </cell>
          <cell r="N1129" t="str">
            <v>DIE CUT</v>
          </cell>
          <cell r="O1129">
            <v>1</v>
          </cell>
          <cell r="P1129">
            <v>46105</v>
          </cell>
          <cell r="Q1129">
            <v>46149</v>
          </cell>
          <cell r="R1129">
            <v>46146</v>
          </cell>
          <cell r="S1129">
            <v>44</v>
          </cell>
          <cell r="T1129">
            <v>2</v>
          </cell>
          <cell r="U1129">
            <v>70</v>
          </cell>
          <cell r="V1129">
            <v>36</v>
          </cell>
          <cell r="W1129" t="str">
            <v>0.11D</v>
          </cell>
          <cell r="X1129" t="str">
            <v>5-2026</v>
          </cell>
          <cell r="Y1129" t="str">
            <v>Week 17</v>
          </cell>
          <cell r="Z1129">
            <v>46132</v>
          </cell>
          <cell r="AA1129">
            <v>35</v>
          </cell>
          <cell r="AB1129">
            <v>1.4290000000000001E-2</v>
          </cell>
        </row>
        <row r="1130">
          <cell r="A1130" t="str">
            <v>F-2026-03-472</v>
          </cell>
          <cell r="B1130" t="str">
            <v>diem request 01.04</v>
          </cell>
          <cell r="C1130" t="str">
            <v>FPRO-260324-0044</v>
          </cell>
          <cell r="D1130" t="str">
            <v>Firm plan 24.3</v>
          </cell>
          <cell r="E1130" t="str">
            <v>BDB-000129</v>
          </cell>
          <cell r="F1130" t="str">
            <v>PVN-001550</v>
          </cell>
          <cell r="G1130" t="str">
            <v>OrthoLite Regular-Nike AIR BLUE/16-4134TPX 0.11D 25+/-4 Asker C 1.1M 1.7M 2mm</v>
          </cell>
          <cell r="H1130">
            <v>700</v>
          </cell>
          <cell r="I1130">
            <v>700</v>
          </cell>
          <cell r="J1130">
            <v>0</v>
          </cell>
          <cell r="K1130">
            <v>700</v>
          </cell>
          <cell r="L1130" t="str">
            <v>NIKE</v>
          </cell>
          <cell r="M1130" t="str">
            <v>Forecast</v>
          </cell>
          <cell r="N1130" t="str">
            <v>DIE CUT</v>
          </cell>
          <cell r="O1130" t="str">
            <v>1-SLT</v>
          </cell>
          <cell r="P1130">
            <v>46105</v>
          </cell>
          <cell r="Q1130">
            <v>46154</v>
          </cell>
          <cell r="R1130">
            <v>46151</v>
          </cell>
          <cell r="S1130">
            <v>49</v>
          </cell>
          <cell r="T1130">
            <v>2</v>
          </cell>
          <cell r="U1130">
            <v>70</v>
          </cell>
          <cell r="V1130">
            <v>11</v>
          </cell>
          <cell r="W1130" t="str">
            <v>0.11D</v>
          </cell>
          <cell r="X1130" t="str">
            <v>5-2026</v>
          </cell>
          <cell r="Y1130" t="str">
            <v>Week 19</v>
          </cell>
          <cell r="Z1130">
            <v>46146</v>
          </cell>
          <cell r="AA1130">
            <v>14</v>
          </cell>
          <cell r="AB1130">
            <v>1.4290000000000001E-2</v>
          </cell>
        </row>
        <row r="1131">
          <cell r="A1131" t="str">
            <v>F-2026-03-473</v>
          </cell>
          <cell r="B1131"/>
          <cell r="C1131" t="str">
            <v>FPRO-260324-0045</v>
          </cell>
          <cell r="D1131" t="str">
            <v>Firm plan 24.3</v>
          </cell>
          <cell r="E1131" t="str">
            <v>BDB-000131</v>
          </cell>
          <cell r="F1131" t="str">
            <v>PVN-001565</v>
          </cell>
          <cell r="G1131" t="str">
            <v>OrthoLite Regular-Nike AIR BLUE/16-4134TPX 0.11D 15+/-4 Asker C 1.1M 2M 4mm</v>
          </cell>
          <cell r="H1131">
            <v>1000</v>
          </cell>
          <cell r="I1131">
            <v>1000</v>
          </cell>
          <cell r="J1131">
            <v>0</v>
          </cell>
          <cell r="K1131">
            <v>1000</v>
          </cell>
          <cell r="L1131" t="str">
            <v>NIKE</v>
          </cell>
          <cell r="M1131" t="str">
            <v>Forecast</v>
          </cell>
          <cell r="N1131" t="str">
            <v>DIE CUT</v>
          </cell>
          <cell r="O1131">
            <v>1</v>
          </cell>
          <cell r="P1131">
            <v>46105</v>
          </cell>
          <cell r="Q1131">
            <v>46119</v>
          </cell>
          <cell r="R1131">
            <v>46116</v>
          </cell>
          <cell r="S1131">
            <v>14</v>
          </cell>
          <cell r="T1131">
            <v>4</v>
          </cell>
          <cell r="U1131">
            <v>35</v>
          </cell>
          <cell r="V1131">
            <v>29</v>
          </cell>
          <cell r="W1131" t="str">
            <v>0.11D</v>
          </cell>
          <cell r="X1131" t="str">
            <v>4-2026</v>
          </cell>
          <cell r="Y1131" t="str">
            <v>Week 14</v>
          </cell>
          <cell r="Z1131">
            <v>46111</v>
          </cell>
          <cell r="AA1131">
            <v>27</v>
          </cell>
          <cell r="AB1131">
            <v>2.8570000000000002E-2</v>
          </cell>
        </row>
        <row r="1132">
          <cell r="A1132" t="str">
            <v>F-2026-03-474</v>
          </cell>
          <cell r="B1132"/>
          <cell r="C1132" t="str">
            <v>FPRO-260324-0046</v>
          </cell>
          <cell r="D1132" t="str">
            <v>Firm plan 24.3</v>
          </cell>
          <cell r="E1132" t="str">
            <v>BDB-000131</v>
          </cell>
          <cell r="F1132" t="str">
            <v>PVN-001565</v>
          </cell>
          <cell r="G1132" t="str">
            <v>OrthoLite Regular-Nike AIR BLUE/16-4134TPX 0.11D 15+/-4 Asker C 1.1M 2M 4mm</v>
          </cell>
          <cell r="H1132">
            <v>1000</v>
          </cell>
          <cell r="I1132">
            <v>1000</v>
          </cell>
          <cell r="J1132">
            <v>0</v>
          </cell>
          <cell r="K1132">
            <v>1000</v>
          </cell>
          <cell r="L1132" t="str">
            <v>NIKE</v>
          </cell>
          <cell r="M1132" t="str">
            <v>Forecast</v>
          </cell>
          <cell r="N1132" t="str">
            <v>DIE CUT</v>
          </cell>
          <cell r="O1132">
            <v>1</v>
          </cell>
          <cell r="P1132">
            <v>46105</v>
          </cell>
          <cell r="Q1132">
            <v>46137</v>
          </cell>
          <cell r="R1132">
            <v>46134</v>
          </cell>
          <cell r="S1132">
            <v>32</v>
          </cell>
          <cell r="T1132">
            <v>4</v>
          </cell>
          <cell r="U1132">
            <v>35</v>
          </cell>
          <cell r="V1132">
            <v>29</v>
          </cell>
          <cell r="W1132" t="str">
            <v>0.11D</v>
          </cell>
          <cell r="X1132" t="str">
            <v>4-2026</v>
          </cell>
          <cell r="Y1132" t="str">
            <v>Week 17</v>
          </cell>
          <cell r="Z1132">
            <v>46132</v>
          </cell>
          <cell r="AA1132">
            <v>0</v>
          </cell>
          <cell r="AB1132">
            <v>2.8570000000000002E-2</v>
          </cell>
        </row>
        <row r="1133">
          <cell r="A1133" t="str">
            <v>F-2026-03-475</v>
          </cell>
          <cell r="B1133"/>
          <cell r="C1133" t="str">
            <v>FPRO-260324-0047</v>
          </cell>
          <cell r="D1133" t="str">
            <v>Firm plan 24.3</v>
          </cell>
          <cell r="E1133" t="str">
            <v>BDB-000131</v>
          </cell>
          <cell r="F1133" t="str">
            <v>PVN-001565</v>
          </cell>
          <cell r="G1133" t="str">
            <v>OrthoLite Regular-Nike AIR BLUE/16-4134TPX 0.11D 15+/-4 Asker C 1.1M 2M 4mm</v>
          </cell>
          <cell r="H1133">
            <v>1000</v>
          </cell>
          <cell r="I1133">
            <v>1000</v>
          </cell>
          <cell r="J1133">
            <v>0</v>
          </cell>
          <cell r="K1133">
            <v>1000</v>
          </cell>
          <cell r="L1133" t="str">
            <v>NIKE</v>
          </cell>
          <cell r="M1133" t="str">
            <v>Forecast</v>
          </cell>
          <cell r="N1133" t="str">
            <v>DIE CUT</v>
          </cell>
          <cell r="O1133">
            <v>1</v>
          </cell>
          <cell r="P1133">
            <v>46105</v>
          </cell>
          <cell r="Q1133">
            <v>46158</v>
          </cell>
          <cell r="R1133">
            <v>46155</v>
          </cell>
          <cell r="S1133">
            <v>53</v>
          </cell>
          <cell r="T1133">
            <v>4</v>
          </cell>
          <cell r="U1133">
            <v>35</v>
          </cell>
          <cell r="V1133">
            <v>29</v>
          </cell>
          <cell r="W1133" t="str">
            <v>0.11D</v>
          </cell>
          <cell r="X1133" t="str">
            <v>5-2026</v>
          </cell>
          <cell r="Y1133" t="str">
            <v>Week 20</v>
          </cell>
          <cell r="Z1133">
            <v>46153</v>
          </cell>
          <cell r="AA1133">
            <v>27</v>
          </cell>
          <cell r="AB1133">
            <v>2.8570000000000002E-2</v>
          </cell>
        </row>
        <row r="1134">
          <cell r="A1134" t="str">
            <v>F-2026-03-476</v>
          </cell>
          <cell r="B1134"/>
          <cell r="C1134" t="str">
            <v>FPRO-260324-0048</v>
          </cell>
          <cell r="D1134" t="str">
            <v>Firm plan 24.3</v>
          </cell>
          <cell r="E1134" t="str">
            <v>BDB-000131</v>
          </cell>
          <cell r="F1134" t="str">
            <v>PVN-001565</v>
          </cell>
          <cell r="G1134" t="str">
            <v>OrthoLite Regular-Nike AIR BLUE/16-4134TPX 0.11D 15+/-4 Asker C 1.1M 2M 4mm</v>
          </cell>
          <cell r="H1134">
            <v>1000</v>
          </cell>
          <cell r="I1134">
            <v>1000</v>
          </cell>
          <cell r="J1134">
            <v>0</v>
          </cell>
          <cell r="K1134">
            <v>1000</v>
          </cell>
          <cell r="L1134" t="str">
            <v>NIKE</v>
          </cell>
          <cell r="M1134" t="str">
            <v>Forecast</v>
          </cell>
          <cell r="N1134" t="str">
            <v>DIE CUT</v>
          </cell>
          <cell r="O1134">
            <v>1</v>
          </cell>
          <cell r="P1134">
            <v>46105</v>
          </cell>
          <cell r="Q1134">
            <v>46153</v>
          </cell>
          <cell r="R1134">
            <v>46150</v>
          </cell>
          <cell r="S1134">
            <v>48</v>
          </cell>
          <cell r="T1134">
            <v>4</v>
          </cell>
          <cell r="U1134">
            <v>35</v>
          </cell>
          <cell r="V1134">
            <v>29</v>
          </cell>
          <cell r="W1134" t="str">
            <v>0.11D</v>
          </cell>
          <cell r="X1134" t="str">
            <v>5-2026</v>
          </cell>
          <cell r="Y1134" t="str">
            <v>Week 19</v>
          </cell>
          <cell r="Z1134">
            <v>46146</v>
          </cell>
          <cell r="AA1134">
            <v>21</v>
          </cell>
          <cell r="AB1134">
            <v>2.8570000000000002E-2</v>
          </cell>
        </row>
        <row r="1135">
          <cell r="A1135" t="str">
            <v>F-2026-03-477</v>
          </cell>
          <cell r="B1135"/>
          <cell r="C1135" t="str">
            <v>FPRO-260324-0049</v>
          </cell>
          <cell r="D1135" t="str">
            <v>Firm plan 24.3</v>
          </cell>
          <cell r="E1135" t="str">
            <v>BDB-000131</v>
          </cell>
          <cell r="F1135" t="str">
            <v>PVN-001565</v>
          </cell>
          <cell r="G1135" t="str">
            <v>OrthoLite Regular-Nike AIR BLUE/16-4134TPX 0.11D 15+/-4 Asker C 1.1M 2M 4mm</v>
          </cell>
          <cell r="H1135">
            <v>400</v>
          </cell>
          <cell r="I1135">
            <v>400</v>
          </cell>
          <cell r="J1135">
            <v>0</v>
          </cell>
          <cell r="K1135">
            <v>400</v>
          </cell>
          <cell r="L1135" t="str">
            <v>NIKE</v>
          </cell>
          <cell r="M1135" t="str">
            <v>Forecast</v>
          </cell>
          <cell r="N1135" t="str">
            <v>DIE CUT</v>
          </cell>
          <cell r="O1135">
            <v>1</v>
          </cell>
          <cell r="P1135">
            <v>46105</v>
          </cell>
          <cell r="Q1135">
            <v>46165</v>
          </cell>
          <cell r="R1135">
            <v>46162</v>
          </cell>
          <cell r="S1135">
            <v>60</v>
          </cell>
          <cell r="T1135">
            <v>4</v>
          </cell>
          <cell r="U1135">
            <v>35</v>
          </cell>
          <cell r="V1135">
            <v>12</v>
          </cell>
          <cell r="W1135" t="str">
            <v>0.11D</v>
          </cell>
          <cell r="X1135" t="str">
            <v>5-2026</v>
          </cell>
          <cell r="Y1135" t="str">
            <v>Week 21</v>
          </cell>
          <cell r="Z1135">
            <v>46160</v>
          </cell>
          <cell r="AA1135">
            <v>141</v>
          </cell>
          <cell r="AB1135">
            <v>2.8570000000000002E-2</v>
          </cell>
        </row>
        <row r="1136">
          <cell r="A1136" t="str">
            <v>F-2026-03-478</v>
          </cell>
          <cell r="B1136"/>
          <cell r="C1136" t="str">
            <v>FPRO-260324-0050</v>
          </cell>
          <cell r="D1136" t="str">
            <v>Firm plan 24.3</v>
          </cell>
          <cell r="E1136" t="str">
            <v>BDB-000163</v>
          </cell>
          <cell r="F1136" t="str">
            <v>PVN-001556</v>
          </cell>
          <cell r="G1136" t="str">
            <v>OrthoLite Ultra-Nike YELLOW/13-0858TPX 0.085D 25+/-4 Asker C 1.1M 2M 4mm</v>
          </cell>
          <cell r="H1136">
            <v>1600</v>
          </cell>
          <cell r="I1136">
            <v>1600</v>
          </cell>
          <cell r="J1136">
            <v>0</v>
          </cell>
          <cell r="K1136">
            <v>1600</v>
          </cell>
          <cell r="L1136" t="str">
            <v>NIKE</v>
          </cell>
          <cell r="M1136" t="str">
            <v>Forecast</v>
          </cell>
          <cell r="N1136" t="str">
            <v>DIE CUT</v>
          </cell>
          <cell r="O1136">
            <v>1</v>
          </cell>
          <cell r="P1136">
            <v>46105</v>
          </cell>
          <cell r="Q1136">
            <v>46182</v>
          </cell>
          <cell r="R1136">
            <v>46179</v>
          </cell>
          <cell r="S1136">
            <v>77</v>
          </cell>
          <cell r="T1136">
            <v>4</v>
          </cell>
          <cell r="U1136">
            <v>35</v>
          </cell>
          <cell r="V1136">
            <v>46</v>
          </cell>
          <cell r="W1136" t="str">
            <v>0.085D</v>
          </cell>
          <cell r="X1136" t="str">
            <v>6-2026</v>
          </cell>
          <cell r="Y1136" t="str">
            <v>Week 23</v>
          </cell>
          <cell r="Z1136">
            <v>46174</v>
          </cell>
          <cell r="AA1136">
            <v>167</v>
          </cell>
          <cell r="AB1136">
            <v>2.8570000000000002E-2</v>
          </cell>
        </row>
        <row r="1137">
          <cell r="A1137" t="str">
            <v>F-2026-03-479</v>
          </cell>
          <cell r="B1137"/>
          <cell r="C1137" t="str">
            <v>FPRO-260324-0051</v>
          </cell>
          <cell r="D1137" t="str">
            <v>Firm plan 24.3</v>
          </cell>
          <cell r="E1137" t="str">
            <v>BDB-000163</v>
          </cell>
          <cell r="F1137" t="str">
            <v>PVN-001556</v>
          </cell>
          <cell r="G1137" t="str">
            <v>OrthoLite Ultra-Nike YELLOW/13-0858TPX 0.085D 25+/-4 Asker C 1.1M 2M 4mm</v>
          </cell>
          <cell r="H1137">
            <v>1500</v>
          </cell>
          <cell r="I1137">
            <v>1500</v>
          </cell>
          <cell r="J1137">
            <v>0</v>
          </cell>
          <cell r="K1137">
            <v>1500</v>
          </cell>
          <cell r="L1137" t="str">
            <v>NIKE</v>
          </cell>
          <cell r="M1137" t="str">
            <v>Forecast</v>
          </cell>
          <cell r="N1137" t="str">
            <v>DIE CUT</v>
          </cell>
          <cell r="O1137">
            <v>1</v>
          </cell>
          <cell r="P1137">
            <v>46105</v>
          </cell>
          <cell r="Q1137">
            <v>46175</v>
          </cell>
          <cell r="R1137">
            <v>46172</v>
          </cell>
          <cell r="S1137">
            <v>70</v>
          </cell>
          <cell r="T1137">
            <v>4</v>
          </cell>
          <cell r="U1137">
            <v>35</v>
          </cell>
          <cell r="V1137">
            <v>43</v>
          </cell>
          <cell r="W1137" t="str">
            <v>0.085D</v>
          </cell>
          <cell r="X1137" t="str">
            <v>6-2026</v>
          </cell>
          <cell r="Y1137" t="str">
            <v>Week 22</v>
          </cell>
          <cell r="Z1137">
            <v>46167</v>
          </cell>
          <cell r="AA1137">
            <v>27</v>
          </cell>
          <cell r="AB1137">
            <v>2.8570000000000002E-2</v>
          </cell>
        </row>
        <row r="1138">
          <cell r="A1138" t="str">
            <v>F-2026-03-480</v>
          </cell>
          <cell r="B1138"/>
          <cell r="C1138" t="str">
            <v>FPRO-260324-0052</v>
          </cell>
          <cell r="D1138" t="str">
            <v>Firm plan 24.3</v>
          </cell>
          <cell r="E1138" t="str">
            <v>BDB-000163</v>
          </cell>
          <cell r="F1138" t="str">
            <v>PVN-001556</v>
          </cell>
          <cell r="G1138" t="str">
            <v>OrthoLite Ultra-Nike YELLOW/13-0858TPX 0.085D 25+/-4 Asker C 1.1M 2M 4mm</v>
          </cell>
          <cell r="H1138">
            <v>1500</v>
          </cell>
          <cell r="I1138">
            <v>1500</v>
          </cell>
          <cell r="J1138">
            <v>0</v>
          </cell>
          <cell r="K1138">
            <v>1500</v>
          </cell>
          <cell r="L1138" t="str">
            <v>NIKE</v>
          </cell>
          <cell r="M1138" t="str">
            <v>Forecast</v>
          </cell>
          <cell r="N1138" t="str">
            <v>DIE CUT</v>
          </cell>
          <cell r="O1138">
            <v>1</v>
          </cell>
          <cell r="P1138">
            <v>46105</v>
          </cell>
          <cell r="Q1138">
            <v>46186</v>
          </cell>
          <cell r="R1138">
            <v>46183</v>
          </cell>
          <cell r="S1138">
            <v>81</v>
          </cell>
          <cell r="T1138">
            <v>4</v>
          </cell>
          <cell r="U1138">
            <v>35</v>
          </cell>
          <cell r="V1138">
            <v>43</v>
          </cell>
          <cell r="W1138" t="str">
            <v>0.085D</v>
          </cell>
          <cell r="X1138" t="str">
            <v>6-2026</v>
          </cell>
          <cell r="Y1138" t="str">
            <v>Week 23</v>
          </cell>
          <cell r="Z1138">
            <v>46174</v>
          </cell>
          <cell r="AA1138">
            <v>58</v>
          </cell>
          <cell r="AB1138">
            <v>2.8570000000000002E-2</v>
          </cell>
        </row>
        <row r="1139">
          <cell r="A1139" t="str">
            <v>F-2026-03-481</v>
          </cell>
          <cell r="B1139"/>
          <cell r="C1139" t="str">
            <v>FPRO-260324-0053</v>
          </cell>
          <cell r="D1139" t="str">
            <v>Firm plan 24.3</v>
          </cell>
          <cell r="E1139" t="str">
            <v>BDB-000218</v>
          </cell>
          <cell r="F1139" t="str">
            <v>PVN-003488</v>
          </cell>
          <cell r="G1139" t="str">
            <v>OrthoLite Ultra-Nike SEEDPEARL/12-0703TPX 0.085D 5-10 Asker C 1.1M 2M 4mm</v>
          </cell>
          <cell r="H1139">
            <v>500</v>
          </cell>
          <cell r="I1139">
            <v>500</v>
          </cell>
          <cell r="J1139">
            <v>0</v>
          </cell>
          <cell r="K1139">
            <v>500</v>
          </cell>
          <cell r="L1139" t="str">
            <v>NIKE</v>
          </cell>
          <cell r="M1139" t="str">
            <v>Forecast</v>
          </cell>
          <cell r="N1139" t="str">
            <v>DIE CUT</v>
          </cell>
          <cell r="O1139">
            <v>1</v>
          </cell>
          <cell r="P1139">
            <v>46105</v>
          </cell>
          <cell r="Q1139">
            <v>46121</v>
          </cell>
          <cell r="R1139">
            <v>46118</v>
          </cell>
          <cell r="S1139">
            <v>16</v>
          </cell>
          <cell r="T1139">
            <v>4</v>
          </cell>
          <cell r="U1139">
            <v>35</v>
          </cell>
          <cell r="V1139">
            <v>15</v>
          </cell>
          <cell r="W1139" t="str">
            <v>0.085D</v>
          </cell>
          <cell r="X1139" t="str">
            <v>4-2026</v>
          </cell>
          <cell r="Y1139" t="str">
            <v>Week 14</v>
          </cell>
          <cell r="Z1139">
            <v>46111</v>
          </cell>
          <cell r="AA1139">
            <v>16</v>
          </cell>
          <cell r="AB1139">
            <v>2.8570000000000002E-2</v>
          </cell>
        </row>
        <row r="1140">
          <cell r="A1140" t="str">
            <v>F-2026-03-482</v>
          </cell>
          <cell r="B1140"/>
          <cell r="C1140" t="str">
            <v>FPRO-260324-0054</v>
          </cell>
          <cell r="D1140" t="str">
            <v>Firm plan 24.3</v>
          </cell>
          <cell r="E1140" t="str">
            <v>BDB-000218</v>
          </cell>
          <cell r="F1140" t="str">
            <v>PVN-003488</v>
          </cell>
          <cell r="G1140" t="str">
            <v>OrthoLite Ultra-Nike SEEDPEARL/12-0703TPX 0.085D 5-10 Asker C 1.1M 2M 4mm</v>
          </cell>
          <cell r="H1140">
            <v>500</v>
          </cell>
          <cell r="I1140">
            <v>500</v>
          </cell>
          <cell r="J1140">
            <v>0</v>
          </cell>
          <cell r="K1140">
            <v>500</v>
          </cell>
          <cell r="L1140" t="str">
            <v>NIKE</v>
          </cell>
          <cell r="M1140" t="str">
            <v>Forecast</v>
          </cell>
          <cell r="N1140" t="str">
            <v>DIE CUT</v>
          </cell>
          <cell r="O1140">
            <v>1</v>
          </cell>
          <cell r="P1140">
            <v>46105</v>
          </cell>
          <cell r="Q1140">
            <v>46135</v>
          </cell>
          <cell r="R1140">
            <v>46132</v>
          </cell>
          <cell r="S1140">
            <v>30</v>
          </cell>
          <cell r="T1140">
            <v>4</v>
          </cell>
          <cell r="U1140">
            <v>35</v>
          </cell>
          <cell r="V1140">
            <v>15</v>
          </cell>
          <cell r="W1140" t="str">
            <v>0.085D</v>
          </cell>
          <cell r="X1140" t="str">
            <v>4-2026</v>
          </cell>
          <cell r="Y1140" t="str">
            <v>Week 16</v>
          </cell>
          <cell r="Z1140">
            <v>46125</v>
          </cell>
          <cell r="AA1140">
            <v>20</v>
          </cell>
          <cell r="AB1140">
            <v>2.8570000000000002E-2</v>
          </cell>
        </row>
        <row r="1141">
          <cell r="A1141" t="str">
            <v>F-2026-03-483</v>
          </cell>
          <cell r="B1141"/>
          <cell r="C1141" t="str">
            <v>FPRO-260324-0055</v>
          </cell>
          <cell r="D1141" t="str">
            <v>Firm plan 24.3</v>
          </cell>
          <cell r="E1141" t="str">
            <v>BDB-000218</v>
          </cell>
          <cell r="F1141" t="str">
            <v>PVN-003488</v>
          </cell>
          <cell r="G1141" t="str">
            <v>OrthoLite Ultra-Nike SEEDPEARL/12-0703TPX 0.085D 5-10 Asker C 1.1M 2M 4mm</v>
          </cell>
          <cell r="H1141">
            <v>500</v>
          </cell>
          <cell r="I1141">
            <v>500</v>
          </cell>
          <cell r="J1141">
            <v>0</v>
          </cell>
          <cell r="K1141">
            <v>500</v>
          </cell>
          <cell r="L1141" t="str">
            <v>NIKE</v>
          </cell>
          <cell r="M1141" t="str">
            <v>Forecast</v>
          </cell>
          <cell r="N1141" t="str">
            <v>DIE CUT</v>
          </cell>
          <cell r="O1141">
            <v>1</v>
          </cell>
          <cell r="P1141">
            <v>46105</v>
          </cell>
          <cell r="Q1141">
            <v>46154</v>
          </cell>
          <cell r="R1141">
            <v>46151</v>
          </cell>
          <cell r="S1141">
            <v>49</v>
          </cell>
          <cell r="T1141">
            <v>4</v>
          </cell>
          <cell r="U1141">
            <v>35</v>
          </cell>
          <cell r="V1141">
            <v>15</v>
          </cell>
          <cell r="W1141" t="str">
            <v>0.085D</v>
          </cell>
          <cell r="X1141" t="str">
            <v>5-2026</v>
          </cell>
          <cell r="Y1141" t="str">
            <v>Week 19</v>
          </cell>
          <cell r="Z1141">
            <v>46146</v>
          </cell>
          <cell r="AA1141">
            <v>45</v>
          </cell>
          <cell r="AB1141">
            <v>2.8570000000000002E-2</v>
          </cell>
        </row>
        <row r="1142">
          <cell r="A1142" t="str">
            <v>F-2026-03-484</v>
          </cell>
          <cell r="B1142"/>
          <cell r="C1142" t="str">
            <v>FPRO-260324-0056</v>
          </cell>
          <cell r="D1142" t="str">
            <v>Firm plan 24.3</v>
          </cell>
          <cell r="E1142" t="str">
            <v>BDB-000218</v>
          </cell>
          <cell r="F1142" t="str">
            <v>PVN-003488</v>
          </cell>
          <cell r="G1142" t="str">
            <v>OrthoLite Ultra-Nike SEEDPEARL/12-0703TPX 0.085D 5-10 Asker C 1.1M 2M 4mm</v>
          </cell>
          <cell r="H1142">
            <v>300</v>
          </cell>
          <cell r="I1142">
            <v>300</v>
          </cell>
          <cell r="J1142">
            <v>0</v>
          </cell>
          <cell r="K1142">
            <v>300</v>
          </cell>
          <cell r="L1142" t="str">
            <v>NIKE</v>
          </cell>
          <cell r="M1142" t="str">
            <v>Forecast</v>
          </cell>
          <cell r="N1142" t="str">
            <v>DIE CUT</v>
          </cell>
          <cell r="O1142">
            <v>1</v>
          </cell>
          <cell r="P1142">
            <v>46105</v>
          </cell>
          <cell r="Q1142">
            <v>46150</v>
          </cell>
          <cell r="R1142">
            <v>46147</v>
          </cell>
          <cell r="S1142">
            <v>45</v>
          </cell>
          <cell r="T1142">
            <v>4</v>
          </cell>
          <cell r="U1142">
            <v>35</v>
          </cell>
          <cell r="V1142">
            <v>9</v>
          </cell>
          <cell r="W1142" t="str">
            <v>0.085D</v>
          </cell>
          <cell r="X1142" t="str">
            <v>5-2026</v>
          </cell>
          <cell r="Y1142" t="str">
            <v>Week 19</v>
          </cell>
          <cell r="Z1142">
            <v>46146</v>
          </cell>
          <cell r="AA1142">
            <v>26</v>
          </cell>
          <cell r="AB1142">
            <v>2.8570000000000002E-2</v>
          </cell>
        </row>
        <row r="1143">
          <cell r="A1143" t="str">
            <v>F-2026-03-485</v>
          </cell>
          <cell r="B1143"/>
          <cell r="C1143" t="str">
            <v>FPRO-260324-0057</v>
          </cell>
          <cell r="D1143" t="str">
            <v>Firm plan 24.3</v>
          </cell>
          <cell r="E1143" t="str">
            <v>BDB-000175</v>
          </cell>
          <cell r="F1143" t="str">
            <v>PVN-002875</v>
          </cell>
          <cell r="G1143" t="str">
            <v>OrthoLite Ultra-Hybrid-Nike SEEDPEARL/12-0703TPX Hybrid 0.085D 25+/-4 Asker C 1.1M 2M 3mm</v>
          </cell>
          <cell r="H1143">
            <v>1000</v>
          </cell>
          <cell r="I1143">
            <v>1000</v>
          </cell>
          <cell r="J1143">
            <v>0</v>
          </cell>
          <cell r="K1143">
            <v>1000</v>
          </cell>
          <cell r="L1143" t="str">
            <v>NIKE</v>
          </cell>
          <cell r="M1143" t="str">
            <v>Forecast</v>
          </cell>
          <cell r="N1143" t="str">
            <v>DIE CUT</v>
          </cell>
          <cell r="O1143">
            <v>1</v>
          </cell>
          <cell r="P1143">
            <v>46105</v>
          </cell>
          <cell r="Q1143">
            <v>46121</v>
          </cell>
          <cell r="R1143">
            <v>46118</v>
          </cell>
          <cell r="S1143">
            <v>16</v>
          </cell>
          <cell r="T1143">
            <v>3</v>
          </cell>
          <cell r="U1143">
            <v>46</v>
          </cell>
          <cell r="V1143">
            <v>22</v>
          </cell>
          <cell r="W1143" t="str">
            <v>0.085D</v>
          </cell>
          <cell r="X1143" t="str">
            <v>4-2026</v>
          </cell>
          <cell r="Y1143" t="str">
            <v>Week 14</v>
          </cell>
          <cell r="Z1143">
            <v>46111</v>
          </cell>
          <cell r="AA1143">
            <v>93</v>
          </cell>
          <cell r="AB1143">
            <v>2.1739999999999999E-2</v>
          </cell>
        </row>
        <row r="1144">
          <cell r="A1144" t="str">
            <v>F-2026-03-486</v>
          </cell>
          <cell r="B1144"/>
          <cell r="C1144" t="str">
            <v>FPRO-260324-0058</v>
          </cell>
          <cell r="D1144" t="str">
            <v>Firm plan 24.3</v>
          </cell>
          <cell r="E1144" t="str">
            <v>BDB-000175</v>
          </cell>
          <cell r="F1144" t="str">
            <v>PVN-002875</v>
          </cell>
          <cell r="G1144" t="str">
            <v>OrthoLite Ultra-Hybrid-Nike SEEDPEARL/12-0703TPX Hybrid 0.085D 25+/-4 Asker C 1.1M 2M 3mm</v>
          </cell>
          <cell r="H1144">
            <v>1000</v>
          </cell>
          <cell r="I1144">
            <v>1000</v>
          </cell>
          <cell r="J1144">
            <v>0</v>
          </cell>
          <cell r="K1144">
            <v>1000</v>
          </cell>
          <cell r="L1144" t="str">
            <v>NIKE</v>
          </cell>
          <cell r="M1144" t="str">
            <v>Forecast</v>
          </cell>
          <cell r="N1144" t="str">
            <v>DIE CUT</v>
          </cell>
          <cell r="O1144">
            <v>1</v>
          </cell>
          <cell r="P1144">
            <v>46105</v>
          </cell>
          <cell r="Q1144">
            <v>46130</v>
          </cell>
          <cell r="R1144">
            <v>46127</v>
          </cell>
          <cell r="S1144">
            <v>25</v>
          </cell>
          <cell r="T1144">
            <v>3</v>
          </cell>
          <cell r="U1144">
            <v>46</v>
          </cell>
          <cell r="V1144">
            <v>22</v>
          </cell>
          <cell r="W1144" t="str">
            <v>0.085D</v>
          </cell>
          <cell r="X1144" t="str">
            <v>4-2026</v>
          </cell>
          <cell r="Y1144" t="str">
            <v>Week 16</v>
          </cell>
          <cell r="Z1144">
            <v>46125</v>
          </cell>
          <cell r="AA1144">
            <v>9</v>
          </cell>
          <cell r="AB1144">
            <v>2.1739999999999999E-2</v>
          </cell>
        </row>
        <row r="1145">
          <cell r="A1145" t="str">
            <v>F-2026-03-487</v>
          </cell>
          <cell r="B1145"/>
          <cell r="C1145" t="str">
            <v>FPRO-260324-0059</v>
          </cell>
          <cell r="D1145" t="str">
            <v>Firm plan 24.3</v>
          </cell>
          <cell r="E1145" t="str">
            <v>BDB-000175</v>
          </cell>
          <cell r="F1145" t="str">
            <v>PVN-002875</v>
          </cell>
          <cell r="G1145" t="str">
            <v>OrthoLite Ultra-Hybrid-Nike SEEDPEARL/12-0703TPX Hybrid 0.085D 25+/-4 Asker C 1.1M 2M 3mm</v>
          </cell>
          <cell r="H1145">
            <v>1000</v>
          </cell>
          <cell r="I1145">
            <v>1000</v>
          </cell>
          <cell r="J1145">
            <v>0</v>
          </cell>
          <cell r="K1145">
            <v>1000</v>
          </cell>
          <cell r="L1145" t="str">
            <v>NIKE</v>
          </cell>
          <cell r="M1145" t="str">
            <v>Forecast</v>
          </cell>
          <cell r="N1145" t="str">
            <v>DIE CUT</v>
          </cell>
          <cell r="O1145">
            <v>1</v>
          </cell>
          <cell r="P1145">
            <v>46105</v>
          </cell>
          <cell r="Q1145">
            <v>46149</v>
          </cell>
          <cell r="R1145">
            <v>46146</v>
          </cell>
          <cell r="S1145">
            <v>44</v>
          </cell>
          <cell r="T1145">
            <v>3</v>
          </cell>
          <cell r="U1145">
            <v>46</v>
          </cell>
          <cell r="V1145">
            <v>22</v>
          </cell>
          <cell r="W1145" t="str">
            <v>0.085D</v>
          </cell>
          <cell r="X1145" t="str">
            <v>5-2026</v>
          </cell>
          <cell r="Y1145" t="str">
            <v>Week 17</v>
          </cell>
          <cell r="Z1145">
            <v>46132</v>
          </cell>
          <cell r="AA1145">
            <v>383</v>
          </cell>
          <cell r="AB1145">
            <v>2.1739999999999999E-2</v>
          </cell>
        </row>
        <row r="1146">
          <cell r="A1146" t="str">
            <v>F-2026-03-488</v>
          </cell>
          <cell r="B1146"/>
          <cell r="C1146" t="str">
            <v>FPRO-260324-0060</v>
          </cell>
          <cell r="D1146" t="str">
            <v>Firm plan 24.3</v>
          </cell>
          <cell r="E1146" t="str">
            <v>BDB-000175</v>
          </cell>
          <cell r="F1146" t="str">
            <v>PVN-002875</v>
          </cell>
          <cell r="G1146" t="str">
            <v>OrthoLite Ultra-Hybrid-Nike SEEDPEARL/12-0703TPX Hybrid 0.085D 25+/-4 Asker C 1.1M 2M 3mm</v>
          </cell>
          <cell r="H1146">
            <v>500</v>
          </cell>
          <cell r="I1146">
            <v>500</v>
          </cell>
          <cell r="J1146">
            <v>0</v>
          </cell>
          <cell r="K1146">
            <v>500</v>
          </cell>
          <cell r="L1146" t="str">
            <v>NIKE</v>
          </cell>
          <cell r="M1146" t="str">
            <v>Forecast</v>
          </cell>
          <cell r="N1146" t="str">
            <v>DIE CUT</v>
          </cell>
          <cell r="O1146">
            <v>1</v>
          </cell>
          <cell r="P1146">
            <v>46105</v>
          </cell>
          <cell r="Q1146">
            <v>46163</v>
          </cell>
          <cell r="R1146">
            <v>46160</v>
          </cell>
          <cell r="S1146">
            <v>58</v>
          </cell>
          <cell r="T1146">
            <v>3</v>
          </cell>
          <cell r="U1146">
            <v>46</v>
          </cell>
          <cell r="V1146">
            <v>11</v>
          </cell>
          <cell r="W1146" t="str">
            <v>0.085D</v>
          </cell>
          <cell r="X1146" t="str">
            <v>5-2026</v>
          </cell>
          <cell r="Y1146" t="str">
            <v>Week 20</v>
          </cell>
          <cell r="Z1146">
            <v>46153</v>
          </cell>
          <cell r="AA1146">
            <v>383</v>
          </cell>
          <cell r="AB1146">
            <v>2.1739999999999999E-2</v>
          </cell>
        </row>
        <row r="1147">
          <cell r="A1147" t="str">
            <v>F-2026-03-489</v>
          </cell>
          <cell r="B1147"/>
          <cell r="C1147" t="str">
            <v>FPRO-260324-0061</v>
          </cell>
          <cell r="D1147" t="str">
            <v>Firm plan 24.3</v>
          </cell>
          <cell r="E1147" t="str">
            <v>BDB-000145</v>
          </cell>
          <cell r="F1147" t="str">
            <v>PVN-002811</v>
          </cell>
          <cell r="G1147" t="str">
            <v>OrthoLite Regular-Hybrid-Nike YELLOW/13-0858TPX Hybrid 0.11D 25+/-4 Asker C 1.1M 1.7M 2mm</v>
          </cell>
          <cell r="H1147">
            <v>500</v>
          </cell>
          <cell r="I1147">
            <v>500</v>
          </cell>
          <cell r="J1147">
            <v>0</v>
          </cell>
          <cell r="K1147">
            <v>500</v>
          </cell>
          <cell r="L1147" t="str">
            <v>NIKE</v>
          </cell>
          <cell r="M1147" t="str">
            <v>Forecast</v>
          </cell>
          <cell r="N1147" t="str">
            <v>DIE CUT</v>
          </cell>
          <cell r="O1147">
            <v>1</v>
          </cell>
          <cell r="P1147">
            <v>46105</v>
          </cell>
          <cell r="Q1147">
            <v>46116</v>
          </cell>
          <cell r="R1147">
            <v>46113</v>
          </cell>
          <cell r="S1147">
            <v>11</v>
          </cell>
          <cell r="T1147">
            <v>2</v>
          </cell>
          <cell r="U1147">
            <v>70</v>
          </cell>
          <cell r="V1147">
            <v>8</v>
          </cell>
          <cell r="W1147" t="str">
            <v>0.11D</v>
          </cell>
          <cell r="X1147" t="str">
            <v>4-2026</v>
          </cell>
          <cell r="Y1147" t="str">
            <v>Week 13</v>
          </cell>
          <cell r="Z1147">
            <v>46104</v>
          </cell>
          <cell r="AA1147">
            <v>383</v>
          </cell>
          <cell r="AB1147">
            <v>1.4290000000000001E-2</v>
          </cell>
        </row>
        <row r="1148">
          <cell r="A1148" t="str">
            <v>F-2026-03-490</v>
          </cell>
          <cell r="B1148"/>
          <cell r="C1148" t="str">
            <v>FPRO-260324-0062</v>
          </cell>
          <cell r="D1148" t="str">
            <v>Firm plan 24.3</v>
          </cell>
          <cell r="E1148" t="str">
            <v>BDB-000145</v>
          </cell>
          <cell r="F1148" t="str">
            <v>PVN-002811</v>
          </cell>
          <cell r="G1148" t="str">
            <v>OrthoLite Regular-Hybrid-Nike YELLOW/13-0858TPX Hybrid 0.11D 25+/-4 Asker C 1.1M 1.7M 2mm</v>
          </cell>
          <cell r="H1148">
            <v>200</v>
          </cell>
          <cell r="I1148">
            <v>200</v>
          </cell>
          <cell r="J1148">
            <v>0</v>
          </cell>
          <cell r="K1148">
            <v>200</v>
          </cell>
          <cell r="L1148" t="str">
            <v>NIKE</v>
          </cell>
          <cell r="M1148" t="str">
            <v>Forecast</v>
          </cell>
          <cell r="N1148" t="str">
            <v>DIE CUT</v>
          </cell>
          <cell r="O1148">
            <v>1</v>
          </cell>
          <cell r="P1148">
            <v>46105</v>
          </cell>
          <cell r="Q1148">
            <v>46175</v>
          </cell>
          <cell r="R1148">
            <v>46172</v>
          </cell>
          <cell r="S1148">
            <v>70</v>
          </cell>
          <cell r="T1148">
            <v>2</v>
          </cell>
          <cell r="U1148">
            <v>70</v>
          </cell>
          <cell r="V1148">
            <v>3</v>
          </cell>
          <cell r="W1148" t="str">
            <v>0.11D</v>
          </cell>
          <cell r="X1148" t="str">
            <v>6-2026</v>
          </cell>
          <cell r="Y1148" t="str">
            <v>Week 22</v>
          </cell>
          <cell r="Z1148">
            <v>46167</v>
          </cell>
          <cell r="AA1148">
            <v>383</v>
          </cell>
          <cell r="AB1148">
            <v>1.4290000000000001E-2</v>
          </cell>
        </row>
        <row r="1149">
          <cell r="A1149" t="str">
            <v>F-2026-03-491-1</v>
          </cell>
          <cell r="B1149"/>
          <cell r="C1149" t="str">
            <v>FPRO-260324-0063</v>
          </cell>
          <cell r="D1149" t="str">
            <v>Firm plan 24.3</v>
          </cell>
          <cell r="E1149" t="str">
            <v>BDB-000125</v>
          </cell>
          <cell r="F1149" t="str">
            <v>PVN-001579</v>
          </cell>
          <cell r="G1149" t="str">
            <v>OrthoLite Regular-Nike AIR BLUE/16-4134TPX Flat Sheet 0.11D 25+/-4 Asker C 1.1M 2M 4mm</v>
          </cell>
          <cell r="H1149">
            <v>750</v>
          </cell>
          <cell r="I1149">
            <v>750</v>
          </cell>
          <cell r="J1149">
            <v>0</v>
          </cell>
          <cell r="K1149">
            <v>750</v>
          </cell>
          <cell r="L1149" t="str">
            <v>NIKE</v>
          </cell>
          <cell r="M1149" t="str">
            <v>Forecast</v>
          </cell>
          <cell r="N1149" t="str">
            <v>DIE CUT</v>
          </cell>
          <cell r="O1149">
            <v>1</v>
          </cell>
          <cell r="P1149">
            <v>46105</v>
          </cell>
          <cell r="Q1149">
            <v>46158</v>
          </cell>
          <cell r="R1149">
            <v>46155</v>
          </cell>
          <cell r="S1149">
            <v>53</v>
          </cell>
          <cell r="T1149">
            <v>4</v>
          </cell>
          <cell r="U1149">
            <v>35</v>
          </cell>
          <cell r="V1149">
            <v>22</v>
          </cell>
          <cell r="W1149" t="str">
            <v>0.11D</v>
          </cell>
          <cell r="X1149" t="str">
            <v>5-2026</v>
          </cell>
          <cell r="Y1149" t="str">
            <v>Week 20</v>
          </cell>
          <cell r="Z1149">
            <v>46153</v>
          </cell>
          <cell r="AA1149">
            <v>383</v>
          </cell>
          <cell r="AB1149">
            <v>2.8570000000000002E-2</v>
          </cell>
        </row>
        <row r="1150">
          <cell r="A1150" t="str">
            <v>F-2026-03-491-2</v>
          </cell>
          <cell r="B1150"/>
          <cell r="C1150" t="str">
            <v>FPRO-260428-0001</v>
          </cell>
          <cell r="D1150" t="str">
            <v>Firm plan 24.3</v>
          </cell>
          <cell r="E1150" t="str">
            <v>BDB-000125</v>
          </cell>
          <cell r="F1150" t="str">
            <v>PVN-001579</v>
          </cell>
          <cell r="G1150" t="str">
            <v>OrthoLite Regular-Nike AIR BLUE/16-4134TPX Flat Sheet 0.11D 25+/-4 Asker C 1.1M 2M 4mm</v>
          </cell>
          <cell r="H1150">
            <v>500</v>
          </cell>
          <cell r="I1150">
            <v>500</v>
          </cell>
          <cell r="J1150">
            <v>0</v>
          </cell>
          <cell r="K1150">
            <v>500</v>
          </cell>
          <cell r="L1150" t="str">
            <v>NIKE</v>
          </cell>
          <cell r="M1150" t="str">
            <v>Forecast</v>
          </cell>
          <cell r="N1150" t="str">
            <v>DIE CUT</v>
          </cell>
          <cell r="O1150">
            <v>1</v>
          </cell>
          <cell r="P1150">
            <v>46105</v>
          </cell>
          <cell r="Q1150">
            <v>46170</v>
          </cell>
          <cell r="R1150">
            <v>46167</v>
          </cell>
          <cell r="S1150">
            <v>65</v>
          </cell>
          <cell r="T1150">
            <v>4</v>
          </cell>
          <cell r="U1150">
            <v>35</v>
          </cell>
          <cell r="V1150">
            <v>15</v>
          </cell>
          <cell r="W1150" t="str">
            <v>0.11D</v>
          </cell>
          <cell r="X1150" t="str">
            <v>5-2026</v>
          </cell>
          <cell r="Y1150" t="str">
            <v>Week 21</v>
          </cell>
          <cell r="Z1150">
            <v>46160</v>
          </cell>
          <cell r="AA1150">
            <v>383</v>
          </cell>
          <cell r="AB1150">
            <v>2.8570000000000002E-2</v>
          </cell>
        </row>
        <row r="1151">
          <cell r="A1151" t="str">
            <v>F-2026-03-492</v>
          </cell>
          <cell r="B1151"/>
          <cell r="C1151" t="str">
            <v>FPRO-260324-0064</v>
          </cell>
          <cell r="D1151" t="str">
            <v>Firm plan 24.3</v>
          </cell>
          <cell r="E1151" t="str">
            <v>BDB-000125</v>
          </cell>
          <cell r="F1151" t="str">
            <v>PVN-001579</v>
          </cell>
          <cell r="G1151" t="str">
            <v>OrthoLite Regular-Nike AIR BLUE/16-4134TPX Flat Sheet 0.11D 25+/-4 Asker C 1.1M 2M 4mm</v>
          </cell>
          <cell r="H1151">
            <v>1000</v>
          </cell>
          <cell r="I1151">
            <v>1000</v>
          </cell>
          <cell r="J1151">
            <v>0</v>
          </cell>
          <cell r="K1151">
            <v>1000</v>
          </cell>
          <cell r="L1151" t="str">
            <v>NIKE</v>
          </cell>
          <cell r="M1151" t="str">
            <v>Forecast</v>
          </cell>
          <cell r="N1151" t="str">
            <v>DIE CUT</v>
          </cell>
          <cell r="O1151">
            <v>1</v>
          </cell>
          <cell r="P1151">
            <v>46105</v>
          </cell>
          <cell r="Q1151">
            <v>46125</v>
          </cell>
          <cell r="R1151">
            <v>46122</v>
          </cell>
          <cell r="S1151">
            <v>20</v>
          </cell>
          <cell r="T1151">
            <v>4</v>
          </cell>
          <cell r="U1151">
            <v>35</v>
          </cell>
          <cell r="V1151">
            <v>29</v>
          </cell>
          <cell r="W1151" t="str">
            <v>0.11D</v>
          </cell>
          <cell r="X1151" t="str">
            <v>4-2026</v>
          </cell>
          <cell r="Y1151" t="str">
            <v>Week 15</v>
          </cell>
          <cell r="Z1151">
            <v>46118</v>
          </cell>
          <cell r="AA1151">
            <v>383</v>
          </cell>
          <cell r="AB1151">
            <v>2.8570000000000002E-2</v>
          </cell>
        </row>
        <row r="1152">
          <cell r="A1152" t="str">
            <v>F-2026-03-493</v>
          </cell>
          <cell r="B1152"/>
          <cell r="C1152" t="str">
            <v>FPRO-260324-0065</v>
          </cell>
          <cell r="D1152" t="str">
            <v>Firm plan 24.3</v>
          </cell>
          <cell r="E1152" t="str">
            <v>BDB-000157</v>
          </cell>
          <cell r="F1152" t="str">
            <v>PVN-003573</v>
          </cell>
          <cell r="G1152" t="str">
            <v>OrthoLite X-35-Hybrid-Nike SEEDPEARL/12-0703TPX Hybrid 0.145D 25+/-4 Asker C 1.1M 2M 4.2mm</v>
          </cell>
          <cell r="H1152">
            <v>2000</v>
          </cell>
          <cell r="I1152">
            <v>2000</v>
          </cell>
          <cell r="J1152">
            <v>0</v>
          </cell>
          <cell r="K1152">
            <v>2000</v>
          </cell>
          <cell r="L1152" t="str">
            <v>NIKE</v>
          </cell>
          <cell r="M1152" t="str">
            <v>Forecast</v>
          </cell>
          <cell r="N1152" t="str">
            <v>MOLDED</v>
          </cell>
          <cell r="O1152">
            <v>1</v>
          </cell>
          <cell r="P1152">
            <v>46105</v>
          </cell>
          <cell r="Q1152">
            <v>46133</v>
          </cell>
          <cell r="R1152">
            <v>46130</v>
          </cell>
          <cell r="S1152">
            <v>28</v>
          </cell>
          <cell r="T1152">
            <v>4.2</v>
          </cell>
          <cell r="U1152">
            <v>33</v>
          </cell>
          <cell r="V1152">
            <v>61</v>
          </cell>
          <cell r="W1152" t="str">
            <v>0.145D</v>
          </cell>
          <cell r="X1152" t="str">
            <v>4-2026</v>
          </cell>
          <cell r="Y1152" t="str">
            <v>Week 16</v>
          </cell>
          <cell r="Z1152">
            <v>46125</v>
          </cell>
          <cell r="AA1152">
            <v>383</v>
          </cell>
          <cell r="AB1152">
            <v>3.0300000000000001E-2</v>
          </cell>
        </row>
        <row r="1153">
          <cell r="A1153" t="str">
            <v>F-2026-03-494</v>
          </cell>
          <cell r="B1153"/>
          <cell r="C1153" t="str">
            <v>FPRO-260324-0066</v>
          </cell>
          <cell r="D1153" t="str">
            <v>Firm plan 24.3</v>
          </cell>
          <cell r="E1153" t="str">
            <v>BDB-000157</v>
          </cell>
          <cell r="F1153" t="str">
            <v>PVN-003573</v>
          </cell>
          <cell r="G1153" t="str">
            <v>OrthoLite X-35-Hybrid-Nike SEEDPEARL/12-0703TPX Hybrid 0.145D 25+/-4 Asker C 1.1M 2M 4.2mm</v>
          </cell>
          <cell r="H1153">
            <v>2000</v>
          </cell>
          <cell r="I1153">
            <v>2000</v>
          </cell>
          <cell r="J1153">
            <v>0</v>
          </cell>
          <cell r="K1153">
            <v>2000</v>
          </cell>
          <cell r="L1153" t="str">
            <v>NIKE</v>
          </cell>
          <cell r="M1153" t="str">
            <v>Forecast</v>
          </cell>
          <cell r="N1153" t="str">
            <v>MOLDED</v>
          </cell>
          <cell r="O1153">
            <v>1</v>
          </cell>
          <cell r="P1153">
            <v>46105</v>
          </cell>
          <cell r="Q1153">
            <v>46136</v>
          </cell>
          <cell r="R1153">
            <v>46133</v>
          </cell>
          <cell r="S1153">
            <v>31</v>
          </cell>
          <cell r="T1153">
            <v>4.2</v>
          </cell>
          <cell r="U1153">
            <v>33</v>
          </cell>
          <cell r="V1153">
            <v>61</v>
          </cell>
          <cell r="W1153" t="str">
            <v>0.145D</v>
          </cell>
          <cell r="X1153" t="str">
            <v>4-2026</v>
          </cell>
          <cell r="Y1153" t="str">
            <v>Week 17</v>
          </cell>
          <cell r="Z1153">
            <v>46132</v>
          </cell>
          <cell r="AA1153">
            <v>383</v>
          </cell>
          <cell r="AB1153">
            <v>3.0300000000000001E-2</v>
          </cell>
        </row>
        <row r="1154">
          <cell r="A1154" t="str">
            <v>F-2026-03-495</v>
          </cell>
          <cell r="B1154"/>
          <cell r="C1154" t="str">
            <v>FPRO-260324-0067</v>
          </cell>
          <cell r="D1154" t="str">
            <v>Firm plan 24.3</v>
          </cell>
          <cell r="E1154" t="str">
            <v>BDB-000157</v>
          </cell>
          <cell r="F1154" t="str">
            <v>PVN-003573</v>
          </cell>
          <cell r="G1154" t="str">
            <v>OrthoLite X-35-Hybrid-Nike SEEDPEARL/12-0703TPX Hybrid 0.145D 25+/-4 Asker C 1.1M 2M 4.2mm</v>
          </cell>
          <cell r="H1154">
            <v>2000</v>
          </cell>
          <cell r="I1154">
            <v>2000</v>
          </cell>
          <cell r="J1154">
            <v>0</v>
          </cell>
          <cell r="K1154">
            <v>2000</v>
          </cell>
          <cell r="L1154" t="str">
            <v>NIKE</v>
          </cell>
          <cell r="M1154" t="str">
            <v>Forecast</v>
          </cell>
          <cell r="N1154" t="str">
            <v>MOLDED</v>
          </cell>
          <cell r="O1154">
            <v>1</v>
          </cell>
          <cell r="P1154">
            <v>46105</v>
          </cell>
          <cell r="Q1154">
            <v>46153</v>
          </cell>
          <cell r="R1154">
            <v>46150</v>
          </cell>
          <cell r="S1154">
            <v>48</v>
          </cell>
          <cell r="T1154">
            <v>4.2</v>
          </cell>
          <cell r="U1154">
            <v>33</v>
          </cell>
          <cell r="V1154">
            <v>61</v>
          </cell>
          <cell r="W1154" t="str">
            <v>0.145D</v>
          </cell>
          <cell r="X1154" t="str">
            <v>5-2026</v>
          </cell>
          <cell r="Y1154" t="str">
            <v>Week 19</v>
          </cell>
          <cell r="Z1154">
            <v>46146</v>
          </cell>
          <cell r="AA1154">
            <v>383</v>
          </cell>
          <cell r="AB1154">
            <v>3.0300000000000001E-2</v>
          </cell>
        </row>
        <row r="1155">
          <cell r="A1155" t="str">
            <v>F-2026-03-496</v>
          </cell>
          <cell r="B1155"/>
          <cell r="C1155" t="str">
            <v>FPRO-260324-0068</v>
          </cell>
          <cell r="D1155" t="str">
            <v>Firm plan 24.3</v>
          </cell>
          <cell r="E1155" t="str">
            <v>BDB-000157</v>
          </cell>
          <cell r="F1155" t="str">
            <v>PVN-003573</v>
          </cell>
          <cell r="G1155" t="str">
            <v>OrthoLite X-35-Hybrid-Nike SEEDPEARL/12-0703TPX Hybrid 0.145D 25+/-4 Asker C 1.1M 2M 4.2mm</v>
          </cell>
          <cell r="H1155">
            <v>2000</v>
          </cell>
          <cell r="I1155">
            <v>2000</v>
          </cell>
          <cell r="J1155">
            <v>0</v>
          </cell>
          <cell r="K1155">
            <v>2000</v>
          </cell>
          <cell r="L1155" t="str">
            <v>NIKE</v>
          </cell>
          <cell r="M1155" t="str">
            <v>Forecast</v>
          </cell>
          <cell r="N1155" t="str">
            <v>MOLDED</v>
          </cell>
          <cell r="O1155">
            <v>1</v>
          </cell>
          <cell r="P1155">
            <v>46105</v>
          </cell>
          <cell r="Q1155">
            <v>46148</v>
          </cell>
          <cell r="R1155">
            <v>46145</v>
          </cell>
          <cell r="S1155">
            <v>43</v>
          </cell>
          <cell r="T1155">
            <v>4.2</v>
          </cell>
          <cell r="U1155">
            <v>33</v>
          </cell>
          <cell r="V1155">
            <v>61</v>
          </cell>
          <cell r="W1155" t="str">
            <v>0.145D</v>
          </cell>
          <cell r="X1155" t="str">
            <v>5-2026</v>
          </cell>
          <cell r="Y1155" t="str">
            <v>Week 17</v>
          </cell>
          <cell r="Z1155">
            <v>46132</v>
          </cell>
          <cell r="AA1155">
            <v>509</v>
          </cell>
          <cell r="AB1155">
            <v>3.0300000000000001E-2</v>
          </cell>
        </row>
        <row r="1156">
          <cell r="A1156" t="str">
            <v>F-2026-03-497</v>
          </cell>
          <cell r="B1156"/>
          <cell r="C1156" t="str">
            <v>FPRO-260324-0069</v>
          </cell>
          <cell r="D1156" t="str">
            <v>Firm plan 24.3</v>
          </cell>
          <cell r="E1156" t="str">
            <v>BDB-000157</v>
          </cell>
          <cell r="F1156" t="str">
            <v>PVN-003573</v>
          </cell>
          <cell r="G1156" t="str">
            <v>OrthoLite X-35-Hybrid-Nike SEEDPEARL/12-0703TPX Hybrid 0.145D 25+/-4 Asker C 1.1M 2M 4.2mm</v>
          </cell>
          <cell r="H1156">
            <v>1900</v>
          </cell>
          <cell r="I1156">
            <v>1900</v>
          </cell>
          <cell r="J1156">
            <v>0</v>
          </cell>
          <cell r="K1156">
            <v>1900</v>
          </cell>
          <cell r="L1156" t="str">
            <v>NIKE</v>
          </cell>
          <cell r="M1156" t="str">
            <v>Forecast</v>
          </cell>
          <cell r="N1156" t="str">
            <v>MOLDED</v>
          </cell>
          <cell r="O1156">
            <v>1</v>
          </cell>
          <cell r="P1156">
            <v>46105</v>
          </cell>
          <cell r="Q1156">
            <v>46130</v>
          </cell>
          <cell r="R1156">
            <v>46127</v>
          </cell>
          <cell r="S1156">
            <v>25</v>
          </cell>
          <cell r="T1156">
            <v>4.2</v>
          </cell>
          <cell r="U1156">
            <v>33</v>
          </cell>
          <cell r="V1156">
            <v>58</v>
          </cell>
          <cell r="W1156" t="str">
            <v>0.145D</v>
          </cell>
          <cell r="X1156" t="str">
            <v>4-2026</v>
          </cell>
          <cell r="Y1156" t="str">
            <v>Week 16</v>
          </cell>
          <cell r="Z1156">
            <v>46125</v>
          </cell>
          <cell r="AA1156">
            <v>509</v>
          </cell>
          <cell r="AB1156">
            <v>3.0300000000000001E-2</v>
          </cell>
        </row>
        <row r="1157">
          <cell r="A1157" t="str">
            <v>F-2026-03-498</v>
          </cell>
          <cell r="B1157"/>
          <cell r="C1157" t="str">
            <v>RPRO-260326-0431</v>
          </cell>
          <cell r="D1157" t="str">
            <v>MPS 24.03+25.03</v>
          </cell>
          <cell r="E1157" t="str">
            <v>BDB-000057</v>
          </cell>
          <cell r="F1157" t="str">
            <v>PVN-000849</v>
          </cell>
          <cell r="G1157" t="str">
            <v>OrthoLite Ultra YELLOW/13-0858TPX Flat Sheet 0.085D 25+/-4 Asker C 1.1M 2M 8mm</v>
          </cell>
          <cell r="H1157">
            <v>17</v>
          </cell>
          <cell r="I1157">
            <v>17</v>
          </cell>
          <cell r="J1157">
            <v>0</v>
          </cell>
          <cell r="K1157">
            <v>17</v>
          </cell>
          <cell r="L1157"/>
          <cell r="M1157" t="str">
            <v>MPS</v>
          </cell>
          <cell r="N1157" t="str">
            <v>SPLITTING</v>
          </cell>
          <cell r="O1157">
            <v>2</v>
          </cell>
          <cell r="P1157">
            <v>46107</v>
          </cell>
          <cell r="Q1157">
            <v>46122</v>
          </cell>
          <cell r="R1157">
            <v>46119</v>
          </cell>
          <cell r="S1157">
            <v>15</v>
          </cell>
          <cell r="T1157">
            <v>8</v>
          </cell>
          <cell r="U1157">
            <v>17</v>
          </cell>
          <cell r="V1157">
            <v>1</v>
          </cell>
          <cell r="W1157" t="str">
            <v>0.085D</v>
          </cell>
          <cell r="X1157" t="str">
            <v>4-2026</v>
          </cell>
          <cell r="Y1157" t="str">
            <v>Week 14</v>
          </cell>
          <cell r="Z1157">
            <v>46111</v>
          </cell>
          <cell r="AA1157">
            <v>509</v>
          </cell>
          <cell r="AB1157">
            <v>5.8819999999999997E-2</v>
          </cell>
        </row>
        <row r="1158">
          <cell r="A1158" t="str">
            <v>F-2026-03-499</v>
          </cell>
          <cell r="B1158"/>
          <cell r="C1158" t="str">
            <v>RPRO-260326-0432</v>
          </cell>
          <cell r="D1158" t="str">
            <v>MPS 24.03+25.03</v>
          </cell>
          <cell r="E1158" t="str">
            <v>BDB-000264</v>
          </cell>
          <cell r="F1158" t="str">
            <v>PVN-003881</v>
          </cell>
          <cell r="G1158" t="str">
            <v>OrthoLite Ultra YELLOW/13-0858TPX Flat Sheet 0.085D 25+/-4 Asker C 1.1M 1.47M 5mm</v>
          </cell>
          <cell r="H1158">
            <v>140</v>
          </cell>
          <cell r="I1158">
            <v>140</v>
          </cell>
          <cell r="J1158">
            <v>0</v>
          </cell>
          <cell r="K1158">
            <v>140</v>
          </cell>
          <cell r="L1158"/>
          <cell r="M1158" t="str">
            <v>MPS</v>
          </cell>
          <cell r="N1158" t="str">
            <v>SPLITTING</v>
          </cell>
          <cell r="O1158">
            <v>2</v>
          </cell>
          <cell r="P1158">
            <v>46107</v>
          </cell>
          <cell r="Q1158">
            <v>46122</v>
          </cell>
          <cell r="R1158">
            <v>46119</v>
          </cell>
          <cell r="S1158">
            <v>15</v>
          </cell>
          <cell r="T1158">
            <v>5</v>
          </cell>
          <cell r="U1158">
            <v>28</v>
          </cell>
          <cell r="V1158">
            <v>5</v>
          </cell>
          <cell r="W1158" t="str">
            <v>0.085D</v>
          </cell>
          <cell r="X1158" t="str">
            <v>4-2026</v>
          </cell>
          <cell r="Y1158" t="str">
            <v>Week 14</v>
          </cell>
          <cell r="Z1158">
            <v>46111</v>
          </cell>
          <cell r="AA1158">
            <v>509</v>
          </cell>
          <cell r="AB1158">
            <v>3.5709999999999999E-2</v>
          </cell>
        </row>
        <row r="1159">
          <cell r="A1159" t="str">
            <v>F-2026-03-500</v>
          </cell>
          <cell r="B1159"/>
          <cell r="C1159" t="str">
            <v>RPRO-260326-0433</v>
          </cell>
          <cell r="D1159" t="str">
            <v>MPS 24.03+25.03</v>
          </cell>
          <cell r="E1159" t="str">
            <v>BDB-000011</v>
          </cell>
          <cell r="F1159" t="str">
            <v>PVN-000127</v>
          </cell>
          <cell r="G1159" t="str">
            <v>OrthoLite Regular AIR BLUE/16-4134TPX Flat Sheet 0.13D 35+/-4 Asker C 1.1M 2M 5mm</v>
          </cell>
          <cell r="H1159">
            <v>504</v>
          </cell>
          <cell r="I1159">
            <v>504</v>
          </cell>
          <cell r="J1159">
            <v>0</v>
          </cell>
          <cell r="K1159">
            <v>504</v>
          </cell>
          <cell r="L1159"/>
          <cell r="M1159" t="str">
            <v>MPS</v>
          </cell>
          <cell r="N1159" t="str">
            <v>SPLITTING</v>
          </cell>
          <cell r="O1159">
            <v>2</v>
          </cell>
          <cell r="P1159">
            <v>46107</v>
          </cell>
          <cell r="Q1159">
            <v>46122</v>
          </cell>
          <cell r="R1159">
            <v>46119</v>
          </cell>
          <cell r="S1159">
            <v>15</v>
          </cell>
          <cell r="T1159">
            <v>5</v>
          </cell>
          <cell r="U1159">
            <v>28</v>
          </cell>
          <cell r="V1159">
            <v>18</v>
          </cell>
          <cell r="W1159" t="str">
            <v>0.13D</v>
          </cell>
          <cell r="X1159" t="str">
            <v>4-2026</v>
          </cell>
          <cell r="Y1159" t="str">
            <v>Week 14</v>
          </cell>
          <cell r="Z1159">
            <v>46111</v>
          </cell>
          <cell r="AA1159">
            <v>509</v>
          </cell>
          <cell r="AB1159">
            <v>3.5709999999999999E-2</v>
          </cell>
        </row>
        <row r="1160">
          <cell r="A1160" t="str">
            <v>F-2026-03-501</v>
          </cell>
          <cell r="B1160"/>
          <cell r="C1160" t="str">
            <v>RPRO-260326-0434</v>
          </cell>
          <cell r="D1160" t="str">
            <v>MPS 24.03+25.03</v>
          </cell>
          <cell r="E1160" t="str">
            <v>BDB-000058</v>
          </cell>
          <cell r="F1160" t="str">
            <v>PVN-001277</v>
          </cell>
          <cell r="G1160" t="str">
            <v>OrthoLite Ultra GREEN/16-5932TPX Flat Sheet 0.085D 25+/-4 Asker C 1.1M 2M 4mm</v>
          </cell>
          <cell r="H1160">
            <v>455</v>
          </cell>
          <cell r="I1160">
            <v>455</v>
          </cell>
          <cell r="J1160">
            <v>0</v>
          </cell>
          <cell r="K1160">
            <v>455</v>
          </cell>
          <cell r="L1160"/>
          <cell r="M1160" t="str">
            <v>MPS</v>
          </cell>
          <cell r="N1160" t="str">
            <v>SPLITTING</v>
          </cell>
          <cell r="O1160">
            <v>2</v>
          </cell>
          <cell r="P1160">
            <v>46107</v>
          </cell>
          <cell r="Q1160">
            <v>46122</v>
          </cell>
          <cell r="R1160">
            <v>46119</v>
          </cell>
          <cell r="S1160">
            <v>15</v>
          </cell>
          <cell r="T1160">
            <v>4</v>
          </cell>
          <cell r="U1160">
            <v>35</v>
          </cell>
          <cell r="V1160">
            <v>13</v>
          </cell>
          <cell r="W1160" t="str">
            <v>0.085D</v>
          </cell>
          <cell r="X1160" t="str">
            <v>4-2026</v>
          </cell>
          <cell r="Y1160" t="str">
            <v>Week 14</v>
          </cell>
          <cell r="Z1160">
            <v>46111</v>
          </cell>
          <cell r="AA1160">
            <v>215</v>
          </cell>
          <cell r="AB1160">
            <v>2.8570000000000002E-2</v>
          </cell>
        </row>
        <row r="1161">
          <cell r="A1161" t="str">
            <v>F-2026-03-502</v>
          </cell>
          <cell r="B1161"/>
          <cell r="C1161" t="str">
            <v>RPRO-260326-0435</v>
          </cell>
          <cell r="D1161" t="str">
            <v>MPS 24.03+25.03</v>
          </cell>
          <cell r="E1161" t="str">
            <v>BDB-000123</v>
          </cell>
          <cell r="F1161" t="str">
            <v>PVN-003300</v>
          </cell>
          <cell r="G1161" t="str">
            <v>OrthoLite Ultra-Hybrid SEEDPEARL/12-0703TPX Hybrid Flat Sheet 0.085D 25+/-4 Asker C 1.1M 2M 2mm</v>
          </cell>
          <cell r="H1161">
            <v>420</v>
          </cell>
          <cell r="I1161">
            <v>420</v>
          </cell>
          <cell r="J1161">
            <v>0</v>
          </cell>
          <cell r="K1161">
            <v>420</v>
          </cell>
          <cell r="L1161"/>
          <cell r="M1161" t="str">
            <v>MPS</v>
          </cell>
          <cell r="N1161" t="str">
            <v>SPLITTING</v>
          </cell>
          <cell r="O1161">
            <v>2</v>
          </cell>
          <cell r="P1161">
            <v>46107</v>
          </cell>
          <cell r="Q1161">
            <v>46119</v>
          </cell>
          <cell r="R1161">
            <v>46116</v>
          </cell>
          <cell r="S1161">
            <v>12</v>
          </cell>
          <cell r="T1161">
            <v>2</v>
          </cell>
          <cell r="U1161">
            <v>70</v>
          </cell>
          <cell r="V1161">
            <v>7</v>
          </cell>
          <cell r="W1161" t="str">
            <v>0.085D</v>
          </cell>
          <cell r="X1161" t="str">
            <v>4-2026</v>
          </cell>
          <cell r="Y1161" t="str">
            <v>Week 14</v>
          </cell>
          <cell r="Z1161">
            <v>46111</v>
          </cell>
          <cell r="AA1161">
            <v>215</v>
          </cell>
          <cell r="AB1161">
            <v>1.4290000000000001E-2</v>
          </cell>
        </row>
        <row r="1162">
          <cell r="A1162" t="str">
            <v>F-2026-03-503</v>
          </cell>
          <cell r="B1162"/>
          <cell r="C1162" t="str">
            <v>RPRO-260326-0436</v>
          </cell>
          <cell r="D1162" t="str">
            <v>MPS 24.03+25.03</v>
          </cell>
          <cell r="E1162" t="str">
            <v>BDB-000051</v>
          </cell>
          <cell r="F1162" t="str">
            <v>PVN-003329</v>
          </cell>
          <cell r="G1162" t="str">
            <v>OrthoLite X-40 TRUE BLUE/19-4057TPX Flat Sheet 0.16D 25+/-4 Asker C 1.1M 1.7M 5.5mm</v>
          </cell>
          <cell r="H1162">
            <v>25</v>
          </cell>
          <cell r="I1162">
            <v>25</v>
          </cell>
          <cell r="J1162">
            <v>0</v>
          </cell>
          <cell r="K1162">
            <v>25</v>
          </cell>
          <cell r="L1162"/>
          <cell r="M1162" t="str">
            <v>MPS</v>
          </cell>
          <cell r="N1162" t="str">
            <v>SPLITTING</v>
          </cell>
          <cell r="O1162">
            <v>2</v>
          </cell>
          <cell r="P1162">
            <v>46107</v>
          </cell>
          <cell r="Q1162">
            <v>46119</v>
          </cell>
          <cell r="R1162">
            <v>46116</v>
          </cell>
          <cell r="S1162">
            <v>12</v>
          </cell>
          <cell r="T1162">
            <v>5.5</v>
          </cell>
          <cell r="U1162">
            <v>25</v>
          </cell>
          <cell r="V1162">
            <v>1</v>
          </cell>
          <cell r="W1162" t="str">
            <v>0.16D</v>
          </cell>
          <cell r="X1162" t="str">
            <v>4-2026</v>
          </cell>
          <cell r="Y1162" t="str">
            <v>Week 14</v>
          </cell>
          <cell r="Z1162">
            <v>46111</v>
          </cell>
          <cell r="AA1162">
            <v>215</v>
          </cell>
          <cell r="AB1162">
            <v>0.04</v>
          </cell>
        </row>
        <row r="1163">
          <cell r="A1163" t="str">
            <v>F-2026-03-504</v>
          </cell>
          <cell r="B1163"/>
          <cell r="C1163" t="str">
            <v>RPRO-260326-0437</v>
          </cell>
          <cell r="D1163" t="str">
            <v>MPS 24.03+25.03</v>
          </cell>
          <cell r="E1163" t="str">
            <v>BDB-000200</v>
          </cell>
          <cell r="F1163" t="str">
            <v>PVN-003420</v>
          </cell>
          <cell r="G1163" t="str">
            <v>OrthoLite Ultra SEEDPEARL/12-0703TPX Flat Sheet 0.085D 78-90 Asker F 1.1M 2M 6mm</v>
          </cell>
          <cell r="H1163">
            <v>368</v>
          </cell>
          <cell r="I1163">
            <v>368</v>
          </cell>
          <cell r="J1163">
            <v>0</v>
          </cell>
          <cell r="K1163">
            <v>368</v>
          </cell>
          <cell r="L1163"/>
          <cell r="M1163" t="str">
            <v>MPS</v>
          </cell>
          <cell r="N1163" t="str">
            <v>SPLITTING</v>
          </cell>
          <cell r="O1163">
            <v>2</v>
          </cell>
          <cell r="P1163">
            <v>46107</v>
          </cell>
          <cell r="Q1163">
            <v>46118</v>
          </cell>
          <cell r="R1163">
            <v>46115</v>
          </cell>
          <cell r="S1163">
            <v>11</v>
          </cell>
          <cell r="T1163">
            <v>6</v>
          </cell>
          <cell r="U1163">
            <v>23</v>
          </cell>
          <cell r="V1163">
            <v>17</v>
          </cell>
          <cell r="W1163" t="str">
            <v>0.085D</v>
          </cell>
          <cell r="X1163" t="str">
            <v>4-2026</v>
          </cell>
          <cell r="Y1163" t="str">
            <v>Week 14</v>
          </cell>
          <cell r="Z1163">
            <v>46111</v>
          </cell>
          <cell r="AA1163">
            <v>215</v>
          </cell>
          <cell r="AB1163">
            <v>4.3479999999999998E-2</v>
          </cell>
        </row>
        <row r="1164">
          <cell r="A1164" t="str">
            <v>F-2026-03-505</v>
          </cell>
          <cell r="B1164"/>
          <cell r="C1164" t="str">
            <v>RPRO-260326-0438</v>
          </cell>
          <cell r="D1164" t="str">
            <v>Pro.sche.report 24.03+25.03</v>
          </cell>
          <cell r="E1164" t="str">
            <v>BDB-000113</v>
          </cell>
          <cell r="F1164" t="str">
            <v>PVN-002699</v>
          </cell>
          <cell r="G1164" t="str">
            <v>OrthoLite Regular-Hybrid SEEDPEARL/12-0703TPX Hybrid Flat Sheet 0.11D 25+/-4 Asker C 1.1M 2M 4.5mm</v>
          </cell>
          <cell r="H1164">
            <v>248</v>
          </cell>
          <cell r="I1164">
            <v>248</v>
          </cell>
          <cell r="J1164">
            <v>0</v>
          </cell>
          <cell r="K1164">
            <v>248</v>
          </cell>
          <cell r="L1164" t="str">
            <v>ASICS</v>
          </cell>
          <cell r="M1164" t="str">
            <v>Pr.Sch.R</v>
          </cell>
          <cell r="N1164" t="str">
            <v>DIE CUT</v>
          </cell>
          <cell r="O1164">
            <v>1</v>
          </cell>
          <cell r="P1164">
            <v>46107</v>
          </cell>
          <cell r="Q1164">
            <v>46116</v>
          </cell>
          <cell r="R1164">
            <v>46113</v>
          </cell>
          <cell r="S1164">
            <v>9</v>
          </cell>
          <cell r="T1164">
            <v>4.5</v>
          </cell>
          <cell r="U1164">
            <v>31</v>
          </cell>
          <cell r="V1164">
            <v>9</v>
          </cell>
          <cell r="W1164" t="str">
            <v>0.11D</v>
          </cell>
          <cell r="X1164" t="str">
            <v>4-2026</v>
          </cell>
          <cell r="Y1164" t="str">
            <v>Week 14</v>
          </cell>
          <cell r="Z1164">
            <v>46111</v>
          </cell>
          <cell r="AA1164">
            <v>215</v>
          </cell>
          <cell r="AB1164">
            <v>3.2259999999999997E-2</v>
          </cell>
        </row>
        <row r="1165">
          <cell r="A1165" t="str">
            <v>F-2026-03-506</v>
          </cell>
          <cell r="B1165"/>
          <cell r="C1165" t="str">
            <v>RPRO-260326-0439</v>
          </cell>
          <cell r="D1165" t="str">
            <v>Pro.sche.report 24.03+25.03</v>
          </cell>
          <cell r="E1165" t="str">
            <v>BDB-000180</v>
          </cell>
          <cell r="F1165" t="str">
            <v>PVN-003236</v>
          </cell>
          <cell r="G1165" t="str">
            <v>OrthoLite Eco LT-Hybrid-Converse SEEDPEARL/12-0703TPX Hybrid Flat Sheet 0.13D 25+/-4 Asker C 1.1M 2M 5mm</v>
          </cell>
          <cell r="H1165">
            <v>504</v>
          </cell>
          <cell r="I1165">
            <v>504</v>
          </cell>
          <cell r="J1165">
            <v>0</v>
          </cell>
          <cell r="K1165">
            <v>504</v>
          </cell>
          <cell r="L1165" t="str">
            <v>CONVERSE</v>
          </cell>
          <cell r="M1165" t="str">
            <v>Pr.Sch.R</v>
          </cell>
          <cell r="N1165" t="str">
            <v>DIE CUT</v>
          </cell>
          <cell r="O1165">
            <v>1</v>
          </cell>
          <cell r="P1165">
            <v>46107</v>
          </cell>
          <cell r="Q1165">
            <v>46120</v>
          </cell>
          <cell r="R1165">
            <v>46117</v>
          </cell>
          <cell r="S1165">
            <v>13</v>
          </cell>
          <cell r="T1165">
            <v>5</v>
          </cell>
          <cell r="U1165">
            <v>28</v>
          </cell>
          <cell r="V1165">
            <v>18</v>
          </cell>
          <cell r="W1165" t="str">
            <v>0.13D</v>
          </cell>
          <cell r="X1165" t="str">
            <v>4-2026</v>
          </cell>
          <cell r="Y1165" t="str">
            <v>Week 14</v>
          </cell>
          <cell r="Z1165">
            <v>46111</v>
          </cell>
          <cell r="AA1165">
            <v>215</v>
          </cell>
          <cell r="AB1165">
            <v>3.5709999999999999E-2</v>
          </cell>
        </row>
        <row r="1166">
          <cell r="A1166" t="str">
            <v>F-2026-03-507</v>
          </cell>
          <cell r="B1166"/>
          <cell r="C1166" t="str">
            <v>RPRO-260326-0440</v>
          </cell>
          <cell r="D1166" t="str">
            <v>Pro.sche.report 24.03+25.03</v>
          </cell>
          <cell r="E1166" t="str">
            <v>BDB-000181</v>
          </cell>
          <cell r="F1166" t="str">
            <v>PVN-003238</v>
          </cell>
          <cell r="G1166" t="str">
            <v>OrthoLite Eco LT-Hybrid-Converse SEEDPEARL/12-0703TPX Hybrid Flat Sheet 0.11D 25+/-4 Asker C 1.1M 2M 5mm</v>
          </cell>
          <cell r="H1166">
            <v>224</v>
          </cell>
          <cell r="I1166">
            <v>224</v>
          </cell>
          <cell r="J1166">
            <v>0</v>
          </cell>
          <cell r="K1166">
            <v>224</v>
          </cell>
          <cell r="L1166" t="str">
            <v>CONVERSE</v>
          </cell>
          <cell r="M1166" t="str">
            <v>Pr.Sch.R</v>
          </cell>
          <cell r="N1166" t="str">
            <v>DIE CUT</v>
          </cell>
          <cell r="O1166">
            <v>1</v>
          </cell>
          <cell r="P1166">
            <v>46107</v>
          </cell>
          <cell r="Q1166">
            <v>46122</v>
          </cell>
          <cell r="R1166">
            <v>46119</v>
          </cell>
          <cell r="S1166">
            <v>15</v>
          </cell>
          <cell r="T1166">
            <v>5</v>
          </cell>
          <cell r="U1166">
            <v>28</v>
          </cell>
          <cell r="V1166">
            <v>8</v>
          </cell>
          <cell r="W1166" t="str">
            <v>0.11D</v>
          </cell>
          <cell r="X1166" t="str">
            <v>4-2026</v>
          </cell>
          <cell r="Y1166" t="str">
            <v>Week 14</v>
          </cell>
          <cell r="Z1166">
            <v>46111</v>
          </cell>
          <cell r="AA1166">
            <v>215</v>
          </cell>
          <cell r="AB1166">
            <v>3.5709999999999999E-2</v>
          </cell>
        </row>
        <row r="1167">
          <cell r="A1167" t="str">
            <v>F-2026-03-508</v>
          </cell>
          <cell r="B1167"/>
          <cell r="C1167" t="str">
            <v>RPRO-260326-0441</v>
          </cell>
          <cell r="D1167" t="str">
            <v>Pro.sche.report 24.03+25.03</v>
          </cell>
          <cell r="E1167" t="str">
            <v>BDB-000213</v>
          </cell>
          <cell r="F1167" t="str">
            <v>PVN-003752</v>
          </cell>
          <cell r="G1167" t="str">
            <v>OrthoLite X-25-Hybrid SEEDPEARL/12-0703TPX Hybrid Flat Sheet 0.12D 20+/-4 Asker C 1.1M 1.47M 4.5mm</v>
          </cell>
          <cell r="H1167">
            <v>124</v>
          </cell>
          <cell r="I1167">
            <v>124</v>
          </cell>
          <cell r="J1167">
            <v>0</v>
          </cell>
          <cell r="K1167">
            <v>124</v>
          </cell>
          <cell r="L1167" t="str">
            <v>ON RUNNING</v>
          </cell>
          <cell r="M1167" t="str">
            <v>Pr.Sch.R</v>
          </cell>
          <cell r="N1167" t="str">
            <v>MOLDED</v>
          </cell>
          <cell r="O1167">
            <v>1</v>
          </cell>
          <cell r="P1167">
            <v>46107</v>
          </cell>
          <cell r="Q1167">
            <v>46115</v>
          </cell>
          <cell r="R1167">
            <v>46112</v>
          </cell>
          <cell r="S1167">
            <v>8</v>
          </cell>
          <cell r="T1167">
            <v>4.5</v>
          </cell>
          <cell r="U1167">
            <v>31</v>
          </cell>
          <cell r="V1167">
            <v>5</v>
          </cell>
          <cell r="W1167" t="str">
            <v>0.12D</v>
          </cell>
          <cell r="X1167" t="str">
            <v>4-2026</v>
          </cell>
          <cell r="Y1167" t="str">
            <v>Week 14</v>
          </cell>
          <cell r="Z1167">
            <v>46111</v>
          </cell>
          <cell r="AA1167">
            <v>215</v>
          </cell>
          <cell r="AB1167">
            <v>3.2259999999999997E-2</v>
          </cell>
        </row>
        <row r="1168">
          <cell r="A1168" t="str">
            <v>F-2026-03-509</v>
          </cell>
          <cell r="B1168"/>
          <cell r="C1168" t="str">
            <v>RPRO-260326-0442</v>
          </cell>
          <cell r="D1168" t="str">
            <v>Pro.sche.report 24.03+25.03</v>
          </cell>
          <cell r="E1168" t="str">
            <v>BDB-000008</v>
          </cell>
          <cell r="F1168" t="str">
            <v>PVN-000412</v>
          </cell>
          <cell r="G1168" t="str">
            <v>OrthoLite Regular LIME GREEN/14-0452TPX Flat Sheet 0.11D 25+/-4 Asker C 1.1M 2M 5mm</v>
          </cell>
          <cell r="H1168">
            <v>140</v>
          </cell>
          <cell r="I1168">
            <v>140</v>
          </cell>
          <cell r="J1168">
            <v>0</v>
          </cell>
          <cell r="K1168">
            <v>140</v>
          </cell>
          <cell r="L1168" t="str">
            <v>ASICS</v>
          </cell>
          <cell r="M1168" t="str">
            <v>Pr.Sch.R</v>
          </cell>
          <cell r="N1168" t="str">
            <v>DIE CUT</v>
          </cell>
          <cell r="O1168">
            <v>1</v>
          </cell>
          <cell r="P1168">
            <v>46107</v>
          </cell>
          <cell r="Q1168">
            <v>46115</v>
          </cell>
          <cell r="R1168">
            <v>46112</v>
          </cell>
          <cell r="S1168">
            <v>8</v>
          </cell>
          <cell r="T1168">
            <v>5</v>
          </cell>
          <cell r="U1168">
            <v>28</v>
          </cell>
          <cell r="V1168">
            <v>5</v>
          </cell>
          <cell r="W1168" t="str">
            <v>0.11D</v>
          </cell>
          <cell r="X1168" t="str">
            <v>4-2026</v>
          </cell>
          <cell r="Y1168" t="str">
            <v>Week 14</v>
          </cell>
          <cell r="Z1168">
            <v>46111</v>
          </cell>
          <cell r="AA1168">
            <v>292</v>
          </cell>
          <cell r="AB1168">
            <v>3.5709999999999999E-2</v>
          </cell>
        </row>
        <row r="1169">
          <cell r="A1169" t="str">
            <v>F-2026-03-510</v>
          </cell>
          <cell r="B1169"/>
          <cell r="C1169" t="str">
            <v>RPRO-260326-0443</v>
          </cell>
          <cell r="D1169" t="str">
            <v>Pro.sche.report 24.03+25.03</v>
          </cell>
          <cell r="E1169" t="str">
            <v>BDB-000262</v>
          </cell>
          <cell r="F1169" t="str">
            <v>PVN-003816</v>
          </cell>
          <cell r="G1169" t="str">
            <v>OrthoLite Ultra-Hybrid SEEDPEARL/12-0703TPX Hybrid Flat Sheet 0.085D 78-90 Asker F 1.1M 2M 2.5mm</v>
          </cell>
          <cell r="H1169">
            <v>56</v>
          </cell>
          <cell r="I1169">
            <v>56</v>
          </cell>
          <cell r="J1169">
            <v>0</v>
          </cell>
          <cell r="K1169">
            <v>56</v>
          </cell>
          <cell r="L1169" t="str">
            <v>FOOTJOY</v>
          </cell>
          <cell r="M1169" t="str">
            <v>Pr.Sch.R</v>
          </cell>
          <cell r="N1169" t="str">
            <v>DIE CUT</v>
          </cell>
          <cell r="O1169">
            <v>1</v>
          </cell>
          <cell r="P1169">
            <v>46107</v>
          </cell>
          <cell r="Q1169">
            <v>46122</v>
          </cell>
          <cell r="R1169">
            <v>46119</v>
          </cell>
          <cell r="S1169">
            <v>15</v>
          </cell>
          <cell r="T1169">
            <v>2.5</v>
          </cell>
          <cell r="U1169">
            <v>56</v>
          </cell>
          <cell r="V1169">
            <v>2</v>
          </cell>
          <cell r="W1169" t="str">
            <v>0.085D</v>
          </cell>
          <cell r="X1169" t="str">
            <v>4-2026</v>
          </cell>
          <cell r="Y1169" t="str">
            <v>Week 14</v>
          </cell>
          <cell r="Z1169">
            <v>46111</v>
          </cell>
          <cell r="AA1169">
            <v>292</v>
          </cell>
          <cell r="AB1169">
            <v>1.7860000000000001E-2</v>
          </cell>
        </row>
        <row r="1170">
          <cell r="A1170" t="str">
            <v>F-2026-03-511</v>
          </cell>
          <cell r="B1170"/>
          <cell r="C1170" t="str">
            <v>RPRO-260326-0444</v>
          </cell>
          <cell r="D1170" t="str">
            <v>Pro.sche.report 24.03+25.03</v>
          </cell>
          <cell r="E1170" t="str">
            <v>BDB-000314</v>
          </cell>
          <cell r="F1170" t="str">
            <v>PVN-004066</v>
          </cell>
          <cell r="G1170" t="str">
            <v>OrthoLite Regular NEUTRAL GRAY/17-4402TPX Flat Sheet 0.16D 51+/-4 Asker C 1.1M 1.7M 9.5mm</v>
          </cell>
          <cell r="H1170">
            <v>14</v>
          </cell>
          <cell r="I1170">
            <v>14</v>
          </cell>
          <cell r="J1170">
            <v>0</v>
          </cell>
          <cell r="K1170">
            <v>14</v>
          </cell>
          <cell r="L1170" t="str">
            <v>FOOTJOY</v>
          </cell>
          <cell r="M1170" t="str">
            <v>Pr.Sch.R</v>
          </cell>
          <cell r="N1170" t="str">
            <v>MOLDED</v>
          </cell>
          <cell r="O1170">
            <v>1</v>
          </cell>
          <cell r="P1170">
            <v>46107</v>
          </cell>
          <cell r="Q1170">
            <v>46116</v>
          </cell>
          <cell r="R1170">
            <v>46113</v>
          </cell>
          <cell r="S1170">
            <v>9</v>
          </cell>
          <cell r="T1170">
            <v>9.5</v>
          </cell>
          <cell r="U1170">
            <v>14</v>
          </cell>
          <cell r="V1170">
            <v>2</v>
          </cell>
          <cell r="W1170" t="e">
            <v>#N/A</v>
          </cell>
          <cell r="X1170" t="str">
            <v>4-2026</v>
          </cell>
          <cell r="Y1170" t="str">
            <v>Week 14</v>
          </cell>
          <cell r="Z1170">
            <v>46111</v>
          </cell>
          <cell r="AA1170">
            <v>292</v>
          </cell>
          <cell r="AB1170">
            <v>7.1429999999999993E-2</v>
          </cell>
        </row>
        <row r="1171">
          <cell r="A1171" t="str">
            <v>F-2026-03-512</v>
          </cell>
          <cell r="B1171"/>
          <cell r="C1171" t="str">
            <v>RPRO-260326-0445</v>
          </cell>
          <cell r="D1171" t="str">
            <v>Pro.sche.report 24.03+25.03</v>
          </cell>
          <cell r="E1171" t="str">
            <v>BDB-000076</v>
          </cell>
          <cell r="F1171" t="str">
            <v>PVN-003494</v>
          </cell>
          <cell r="G1171" t="str">
            <v>OrthoLite X-25 BILLIARD/16-5427TPX Flat Sheet 0.12D 20+/-4 Asker C 1.1M 2M 5.5mm</v>
          </cell>
          <cell r="H1171">
            <v>175</v>
          </cell>
          <cell r="I1171">
            <v>175</v>
          </cell>
          <cell r="J1171">
            <v>0</v>
          </cell>
          <cell r="K1171">
            <v>175</v>
          </cell>
          <cell r="L1171" t="str">
            <v>LOTTO</v>
          </cell>
          <cell r="M1171" t="str">
            <v>Pr.Sch.R</v>
          </cell>
          <cell r="N1171" t="str">
            <v>MOLDED</v>
          </cell>
          <cell r="O1171">
            <v>1</v>
          </cell>
          <cell r="P1171">
            <v>46107</v>
          </cell>
          <cell r="Q1171">
            <v>46118</v>
          </cell>
          <cell r="R1171">
            <v>46115</v>
          </cell>
          <cell r="S1171">
            <v>11</v>
          </cell>
          <cell r="T1171">
            <v>5.5</v>
          </cell>
          <cell r="U1171">
            <v>25</v>
          </cell>
          <cell r="V1171">
            <v>7</v>
          </cell>
          <cell r="W1171" t="str">
            <v>0.12D</v>
          </cell>
          <cell r="X1171" t="str">
            <v>4-2026</v>
          </cell>
          <cell r="Y1171" t="str">
            <v>Week 14</v>
          </cell>
          <cell r="Z1171">
            <v>46111</v>
          </cell>
          <cell r="AA1171">
            <v>292</v>
          </cell>
          <cell r="AB1171">
            <v>0.04</v>
          </cell>
        </row>
        <row r="1172">
          <cell r="A1172" t="str">
            <v>F-2026-03-513</v>
          </cell>
          <cell r="B1172"/>
          <cell r="C1172" t="str">
            <v>RPRO-260326-0446</v>
          </cell>
          <cell r="D1172" t="str">
            <v>Pro.sche.report 24.03+25.03</v>
          </cell>
          <cell r="E1172" t="str">
            <v>BDB-000052</v>
          </cell>
          <cell r="F1172" t="str">
            <v>PVN-003603</v>
          </cell>
          <cell r="G1172" t="str">
            <v>OrthoLite X-40 TRUE BLUE/19-4057TPX Flat Sheet 0.16D 25+/-4 Asker C 1.1M 1.47M 12mm</v>
          </cell>
          <cell r="H1172">
            <v>847</v>
          </cell>
          <cell r="I1172">
            <v>847</v>
          </cell>
          <cell r="J1172">
            <v>0</v>
          </cell>
          <cell r="K1172">
            <v>847</v>
          </cell>
          <cell r="L1172" t="str">
            <v>ASICS</v>
          </cell>
          <cell r="M1172" t="str">
            <v>Pr.Sch.R</v>
          </cell>
          <cell r="N1172" t="str">
            <v>MOLDED</v>
          </cell>
          <cell r="O1172">
            <v>1</v>
          </cell>
          <cell r="P1172">
            <v>46107</v>
          </cell>
          <cell r="Q1172">
            <v>46123</v>
          </cell>
          <cell r="R1172">
            <v>46120</v>
          </cell>
          <cell r="S1172">
            <v>16</v>
          </cell>
          <cell r="T1172">
            <v>12</v>
          </cell>
          <cell r="U1172">
            <v>11.5</v>
          </cell>
          <cell r="V1172">
            <v>74</v>
          </cell>
          <cell r="W1172" t="str">
            <v>0.16D</v>
          </cell>
          <cell r="X1172" t="str">
            <v>4-2026</v>
          </cell>
          <cell r="Y1172" t="str">
            <v>Week 14</v>
          </cell>
          <cell r="Z1172">
            <v>46111</v>
          </cell>
          <cell r="AA1172">
            <v>292</v>
          </cell>
          <cell r="AB1172">
            <v>8.6959999999999996E-2</v>
          </cell>
        </row>
        <row r="1173">
          <cell r="A1173" t="str">
            <v>F-2026-03-514</v>
          </cell>
          <cell r="B1173"/>
          <cell r="C1173" t="str">
            <v>RPRO-260326-0447</v>
          </cell>
          <cell r="D1173" t="str">
            <v>Pro.sche.report 24.03+25.03</v>
          </cell>
          <cell r="E1173" t="str">
            <v>BDB-000077</v>
          </cell>
          <cell r="F1173" t="str">
            <v>PVN-004147</v>
          </cell>
          <cell r="G1173" t="str">
            <v>OrthoLite X-25 SEEDPEARL/12-0703TPX Flat Sheet 0.12D 20+/-4 Asker C 1.1M 2M 5.5mm</v>
          </cell>
          <cell r="H1173">
            <v>25</v>
          </cell>
          <cell r="I1173">
            <v>25</v>
          </cell>
          <cell r="J1173">
            <v>0</v>
          </cell>
          <cell r="K1173">
            <v>25</v>
          </cell>
          <cell r="L1173" t="str">
            <v>ON RUNNING</v>
          </cell>
          <cell r="M1173" t="str">
            <v>Pr.Sch.R</v>
          </cell>
          <cell r="N1173" t="str">
            <v>MOLDED</v>
          </cell>
          <cell r="O1173">
            <v>1</v>
          </cell>
          <cell r="P1173">
            <v>46107</v>
          </cell>
          <cell r="Q1173">
            <v>46118</v>
          </cell>
          <cell r="R1173">
            <v>46115</v>
          </cell>
          <cell r="S1173">
            <v>11</v>
          </cell>
          <cell r="T1173">
            <v>5.5</v>
          </cell>
          <cell r="U1173">
            <v>25</v>
          </cell>
          <cell r="V1173">
            <v>1</v>
          </cell>
          <cell r="W1173" t="str">
            <v>0.12D</v>
          </cell>
          <cell r="X1173" t="str">
            <v>4-2026</v>
          </cell>
          <cell r="Y1173" t="str">
            <v>Week 14</v>
          </cell>
          <cell r="Z1173">
            <v>46111</v>
          </cell>
          <cell r="AA1173">
            <v>163</v>
          </cell>
          <cell r="AB1173">
            <v>0.04</v>
          </cell>
        </row>
        <row r="1174">
          <cell r="A1174" t="str">
            <v>F-2026-03-515</v>
          </cell>
          <cell r="B1174"/>
          <cell r="C1174" t="str">
            <v>RPRO-260326-0448</v>
          </cell>
          <cell r="D1174" t="str">
            <v>Pro.sche.report 24.03+25.03</v>
          </cell>
          <cell r="E1174" t="str">
            <v>BDB-000229</v>
          </cell>
          <cell r="F1174" t="str">
            <v>PVN-003692</v>
          </cell>
          <cell r="G1174" t="str">
            <v>OrthoLite Ultra-Hybrid SEEDPEARL/12-0703TPX Hybrid Flat Sheet 0.095D 33+/-4 Asker C 1.1M 2M 15.5mm</v>
          </cell>
          <cell r="H1174">
            <v>384</v>
          </cell>
          <cell r="I1174">
            <v>384</v>
          </cell>
          <cell r="J1174">
            <v>0</v>
          </cell>
          <cell r="K1174">
            <v>384</v>
          </cell>
          <cell r="L1174" t="str">
            <v>GARMONT</v>
          </cell>
          <cell r="M1174" t="str">
            <v>Pr.Sch.R</v>
          </cell>
          <cell r="N1174" t="str">
            <v>MOLDED</v>
          </cell>
          <cell r="O1174">
            <v>1</v>
          </cell>
          <cell r="P1174">
            <v>46107</v>
          </cell>
          <cell r="Q1174">
            <v>46115</v>
          </cell>
          <cell r="R1174">
            <v>46112</v>
          </cell>
          <cell r="S1174">
            <v>8</v>
          </cell>
          <cell r="T1174">
            <v>15.5</v>
          </cell>
          <cell r="U1174">
            <v>8</v>
          </cell>
          <cell r="V1174">
            <v>48</v>
          </cell>
          <cell r="W1174" t="str">
            <v>0.095D</v>
          </cell>
          <cell r="X1174" t="str">
            <v>4-2026</v>
          </cell>
          <cell r="Y1174" t="str">
            <v>Week 14</v>
          </cell>
          <cell r="Z1174">
            <v>46111</v>
          </cell>
          <cell r="AA1174">
            <v>163</v>
          </cell>
          <cell r="AB1174">
            <v>0.125</v>
          </cell>
        </row>
        <row r="1175">
          <cell r="A1175" t="str">
            <v>F-2026-03-516</v>
          </cell>
          <cell r="B1175"/>
          <cell r="C1175" t="str">
            <v>RPRO-260326-0449</v>
          </cell>
          <cell r="D1175" t="str">
            <v>Pro.sche.report 24.03+25.03</v>
          </cell>
          <cell r="E1175" t="str">
            <v>BDB-000212</v>
          </cell>
          <cell r="F1175" t="str">
            <v>PVN-003764</v>
          </cell>
          <cell r="G1175" t="str">
            <v>OrthoLite X-25-Hybrid SEEDPEARL/12-0703TPX Hybrid Flat Sheet 0.12D 20+/-4 Asker C 1.1M 2M 5mm</v>
          </cell>
          <cell r="H1175">
            <v>28</v>
          </cell>
          <cell r="I1175">
            <v>28</v>
          </cell>
          <cell r="J1175">
            <v>0</v>
          </cell>
          <cell r="K1175">
            <v>28</v>
          </cell>
          <cell r="L1175" t="str">
            <v>FOOTJOY</v>
          </cell>
          <cell r="M1175" t="str">
            <v>Pr.Sch.R</v>
          </cell>
          <cell r="N1175" t="str">
            <v>OTHERS</v>
          </cell>
          <cell r="O1175">
            <v>1</v>
          </cell>
          <cell r="P1175">
            <v>46107</v>
          </cell>
          <cell r="Q1175">
            <v>46115</v>
          </cell>
          <cell r="R1175">
            <v>46112</v>
          </cell>
          <cell r="S1175">
            <v>8</v>
          </cell>
          <cell r="T1175">
            <v>5</v>
          </cell>
          <cell r="U1175">
            <v>28</v>
          </cell>
          <cell r="V1175">
            <v>1</v>
          </cell>
          <cell r="W1175" t="str">
            <v>0.12D</v>
          </cell>
          <cell r="X1175" t="str">
            <v>4-2026</v>
          </cell>
          <cell r="Y1175" t="str">
            <v>Week 14</v>
          </cell>
          <cell r="Z1175">
            <v>46111</v>
          </cell>
          <cell r="AA1175">
            <v>163</v>
          </cell>
          <cell r="AB1175">
            <v>3.5709999999999999E-2</v>
          </cell>
        </row>
        <row r="1176">
          <cell r="A1176" t="str">
            <v>F-2026-03-517</v>
          </cell>
          <cell r="B1176"/>
          <cell r="C1176" t="str">
            <v>RPRO-260326-0450</v>
          </cell>
          <cell r="D1176" t="str">
            <v>Pro.sche.report 24.03+25.03</v>
          </cell>
          <cell r="E1176" t="str">
            <v>BDB-000052</v>
          </cell>
          <cell r="F1176" t="str">
            <v>PVN-004308</v>
          </cell>
          <cell r="G1176" t="str">
            <v>OrthoLite X-40 TRUE BLUE/19-4057TPX Flat Sheet 0.16D 25+/-4 Asker C 1.1M 1.47M 3mm</v>
          </cell>
          <cell r="H1176">
            <v>184</v>
          </cell>
          <cell r="I1176">
            <v>184</v>
          </cell>
          <cell r="J1176">
            <v>0</v>
          </cell>
          <cell r="K1176">
            <v>184</v>
          </cell>
          <cell r="L1176" t="str">
            <v>ASICS</v>
          </cell>
          <cell r="M1176" t="str">
            <v>Pr.Sch.R</v>
          </cell>
          <cell r="N1176" t="str">
            <v>DIE CUT</v>
          </cell>
          <cell r="O1176">
            <v>1</v>
          </cell>
          <cell r="P1176">
            <v>46107</v>
          </cell>
          <cell r="Q1176">
            <v>46122</v>
          </cell>
          <cell r="R1176">
            <v>46119</v>
          </cell>
          <cell r="S1176">
            <v>15</v>
          </cell>
          <cell r="T1176">
            <v>3</v>
          </cell>
          <cell r="U1176">
            <v>46</v>
          </cell>
          <cell r="V1176">
            <v>5</v>
          </cell>
          <cell r="W1176" t="str">
            <v>0.16D</v>
          </cell>
          <cell r="X1176" t="str">
            <v>4-2026</v>
          </cell>
          <cell r="Y1176" t="str">
            <v>Week 14</v>
          </cell>
          <cell r="Z1176">
            <v>46111</v>
          </cell>
          <cell r="AA1176">
            <v>122</v>
          </cell>
          <cell r="AB1176">
            <v>2.1739999999999999E-2</v>
          </cell>
        </row>
        <row r="1177">
          <cell r="A1177" t="str">
            <v>F-2026-03-518</v>
          </cell>
          <cell r="B1177"/>
          <cell r="C1177" t="str">
            <v>RPRO-260326-0451</v>
          </cell>
          <cell r="D1177" t="str">
            <v>Pro.sche.report 24.03+25.03</v>
          </cell>
          <cell r="E1177" t="str">
            <v>BDB-000340</v>
          </cell>
          <cell r="F1177" t="str">
            <v>PVN-004177</v>
          </cell>
          <cell r="G1177" t="str">
            <v>OrthoLite Float SEEDPEARL/12-0703TPX Flat Sheet 0.12D 21+/-4 Asker C 1.1M 2M 5.5mm</v>
          </cell>
          <cell r="H1177">
            <v>75</v>
          </cell>
          <cell r="I1177">
            <v>75</v>
          </cell>
          <cell r="J1177">
            <v>0</v>
          </cell>
          <cell r="K1177">
            <v>75</v>
          </cell>
          <cell r="L1177" t="str">
            <v>ON RUNNING</v>
          </cell>
          <cell r="M1177" t="str">
            <v>Pr.Sch.R</v>
          </cell>
          <cell r="N1177" t="str">
            <v>MOLDED</v>
          </cell>
          <cell r="O1177">
            <v>1</v>
          </cell>
          <cell r="P1177">
            <v>46107</v>
          </cell>
          <cell r="Q1177">
            <v>46122</v>
          </cell>
          <cell r="R1177">
            <v>46119</v>
          </cell>
          <cell r="S1177">
            <v>15</v>
          </cell>
          <cell r="T1177">
            <v>5.5</v>
          </cell>
          <cell r="U1177">
            <v>25</v>
          </cell>
          <cell r="V1177">
            <v>3</v>
          </cell>
          <cell r="W1177" t="e">
            <v>#N/A</v>
          </cell>
          <cell r="X1177" t="str">
            <v>4-2026</v>
          </cell>
          <cell r="Y1177" t="str">
            <v>Week 14</v>
          </cell>
          <cell r="Z1177">
            <v>46111</v>
          </cell>
          <cell r="AA1177">
            <v>122</v>
          </cell>
          <cell r="AB1177">
            <v>0.04</v>
          </cell>
        </row>
        <row r="1178">
          <cell r="A1178" t="str">
            <v>F-2026-03-519</v>
          </cell>
          <cell r="B1178"/>
          <cell r="C1178" t="str">
            <v>RPRO-260326-0452</v>
          </cell>
          <cell r="D1178" t="str">
            <v>Pro.sche.report 24.03+25.03</v>
          </cell>
          <cell r="E1178" t="str">
            <v>BDB-000057</v>
          </cell>
          <cell r="F1178" t="str">
            <v>PVN-000825</v>
          </cell>
          <cell r="G1178" t="str">
            <v>OrthoLite Ultra YELLOW/13-0858TPX Flat Sheet 0.085D 25+/-4 Asker C 1.1M 2M 12mm</v>
          </cell>
          <cell r="H1178">
            <v>11</v>
          </cell>
          <cell r="I1178">
            <v>11</v>
          </cell>
          <cell r="J1178">
            <v>0</v>
          </cell>
          <cell r="K1178">
            <v>11</v>
          </cell>
          <cell r="L1178" t="str">
            <v>ASICS</v>
          </cell>
          <cell r="M1178" t="str">
            <v>Pr.Sch.R</v>
          </cell>
          <cell r="N1178" t="str">
            <v>MOLDED</v>
          </cell>
          <cell r="O1178">
            <v>1</v>
          </cell>
          <cell r="P1178">
            <v>46107</v>
          </cell>
          <cell r="Q1178">
            <v>46115</v>
          </cell>
          <cell r="R1178">
            <v>46112</v>
          </cell>
          <cell r="S1178">
            <v>8</v>
          </cell>
          <cell r="T1178">
            <v>12</v>
          </cell>
          <cell r="U1178">
            <v>11.5</v>
          </cell>
          <cell r="V1178">
            <v>1</v>
          </cell>
          <cell r="W1178" t="str">
            <v>0.085D</v>
          </cell>
          <cell r="X1178" t="str">
            <v>4-2026</v>
          </cell>
          <cell r="Y1178" t="str">
            <v>Week 14</v>
          </cell>
          <cell r="Z1178">
            <v>46111</v>
          </cell>
          <cell r="AA1178">
            <v>88</v>
          </cell>
          <cell r="AB1178">
            <v>8.6959999999999996E-2</v>
          </cell>
        </row>
        <row r="1179">
          <cell r="A1179" t="str">
            <v>F-2026-03-520</v>
          </cell>
          <cell r="B1179"/>
          <cell r="C1179" t="str">
            <v>RPRO-260326-0453</v>
          </cell>
          <cell r="D1179" t="str">
            <v>Pro.sche.report 24.03+25.03</v>
          </cell>
          <cell r="E1179" t="str">
            <v>BDB-000076</v>
          </cell>
          <cell r="F1179" t="str">
            <v>PVN-004119</v>
          </cell>
          <cell r="G1179" t="str">
            <v>OrthoLite X-25 BILLIARD/16-5427TPX Flat Sheet 0.12D 20+/-4 Asker C 1.1M 2M 6.5mm</v>
          </cell>
          <cell r="H1179">
            <v>63</v>
          </cell>
          <cell r="I1179">
            <v>63</v>
          </cell>
          <cell r="J1179">
            <v>0</v>
          </cell>
          <cell r="K1179">
            <v>63</v>
          </cell>
          <cell r="L1179" t="str">
            <v>ONE8</v>
          </cell>
          <cell r="M1179" t="str">
            <v>Pr.Sch.R</v>
          </cell>
          <cell r="N1179" t="str">
            <v>MOLDED</v>
          </cell>
          <cell r="O1179">
            <v>1</v>
          </cell>
          <cell r="P1179">
            <v>46107</v>
          </cell>
          <cell r="Q1179">
            <v>46122</v>
          </cell>
          <cell r="R1179">
            <v>46119</v>
          </cell>
          <cell r="S1179">
            <v>15</v>
          </cell>
          <cell r="T1179">
            <v>6.5</v>
          </cell>
          <cell r="U1179">
            <v>21</v>
          </cell>
          <cell r="V1179">
            <v>4</v>
          </cell>
          <cell r="W1179" t="str">
            <v>0.12D</v>
          </cell>
          <cell r="X1179" t="str">
            <v>4-2026</v>
          </cell>
          <cell r="Y1179" t="str">
            <v>Week 14</v>
          </cell>
          <cell r="Z1179">
            <v>46111</v>
          </cell>
          <cell r="AA1179">
            <v>88</v>
          </cell>
          <cell r="AB1179">
            <v>4.7620000000000003E-2</v>
          </cell>
        </row>
        <row r="1180">
          <cell r="A1180" t="str">
            <v>F-2026-03-521</v>
          </cell>
          <cell r="B1180"/>
          <cell r="C1180" t="str">
            <v>RPRO-260326-0454</v>
          </cell>
          <cell r="D1180" t="str">
            <v>Pro.sche.report 24.03+25.03</v>
          </cell>
          <cell r="E1180" t="str">
            <v>BDB-000058</v>
          </cell>
          <cell r="F1180" t="str">
            <v>PVN-001319</v>
          </cell>
          <cell r="G1180" t="str">
            <v>OrthoLite Ultra GREEN/16-5932TPX Flat Sheet 0.085D 25+/-4 Asker C 1.1M 2M 5mm</v>
          </cell>
          <cell r="H1180">
            <v>28</v>
          </cell>
          <cell r="I1180">
            <v>28</v>
          </cell>
          <cell r="J1180">
            <v>0</v>
          </cell>
          <cell r="K1180">
            <v>28</v>
          </cell>
          <cell r="L1180" t="str">
            <v>NEW BALANCE</v>
          </cell>
          <cell r="M1180" t="str">
            <v>Pr.Sch.R</v>
          </cell>
          <cell r="N1180" t="str">
            <v>DIE CUT</v>
          </cell>
          <cell r="O1180">
            <v>1</v>
          </cell>
          <cell r="P1180">
            <v>46107</v>
          </cell>
          <cell r="Q1180">
            <v>46122</v>
          </cell>
          <cell r="R1180">
            <v>46119</v>
          </cell>
          <cell r="S1180">
            <v>15</v>
          </cell>
          <cell r="T1180">
            <v>5</v>
          </cell>
          <cell r="U1180">
            <v>28</v>
          </cell>
          <cell r="V1180">
            <v>1</v>
          </cell>
          <cell r="W1180" t="str">
            <v>0.085D</v>
          </cell>
          <cell r="X1180" t="str">
            <v>4-2026</v>
          </cell>
          <cell r="Y1180" t="str">
            <v>Week 14</v>
          </cell>
          <cell r="Z1180">
            <v>46111</v>
          </cell>
          <cell r="AA1180">
            <v>88</v>
          </cell>
          <cell r="AB1180">
            <v>3.5709999999999999E-2</v>
          </cell>
        </row>
        <row r="1181">
          <cell r="A1181" t="str">
            <v>F-2026-03-522</v>
          </cell>
          <cell r="B1181"/>
          <cell r="C1181" t="str">
            <v>RPRO-260326-0455</v>
          </cell>
          <cell r="D1181" t="str">
            <v>Pro.sche.report 24.03+25.03</v>
          </cell>
          <cell r="E1181" t="str">
            <v>BDB-000373</v>
          </cell>
          <cell r="F1181" t="str">
            <v>PVN-004315</v>
          </cell>
          <cell r="G1181" t="str">
            <v>OrthoLite X-25-Nike BILLIARD/16-5427TPX Flat Sheet 0.12D 20+/-4 Asker C 1.1M 2M 5mm</v>
          </cell>
          <cell r="H1181">
            <v>980</v>
          </cell>
          <cell r="I1181">
            <v>980</v>
          </cell>
          <cell r="J1181">
            <v>0</v>
          </cell>
          <cell r="K1181">
            <v>980</v>
          </cell>
          <cell r="L1181" t="str">
            <v>NIKE</v>
          </cell>
          <cell r="M1181" t="str">
            <v>Pr.Sch.R</v>
          </cell>
          <cell r="N1181" t="str">
            <v>DIE CUT</v>
          </cell>
          <cell r="O1181">
            <v>1</v>
          </cell>
          <cell r="P1181">
            <v>46107</v>
          </cell>
          <cell r="Q1181">
            <v>46119</v>
          </cell>
          <cell r="R1181">
            <v>46116</v>
          </cell>
          <cell r="S1181">
            <v>12</v>
          </cell>
          <cell r="T1181">
            <v>5</v>
          </cell>
          <cell r="U1181">
            <v>28</v>
          </cell>
          <cell r="V1181">
            <v>35</v>
          </cell>
          <cell r="W1181" t="e">
            <v>#N/A</v>
          </cell>
          <cell r="X1181" t="str">
            <v>4-2026</v>
          </cell>
          <cell r="Y1181" t="str">
            <v>Week 14</v>
          </cell>
          <cell r="Z1181">
            <v>46111</v>
          </cell>
          <cell r="AA1181">
            <v>88</v>
          </cell>
          <cell r="AB1181">
            <v>3.5709999999999999E-2</v>
          </cell>
        </row>
        <row r="1182">
          <cell r="A1182" t="str">
            <v>F-2026-03-523</v>
          </cell>
          <cell r="B1182"/>
          <cell r="C1182" t="str">
            <v>RPRO-260326-0456</v>
          </cell>
          <cell r="D1182" t="str">
            <v>Pro.sche.report 24.03+25.03</v>
          </cell>
          <cell r="E1182" t="str">
            <v>BDB-000154</v>
          </cell>
          <cell r="F1182" t="str">
            <v>PVN-003347</v>
          </cell>
          <cell r="G1182" t="str">
            <v>OrthoLite X-40-Nike TRUE BLUE/19-4057TPX Flat Sheet 0.16D 35+/-4 Asker C 1.1M 1.7M 4mm</v>
          </cell>
          <cell r="H1182">
            <v>105</v>
          </cell>
          <cell r="I1182">
            <v>105</v>
          </cell>
          <cell r="J1182">
            <v>0</v>
          </cell>
          <cell r="K1182">
            <v>105</v>
          </cell>
          <cell r="L1182" t="str">
            <v>NIKE</v>
          </cell>
          <cell r="M1182" t="str">
            <v>Pr.Sch.R</v>
          </cell>
          <cell r="N1182" t="str">
            <v>LAMINATING</v>
          </cell>
          <cell r="O1182">
            <v>1</v>
          </cell>
          <cell r="P1182">
            <v>46107</v>
          </cell>
          <cell r="Q1182">
            <v>46118</v>
          </cell>
          <cell r="R1182">
            <v>46115</v>
          </cell>
          <cell r="S1182">
            <v>11</v>
          </cell>
          <cell r="T1182">
            <v>4</v>
          </cell>
          <cell r="U1182">
            <v>35</v>
          </cell>
          <cell r="V1182">
            <v>3</v>
          </cell>
          <cell r="W1182" t="str">
            <v>0.16D</v>
          </cell>
          <cell r="X1182" t="str">
            <v>4-2026</v>
          </cell>
          <cell r="Y1182" t="str">
            <v>Week 14</v>
          </cell>
          <cell r="Z1182">
            <v>46111</v>
          </cell>
          <cell r="AA1182">
            <v>88</v>
          </cell>
          <cell r="AB1182">
            <v>2.8570000000000002E-2</v>
          </cell>
        </row>
        <row r="1183">
          <cell r="A1183" t="str">
            <v>F-2026-03-524</v>
          </cell>
          <cell r="B1183"/>
          <cell r="C1183" t="str">
            <v>RPRO-260326-0457</v>
          </cell>
          <cell r="D1183" t="str">
            <v>Pro.sche.report 24.03+25.03</v>
          </cell>
          <cell r="E1183" t="str">
            <v>BDB-000209</v>
          </cell>
          <cell r="F1183" t="str">
            <v>PVN-003550</v>
          </cell>
          <cell r="G1183" t="str">
            <v>OrthoLite HybridPlus-Recycled MINT GREEN/11-4805TPX Hybrid Flat Sheet 0.12D 25+/-4 Asker C 1.1M 2M 6mm</v>
          </cell>
          <cell r="H1183">
            <v>1380</v>
          </cell>
          <cell r="I1183">
            <v>1380</v>
          </cell>
          <cell r="J1183">
            <v>0</v>
          </cell>
          <cell r="K1183">
            <v>1380</v>
          </cell>
          <cell r="L1183" t="str">
            <v>ON RUNNING</v>
          </cell>
          <cell r="M1183" t="str">
            <v>Pr.Sch.R</v>
          </cell>
          <cell r="N1183" t="str">
            <v>MOLDED</v>
          </cell>
          <cell r="O1183">
            <v>1</v>
          </cell>
          <cell r="P1183">
            <v>46107</v>
          </cell>
          <cell r="Q1183">
            <v>46115</v>
          </cell>
          <cell r="R1183">
            <v>46112</v>
          </cell>
          <cell r="S1183">
            <v>8</v>
          </cell>
          <cell r="T1183">
            <v>6</v>
          </cell>
          <cell r="U1183">
            <v>23</v>
          </cell>
          <cell r="V1183">
            <v>61</v>
          </cell>
          <cell r="W1183" t="str">
            <v>0.12D</v>
          </cell>
          <cell r="X1183" t="str">
            <v>4-2026</v>
          </cell>
          <cell r="Y1183" t="str">
            <v>Week 14</v>
          </cell>
          <cell r="Z1183">
            <v>46111</v>
          </cell>
          <cell r="AA1183">
            <v>339</v>
          </cell>
          <cell r="AB1183">
            <v>4.3479999999999998E-2</v>
          </cell>
        </row>
        <row r="1184">
          <cell r="A1184" t="str">
            <v>F-2026-03-525</v>
          </cell>
          <cell r="B1184"/>
          <cell r="C1184" t="str">
            <v>RPRO-260326-0458</v>
          </cell>
          <cell r="D1184" t="str">
            <v>Pro.sche.report 24.03+25.03</v>
          </cell>
          <cell r="E1184" t="str">
            <v>BDB-000057</v>
          </cell>
          <cell r="F1184" t="str">
            <v>PVN-000925</v>
          </cell>
          <cell r="G1184" t="str">
            <v>OrthoLite Ultra YELLOW/13-0858TPX Flat Sheet 0.085D 25+/-4 Asker C 1.1M 2M 5mm</v>
          </cell>
          <cell r="H1184">
            <v>448</v>
          </cell>
          <cell r="I1184">
            <v>448</v>
          </cell>
          <cell r="J1184">
            <v>0</v>
          </cell>
          <cell r="K1184">
            <v>448</v>
          </cell>
          <cell r="L1184" t="str">
            <v>ASICS</v>
          </cell>
          <cell r="M1184" t="str">
            <v>Pr.Sch.R</v>
          </cell>
          <cell r="N1184" t="str">
            <v>LAMINATING</v>
          </cell>
          <cell r="O1184">
            <v>1</v>
          </cell>
          <cell r="P1184">
            <v>46107</v>
          </cell>
          <cell r="Q1184">
            <v>46122</v>
          </cell>
          <cell r="R1184">
            <v>46119</v>
          </cell>
          <cell r="S1184">
            <v>15</v>
          </cell>
          <cell r="T1184">
            <v>5</v>
          </cell>
          <cell r="U1184">
            <v>28</v>
          </cell>
          <cell r="V1184">
            <v>16</v>
          </cell>
          <cell r="W1184" t="str">
            <v>0.085D</v>
          </cell>
          <cell r="X1184" t="str">
            <v>4-2026</v>
          </cell>
          <cell r="Y1184" t="str">
            <v>Week 14</v>
          </cell>
          <cell r="Z1184">
            <v>46111</v>
          </cell>
          <cell r="AA1184">
            <v>339</v>
          </cell>
          <cell r="AB1184">
            <v>3.5709999999999999E-2</v>
          </cell>
        </row>
        <row r="1185">
          <cell r="A1185" t="str">
            <v>F-2026-03-526</v>
          </cell>
          <cell r="B1185"/>
          <cell r="C1185" t="str">
            <v>RPRO-260326-0459</v>
          </cell>
          <cell r="D1185" t="str">
            <v>Pro.sche.report 24.03+25.03</v>
          </cell>
          <cell r="E1185" t="str">
            <v>BDB-000275</v>
          </cell>
          <cell r="F1185" t="str">
            <v>PVN-003797</v>
          </cell>
          <cell r="G1185" t="str">
            <v>OrthoLite Regular RED/19-1764TPX Flat Sheet 0.15D 45+/-4 Asker C 1.1M 1.7M 3mm</v>
          </cell>
          <cell r="H1185">
            <v>92</v>
          </cell>
          <cell r="I1185">
            <v>92</v>
          </cell>
          <cell r="J1185">
            <v>0</v>
          </cell>
          <cell r="K1185">
            <v>92</v>
          </cell>
          <cell r="L1185" t="str">
            <v>FOOTJOY</v>
          </cell>
          <cell r="M1185" t="str">
            <v>Pr.Sch.R</v>
          </cell>
          <cell r="N1185" t="str">
            <v>MOLDED</v>
          </cell>
          <cell r="O1185">
            <v>1</v>
          </cell>
          <cell r="P1185">
            <v>46107</v>
          </cell>
          <cell r="Q1185">
            <v>46122</v>
          </cell>
          <cell r="R1185">
            <v>46119</v>
          </cell>
          <cell r="S1185">
            <v>15</v>
          </cell>
          <cell r="T1185">
            <v>3</v>
          </cell>
          <cell r="U1185">
            <v>46</v>
          </cell>
          <cell r="V1185">
            <v>3</v>
          </cell>
          <cell r="W1185" t="str">
            <v>0.15D</v>
          </cell>
          <cell r="X1185" t="str">
            <v>4-2026</v>
          </cell>
          <cell r="Y1185" t="str">
            <v>Week 14</v>
          </cell>
          <cell r="Z1185">
            <v>46111</v>
          </cell>
          <cell r="AA1185">
            <v>339</v>
          </cell>
          <cell r="AB1185">
            <v>2.1739999999999999E-2</v>
          </cell>
        </row>
        <row r="1186">
          <cell r="A1186" t="str">
            <v>F-2026-03-527</v>
          </cell>
          <cell r="B1186"/>
          <cell r="C1186" t="str">
            <v>RPRO-260326-0460</v>
          </cell>
          <cell r="D1186" t="str">
            <v>Pro.sche.report 24.03+25.03</v>
          </cell>
          <cell r="E1186" t="str">
            <v>BDB-000076</v>
          </cell>
          <cell r="F1186" t="str">
            <v>PVN-004072</v>
          </cell>
          <cell r="G1186" t="str">
            <v>OrthoLite X-25 BILLIARD/16-5427TPX Flat Sheet 0.12D 20+/-4 Asker C 1.1M 2M 20mm</v>
          </cell>
          <cell r="H1186">
            <v>54</v>
          </cell>
          <cell r="I1186">
            <v>54</v>
          </cell>
          <cell r="J1186">
            <v>0</v>
          </cell>
          <cell r="K1186">
            <v>54</v>
          </cell>
          <cell r="L1186" t="str">
            <v>FOOTJOY</v>
          </cell>
          <cell r="M1186" t="str">
            <v>Pr.Sch.R</v>
          </cell>
          <cell r="N1186" t="str">
            <v>MOLDED</v>
          </cell>
          <cell r="O1186">
            <v>1</v>
          </cell>
          <cell r="P1186">
            <v>46107</v>
          </cell>
          <cell r="Q1186">
            <v>46122</v>
          </cell>
          <cell r="R1186">
            <v>46119</v>
          </cell>
          <cell r="S1186">
            <v>15</v>
          </cell>
          <cell r="T1186">
            <v>20</v>
          </cell>
          <cell r="U1186">
            <v>6</v>
          </cell>
          <cell r="V1186">
            <v>10</v>
          </cell>
          <cell r="W1186" t="str">
            <v>0.12D</v>
          </cell>
          <cell r="X1186" t="str">
            <v>4-2026</v>
          </cell>
          <cell r="Y1186" t="str">
            <v>Week 14</v>
          </cell>
          <cell r="Z1186">
            <v>46111</v>
          </cell>
          <cell r="AA1186">
            <v>339</v>
          </cell>
          <cell r="AB1186">
            <v>0.16667000000000001</v>
          </cell>
        </row>
        <row r="1187">
          <cell r="A1187" t="str">
            <v>F-2026-03-528</v>
          </cell>
          <cell r="B1187"/>
          <cell r="C1187" t="str">
            <v>RPRO-260326-0461</v>
          </cell>
          <cell r="D1187" t="str">
            <v>Pro.sche.report 24.03+25.03</v>
          </cell>
          <cell r="E1187" t="str">
            <v>BDB-000076</v>
          </cell>
          <cell r="F1187" t="str">
            <v>PVN-004075</v>
          </cell>
          <cell r="G1187" t="str">
            <v>OrthoLite X-25 BILLIARD/16-5427TPX Flat Sheet 0.12D 20+/-4 Asker C 1.1M 2M 17mm</v>
          </cell>
          <cell r="H1187">
            <v>21</v>
          </cell>
          <cell r="I1187">
            <v>21</v>
          </cell>
          <cell r="J1187">
            <v>0</v>
          </cell>
          <cell r="K1187">
            <v>21</v>
          </cell>
          <cell r="L1187" t="str">
            <v>FOOTJOY</v>
          </cell>
          <cell r="M1187" t="str">
            <v>Pr.Sch.R</v>
          </cell>
          <cell r="N1187" t="str">
            <v>MOLDED</v>
          </cell>
          <cell r="O1187">
            <v>1</v>
          </cell>
          <cell r="P1187">
            <v>46107</v>
          </cell>
          <cell r="Q1187">
            <v>46122</v>
          </cell>
          <cell r="R1187">
            <v>46119</v>
          </cell>
          <cell r="S1187">
            <v>15</v>
          </cell>
          <cell r="T1187">
            <v>17</v>
          </cell>
          <cell r="U1187">
            <v>7</v>
          </cell>
          <cell r="V1187">
            <v>4</v>
          </cell>
          <cell r="W1187" t="str">
            <v>0.12D</v>
          </cell>
          <cell r="X1187" t="str">
            <v>4-2026</v>
          </cell>
          <cell r="Y1187" t="str">
            <v>Week 14</v>
          </cell>
          <cell r="Z1187">
            <v>46111</v>
          </cell>
          <cell r="AA1187">
            <v>339</v>
          </cell>
          <cell r="AB1187">
            <v>0.14285999999999999</v>
          </cell>
        </row>
        <row r="1188">
          <cell r="A1188" t="str">
            <v>F-2026-03-529</v>
          </cell>
          <cell r="B1188"/>
          <cell r="C1188" t="str">
            <v>RPRO-260326-0462-đã xóa</v>
          </cell>
          <cell r="D1188" t="str">
            <v>Pro.sche.report 24.03+25.03</v>
          </cell>
          <cell r="E1188" t="str">
            <v>BDB-000226</v>
          </cell>
          <cell r="F1188" t="str">
            <v>PVN-003517</v>
          </cell>
          <cell r="G1188" t="str">
            <v>OrthoLite Regular GREY/17-1501TPX Flat Sheet 0.16D 51+/-4 Asker C 1.1M 1.7M 12mm</v>
          </cell>
          <cell r="H1188">
            <v>231</v>
          </cell>
          <cell r="I1188">
            <v>231</v>
          </cell>
          <cell r="J1188">
            <v>0</v>
          </cell>
          <cell r="K1188">
            <v>231</v>
          </cell>
          <cell r="L1188" t="str">
            <v>CONVERSE</v>
          </cell>
          <cell r="M1188" t="str">
            <v>Pr.Sch.R</v>
          </cell>
          <cell r="N1188" t="str">
            <v>DIE CUT</v>
          </cell>
          <cell r="O1188">
            <v>1</v>
          </cell>
          <cell r="P1188">
            <v>46107</v>
          </cell>
          <cell r="Q1188" t="str">
            <v>delete by Diem mail 30.3</v>
          </cell>
          <cell r="R1188" t="e">
            <v>#VALUE!</v>
          </cell>
          <cell r="S1188" t="e">
            <v>#VALUE!</v>
          </cell>
          <cell r="T1188">
            <v>12</v>
          </cell>
          <cell r="U1188">
            <v>11</v>
          </cell>
          <cell r="V1188">
            <v>22</v>
          </cell>
          <cell r="W1188" t="str">
            <v>0.16D</v>
          </cell>
          <cell r="X1188" t="e">
            <v>#VALUE!</v>
          </cell>
          <cell r="Y1188" t="e">
            <v>#VALUE!</v>
          </cell>
          <cell r="Z1188" t="str">
            <v/>
          </cell>
          <cell r="AA1188">
            <v>339</v>
          </cell>
          <cell r="AB1188">
            <v>9.0910000000000005E-2</v>
          </cell>
        </row>
        <row r="1189">
          <cell r="A1189" t="str">
            <v>F-2026-03-530</v>
          </cell>
          <cell r="B1189"/>
          <cell r="C1189" t="str">
            <v>RPRO-260326-0463</v>
          </cell>
          <cell r="D1189" t="str">
            <v>Pro.sche.report 24.03+25.03</v>
          </cell>
          <cell r="E1189" t="str">
            <v>BDB-000130</v>
          </cell>
          <cell r="F1189" t="str">
            <v>PVN-001585</v>
          </cell>
          <cell r="G1189" t="str">
            <v>OrthoLite Regular-Nike AIR BLUE/16-4134TPX Flat Sheet 0.13D 35+/-4 Asker C 1.1M 2M 6mm</v>
          </cell>
          <cell r="H1189">
            <v>1173</v>
          </cell>
          <cell r="I1189">
            <v>1173</v>
          </cell>
          <cell r="J1189">
            <v>0</v>
          </cell>
          <cell r="K1189">
            <v>1173</v>
          </cell>
          <cell r="L1189" t="str">
            <v>NIKE</v>
          </cell>
          <cell r="M1189" t="str">
            <v>Pr.Sch.R</v>
          </cell>
          <cell r="N1189" t="str">
            <v>MOLDED</v>
          </cell>
          <cell r="O1189">
            <v>1</v>
          </cell>
          <cell r="P1189">
            <v>46107</v>
          </cell>
          <cell r="Q1189">
            <v>46119</v>
          </cell>
          <cell r="R1189">
            <v>46116</v>
          </cell>
          <cell r="S1189">
            <v>12</v>
          </cell>
          <cell r="T1189">
            <v>6</v>
          </cell>
          <cell r="U1189">
            <v>23</v>
          </cell>
          <cell r="V1189">
            <v>52</v>
          </cell>
          <cell r="W1189" t="str">
            <v>0.13D</v>
          </cell>
          <cell r="X1189" t="str">
            <v>4-2026</v>
          </cell>
          <cell r="Y1189" t="str">
            <v>Week 14</v>
          </cell>
          <cell r="Z1189">
            <v>46111</v>
          </cell>
          <cell r="AA1189">
            <v>295</v>
          </cell>
          <cell r="AB1189">
            <v>4.3479999999999998E-2</v>
          </cell>
        </row>
        <row r="1190">
          <cell r="A1190" t="str">
            <v>F-2026-03-531</v>
          </cell>
          <cell r="B1190"/>
          <cell r="C1190" t="str">
            <v>RPRO-260327-0918</v>
          </cell>
          <cell r="D1190" t="str">
            <v>Pro.sche.report 26.03</v>
          </cell>
          <cell r="E1190" t="str">
            <v>BDB-000076</v>
          </cell>
          <cell r="F1190" t="str">
            <v>PVN-003448</v>
          </cell>
          <cell r="G1190" t="str">
            <v>OrthoLite X-25 BILLIARD/16-5427TPX Flat Sheet 0.12D 20+/-4 Asker C 1.1M 2M 6.2mm</v>
          </cell>
          <cell r="H1190">
            <v>22</v>
          </cell>
          <cell r="I1190">
            <v>22</v>
          </cell>
          <cell r="J1190">
            <v>0</v>
          </cell>
          <cell r="K1190">
            <v>22</v>
          </cell>
          <cell r="L1190" t="str">
            <v>ADIDAS</v>
          </cell>
          <cell r="M1190" t="str">
            <v>Pr.Sch.R</v>
          </cell>
          <cell r="N1190" t="str">
            <v>MOLDED</v>
          </cell>
          <cell r="O1190">
            <v>1</v>
          </cell>
          <cell r="P1190">
            <v>46108</v>
          </cell>
          <cell r="Q1190">
            <v>46123</v>
          </cell>
          <cell r="R1190">
            <v>46120</v>
          </cell>
          <cell r="S1190">
            <v>15</v>
          </cell>
          <cell r="T1190">
            <v>6.2</v>
          </cell>
          <cell r="U1190">
            <v>22</v>
          </cell>
          <cell r="V1190">
            <v>1</v>
          </cell>
          <cell r="W1190" t="str">
            <v>0.12D</v>
          </cell>
          <cell r="X1190" t="str">
            <v>4-2026</v>
          </cell>
          <cell r="Y1190" t="str">
            <v>Week 14</v>
          </cell>
          <cell r="Z1190">
            <v>46111</v>
          </cell>
          <cell r="AA1190">
            <v>295</v>
          </cell>
          <cell r="AB1190">
            <v>4.5449999999999997E-2</v>
          </cell>
        </row>
        <row r="1191">
          <cell r="A1191" t="str">
            <v>F-2026-03-532</v>
          </cell>
          <cell r="B1191"/>
          <cell r="C1191" t="str">
            <v>RPRO-260327-0919</v>
          </cell>
          <cell r="D1191" t="str">
            <v>Pro.sche.report 26.03</v>
          </cell>
          <cell r="E1191" t="str">
            <v>BDB-000212</v>
          </cell>
          <cell r="F1191" t="str">
            <v>PVN-003460</v>
          </cell>
          <cell r="G1191" t="str">
            <v>OrthoLite X-25-Hybrid SEEDPEARL/12-0703TPX Hybrid Flat Sheet 0.12D 20+/-4 Asker C 1.1M 2M 5.5mm</v>
          </cell>
          <cell r="H1191">
            <v>25</v>
          </cell>
          <cell r="I1191">
            <v>25</v>
          </cell>
          <cell r="J1191">
            <v>0</v>
          </cell>
          <cell r="K1191">
            <v>25</v>
          </cell>
          <cell r="L1191" t="str">
            <v>ON RUNNING</v>
          </cell>
          <cell r="M1191" t="str">
            <v>Pr.Sch.R</v>
          </cell>
          <cell r="N1191" t="str">
            <v>MOLDED</v>
          </cell>
          <cell r="O1191">
            <v>1</v>
          </cell>
          <cell r="P1191">
            <v>46108</v>
          </cell>
          <cell r="Q1191">
            <v>46115</v>
          </cell>
          <cell r="R1191">
            <v>46112</v>
          </cell>
          <cell r="S1191">
            <v>7</v>
          </cell>
          <cell r="T1191">
            <v>5.5</v>
          </cell>
          <cell r="U1191">
            <v>25</v>
          </cell>
          <cell r="V1191">
            <v>1</v>
          </cell>
          <cell r="W1191" t="str">
            <v>0.12D</v>
          </cell>
          <cell r="X1191" t="str">
            <v>4-2026</v>
          </cell>
          <cell r="Y1191" t="str">
            <v>Week 14</v>
          </cell>
          <cell r="Z1191">
            <v>46111</v>
          </cell>
          <cell r="AA1191">
            <v>295</v>
          </cell>
          <cell r="AB1191">
            <v>0.04</v>
          </cell>
        </row>
        <row r="1192">
          <cell r="A1192" t="str">
            <v>F-2026-03-533</v>
          </cell>
          <cell r="B1192"/>
          <cell r="C1192" t="str">
            <v>RPRO-260327-0920</v>
          </cell>
          <cell r="D1192" t="str">
            <v>Pro.sche.report 26.03</v>
          </cell>
          <cell r="E1192" t="str">
            <v>BDB-000008</v>
          </cell>
          <cell r="F1192" t="str">
            <v>PVN-000505</v>
          </cell>
          <cell r="G1192" t="str">
            <v>OrthoLite Regular LIME GREEN/14-0452TPX Flat Sheet 0.11D 25+/-4 Asker C 1.1M 2M 12mm</v>
          </cell>
          <cell r="H1192">
            <v>154</v>
          </cell>
          <cell r="I1192">
            <v>154</v>
          </cell>
          <cell r="J1192">
            <v>0</v>
          </cell>
          <cell r="K1192">
            <v>154</v>
          </cell>
          <cell r="L1192" t="str">
            <v>ASICS</v>
          </cell>
          <cell r="M1192" t="str">
            <v>Pr.Sch.R</v>
          </cell>
          <cell r="N1192" t="str">
            <v>MOLDED</v>
          </cell>
          <cell r="O1192">
            <v>1</v>
          </cell>
          <cell r="P1192">
            <v>46108</v>
          </cell>
          <cell r="Q1192">
            <v>46123</v>
          </cell>
          <cell r="R1192">
            <v>46120</v>
          </cell>
          <cell r="S1192">
            <v>15</v>
          </cell>
          <cell r="T1192">
            <v>12</v>
          </cell>
          <cell r="U1192">
            <v>11.5</v>
          </cell>
          <cell r="V1192">
            <v>14</v>
          </cell>
          <cell r="W1192" t="str">
            <v>0.11D</v>
          </cell>
          <cell r="X1192" t="str">
            <v>4-2026</v>
          </cell>
          <cell r="Y1192" t="str">
            <v>Week 14</v>
          </cell>
          <cell r="Z1192">
            <v>46111</v>
          </cell>
          <cell r="AA1192">
            <v>295</v>
          </cell>
          <cell r="AB1192">
            <v>8.6959999999999996E-2</v>
          </cell>
        </row>
        <row r="1193">
          <cell r="A1193" t="str">
            <v>F-2026-03-534</v>
          </cell>
          <cell r="B1193"/>
          <cell r="C1193" t="str">
            <v>RPRO-260327-0921</v>
          </cell>
          <cell r="D1193" t="str">
            <v>Pro.sche.report 26.03</v>
          </cell>
          <cell r="E1193" t="str">
            <v>BDB-000317</v>
          </cell>
          <cell r="F1193" t="str">
            <v>PVN-004076</v>
          </cell>
          <cell r="G1193" t="str">
            <v>OrthoLite Regular NEUTRAL GRAY/17-4402TPX Flat Sheet 0.13D 15+/-4 Asker C 1.1M 2M 24mm</v>
          </cell>
          <cell r="H1193">
            <v>5</v>
          </cell>
          <cell r="I1193">
            <v>5</v>
          </cell>
          <cell r="J1193">
            <v>0</v>
          </cell>
          <cell r="K1193">
            <v>5</v>
          </cell>
          <cell r="L1193" t="str">
            <v>ASICS</v>
          </cell>
          <cell r="M1193" t="str">
            <v>Pr.Sch.R</v>
          </cell>
          <cell r="N1193" t="str">
            <v>MOLDED</v>
          </cell>
          <cell r="O1193">
            <v>1</v>
          </cell>
          <cell r="P1193">
            <v>46108</v>
          </cell>
          <cell r="Q1193">
            <v>46115</v>
          </cell>
          <cell r="R1193">
            <v>46112</v>
          </cell>
          <cell r="S1193">
            <v>7</v>
          </cell>
          <cell r="T1193">
            <v>24</v>
          </cell>
          <cell r="U1193">
            <v>5</v>
          </cell>
          <cell r="V1193">
            <v>1</v>
          </cell>
          <cell r="W1193" t="e">
            <v>#N/A</v>
          </cell>
          <cell r="X1193" t="str">
            <v>4-2026</v>
          </cell>
          <cell r="Y1193" t="str">
            <v>Week 14</v>
          </cell>
          <cell r="Z1193">
            <v>46111</v>
          </cell>
          <cell r="AA1193">
            <v>295</v>
          </cell>
          <cell r="AB1193">
            <v>0.2</v>
          </cell>
        </row>
        <row r="1194">
          <cell r="A1194" t="str">
            <v>F-2026-03-535</v>
          </cell>
          <cell r="B1194"/>
          <cell r="C1194" t="str">
            <v>RPRO-260327-0922</v>
          </cell>
          <cell r="D1194" t="str">
            <v>Pro.sche.report 26.03</v>
          </cell>
          <cell r="E1194" t="str">
            <v>BDB-000126</v>
          </cell>
          <cell r="F1194" t="str">
            <v>PVN-002325</v>
          </cell>
          <cell r="G1194" t="str">
            <v>OrthoLite Regular-Nike RED/19-1764TPX Flat Sheet 0.11D 25+/-4 Asker C 1.1M 2M 5.2mm</v>
          </cell>
          <cell r="H1194">
            <v>104</v>
          </cell>
          <cell r="I1194">
            <v>104</v>
          </cell>
          <cell r="J1194">
            <v>0</v>
          </cell>
          <cell r="K1194">
            <v>104</v>
          </cell>
          <cell r="L1194" t="str">
            <v>NIKE</v>
          </cell>
          <cell r="M1194" t="str">
            <v>Pr.Sch.R</v>
          </cell>
          <cell r="N1194" t="str">
            <v>MOLDED</v>
          </cell>
          <cell r="O1194">
            <v>1</v>
          </cell>
          <cell r="P1194">
            <v>46108</v>
          </cell>
          <cell r="Q1194">
            <v>46118</v>
          </cell>
          <cell r="R1194">
            <v>46115</v>
          </cell>
          <cell r="S1194">
            <v>10</v>
          </cell>
          <cell r="T1194">
            <v>5.2</v>
          </cell>
          <cell r="U1194">
            <v>26</v>
          </cell>
          <cell r="V1194">
            <v>4</v>
          </cell>
          <cell r="W1194" t="str">
            <v>0.11D</v>
          </cell>
          <cell r="X1194" t="str">
            <v>4-2026</v>
          </cell>
          <cell r="Y1194" t="str">
            <v>Week 14</v>
          </cell>
          <cell r="Z1194">
            <v>46111</v>
          </cell>
          <cell r="AA1194">
            <v>383</v>
          </cell>
          <cell r="AB1194">
            <v>3.8460000000000001E-2</v>
          </cell>
        </row>
        <row r="1195">
          <cell r="A1195" t="str">
            <v>F-2026-03-536</v>
          </cell>
          <cell r="B1195"/>
          <cell r="C1195" t="str">
            <v>RPRO-260327-0923</v>
          </cell>
          <cell r="D1195" t="str">
            <v>Pro.sche.report 26.03</v>
          </cell>
          <cell r="E1195" t="str">
            <v>BDB-000157</v>
          </cell>
          <cell r="F1195" t="str">
            <v>PVN-003642</v>
          </cell>
          <cell r="G1195" t="str">
            <v>OrthoLite X-35-Hybrid-Nike SEEDPEARL/12-0703TPX Hybrid Flat Sheet 0.145D 25+/-4 Asker C 1.1M 2M 6.2mm</v>
          </cell>
          <cell r="H1195">
            <v>66</v>
          </cell>
          <cell r="I1195">
            <v>66</v>
          </cell>
          <cell r="J1195">
            <v>0</v>
          </cell>
          <cell r="K1195">
            <v>66</v>
          </cell>
          <cell r="L1195" t="str">
            <v>NIKE</v>
          </cell>
          <cell r="M1195" t="str">
            <v>Pr.Sch.R</v>
          </cell>
          <cell r="N1195" t="str">
            <v>MOLDED</v>
          </cell>
          <cell r="O1195">
            <v>1</v>
          </cell>
          <cell r="P1195">
            <v>46108</v>
          </cell>
          <cell r="Q1195">
            <v>46123</v>
          </cell>
          <cell r="R1195">
            <v>46120</v>
          </cell>
          <cell r="S1195">
            <v>15</v>
          </cell>
          <cell r="T1195">
            <v>6.2</v>
          </cell>
          <cell r="U1195">
            <v>22</v>
          </cell>
          <cell r="V1195">
            <v>3</v>
          </cell>
          <cell r="W1195" t="str">
            <v>0.145D</v>
          </cell>
          <cell r="X1195" t="str">
            <v>4-2026</v>
          </cell>
          <cell r="Y1195" t="str">
            <v>Week 14</v>
          </cell>
          <cell r="Z1195">
            <v>46111</v>
          </cell>
          <cell r="AA1195">
            <v>383</v>
          </cell>
          <cell r="AB1195">
            <v>4.5449999999999997E-2</v>
          </cell>
        </row>
        <row r="1196">
          <cell r="A1196" t="str">
            <v>F-2026-03-537</v>
          </cell>
          <cell r="B1196"/>
          <cell r="C1196" t="str">
            <v>RPRO-260327-0924</v>
          </cell>
          <cell r="D1196" t="str">
            <v>Pro.sche.report 26.03</v>
          </cell>
          <cell r="E1196" t="str">
            <v>BDB-000113</v>
          </cell>
          <cell r="F1196" t="str">
            <v>PVN-003601</v>
          </cell>
          <cell r="G1196" t="str">
            <v>OrthoLite Regular-Hybrid SEEDPEARL/12-0703TPX Hybrid Flat Sheet 0.11D 25+/-4 Asker C 1.1M 2M 20mm</v>
          </cell>
          <cell r="H1196">
            <v>108</v>
          </cell>
          <cell r="I1196">
            <v>108</v>
          </cell>
          <cell r="J1196">
            <v>0</v>
          </cell>
          <cell r="K1196">
            <v>108</v>
          </cell>
          <cell r="L1196" t="str">
            <v>ASICS</v>
          </cell>
          <cell r="M1196" t="str">
            <v>Pr.Sch.R</v>
          </cell>
          <cell r="N1196" t="str">
            <v>MOLDED</v>
          </cell>
          <cell r="O1196">
            <v>1</v>
          </cell>
          <cell r="P1196">
            <v>46108</v>
          </cell>
          <cell r="Q1196">
            <v>46119</v>
          </cell>
          <cell r="R1196">
            <v>46116</v>
          </cell>
          <cell r="S1196">
            <v>11</v>
          </cell>
          <cell r="T1196">
            <v>20</v>
          </cell>
          <cell r="U1196">
            <v>6</v>
          </cell>
          <cell r="V1196">
            <v>19</v>
          </cell>
          <cell r="W1196" t="str">
            <v>0.11D</v>
          </cell>
          <cell r="X1196" t="str">
            <v>4-2026</v>
          </cell>
          <cell r="Y1196" t="str">
            <v>Week 14</v>
          </cell>
          <cell r="Z1196">
            <v>46111</v>
          </cell>
          <cell r="AA1196">
            <v>383</v>
          </cell>
          <cell r="AB1196">
            <v>0.16667000000000001</v>
          </cell>
        </row>
        <row r="1197">
          <cell r="A1197" t="str">
            <v>F-2026-03-538</v>
          </cell>
          <cell r="B1197"/>
          <cell r="C1197" t="str">
            <v>RPRO-260327-0925</v>
          </cell>
          <cell r="D1197" t="str">
            <v>Pro.sche.report 26.03</v>
          </cell>
          <cell r="E1197" t="str">
            <v>BDB-000113</v>
          </cell>
          <cell r="F1197" t="str">
            <v>PVN-003796</v>
          </cell>
          <cell r="G1197" t="str">
            <v>OrthoLite Regular-Hybrid SEEDPEARL/12-0703TPX Hybrid Flat Sheet 0.11D 25+/-4 Asker C 1.1M 2M 3.5mm</v>
          </cell>
          <cell r="H1197">
            <v>240</v>
          </cell>
          <cell r="I1197">
            <v>240</v>
          </cell>
          <cell r="J1197">
            <v>0</v>
          </cell>
          <cell r="K1197">
            <v>240</v>
          </cell>
          <cell r="L1197" t="str">
            <v>ASICS</v>
          </cell>
          <cell r="M1197" t="str">
            <v>Pr.Sch.R</v>
          </cell>
          <cell r="N1197" t="str">
            <v>DIE CUT</v>
          </cell>
          <cell r="O1197">
            <v>1</v>
          </cell>
          <cell r="P1197">
            <v>46108</v>
          </cell>
          <cell r="Q1197">
            <v>46119</v>
          </cell>
          <cell r="R1197">
            <v>46116</v>
          </cell>
          <cell r="S1197">
            <v>11</v>
          </cell>
          <cell r="T1197">
            <v>3.5</v>
          </cell>
          <cell r="U1197">
            <v>40</v>
          </cell>
          <cell r="V1197">
            <v>6</v>
          </cell>
          <cell r="W1197" t="str">
            <v>0.11D</v>
          </cell>
          <cell r="X1197" t="str">
            <v>4-2026</v>
          </cell>
          <cell r="Y1197" t="str">
            <v>Week 14</v>
          </cell>
          <cell r="Z1197">
            <v>46111</v>
          </cell>
          <cell r="AA1197">
            <v>108</v>
          </cell>
          <cell r="AB1197">
            <v>2.5000000000000001E-2</v>
          </cell>
        </row>
        <row r="1198">
          <cell r="A1198" t="str">
            <v>F-2026-03-539</v>
          </cell>
          <cell r="B1198"/>
          <cell r="C1198" t="str">
            <v>RPRO-260327-0926</v>
          </cell>
          <cell r="D1198" t="str">
            <v>Pro.sche.report 26.03</v>
          </cell>
          <cell r="E1198" t="str">
            <v>BDB-000117</v>
          </cell>
          <cell r="F1198" t="str">
            <v>PVN-003148</v>
          </cell>
          <cell r="G1198" t="str">
            <v>OrthoLite X-35-Hybrid SEEDPEARL/12-0703TPX Hybrid Flat Sheet 0.145D 25+/-4 Asker C 1.1M 2M 4.5mm</v>
          </cell>
          <cell r="H1198">
            <v>124</v>
          </cell>
          <cell r="I1198">
            <v>124</v>
          </cell>
          <cell r="J1198">
            <v>0</v>
          </cell>
          <cell r="K1198">
            <v>124</v>
          </cell>
          <cell r="L1198" t="str">
            <v>WILSON</v>
          </cell>
          <cell r="M1198" t="str">
            <v>Pr.Sch.R</v>
          </cell>
          <cell r="N1198" t="str">
            <v>MOLDED</v>
          </cell>
          <cell r="O1198">
            <v>1</v>
          </cell>
          <cell r="P1198">
            <v>46108</v>
          </cell>
          <cell r="Q1198">
            <v>46119</v>
          </cell>
          <cell r="R1198">
            <v>46116</v>
          </cell>
          <cell r="S1198">
            <v>11</v>
          </cell>
          <cell r="T1198">
            <v>4.5</v>
          </cell>
          <cell r="U1198">
            <v>31</v>
          </cell>
          <cell r="V1198">
            <v>5</v>
          </cell>
          <cell r="W1198" t="str">
            <v>0.145D</v>
          </cell>
          <cell r="X1198" t="str">
            <v>4-2026</v>
          </cell>
          <cell r="Y1198" t="str">
            <v>Week 14</v>
          </cell>
          <cell r="Z1198">
            <v>46111</v>
          </cell>
          <cell r="AA1198">
            <v>108</v>
          </cell>
          <cell r="AB1198">
            <v>3.2259999999999997E-2</v>
          </cell>
        </row>
        <row r="1199">
          <cell r="A1199" t="str">
            <v>F-2026-03-540</v>
          </cell>
          <cell r="B1199"/>
          <cell r="C1199" t="str">
            <v>FPRO-260326-0001</v>
          </cell>
          <cell r="D1199" t="str">
            <v>Firm plan 26.3</v>
          </cell>
          <cell r="E1199" t="str">
            <v>BDB-000209</v>
          </cell>
          <cell r="F1199" t="str">
            <v>PVN-003537</v>
          </cell>
          <cell r="G1199" t="str">
            <v>OrthoLite HybridPlus-Recycled MINT GREEN/11-4805TPX Hybrid 0.12D 25+/-4 Asker C 1.1M 2M 4.5mm</v>
          </cell>
          <cell r="H1199">
            <v>2500</v>
          </cell>
          <cell r="I1199">
            <v>2500</v>
          </cell>
          <cell r="J1199">
            <v>0</v>
          </cell>
          <cell r="K1199">
            <v>2500</v>
          </cell>
          <cell r="L1199" t="str">
            <v>ON RUNNING</v>
          </cell>
          <cell r="M1199" t="str">
            <v>Forecast</v>
          </cell>
          <cell r="N1199" t="str">
            <v>MOLDED</v>
          </cell>
          <cell r="O1199">
            <v>1</v>
          </cell>
          <cell r="P1199">
            <v>46107</v>
          </cell>
          <cell r="Q1199">
            <v>46132</v>
          </cell>
          <cell r="R1199">
            <v>46129</v>
          </cell>
          <cell r="S1199">
            <v>25</v>
          </cell>
          <cell r="T1199">
            <v>4.5</v>
          </cell>
          <cell r="U1199">
            <v>31</v>
          </cell>
          <cell r="V1199">
            <v>81</v>
          </cell>
          <cell r="W1199" t="str">
            <v>0.12D</v>
          </cell>
          <cell r="X1199" t="str">
            <v>4-2026</v>
          </cell>
          <cell r="Y1199" t="str">
            <v>Week 16</v>
          </cell>
          <cell r="Z1199">
            <v>46125</v>
          </cell>
          <cell r="AA1199">
            <v>135</v>
          </cell>
          <cell r="AB1199">
            <v>3.2259999999999997E-2</v>
          </cell>
        </row>
        <row r="1200">
          <cell r="A1200" t="str">
            <v>F-2026-03-541</v>
          </cell>
          <cell r="B1200"/>
          <cell r="C1200" t="str">
            <v>FPRO-260326-0002</v>
          </cell>
          <cell r="D1200" t="str">
            <v>Firm plan 26.3</v>
          </cell>
          <cell r="E1200" t="str">
            <v>BDB-000209</v>
          </cell>
          <cell r="F1200" t="str">
            <v>PVN-003537</v>
          </cell>
          <cell r="G1200" t="str">
            <v>OrthoLite HybridPlus-Recycled MINT GREEN/11-4805TPX Hybrid 0.12D 25+/-4 Asker C 1.1M 2M 4.5mm</v>
          </cell>
          <cell r="H1200">
            <v>2500</v>
          </cell>
          <cell r="I1200">
            <v>2500</v>
          </cell>
          <cell r="J1200">
            <v>0</v>
          </cell>
          <cell r="K1200">
            <v>2500</v>
          </cell>
          <cell r="L1200" t="str">
            <v>ON RUNNING</v>
          </cell>
          <cell r="M1200" t="str">
            <v>Forecast</v>
          </cell>
          <cell r="N1200" t="str">
            <v>MOLDED</v>
          </cell>
          <cell r="O1200">
            <v>1</v>
          </cell>
          <cell r="P1200">
            <v>46107</v>
          </cell>
          <cell r="Q1200">
            <v>46150</v>
          </cell>
          <cell r="R1200">
            <v>46147</v>
          </cell>
          <cell r="S1200">
            <v>43</v>
          </cell>
          <cell r="T1200">
            <v>4.5</v>
          </cell>
          <cell r="U1200">
            <v>31</v>
          </cell>
          <cell r="V1200">
            <v>81</v>
          </cell>
          <cell r="W1200" t="str">
            <v>0.12D</v>
          </cell>
          <cell r="X1200" t="str">
            <v>5-2026</v>
          </cell>
          <cell r="Y1200" t="str">
            <v>Week 18</v>
          </cell>
          <cell r="Z1200">
            <v>46139</v>
          </cell>
          <cell r="AA1200">
            <v>135</v>
          </cell>
          <cell r="AB1200">
            <v>3.2259999999999997E-2</v>
          </cell>
        </row>
        <row r="1201">
          <cell r="A1201" t="str">
            <v>F-2026-03-542</v>
          </cell>
          <cell r="B1201"/>
          <cell r="C1201" t="str">
            <v>FPRO-260326-0003</v>
          </cell>
          <cell r="D1201" t="str">
            <v>Firm plan 26.3</v>
          </cell>
          <cell r="E1201" t="str">
            <v>BDB-000209</v>
          </cell>
          <cell r="F1201" t="str">
            <v>PVN-003537</v>
          </cell>
          <cell r="G1201" t="str">
            <v>OrthoLite HybridPlus-Recycled MINT GREEN/11-4805TPX Hybrid 0.12D 25+/-4 Asker C 1.1M 2M 4.5mm</v>
          </cell>
          <cell r="H1201">
            <v>2500</v>
          </cell>
          <cell r="I1201">
            <v>2500</v>
          </cell>
          <cell r="J1201">
            <v>0</v>
          </cell>
          <cell r="K1201">
            <v>2500</v>
          </cell>
          <cell r="L1201" t="str">
            <v>ON RUNNING</v>
          </cell>
          <cell r="M1201" t="str">
            <v>Forecast</v>
          </cell>
          <cell r="N1201" t="str">
            <v>MOLDED</v>
          </cell>
          <cell r="O1201">
            <v>1</v>
          </cell>
          <cell r="P1201">
            <v>46107</v>
          </cell>
          <cell r="Q1201">
            <v>46149</v>
          </cell>
          <cell r="R1201">
            <v>46146</v>
          </cell>
          <cell r="S1201">
            <v>42</v>
          </cell>
          <cell r="T1201">
            <v>4.5</v>
          </cell>
          <cell r="U1201">
            <v>31</v>
          </cell>
          <cell r="V1201">
            <v>81</v>
          </cell>
          <cell r="W1201" t="str">
            <v>0.12D</v>
          </cell>
          <cell r="X1201" t="str">
            <v>5-2026</v>
          </cell>
          <cell r="Y1201" t="str">
            <v>Week 17</v>
          </cell>
          <cell r="Z1201">
            <v>46132</v>
          </cell>
          <cell r="AA1201">
            <v>114</v>
          </cell>
          <cell r="AB1201">
            <v>3.2259999999999997E-2</v>
          </cell>
        </row>
        <row r="1202">
          <cell r="A1202" t="str">
            <v>F-2026-03-543</v>
          </cell>
          <cell r="B1202"/>
          <cell r="C1202" t="str">
            <v>FPRO-260326-0004</v>
          </cell>
          <cell r="D1202" t="str">
            <v>Firm plan 26.3</v>
          </cell>
          <cell r="E1202" t="str">
            <v>BDB-000209</v>
          </cell>
          <cell r="F1202" t="str">
            <v>PVN-003537</v>
          </cell>
          <cell r="G1202" t="str">
            <v>OrthoLite HybridPlus-Recycled MINT GREEN/11-4805TPX Hybrid 0.12D 25+/-4 Asker C 1.1M 2M 4.5mm</v>
          </cell>
          <cell r="H1202">
            <v>2500</v>
          </cell>
          <cell r="I1202">
            <v>2500</v>
          </cell>
          <cell r="J1202">
            <v>0</v>
          </cell>
          <cell r="K1202">
            <v>2500</v>
          </cell>
          <cell r="L1202" t="str">
            <v>ON RUNNING</v>
          </cell>
          <cell r="M1202" t="str">
            <v>Forecast</v>
          </cell>
          <cell r="N1202" t="str">
            <v>MOLDED</v>
          </cell>
          <cell r="O1202">
            <v>1</v>
          </cell>
          <cell r="P1202">
            <v>46107</v>
          </cell>
          <cell r="Q1202">
            <v>46156</v>
          </cell>
          <cell r="R1202">
            <v>46153</v>
          </cell>
          <cell r="S1202">
            <v>49</v>
          </cell>
          <cell r="T1202">
            <v>4.5</v>
          </cell>
          <cell r="U1202">
            <v>31</v>
          </cell>
          <cell r="V1202">
            <v>81</v>
          </cell>
          <cell r="W1202" t="str">
            <v>0.12D</v>
          </cell>
          <cell r="X1202" t="str">
            <v>5-2026</v>
          </cell>
          <cell r="Y1202" t="str">
            <v>Week 19</v>
          </cell>
          <cell r="Z1202">
            <v>46146</v>
          </cell>
          <cell r="AA1202">
            <v>114</v>
          </cell>
          <cell r="AB1202">
            <v>3.2259999999999997E-2</v>
          </cell>
        </row>
        <row r="1203">
          <cell r="A1203" t="str">
            <v>F-2026-03-544</v>
          </cell>
          <cell r="B1203"/>
          <cell r="C1203" t="str">
            <v>FPRO-260326-0005</v>
          </cell>
          <cell r="D1203" t="str">
            <v>Firm plan 26.3</v>
          </cell>
          <cell r="E1203" t="str">
            <v>BDB-000209</v>
          </cell>
          <cell r="F1203" t="str">
            <v>PVN-003537</v>
          </cell>
          <cell r="G1203" t="str">
            <v>OrthoLite HybridPlus-Recycled MINT GREEN/11-4805TPX Hybrid 0.12D 25+/-4 Asker C 1.1M 2M 4.5mm</v>
          </cell>
          <cell r="H1203">
            <v>2500</v>
          </cell>
          <cell r="I1203">
            <v>2500</v>
          </cell>
          <cell r="J1203">
            <v>0</v>
          </cell>
          <cell r="K1203">
            <v>2500</v>
          </cell>
          <cell r="L1203" t="str">
            <v>ON RUNNING</v>
          </cell>
          <cell r="M1203" t="str">
            <v>Forecast</v>
          </cell>
          <cell r="N1203" t="str">
            <v>MOLDED</v>
          </cell>
          <cell r="O1203">
            <v>1</v>
          </cell>
          <cell r="P1203">
            <v>46107</v>
          </cell>
          <cell r="Q1203">
            <v>46158</v>
          </cell>
          <cell r="R1203">
            <v>46155</v>
          </cell>
          <cell r="S1203">
            <v>51</v>
          </cell>
          <cell r="T1203">
            <v>4.5</v>
          </cell>
          <cell r="U1203">
            <v>31</v>
          </cell>
          <cell r="V1203">
            <v>81</v>
          </cell>
          <cell r="W1203" t="str">
            <v>0.12D</v>
          </cell>
          <cell r="X1203" t="str">
            <v>5-2026</v>
          </cell>
          <cell r="Y1203" t="str">
            <v>Week 20</v>
          </cell>
          <cell r="Z1203">
            <v>46153</v>
          </cell>
          <cell r="AA1203">
            <v>254</v>
          </cell>
          <cell r="AB1203">
            <v>3.2259999999999997E-2</v>
          </cell>
        </row>
        <row r="1204">
          <cell r="A1204" t="str">
            <v>F-2026-03-545</v>
          </cell>
          <cell r="B1204"/>
          <cell r="C1204" t="str">
            <v>FPRO-260326-0006</v>
          </cell>
          <cell r="D1204" t="str">
            <v>Firm plan 26.3</v>
          </cell>
          <cell r="E1204" t="str">
            <v>BDB-000209</v>
          </cell>
          <cell r="F1204" t="str">
            <v>PVN-003537</v>
          </cell>
          <cell r="G1204" t="str">
            <v>OrthoLite HybridPlus-Recycled MINT GREEN/11-4805TPX Hybrid 0.12D 25+/-4 Asker C 1.1M 2M 4.5mm</v>
          </cell>
          <cell r="H1204">
            <v>2500</v>
          </cell>
          <cell r="I1204">
            <v>2500</v>
          </cell>
          <cell r="J1204">
            <v>0</v>
          </cell>
          <cell r="K1204">
            <v>2500</v>
          </cell>
          <cell r="L1204" t="str">
            <v>ON RUNNING</v>
          </cell>
          <cell r="M1204" t="str">
            <v>Forecast</v>
          </cell>
          <cell r="N1204" t="str">
            <v>MOLDED</v>
          </cell>
          <cell r="O1204">
            <v>1</v>
          </cell>
          <cell r="P1204">
            <v>46107</v>
          </cell>
          <cell r="Q1204">
            <v>46160</v>
          </cell>
          <cell r="R1204">
            <v>46157</v>
          </cell>
          <cell r="S1204">
            <v>53</v>
          </cell>
          <cell r="T1204">
            <v>4.5</v>
          </cell>
          <cell r="U1204">
            <v>31</v>
          </cell>
          <cell r="V1204">
            <v>81</v>
          </cell>
          <cell r="W1204" t="str">
            <v>0.12D</v>
          </cell>
          <cell r="X1204" t="str">
            <v>5-2026</v>
          </cell>
          <cell r="Y1204" t="str">
            <v>Week 20</v>
          </cell>
          <cell r="Z1204">
            <v>46153</v>
          </cell>
          <cell r="AA1204">
            <v>254</v>
          </cell>
          <cell r="AB1204">
            <v>3.2259999999999997E-2</v>
          </cell>
        </row>
        <row r="1205">
          <cell r="A1205" t="str">
            <v>F-2026-03-546</v>
          </cell>
          <cell r="B1205"/>
          <cell r="C1205" t="str">
            <v>FPRO-260326-0007</v>
          </cell>
          <cell r="D1205" t="str">
            <v>Firm plan 26.3</v>
          </cell>
          <cell r="E1205" t="str">
            <v>BDB-000209</v>
          </cell>
          <cell r="F1205" t="str">
            <v>PVN-003537</v>
          </cell>
          <cell r="G1205" t="str">
            <v>OrthoLite HybridPlus-Recycled MINT GREEN/11-4805TPX Hybrid 0.12D 25+/-4 Asker C 1.1M 2M 4.5mm</v>
          </cell>
          <cell r="H1205">
            <v>2500</v>
          </cell>
          <cell r="I1205">
            <v>2500</v>
          </cell>
          <cell r="J1205">
            <v>0</v>
          </cell>
          <cell r="K1205">
            <v>2500</v>
          </cell>
          <cell r="L1205" t="str">
            <v>ON RUNNING</v>
          </cell>
          <cell r="M1205" t="str">
            <v>Forecast</v>
          </cell>
          <cell r="N1205" t="str">
            <v>MOLDED</v>
          </cell>
          <cell r="O1205">
            <v>1</v>
          </cell>
          <cell r="P1205">
            <v>46107</v>
          </cell>
          <cell r="Q1205">
            <v>46132</v>
          </cell>
          <cell r="R1205">
            <v>46129</v>
          </cell>
          <cell r="S1205">
            <v>25</v>
          </cell>
          <cell r="T1205">
            <v>4.5</v>
          </cell>
          <cell r="U1205">
            <v>31</v>
          </cell>
          <cell r="V1205">
            <v>81</v>
          </cell>
          <cell r="W1205" t="str">
            <v>0.12D</v>
          </cell>
          <cell r="X1205" t="str">
            <v>4-2026</v>
          </cell>
          <cell r="Y1205" t="str">
            <v>Week 16</v>
          </cell>
          <cell r="Z1205">
            <v>46125</v>
          </cell>
          <cell r="AA1205">
            <v>82</v>
          </cell>
          <cell r="AB1205">
            <v>3.2259999999999997E-2</v>
          </cell>
        </row>
        <row r="1206">
          <cell r="A1206" t="str">
            <v>F-2026-03-547</v>
          </cell>
          <cell r="B1206"/>
          <cell r="C1206" t="str">
            <v>FPRO-260327-0001</v>
          </cell>
          <cell r="D1206" t="str">
            <v>Firm plan 27.3</v>
          </cell>
          <cell r="E1206" t="str">
            <v>BDB-000180</v>
          </cell>
          <cell r="F1206" t="str">
            <v>PVN-003236</v>
          </cell>
          <cell r="G1206" t="str">
            <v>OrthoLite Eco LT-Hybrid-Converse SEEDPEARL/12-0703TPX Hybrid 0.13D 25+/-4 Asker C 1.1M 2M 5mm</v>
          </cell>
          <cell r="H1206">
            <v>573</v>
          </cell>
          <cell r="I1206">
            <v>573</v>
          </cell>
          <cell r="J1206">
            <v>0</v>
          </cell>
          <cell r="K1206">
            <v>573</v>
          </cell>
          <cell r="L1206" t="str">
            <v>CONVERSE</v>
          </cell>
          <cell r="M1206" t="str">
            <v>Forecast</v>
          </cell>
          <cell r="N1206" t="str">
            <v>DIE CUT</v>
          </cell>
          <cell r="O1206">
            <v>1</v>
          </cell>
          <cell r="P1206">
            <v>46108</v>
          </cell>
          <cell r="Q1206">
            <v>46119</v>
          </cell>
          <cell r="R1206">
            <v>46116</v>
          </cell>
          <cell r="S1206">
            <v>11</v>
          </cell>
          <cell r="T1206">
            <v>5</v>
          </cell>
          <cell r="U1206">
            <v>28</v>
          </cell>
          <cell r="V1206">
            <v>21</v>
          </cell>
          <cell r="W1206" t="str">
            <v>0.13D</v>
          </cell>
          <cell r="X1206" t="str">
            <v>4-2026</v>
          </cell>
          <cell r="Y1206" t="str">
            <v>Week 14</v>
          </cell>
          <cell r="Z1206">
            <v>46111</v>
          </cell>
          <cell r="AA1206">
            <v>82</v>
          </cell>
          <cell r="AB1206">
            <v>3.5709999999999999E-2</v>
          </cell>
        </row>
        <row r="1207">
          <cell r="A1207" t="str">
            <v>F-2026-03-548</v>
          </cell>
          <cell r="B1207"/>
          <cell r="C1207" t="str">
            <v>FPRO-260327-0002</v>
          </cell>
          <cell r="D1207" t="str">
            <v>Firm plan 27.3</v>
          </cell>
          <cell r="E1207" t="str">
            <v>BDB-000181</v>
          </cell>
          <cell r="F1207" t="str">
            <v>PVN-003238</v>
          </cell>
          <cell r="G1207" t="str">
            <v>OrthoLite Eco LT-Hybrid-Converse SEEDPEARL/12-0703TPX Hybrid 0.11D 25+/-4 Asker C 1.1M 2M 5mm</v>
          </cell>
          <cell r="H1207">
            <v>221</v>
          </cell>
          <cell r="I1207">
            <v>221</v>
          </cell>
          <cell r="J1207">
            <v>0</v>
          </cell>
          <cell r="K1207">
            <v>221</v>
          </cell>
          <cell r="L1207" t="str">
            <v>CONVERSE</v>
          </cell>
          <cell r="M1207" t="str">
            <v>Forecast</v>
          </cell>
          <cell r="N1207" t="str">
            <v>DIE CUT</v>
          </cell>
          <cell r="O1207">
            <v>1</v>
          </cell>
          <cell r="P1207">
            <v>46108</v>
          </cell>
          <cell r="Q1207">
            <v>46119</v>
          </cell>
          <cell r="R1207">
            <v>46116</v>
          </cell>
          <cell r="S1207">
            <v>11</v>
          </cell>
          <cell r="T1207">
            <v>5</v>
          </cell>
          <cell r="U1207">
            <v>28</v>
          </cell>
          <cell r="V1207">
            <v>8</v>
          </cell>
          <cell r="W1207" t="str">
            <v>0.11D</v>
          </cell>
          <cell r="X1207" t="str">
            <v>4-2026</v>
          </cell>
          <cell r="Y1207" t="str">
            <v>Week 14</v>
          </cell>
          <cell r="Z1207">
            <v>46111</v>
          </cell>
          <cell r="AA1207">
            <v>82</v>
          </cell>
          <cell r="AB1207">
            <v>3.5709999999999999E-2</v>
          </cell>
        </row>
        <row r="1208">
          <cell r="A1208" t="str">
            <v>F-2026-03-549</v>
          </cell>
          <cell r="B1208"/>
          <cell r="C1208" t="str">
            <v>FPRO-260327-0003</v>
          </cell>
          <cell r="D1208" t="str">
            <v>Firm plan 27.3</v>
          </cell>
          <cell r="E1208" t="str">
            <v>BDB-000226</v>
          </cell>
          <cell r="F1208" t="str">
            <v>PVN-003517</v>
          </cell>
          <cell r="G1208" t="str">
            <v>OrthoLite Regular GREY/17-1501TPX Flat Sheet 0.16D 51+/-4 Asker C 1.1M 1.7M 12mm</v>
          </cell>
          <cell r="H1208">
            <v>235</v>
          </cell>
          <cell r="I1208">
            <v>235</v>
          </cell>
          <cell r="J1208">
            <v>0</v>
          </cell>
          <cell r="K1208">
            <v>235</v>
          </cell>
          <cell r="L1208" t="str">
            <v>CONVERSE</v>
          </cell>
          <cell r="M1208" t="str">
            <v>Forecast</v>
          </cell>
          <cell r="N1208" t="str">
            <v>DIE CUT</v>
          </cell>
          <cell r="O1208">
            <v>1</v>
          </cell>
          <cell r="P1208">
            <v>46108</v>
          </cell>
          <cell r="Q1208">
            <v>46116</v>
          </cell>
          <cell r="R1208">
            <v>46113</v>
          </cell>
          <cell r="S1208">
            <v>8</v>
          </cell>
          <cell r="T1208">
            <v>12</v>
          </cell>
          <cell r="U1208">
            <v>11</v>
          </cell>
          <cell r="V1208">
            <v>22</v>
          </cell>
          <cell r="W1208" t="str">
            <v>0.16D</v>
          </cell>
          <cell r="X1208" t="str">
            <v>4-2026</v>
          </cell>
          <cell r="Y1208" t="str">
            <v>Week 14</v>
          </cell>
          <cell r="Z1208">
            <v>46111</v>
          </cell>
          <cell r="AA1208">
            <v>82</v>
          </cell>
          <cell r="AB1208">
            <v>9.0910000000000005E-2</v>
          </cell>
        </row>
        <row r="1209">
          <cell r="A1209" t="str">
            <v>F-2026-03-550</v>
          </cell>
          <cell r="B1209"/>
          <cell r="C1209" t="str">
            <v>FPRO-260327-0006</v>
          </cell>
          <cell r="D1209" t="str">
            <v>Firm plan 27.3</v>
          </cell>
          <cell r="E1209" t="str">
            <v>BDB-000123</v>
          </cell>
          <cell r="F1209" t="str">
            <v>PVN-003298</v>
          </cell>
          <cell r="G1209" t="str">
            <v>OrthoLite Ultra-Hybrid SEEDPEARL/12-0703TPX Hybrid 0.085D 25+/-4 Asker C 1.1M 2M 4mm</v>
          </cell>
          <cell r="H1209">
            <v>5100</v>
          </cell>
          <cell r="I1209">
            <v>5100</v>
          </cell>
          <cell r="J1209">
            <v>0</v>
          </cell>
          <cell r="K1209">
            <v>5100</v>
          </cell>
          <cell r="L1209" t="str">
            <v>SALOMON</v>
          </cell>
          <cell r="M1209" t="str">
            <v>Forecast</v>
          </cell>
          <cell r="N1209" t="str">
            <v>LAMINATING</v>
          </cell>
          <cell r="O1209">
            <v>1</v>
          </cell>
          <cell r="P1209">
            <v>46108</v>
          </cell>
          <cell r="Q1209">
            <v>46167</v>
          </cell>
          <cell r="R1209">
            <v>46164</v>
          </cell>
          <cell r="S1209">
            <v>59</v>
          </cell>
          <cell r="T1209">
            <v>4</v>
          </cell>
          <cell r="U1209">
            <v>35</v>
          </cell>
          <cell r="V1209">
            <v>146</v>
          </cell>
          <cell r="W1209" t="str">
            <v>0.085D</v>
          </cell>
          <cell r="X1209" t="str">
            <v>5-2026</v>
          </cell>
          <cell r="Y1209" t="str">
            <v>Week 21</v>
          </cell>
          <cell r="Z1209">
            <v>46160</v>
          </cell>
          <cell r="AA1209">
            <v>82</v>
          </cell>
          <cell r="AB1209">
            <v>2.8570000000000002E-2</v>
          </cell>
        </row>
        <row r="1210">
          <cell r="A1210" t="str">
            <v>F-2026-03-551</v>
          </cell>
          <cell r="B1210"/>
          <cell r="C1210" t="str">
            <v>RPRO-260330-1099</v>
          </cell>
          <cell r="D1210" t="str">
            <v>MPS 27.03+28.03+29.03</v>
          </cell>
          <cell r="E1210" t="str">
            <v>BDB-000224</v>
          </cell>
          <cell r="F1210" t="str">
            <v>PVN-004258</v>
          </cell>
          <cell r="G1210" t="str">
            <v>OrthoLite R&amp;R CASTLEROCK/18-0201TPX Flat Sheet 0.16D 15+/-4 Asker C 1.1M 1.7M 3mm</v>
          </cell>
          <cell r="H1210">
            <v>184</v>
          </cell>
          <cell r="I1210">
            <v>184</v>
          </cell>
          <cell r="J1210">
            <v>0</v>
          </cell>
          <cell r="K1210">
            <v>184</v>
          </cell>
          <cell r="L1210"/>
          <cell r="M1210" t="str">
            <v>MPS</v>
          </cell>
          <cell r="N1210" t="str">
            <v>SPLITTING</v>
          </cell>
          <cell r="O1210">
            <v>2</v>
          </cell>
          <cell r="P1210">
            <v>46111</v>
          </cell>
          <cell r="Q1210">
            <v>46126</v>
          </cell>
          <cell r="R1210">
            <v>46123</v>
          </cell>
          <cell r="S1210">
            <v>15</v>
          </cell>
          <cell r="T1210">
            <v>3</v>
          </cell>
          <cell r="U1210">
            <v>46</v>
          </cell>
          <cell r="V1210">
            <v>5</v>
          </cell>
          <cell r="W1210" t="str">
            <v>0.16D</v>
          </cell>
          <cell r="X1210" t="str">
            <v>4-2026</v>
          </cell>
          <cell r="Y1210" t="str">
            <v>Week 15</v>
          </cell>
          <cell r="Z1210">
            <v>46118</v>
          </cell>
          <cell r="AA1210">
            <v>8</v>
          </cell>
          <cell r="AB1210">
            <v>2.1739999999999999E-2</v>
          </cell>
        </row>
        <row r="1211">
          <cell r="A1211" t="str">
            <v>F-2026-03-552</v>
          </cell>
          <cell r="B1211"/>
          <cell r="C1211" t="str">
            <v>RPRO-260330-1100</v>
          </cell>
          <cell r="D1211" t="str">
            <v>MPS 27.03+28.03+29.03</v>
          </cell>
          <cell r="E1211" t="str">
            <v>BDB-000011</v>
          </cell>
          <cell r="F1211" t="str">
            <v>PVN-000127</v>
          </cell>
          <cell r="G1211" t="str">
            <v>OrthoLite Regular AIR BLUE/16-4134TPX Flat Sheet 0.13D 35+/-4 Asker C 1.1M 2M 5mm</v>
          </cell>
          <cell r="H1211">
            <v>392</v>
          </cell>
          <cell r="I1211">
            <v>392</v>
          </cell>
          <cell r="J1211">
            <v>0</v>
          </cell>
          <cell r="K1211">
            <v>392</v>
          </cell>
          <cell r="L1211"/>
          <cell r="M1211" t="str">
            <v>MPS</v>
          </cell>
          <cell r="N1211" t="str">
            <v>SPLITTING</v>
          </cell>
          <cell r="O1211">
            <v>2</v>
          </cell>
          <cell r="P1211">
            <v>46111</v>
          </cell>
          <cell r="Q1211">
            <v>46125</v>
          </cell>
          <cell r="R1211">
            <v>46122</v>
          </cell>
          <cell r="S1211">
            <v>14</v>
          </cell>
          <cell r="T1211">
            <v>5</v>
          </cell>
          <cell r="U1211">
            <v>28</v>
          </cell>
          <cell r="V1211">
            <v>14</v>
          </cell>
          <cell r="W1211" t="str">
            <v>0.13D</v>
          </cell>
          <cell r="X1211" t="str">
            <v>4-2026</v>
          </cell>
          <cell r="Y1211" t="str">
            <v>Week 15</v>
          </cell>
          <cell r="Z1211">
            <v>46118</v>
          </cell>
          <cell r="AA1211">
            <v>18</v>
          </cell>
          <cell r="AB1211">
            <v>3.5709999999999999E-2</v>
          </cell>
        </row>
        <row r="1212">
          <cell r="A1212" t="str">
            <v>F-2026-03-553</v>
          </cell>
          <cell r="B1212"/>
          <cell r="C1212" t="str">
            <v>RPRO-260330-1101</v>
          </cell>
          <cell r="D1212" t="str">
            <v>MPS 27.03+28.03+29.03</v>
          </cell>
          <cell r="E1212" t="str">
            <v>BDB-000083</v>
          </cell>
          <cell r="F1212" t="str">
            <v>PVN-000930</v>
          </cell>
          <cell r="G1212" t="str">
            <v>OrthoLite Eco LT 300C(ADIDAS BLUEBIRD) Flat Sheet 0.11D 25+/-4 Asker C 1.1M 2M 3mm</v>
          </cell>
          <cell r="H1212">
            <v>46</v>
          </cell>
          <cell r="I1212">
            <v>46</v>
          </cell>
          <cell r="J1212">
            <v>0</v>
          </cell>
          <cell r="K1212">
            <v>46</v>
          </cell>
          <cell r="L1212"/>
          <cell r="M1212" t="str">
            <v>MPS</v>
          </cell>
          <cell r="N1212" t="str">
            <v>SPLITTING</v>
          </cell>
          <cell r="O1212">
            <v>2</v>
          </cell>
          <cell r="P1212">
            <v>46111</v>
          </cell>
          <cell r="Q1212">
            <v>46126</v>
          </cell>
          <cell r="R1212">
            <v>46123</v>
          </cell>
          <cell r="S1212">
            <v>15</v>
          </cell>
          <cell r="T1212">
            <v>3</v>
          </cell>
          <cell r="U1212">
            <v>46</v>
          </cell>
          <cell r="V1212">
            <v>2</v>
          </cell>
          <cell r="W1212" t="str">
            <v>0.11D</v>
          </cell>
          <cell r="X1212" t="str">
            <v>4-2026</v>
          </cell>
          <cell r="Y1212" t="str">
            <v>Week 15</v>
          </cell>
          <cell r="Z1212">
            <v>46118</v>
          </cell>
          <cell r="AA1212">
            <v>56</v>
          </cell>
          <cell r="AB1212">
            <v>2.1739999999999999E-2</v>
          </cell>
        </row>
        <row r="1213">
          <cell r="A1213" t="str">
            <v>F-2026-03-554</v>
          </cell>
          <cell r="B1213"/>
          <cell r="C1213" t="str">
            <v>RPRO-260330-1102</v>
          </cell>
          <cell r="D1213" t="str">
            <v>MPS 27.03+28.03+29.03</v>
          </cell>
          <cell r="E1213" t="str">
            <v>BDB-000057</v>
          </cell>
          <cell r="F1213" t="str">
            <v>PVN-000981</v>
          </cell>
          <cell r="G1213" t="str">
            <v>OrthoLite Ultra YELLOW/13-0858TPX Flat Sheet 0.085D 25+/-4 Asker C 1.1M 2M 3mm</v>
          </cell>
          <cell r="H1213">
            <v>1242</v>
          </cell>
          <cell r="I1213">
            <v>1242</v>
          </cell>
          <cell r="J1213">
            <v>0</v>
          </cell>
          <cell r="K1213">
            <v>1242</v>
          </cell>
          <cell r="L1213"/>
          <cell r="M1213" t="str">
            <v>MPS</v>
          </cell>
          <cell r="N1213" t="str">
            <v>SPLITTING</v>
          </cell>
          <cell r="O1213">
            <v>2</v>
          </cell>
          <cell r="P1213">
            <v>46111</v>
          </cell>
          <cell r="Q1213">
            <v>46126</v>
          </cell>
          <cell r="R1213">
            <v>46123</v>
          </cell>
          <cell r="S1213">
            <v>15</v>
          </cell>
          <cell r="T1213">
            <v>3</v>
          </cell>
          <cell r="U1213">
            <v>46</v>
          </cell>
          <cell r="V1213">
            <v>28</v>
          </cell>
          <cell r="W1213" t="str">
            <v>0.085D</v>
          </cell>
          <cell r="X1213" t="str">
            <v>4-2026</v>
          </cell>
          <cell r="Y1213" t="str">
            <v>Week 15</v>
          </cell>
          <cell r="Z1213">
            <v>46118</v>
          </cell>
          <cell r="AA1213">
            <v>114</v>
          </cell>
          <cell r="AB1213">
            <v>2.1739999999999999E-2</v>
          </cell>
        </row>
        <row r="1214">
          <cell r="A1214" t="str">
            <v>F-2026-03-555</v>
          </cell>
          <cell r="B1214"/>
          <cell r="C1214" t="str">
            <v>RPRO-260330-1103</v>
          </cell>
          <cell r="D1214" t="str">
            <v>MPS 27.03+28.03+29.03</v>
          </cell>
          <cell r="E1214" t="str">
            <v>BDB-000085</v>
          </cell>
          <cell r="F1214" t="str">
            <v>PVN-001091</v>
          </cell>
          <cell r="G1214" t="str">
            <v>OrthoLite Eco LT GREY/17-1501TPX Flat Sheet 0.11D 25+/-4 Asker C 1.1M 2M 4mm</v>
          </cell>
          <cell r="H1214">
            <v>35</v>
          </cell>
          <cell r="I1214">
            <v>35</v>
          </cell>
          <cell r="J1214">
            <v>0</v>
          </cell>
          <cell r="K1214">
            <v>35</v>
          </cell>
          <cell r="L1214"/>
          <cell r="M1214" t="str">
            <v>MPS</v>
          </cell>
          <cell r="N1214" t="str">
            <v>SPLITTING</v>
          </cell>
          <cell r="O1214">
            <v>2</v>
          </cell>
          <cell r="P1214">
            <v>46111</v>
          </cell>
          <cell r="Q1214">
            <v>46126</v>
          </cell>
          <cell r="R1214">
            <v>46123</v>
          </cell>
          <cell r="S1214">
            <v>15</v>
          </cell>
          <cell r="T1214">
            <v>4</v>
          </cell>
          <cell r="U1214">
            <v>35</v>
          </cell>
          <cell r="V1214">
            <v>1</v>
          </cell>
          <cell r="W1214" t="str">
            <v>0.11D</v>
          </cell>
          <cell r="X1214" t="str">
            <v>4-2026</v>
          </cell>
          <cell r="Y1214" t="str">
            <v>Week 15</v>
          </cell>
          <cell r="Z1214">
            <v>46118</v>
          </cell>
          <cell r="AA1214">
            <v>89</v>
          </cell>
          <cell r="AB1214">
            <v>2.8570000000000002E-2</v>
          </cell>
        </row>
        <row r="1215">
          <cell r="A1215" t="str">
            <v>F-2026-03-556</v>
          </cell>
          <cell r="B1215"/>
          <cell r="C1215" t="str">
            <v>RPRO-260330-1104</v>
          </cell>
          <cell r="D1215" t="str">
            <v>MPS 27.03+28.03+29.03</v>
          </cell>
          <cell r="E1215" t="str">
            <v>BDB-000084</v>
          </cell>
          <cell r="F1215" t="str">
            <v>PVN-001111</v>
          </cell>
          <cell r="G1215" t="str">
            <v>OrthoLite Eco LT YELLOW/13-0858TPX 0.11D 25+/-4 Asker C 1.1M 2M 4mm</v>
          </cell>
          <cell r="H1215">
            <v>35</v>
          </cell>
          <cell r="I1215">
            <v>35</v>
          </cell>
          <cell r="J1215">
            <v>0</v>
          </cell>
          <cell r="K1215">
            <v>35</v>
          </cell>
          <cell r="L1215"/>
          <cell r="M1215" t="str">
            <v>MPS</v>
          </cell>
          <cell r="N1215" t="str">
            <v>SPLITTING</v>
          </cell>
          <cell r="O1215">
            <v>2</v>
          </cell>
          <cell r="P1215">
            <v>46111</v>
          </cell>
          <cell r="Q1215">
            <v>46121</v>
          </cell>
          <cell r="R1215">
            <v>46118</v>
          </cell>
          <cell r="S1215">
            <v>10</v>
          </cell>
          <cell r="T1215">
            <v>4</v>
          </cell>
          <cell r="U1215">
            <v>35</v>
          </cell>
          <cell r="V1215">
            <v>1</v>
          </cell>
          <cell r="W1215" t="str">
            <v>0.11D</v>
          </cell>
          <cell r="X1215" t="str">
            <v>4-2026</v>
          </cell>
          <cell r="Y1215" t="str">
            <v>Week 14</v>
          </cell>
          <cell r="Z1215">
            <v>46111</v>
          </cell>
          <cell r="AA1215">
            <v>10</v>
          </cell>
          <cell r="AB1215">
            <v>2.8570000000000002E-2</v>
          </cell>
        </row>
        <row r="1216">
          <cell r="A1216" t="str">
            <v>F-2026-03-557</v>
          </cell>
          <cell r="B1216"/>
          <cell r="C1216" t="str">
            <v>RPRO-260330-1105</v>
          </cell>
          <cell r="D1216" t="str">
            <v>MPS 27.03+28.03+29.03</v>
          </cell>
          <cell r="E1216" t="str">
            <v>BDB-000058</v>
          </cell>
          <cell r="F1216" t="str">
            <v>PVN-001277</v>
          </cell>
          <cell r="G1216" t="str">
            <v>OrthoLite Ultra GREEN/16-5932TPX Flat Sheet 0.085D 25+/-4 Asker C 1.1M 2M 4mm</v>
          </cell>
          <cell r="H1216">
            <v>2870</v>
          </cell>
          <cell r="I1216">
            <v>2870</v>
          </cell>
          <cell r="J1216">
            <v>0</v>
          </cell>
          <cell r="K1216">
            <v>2870</v>
          </cell>
          <cell r="L1216"/>
          <cell r="M1216" t="str">
            <v>MPS</v>
          </cell>
          <cell r="N1216" t="str">
            <v>SPLITTING</v>
          </cell>
          <cell r="O1216">
            <v>2</v>
          </cell>
          <cell r="P1216">
            <v>46111</v>
          </cell>
          <cell r="Q1216">
            <v>46126</v>
          </cell>
          <cell r="R1216">
            <v>46123</v>
          </cell>
          <cell r="S1216">
            <v>15</v>
          </cell>
          <cell r="T1216">
            <v>4</v>
          </cell>
          <cell r="U1216">
            <v>35</v>
          </cell>
          <cell r="V1216">
            <v>82</v>
          </cell>
          <cell r="W1216" t="str">
            <v>0.085D</v>
          </cell>
          <cell r="X1216" t="str">
            <v>4-2026</v>
          </cell>
          <cell r="Y1216" t="str">
            <v>Week 15</v>
          </cell>
          <cell r="Z1216">
            <v>46118</v>
          </cell>
          <cell r="AA1216">
            <v>87</v>
          </cell>
          <cell r="AB1216">
            <v>2.8570000000000002E-2</v>
          </cell>
        </row>
        <row r="1217">
          <cell r="A1217" t="str">
            <v>F-2026-03-558</v>
          </cell>
          <cell r="B1217"/>
          <cell r="C1217" t="str">
            <v>RPRO-260330-1106</v>
          </cell>
          <cell r="D1217" t="str">
            <v>MPS 27.03+28.03+29.03</v>
          </cell>
          <cell r="E1217" t="str">
            <v>BDB-000033</v>
          </cell>
          <cell r="F1217" t="str">
            <v>PVN-001471</v>
          </cell>
          <cell r="G1217" t="str">
            <v>OrthoLite Regular SEEDPEARL/12-0703TPX 0.13D 35+/-4 Asker C 1.1M 2M 4mm</v>
          </cell>
          <cell r="H1217">
            <v>35</v>
          </cell>
          <cell r="I1217">
            <v>35</v>
          </cell>
          <cell r="J1217">
            <v>0</v>
          </cell>
          <cell r="K1217">
            <v>35</v>
          </cell>
          <cell r="L1217"/>
          <cell r="M1217" t="str">
            <v>MPS</v>
          </cell>
          <cell r="N1217" t="str">
            <v>SPLITTING</v>
          </cell>
          <cell r="O1217">
            <v>2</v>
          </cell>
          <cell r="P1217">
            <v>46111</v>
          </cell>
          <cell r="Q1217">
            <v>46122</v>
          </cell>
          <cell r="R1217">
            <v>46119</v>
          </cell>
          <cell r="S1217">
            <v>11</v>
          </cell>
          <cell r="T1217">
            <v>4</v>
          </cell>
          <cell r="U1217">
            <v>35</v>
          </cell>
          <cell r="V1217">
            <v>1</v>
          </cell>
          <cell r="W1217" t="str">
            <v>0.13D</v>
          </cell>
          <cell r="X1217" t="str">
            <v>4-2026</v>
          </cell>
          <cell r="Y1217" t="str">
            <v>Week 15</v>
          </cell>
          <cell r="Z1217">
            <v>46118</v>
          </cell>
          <cell r="AA1217">
            <v>45</v>
          </cell>
          <cell r="AB1217">
            <v>2.8570000000000002E-2</v>
          </cell>
        </row>
        <row r="1218">
          <cell r="A1218" t="str">
            <v>F-2026-03-559</v>
          </cell>
          <cell r="B1218"/>
          <cell r="C1218" t="str">
            <v>RPRO-260330-1107</v>
          </cell>
          <cell r="D1218" t="str">
            <v>MPS 27.03+28.03+29.03</v>
          </cell>
          <cell r="E1218" t="str">
            <v>BDB-000117</v>
          </cell>
          <cell r="F1218" t="str">
            <v>PVN-002899</v>
          </cell>
          <cell r="G1218" t="str">
            <v>OrthoLite X-35-Hybrid SEEDPEARL/12-0703TPX Hybrid 0.145D 25+/-4 Asker C 1.1M 2M 4mm</v>
          </cell>
          <cell r="H1218">
            <v>1260</v>
          </cell>
          <cell r="I1218">
            <v>1260</v>
          </cell>
          <cell r="J1218">
            <v>0</v>
          </cell>
          <cell r="K1218">
            <v>1260</v>
          </cell>
          <cell r="L1218"/>
          <cell r="M1218" t="str">
            <v>MPS</v>
          </cell>
          <cell r="N1218" t="str">
            <v>SPLITTING</v>
          </cell>
          <cell r="O1218">
            <v>2</v>
          </cell>
          <cell r="P1218">
            <v>46111</v>
          </cell>
          <cell r="Q1218">
            <v>46121</v>
          </cell>
          <cell r="R1218">
            <v>46118</v>
          </cell>
          <cell r="S1218">
            <v>10</v>
          </cell>
          <cell r="T1218">
            <v>4</v>
          </cell>
          <cell r="U1218">
            <v>35</v>
          </cell>
          <cell r="V1218">
            <v>36</v>
          </cell>
          <cell r="W1218" t="str">
            <v>0.145D</v>
          </cell>
          <cell r="X1218" t="str">
            <v>4-2026</v>
          </cell>
          <cell r="Y1218" t="str">
            <v>Week 14</v>
          </cell>
          <cell r="Z1218">
            <v>46111</v>
          </cell>
          <cell r="AA1218">
            <v>270</v>
          </cell>
          <cell r="AB1218">
            <v>2.8570000000000002E-2</v>
          </cell>
        </row>
        <row r="1219">
          <cell r="A1219" t="str">
            <v>F-2026-03-560</v>
          </cell>
          <cell r="B1219"/>
          <cell r="C1219" t="str">
            <v>RPRO-260330-1108</v>
          </cell>
          <cell r="D1219" t="str">
            <v>MPS 27.03+28.03+29.03</v>
          </cell>
          <cell r="E1219" t="str">
            <v>BDB-000123</v>
          </cell>
          <cell r="F1219" t="str">
            <v>PVN-003300</v>
          </cell>
          <cell r="G1219" t="str">
            <v>OrthoLite Ultra-Hybrid SEEDPEARL/12-0703TPX Hybrid Flat Sheet 0.085D 25+/-4 Asker C 1.1M 2M 2mm</v>
          </cell>
          <cell r="H1219">
            <v>70</v>
          </cell>
          <cell r="I1219">
            <v>70</v>
          </cell>
          <cell r="J1219">
            <v>0</v>
          </cell>
          <cell r="K1219">
            <v>70</v>
          </cell>
          <cell r="L1219"/>
          <cell r="M1219" t="str">
            <v>MPS</v>
          </cell>
          <cell r="N1219" t="str">
            <v>SPLITTING</v>
          </cell>
          <cell r="O1219">
            <v>2</v>
          </cell>
          <cell r="P1219">
            <v>46111</v>
          </cell>
          <cell r="Q1219">
            <v>46121</v>
          </cell>
          <cell r="R1219">
            <v>46118</v>
          </cell>
          <cell r="S1219">
            <v>10</v>
          </cell>
          <cell r="T1219">
            <v>2</v>
          </cell>
          <cell r="U1219">
            <v>70</v>
          </cell>
          <cell r="V1219">
            <v>2</v>
          </cell>
          <cell r="W1219" t="str">
            <v>0.085D</v>
          </cell>
          <cell r="X1219" t="str">
            <v>4-2026</v>
          </cell>
          <cell r="Y1219" t="str">
            <v>Week 14</v>
          </cell>
          <cell r="Z1219">
            <v>46111</v>
          </cell>
          <cell r="AA1219">
            <v>167</v>
          </cell>
          <cell r="AB1219">
            <v>1.4290000000000001E-2</v>
          </cell>
        </row>
        <row r="1220">
          <cell r="A1220" t="str">
            <v>F-2026-03-561</v>
          </cell>
          <cell r="B1220"/>
          <cell r="C1220" t="str">
            <v>RPRO-260330-1109</v>
          </cell>
          <cell r="D1220" t="str">
            <v>MPS 27.03+28.03+29.03</v>
          </cell>
          <cell r="E1220" t="str">
            <v>BDB-000123</v>
          </cell>
          <cell r="F1220" t="str">
            <v>PVN-003315</v>
          </cell>
          <cell r="G1220" t="str">
            <v>OrthoLite Ultra-Hybrid SEEDPEARL/12-0703TPX Hybrid 0.085D 25+/-4 Asker C 1.1M 2M 3.5mm</v>
          </cell>
          <cell r="H1220">
            <v>80</v>
          </cell>
          <cell r="I1220">
            <v>80</v>
          </cell>
          <cell r="J1220">
            <v>0</v>
          </cell>
          <cell r="K1220">
            <v>80</v>
          </cell>
          <cell r="L1220"/>
          <cell r="M1220" t="str">
            <v>MPS</v>
          </cell>
          <cell r="N1220" t="str">
            <v>SPLITTING</v>
          </cell>
          <cell r="O1220">
            <v>2</v>
          </cell>
          <cell r="P1220">
            <v>46111</v>
          </cell>
          <cell r="Q1220">
            <v>46126</v>
          </cell>
          <cell r="R1220">
            <v>46123</v>
          </cell>
          <cell r="S1220">
            <v>15</v>
          </cell>
          <cell r="T1220">
            <v>3.5</v>
          </cell>
          <cell r="U1220">
            <v>40</v>
          </cell>
          <cell r="V1220">
            <v>2</v>
          </cell>
          <cell r="W1220" t="str">
            <v>0.085D</v>
          </cell>
          <cell r="X1220" t="str">
            <v>4-2026</v>
          </cell>
          <cell r="Y1220" t="str">
            <v>Week 15</v>
          </cell>
          <cell r="Z1220">
            <v>46118</v>
          </cell>
          <cell r="AA1220">
            <v>32</v>
          </cell>
          <cell r="AB1220">
            <v>2.5000000000000001E-2</v>
          </cell>
        </row>
        <row r="1221">
          <cell r="A1221" t="str">
            <v>F-2026-03-562</v>
          </cell>
          <cell r="B1221"/>
          <cell r="C1221" t="str">
            <v>RPRO-260330-1110</v>
          </cell>
          <cell r="D1221" t="str">
            <v>MPS 27.03+28.03+29.03</v>
          </cell>
          <cell r="E1221" t="str">
            <v>BDB-000200</v>
          </cell>
          <cell r="F1221" t="str">
            <v>PVN-003425</v>
          </cell>
          <cell r="G1221" t="str">
            <v>OrthoLite Ultra SEEDPEARL/12-0703TPX Flat Sheet 0.085D 78-90 Asker F 1.1M 2M 4mm</v>
          </cell>
          <cell r="H1221">
            <v>175</v>
          </cell>
          <cell r="I1221">
            <v>175</v>
          </cell>
          <cell r="J1221">
            <v>0</v>
          </cell>
          <cell r="K1221">
            <v>175</v>
          </cell>
          <cell r="L1221"/>
          <cell r="M1221" t="str">
            <v>MPS</v>
          </cell>
          <cell r="N1221" t="str">
            <v>SPLITTING</v>
          </cell>
          <cell r="O1221">
            <v>2</v>
          </cell>
          <cell r="P1221">
            <v>46111</v>
          </cell>
          <cell r="Q1221">
            <v>46126</v>
          </cell>
          <cell r="R1221">
            <v>46123</v>
          </cell>
          <cell r="S1221">
            <v>15</v>
          </cell>
          <cell r="T1221">
            <v>4</v>
          </cell>
          <cell r="U1221">
            <v>35</v>
          </cell>
          <cell r="V1221">
            <v>5</v>
          </cell>
          <cell r="W1221" t="str">
            <v>0.085D</v>
          </cell>
          <cell r="X1221" t="str">
            <v>4-2026</v>
          </cell>
          <cell r="Y1221" t="str">
            <v>Week 15</v>
          </cell>
          <cell r="Z1221">
            <v>46118</v>
          </cell>
          <cell r="AA1221">
            <v>16</v>
          </cell>
          <cell r="AB1221">
            <v>2.8570000000000002E-2</v>
          </cell>
        </row>
        <row r="1222">
          <cell r="A1222" t="str">
            <v>F-2026-03-563</v>
          </cell>
          <cell r="B1222"/>
          <cell r="C1222" t="str">
            <v>RPRO-260330-1111</v>
          </cell>
          <cell r="D1222" t="str">
            <v>MPS 27.03+28.03+29.03</v>
          </cell>
          <cell r="E1222" t="str">
            <v>BDB-000077</v>
          </cell>
          <cell r="F1222" t="str">
            <v>PVN-003478</v>
          </cell>
          <cell r="G1222" t="str">
            <v>Ortholite X-25 SEEDPEARL/12-0703TPX Flat Sheet 0.12D 20+/-4 Asker C 1.1M 2M 4mm</v>
          </cell>
          <cell r="H1222">
            <v>140</v>
          </cell>
          <cell r="I1222">
            <v>140</v>
          </cell>
          <cell r="J1222">
            <v>0</v>
          </cell>
          <cell r="K1222">
            <v>140</v>
          </cell>
          <cell r="L1222"/>
          <cell r="M1222" t="str">
            <v>MPS</v>
          </cell>
          <cell r="N1222" t="str">
            <v>SPLITTING</v>
          </cell>
          <cell r="O1222">
            <v>2</v>
          </cell>
          <cell r="P1222">
            <v>46111</v>
          </cell>
          <cell r="Q1222">
            <v>46121</v>
          </cell>
          <cell r="R1222">
            <v>46118</v>
          </cell>
          <cell r="S1222">
            <v>10</v>
          </cell>
          <cell r="T1222">
            <v>4</v>
          </cell>
          <cell r="U1222">
            <v>35</v>
          </cell>
          <cell r="V1222">
            <v>4</v>
          </cell>
          <cell r="W1222" t="str">
            <v>0.12D</v>
          </cell>
          <cell r="X1222" t="str">
            <v>4-2026</v>
          </cell>
          <cell r="Y1222" t="str">
            <v>Week 14</v>
          </cell>
          <cell r="Z1222">
            <v>46111</v>
          </cell>
          <cell r="AA1222">
            <v>10</v>
          </cell>
          <cell r="AB1222">
            <v>2.8570000000000002E-2</v>
          </cell>
        </row>
        <row r="1223">
          <cell r="A1223" t="str">
            <v>F-2026-03-564</v>
          </cell>
          <cell r="B1223"/>
          <cell r="C1223" t="str">
            <v>RPRO-260330-1112</v>
          </cell>
          <cell r="D1223" t="str">
            <v>MPS 27.03+28.03+29.03</v>
          </cell>
          <cell r="E1223" t="str">
            <v>BDB-000348</v>
          </cell>
          <cell r="F1223" t="str">
            <v>PVN-004210</v>
          </cell>
          <cell r="G1223" t="str">
            <v>OrthoLite IMPERIAL SEEDPEARL/12-0703TPX Flat Sheet 0.22D 25+/-4 Asker C 1.1M 1.47M 5mm</v>
          </cell>
          <cell r="H1223">
            <v>980</v>
          </cell>
          <cell r="I1223">
            <v>980</v>
          </cell>
          <cell r="J1223">
            <v>0</v>
          </cell>
          <cell r="K1223">
            <v>980</v>
          </cell>
          <cell r="L1223"/>
          <cell r="M1223" t="str">
            <v>MPS</v>
          </cell>
          <cell r="N1223" t="str">
            <v>SPLITTING</v>
          </cell>
          <cell r="O1223">
            <v>2</v>
          </cell>
          <cell r="P1223">
            <v>46111</v>
          </cell>
          <cell r="Q1223">
            <v>46126</v>
          </cell>
          <cell r="R1223">
            <v>46123</v>
          </cell>
          <cell r="S1223">
            <v>15</v>
          </cell>
          <cell r="T1223">
            <v>5</v>
          </cell>
          <cell r="U1223">
            <v>28</v>
          </cell>
          <cell r="V1223">
            <v>35</v>
          </cell>
          <cell r="W1223" t="e">
            <v>#N/A</v>
          </cell>
          <cell r="X1223" t="str">
            <v>4-2026</v>
          </cell>
          <cell r="Y1223" t="str">
            <v>Week 15</v>
          </cell>
          <cell r="Z1223">
            <v>46118</v>
          </cell>
          <cell r="AA1223">
            <v>16</v>
          </cell>
          <cell r="AB1223">
            <v>3.5709999999999999E-2</v>
          </cell>
        </row>
        <row r="1224">
          <cell r="A1224" t="str">
            <v>F-2026-03-565</v>
          </cell>
          <cell r="B1224"/>
          <cell r="C1224" t="str">
            <v>RPRO-260330-1113</v>
          </cell>
          <cell r="D1224" t="str">
            <v>Pro.sche.report 27.03+28.03+29.03</v>
          </cell>
          <cell r="E1224" t="str">
            <v>BDB-000008</v>
          </cell>
          <cell r="F1224" t="str">
            <v>PVN-000505</v>
          </cell>
          <cell r="G1224" t="str">
            <v>OrthoLite Regular LIME GREEN/14-0452TPX Flat Sheet 0.11D 25+/-4 Asker C 1.1M 2M 12mm</v>
          </cell>
          <cell r="H1224">
            <v>220</v>
          </cell>
          <cell r="I1224">
            <v>220</v>
          </cell>
          <cell r="J1224">
            <v>0</v>
          </cell>
          <cell r="K1224">
            <v>220</v>
          </cell>
          <cell r="L1224" t="str">
            <v>ASICS</v>
          </cell>
          <cell r="M1224" t="str">
            <v>Pr.Sch.R</v>
          </cell>
          <cell r="N1224" t="str">
            <v>MOLDED</v>
          </cell>
          <cell r="O1224">
            <v>1</v>
          </cell>
          <cell r="P1224">
            <v>46111</v>
          </cell>
          <cell r="Q1224">
            <v>46126</v>
          </cell>
          <cell r="R1224">
            <v>46123</v>
          </cell>
          <cell r="S1224">
            <v>15</v>
          </cell>
          <cell r="T1224">
            <v>12</v>
          </cell>
          <cell r="U1224">
            <v>11.5</v>
          </cell>
          <cell r="V1224">
            <v>20</v>
          </cell>
          <cell r="W1224" t="str">
            <v>0.11D</v>
          </cell>
          <cell r="X1224" t="str">
            <v>4-2026</v>
          </cell>
          <cell r="Y1224" t="str">
            <v>Week 15</v>
          </cell>
          <cell r="Z1224">
            <v>46118</v>
          </cell>
          <cell r="AA1224">
            <v>50</v>
          </cell>
          <cell r="AB1224">
            <v>8.6959999999999996E-2</v>
          </cell>
        </row>
        <row r="1225">
          <cell r="A1225" t="str">
            <v>F-2026-03-566</v>
          </cell>
          <cell r="B1225"/>
          <cell r="C1225" t="str">
            <v>RPRO-260330-1114</v>
          </cell>
          <cell r="D1225" t="str">
            <v>Pro.sche.report 27.03+28.03+29.03</v>
          </cell>
          <cell r="E1225" t="str">
            <v>BDB-000011</v>
          </cell>
          <cell r="F1225" t="str">
            <v>PVN-000121</v>
          </cell>
          <cell r="G1225" t="str">
            <v>OrthoLite Regular AIR BLUE/16-4134TPX Flat Sheet 0.13D 35+/-4 Asker C 1.1M 2M 12mm</v>
          </cell>
          <cell r="H1225">
            <v>143</v>
          </cell>
          <cell r="I1225">
            <v>143</v>
          </cell>
          <cell r="J1225">
            <v>0</v>
          </cell>
          <cell r="K1225">
            <v>143</v>
          </cell>
          <cell r="L1225" t="str">
            <v>ASICS</v>
          </cell>
          <cell r="M1225" t="str">
            <v>Pr.Sch.R</v>
          </cell>
          <cell r="N1225" t="str">
            <v>MOLDED</v>
          </cell>
          <cell r="O1225">
            <v>1</v>
          </cell>
          <cell r="P1225">
            <v>46111</v>
          </cell>
          <cell r="Q1225">
            <v>46126</v>
          </cell>
          <cell r="R1225">
            <v>46123</v>
          </cell>
          <cell r="S1225">
            <v>15</v>
          </cell>
          <cell r="T1225">
            <v>12</v>
          </cell>
          <cell r="U1225">
            <v>11.5</v>
          </cell>
          <cell r="V1225">
            <v>13</v>
          </cell>
          <cell r="W1225" t="str">
            <v>0.13D</v>
          </cell>
          <cell r="X1225" t="str">
            <v>4-2026</v>
          </cell>
          <cell r="Y1225" t="str">
            <v>Week 15</v>
          </cell>
          <cell r="Z1225">
            <v>46118</v>
          </cell>
          <cell r="AA1225">
            <v>65</v>
          </cell>
          <cell r="AB1225">
            <v>8.6959999999999996E-2</v>
          </cell>
        </row>
        <row r="1226">
          <cell r="A1226" t="str">
            <v>F-2026-03-567</v>
          </cell>
          <cell r="B1226"/>
          <cell r="C1226" t="str">
            <v>RPRO-260330-1115</v>
          </cell>
          <cell r="D1226" t="str">
            <v>Pro.sche.report 27.03+28.03+29.03</v>
          </cell>
          <cell r="E1226" t="str">
            <v>BDB-000123</v>
          </cell>
          <cell r="F1226" t="str">
            <v>PVN-002539</v>
          </cell>
          <cell r="G1226" t="str">
            <v>OrthoLite Ultra-Hybrid SEEDPEARL/12-0703TPX Hybrid Flat Sheet 0.085D 25+/-4 Asker C 1.1M 2M 5mm</v>
          </cell>
          <cell r="H1226">
            <v>168</v>
          </cell>
          <cell r="I1226">
            <v>168</v>
          </cell>
          <cell r="J1226">
            <v>0</v>
          </cell>
          <cell r="K1226">
            <v>168</v>
          </cell>
          <cell r="L1226" t="str">
            <v>BROOKS</v>
          </cell>
          <cell r="M1226" t="str">
            <v>Pr.Sch.R</v>
          </cell>
          <cell r="N1226" t="str">
            <v>DIE CUT</v>
          </cell>
          <cell r="O1226">
            <v>1</v>
          </cell>
          <cell r="P1226">
            <v>46111</v>
          </cell>
          <cell r="Q1226">
            <v>46126</v>
          </cell>
          <cell r="R1226">
            <v>46123</v>
          </cell>
          <cell r="S1226">
            <v>15</v>
          </cell>
          <cell r="T1226">
            <v>5</v>
          </cell>
          <cell r="U1226">
            <v>28</v>
          </cell>
          <cell r="V1226">
            <v>6</v>
          </cell>
          <cell r="W1226" t="str">
            <v>0.085D</v>
          </cell>
          <cell r="X1226" t="str">
            <v>4-2026</v>
          </cell>
          <cell r="Y1226" t="str">
            <v>Week 15</v>
          </cell>
          <cell r="Z1226">
            <v>46118</v>
          </cell>
          <cell r="AA1226">
            <v>24</v>
          </cell>
          <cell r="AB1226">
            <v>3.5709999999999999E-2</v>
          </cell>
        </row>
        <row r="1227">
          <cell r="A1227" t="str">
            <v>F-2026-03-568</v>
          </cell>
          <cell r="B1227"/>
          <cell r="C1227" t="str">
            <v>RPRO-260330-1116</v>
          </cell>
          <cell r="D1227" t="str">
            <v>Pro.sche.report 27.03+28.03+29.03</v>
          </cell>
          <cell r="E1227" t="str">
            <v>BDB-000319</v>
          </cell>
          <cell r="F1227" t="str">
            <v>PVN-004247</v>
          </cell>
          <cell r="G1227" t="str">
            <v>OrthoLite X-40-Hybrid-Nike SEEDPEARL/12-0703TPX Hybrid Flat Sheet 0.16D 25+/-4 Asker C 1.1M 2M 4.2mm</v>
          </cell>
          <cell r="H1227">
            <v>66</v>
          </cell>
          <cell r="I1227">
            <v>66</v>
          </cell>
          <cell r="J1227">
            <v>0</v>
          </cell>
          <cell r="K1227">
            <v>66</v>
          </cell>
          <cell r="L1227" t="str">
            <v>NIKE</v>
          </cell>
          <cell r="M1227" t="str">
            <v>Pr.Sch.R</v>
          </cell>
          <cell r="N1227" t="str">
            <v>MOLDED</v>
          </cell>
          <cell r="O1227">
            <v>1</v>
          </cell>
          <cell r="P1227">
            <v>46111</v>
          </cell>
          <cell r="Q1227">
            <v>46126</v>
          </cell>
          <cell r="R1227">
            <v>46123</v>
          </cell>
          <cell r="S1227">
            <v>15</v>
          </cell>
          <cell r="T1227">
            <v>4.2</v>
          </cell>
          <cell r="U1227">
            <v>33</v>
          </cell>
          <cell r="V1227">
            <v>2</v>
          </cell>
          <cell r="W1227" t="e">
            <v>#N/A</v>
          </cell>
          <cell r="X1227" t="str">
            <v>4-2026</v>
          </cell>
          <cell r="Y1227" t="str">
            <v>Week 15</v>
          </cell>
          <cell r="Z1227">
            <v>46118</v>
          </cell>
          <cell r="AA1227">
            <v>45</v>
          </cell>
          <cell r="AB1227">
            <v>3.0300000000000001E-2</v>
          </cell>
        </row>
        <row r="1228">
          <cell r="A1228" t="str">
            <v>F-2026-03-569</v>
          </cell>
          <cell r="B1228"/>
          <cell r="C1228" t="str">
            <v>RPRO-260330-1117</v>
          </cell>
          <cell r="D1228" t="str">
            <v>Pro.sche.report 27.03+28.03+29.03</v>
          </cell>
          <cell r="E1228" t="str">
            <v>BDB-000329</v>
          </cell>
          <cell r="F1228" t="str">
            <v>PVN-004140</v>
          </cell>
          <cell r="G1228" t="str">
            <v>OrthoLite Ultra YELLOW/13-0858TPX Flat Sheet 0.095D 33+/-4 Asker C 1.1M 2M 4.5mm</v>
          </cell>
          <cell r="H1228">
            <v>124</v>
          </cell>
          <cell r="I1228">
            <v>124</v>
          </cell>
          <cell r="J1228">
            <v>0</v>
          </cell>
          <cell r="K1228">
            <v>124</v>
          </cell>
          <cell r="L1228" t="str">
            <v>KOLON SPORT</v>
          </cell>
          <cell r="M1228" t="str">
            <v>Pr.Sch.R</v>
          </cell>
          <cell r="N1228" t="str">
            <v>MOLDED</v>
          </cell>
          <cell r="O1228">
            <v>1</v>
          </cell>
          <cell r="P1228">
            <v>46111</v>
          </cell>
          <cell r="Q1228">
            <v>46126</v>
          </cell>
          <cell r="R1228">
            <v>46123</v>
          </cell>
          <cell r="S1228">
            <v>15</v>
          </cell>
          <cell r="T1228">
            <v>4.5</v>
          </cell>
          <cell r="U1228">
            <v>31</v>
          </cell>
          <cell r="V1228">
            <v>5</v>
          </cell>
          <cell r="W1228" t="e">
            <v>#N/A</v>
          </cell>
          <cell r="X1228" t="str">
            <v>4-2026</v>
          </cell>
          <cell r="Y1228" t="str">
            <v>Week 15</v>
          </cell>
          <cell r="Z1228">
            <v>46118</v>
          </cell>
          <cell r="AA1228">
            <v>8</v>
          </cell>
          <cell r="AB1228">
            <v>3.2259999999999997E-2</v>
          </cell>
        </row>
        <row r="1229">
          <cell r="A1229" t="str">
            <v>F-2026-03-570</v>
          </cell>
          <cell r="B1229"/>
          <cell r="C1229" t="str">
            <v>RPRO-260330-1118</v>
          </cell>
          <cell r="D1229" t="str">
            <v>Pro.sche.report 27.03+28.03+29.03</v>
          </cell>
          <cell r="E1229" t="str">
            <v>BDB-000181</v>
          </cell>
          <cell r="F1229" t="str">
            <v>PVN-003238</v>
          </cell>
          <cell r="G1229" t="str">
            <v>OrthoLite Eco LT-Hybrid-Converse SEEDPEARL/12-0703TPX Hybrid Flat Sheet 0.11D 25+/-4 Asker C 1.1M 2M 5mm</v>
          </cell>
          <cell r="H1229">
            <v>280</v>
          </cell>
          <cell r="I1229">
            <v>280</v>
          </cell>
          <cell r="J1229">
            <v>0</v>
          </cell>
          <cell r="K1229">
            <v>280</v>
          </cell>
          <cell r="L1229" t="str">
            <v>CONVERSE</v>
          </cell>
          <cell r="M1229" t="str">
            <v>Pr.Sch.R</v>
          </cell>
          <cell r="N1229" t="str">
            <v>DIE CUT</v>
          </cell>
          <cell r="O1229">
            <v>1</v>
          </cell>
          <cell r="P1229">
            <v>46111</v>
          </cell>
          <cell r="Q1229">
            <v>46123</v>
          </cell>
          <cell r="R1229">
            <v>46120</v>
          </cell>
          <cell r="S1229">
            <v>12</v>
          </cell>
          <cell r="T1229">
            <v>5</v>
          </cell>
          <cell r="U1229">
            <v>28</v>
          </cell>
          <cell r="V1229">
            <v>10</v>
          </cell>
          <cell r="W1229" t="str">
            <v>0.11D</v>
          </cell>
          <cell r="X1229" t="str">
            <v>4-2026</v>
          </cell>
          <cell r="Y1229" t="str">
            <v>Week 15</v>
          </cell>
          <cell r="Z1229">
            <v>46118</v>
          </cell>
          <cell r="AA1229">
            <v>4</v>
          </cell>
          <cell r="AB1229">
            <v>3.5709999999999999E-2</v>
          </cell>
        </row>
        <row r="1230">
          <cell r="A1230" t="str">
            <v>F-2026-03-571</v>
          </cell>
          <cell r="B1230"/>
          <cell r="C1230" t="str">
            <v>RPRO-260330-1119</v>
          </cell>
          <cell r="D1230" t="str">
            <v>Pro.sche.report 27.03+28.03+29.03</v>
          </cell>
          <cell r="E1230" t="str">
            <v>BDB-000217</v>
          </cell>
          <cell r="F1230" t="str">
            <v>PVN-003733</v>
          </cell>
          <cell r="G1230" t="str">
            <v>OrthoLite X-40-Hybrid SEEDPEARL/12-0703TPX Hybrid Flat Sheet 0.16D 35+/-4 Asker C 1.1M 1.7M 12.5mm</v>
          </cell>
          <cell r="H1230">
            <v>10</v>
          </cell>
          <cell r="I1230">
            <v>10</v>
          </cell>
          <cell r="J1230">
            <v>0</v>
          </cell>
          <cell r="K1230">
            <v>10</v>
          </cell>
          <cell r="L1230" t="str">
            <v>OBOZ</v>
          </cell>
          <cell r="M1230" t="str">
            <v>Pr.Sch.R</v>
          </cell>
          <cell r="N1230" t="str">
            <v>MOLDED</v>
          </cell>
          <cell r="O1230">
            <v>1</v>
          </cell>
          <cell r="P1230">
            <v>46111</v>
          </cell>
          <cell r="Q1230">
            <v>46121</v>
          </cell>
          <cell r="R1230">
            <v>46118</v>
          </cell>
          <cell r="S1230">
            <v>10</v>
          </cell>
          <cell r="T1230">
            <v>12.5</v>
          </cell>
          <cell r="U1230">
            <v>10</v>
          </cell>
          <cell r="V1230">
            <v>1</v>
          </cell>
          <cell r="W1230" t="str">
            <v>0.16D</v>
          </cell>
          <cell r="X1230" t="str">
            <v>4-2026</v>
          </cell>
          <cell r="Y1230" t="str">
            <v>Week 14</v>
          </cell>
          <cell r="Z1230">
            <v>46111</v>
          </cell>
          <cell r="AA1230">
            <v>8</v>
          </cell>
          <cell r="AB1230">
            <v>0.1</v>
          </cell>
        </row>
        <row r="1231">
          <cell r="A1231" t="str">
            <v>F-2026-03-572</v>
          </cell>
          <cell r="B1231"/>
          <cell r="C1231" t="str">
            <v>RPRO-260330-1120</v>
          </cell>
          <cell r="D1231" t="str">
            <v>Pro.sche.report 27.03+28.03+29.03</v>
          </cell>
          <cell r="E1231" t="str">
            <v>BDB-000282</v>
          </cell>
          <cell r="F1231" t="str">
            <v>PVN-003834</v>
          </cell>
          <cell r="G1231" t="str">
            <v>OrthoLite X-40-Hybrid SEEDPEARL/12-0703TPX Hybrid Flat Sheet 0.16D 35+/-4 Asker C 1.1M 2M 12.5mm</v>
          </cell>
          <cell r="H1231">
            <v>10</v>
          </cell>
          <cell r="I1231">
            <v>10</v>
          </cell>
          <cell r="J1231">
            <v>0</v>
          </cell>
          <cell r="K1231">
            <v>10</v>
          </cell>
          <cell r="L1231" t="str">
            <v>OBOZ</v>
          </cell>
          <cell r="M1231" t="str">
            <v>Pr.Sch.R</v>
          </cell>
          <cell r="N1231" t="str">
            <v>MOLDED</v>
          </cell>
          <cell r="O1231">
            <v>1</v>
          </cell>
          <cell r="P1231">
            <v>46111</v>
          </cell>
          <cell r="Q1231">
            <v>46120</v>
          </cell>
          <cell r="R1231">
            <v>46117</v>
          </cell>
          <cell r="S1231">
            <v>9</v>
          </cell>
          <cell r="T1231">
            <v>12.5</v>
          </cell>
          <cell r="U1231">
            <v>10</v>
          </cell>
          <cell r="V1231">
            <v>1</v>
          </cell>
          <cell r="W1231" t="str">
            <v>0.16D</v>
          </cell>
          <cell r="X1231" t="str">
            <v>4-2026</v>
          </cell>
          <cell r="Y1231" t="str">
            <v>Week 14</v>
          </cell>
          <cell r="Z1231">
            <v>46111</v>
          </cell>
          <cell r="AA1231">
            <v>45</v>
          </cell>
          <cell r="AB1231">
            <v>0.1</v>
          </cell>
        </row>
        <row r="1232">
          <cell r="A1232" t="str">
            <v>F-2026-03-573</v>
          </cell>
          <cell r="B1232"/>
          <cell r="C1232" t="str">
            <v>RPRO-260330-1121</v>
          </cell>
          <cell r="D1232" t="str">
            <v>Pro.sche.report 27.03+28.03+29.03</v>
          </cell>
          <cell r="E1232" t="str">
            <v>BDB-000076</v>
          </cell>
          <cell r="F1232" t="str">
            <v>PVN-004091</v>
          </cell>
          <cell r="G1232" t="str">
            <v>OrthoLite X-25 BILLIARD/16-5427TPX Flat Sheet 0.12D 20+/-4 Asker C 1.1M 2M 3.5mm</v>
          </cell>
          <cell r="H1232">
            <v>240</v>
          </cell>
          <cell r="I1232">
            <v>240</v>
          </cell>
          <cell r="J1232">
            <v>0</v>
          </cell>
          <cell r="K1232">
            <v>240</v>
          </cell>
          <cell r="L1232" t="str">
            <v>BROOKS</v>
          </cell>
          <cell r="M1232" t="str">
            <v>Pr.Sch.R</v>
          </cell>
          <cell r="N1232" t="str">
            <v>MOLDED</v>
          </cell>
          <cell r="O1232">
            <v>1</v>
          </cell>
          <cell r="P1232">
            <v>46111</v>
          </cell>
          <cell r="Q1232">
            <v>46126</v>
          </cell>
          <cell r="R1232">
            <v>46123</v>
          </cell>
          <cell r="S1232">
            <v>15</v>
          </cell>
          <cell r="T1232">
            <v>3.5</v>
          </cell>
          <cell r="U1232">
            <v>40</v>
          </cell>
          <cell r="V1232">
            <v>6</v>
          </cell>
          <cell r="W1232" t="str">
            <v>0.12D</v>
          </cell>
          <cell r="X1232" t="str">
            <v>4-2026</v>
          </cell>
          <cell r="Y1232" t="str">
            <v>Week 15</v>
          </cell>
          <cell r="Z1232">
            <v>46118</v>
          </cell>
          <cell r="AA1232">
            <v>3</v>
          </cell>
          <cell r="AB1232">
            <v>2.5000000000000001E-2</v>
          </cell>
        </row>
        <row r="1233">
          <cell r="A1233" t="str">
            <v>F-2026-03-574</v>
          </cell>
          <cell r="B1233"/>
          <cell r="C1233" t="str">
            <v>RPRO-260330-1122</v>
          </cell>
          <cell r="D1233" t="str">
            <v>Pro.sche.report 27.03+28.03+29.03</v>
          </cell>
          <cell r="E1233" t="str">
            <v>BDB-000197</v>
          </cell>
          <cell r="F1233" t="str">
            <v>PVN-003406</v>
          </cell>
          <cell r="G1233" t="str">
            <v>OrthoLite Ultra-Hybrid SEEDPEARL/12-0703TPX Hybrid Flat Sheet 0.085D 5-10 Asker C 1.1M 2M 2mm</v>
          </cell>
          <cell r="H1233">
            <v>140</v>
          </cell>
          <cell r="I1233">
            <v>140</v>
          </cell>
          <cell r="J1233">
            <v>0</v>
          </cell>
          <cell r="K1233">
            <v>140</v>
          </cell>
          <cell r="L1233" t="str">
            <v>ADIDAS</v>
          </cell>
          <cell r="M1233" t="str">
            <v>Pr.Sch.R</v>
          </cell>
          <cell r="N1233" t="str">
            <v>DIE CUT</v>
          </cell>
          <cell r="O1233">
            <v>1</v>
          </cell>
          <cell r="P1233">
            <v>46111</v>
          </cell>
          <cell r="Q1233">
            <v>46126</v>
          </cell>
          <cell r="R1233">
            <v>46123</v>
          </cell>
          <cell r="S1233">
            <v>15</v>
          </cell>
          <cell r="T1233">
            <v>2</v>
          </cell>
          <cell r="U1233">
            <v>70</v>
          </cell>
          <cell r="V1233">
            <v>3</v>
          </cell>
          <cell r="W1233" t="str">
            <v>0.085D</v>
          </cell>
          <cell r="X1233" t="str">
            <v>4-2026</v>
          </cell>
          <cell r="Y1233" t="str">
            <v>Week 15</v>
          </cell>
          <cell r="Z1233">
            <v>46118</v>
          </cell>
          <cell r="AA1233">
            <v>162</v>
          </cell>
          <cell r="AB1233">
            <v>1.4290000000000001E-2</v>
          </cell>
        </row>
        <row r="1234">
          <cell r="A1234" t="str">
            <v>F-2026-03-575</v>
          </cell>
          <cell r="B1234"/>
          <cell r="C1234" t="str">
            <v>RPRO-260330-1123</v>
          </cell>
          <cell r="D1234" t="str">
            <v>Pro.sche.report 27.03+28.03+29.03</v>
          </cell>
          <cell r="E1234" t="str">
            <v>BDB-000126</v>
          </cell>
          <cell r="F1234" t="str">
            <v>PVN-002325</v>
          </cell>
          <cell r="G1234" t="str">
            <v>OrthoLite Regular-Nike RED/19-1764TPX Flat Sheet 0.11D 25+/-4 Asker C 1.1M 2M 5.2mm</v>
          </cell>
          <cell r="H1234">
            <v>26</v>
          </cell>
          <cell r="I1234">
            <v>26</v>
          </cell>
          <cell r="J1234">
            <v>0</v>
          </cell>
          <cell r="K1234">
            <v>26</v>
          </cell>
          <cell r="L1234" t="str">
            <v>NIKE</v>
          </cell>
          <cell r="M1234" t="str">
            <v>Pr.Sch.R</v>
          </cell>
          <cell r="N1234" t="str">
            <v>MOLDED</v>
          </cell>
          <cell r="O1234">
            <v>1</v>
          </cell>
          <cell r="P1234">
            <v>46111</v>
          </cell>
          <cell r="Q1234">
            <v>46126</v>
          </cell>
          <cell r="R1234">
            <v>46123</v>
          </cell>
          <cell r="S1234">
            <v>15</v>
          </cell>
          <cell r="T1234">
            <v>5.2</v>
          </cell>
          <cell r="U1234">
            <v>26</v>
          </cell>
          <cell r="V1234">
            <v>1</v>
          </cell>
          <cell r="W1234" t="str">
            <v>0.11D</v>
          </cell>
          <cell r="X1234" t="str">
            <v>4-2026</v>
          </cell>
          <cell r="Y1234" t="str">
            <v>Week 15</v>
          </cell>
          <cell r="Z1234">
            <v>46118</v>
          </cell>
          <cell r="AA1234">
            <v>3</v>
          </cell>
          <cell r="AB1234">
            <v>3.8460000000000001E-2</v>
          </cell>
        </row>
        <row r="1235">
          <cell r="A1235" t="str">
            <v>F-2026-03-576</v>
          </cell>
          <cell r="B1235"/>
          <cell r="C1235" t="str">
            <v>RPRO-260330-1124</v>
          </cell>
          <cell r="D1235" t="str">
            <v>Pro.sche.report 27.03+28.03+29.03</v>
          </cell>
          <cell r="E1235" t="str">
            <v>BDB-000157</v>
          </cell>
          <cell r="F1235" t="str">
            <v>PVN-003642</v>
          </cell>
          <cell r="G1235" t="str">
            <v>OrthoLite X-35-Hybrid-Nike SEEDPEARL/12-0703TPX Hybrid Flat Sheet 0.145D 25+/-4 Asker C 1.1M 2M 6.2mm</v>
          </cell>
          <cell r="H1235">
            <v>330</v>
          </cell>
          <cell r="I1235">
            <v>330</v>
          </cell>
          <cell r="J1235">
            <v>0</v>
          </cell>
          <cell r="K1235">
            <v>330</v>
          </cell>
          <cell r="L1235" t="str">
            <v>NIKE</v>
          </cell>
          <cell r="M1235" t="str">
            <v>Pr.Sch.R</v>
          </cell>
          <cell r="N1235" t="str">
            <v>MOLDED</v>
          </cell>
          <cell r="O1235">
            <v>1</v>
          </cell>
          <cell r="P1235">
            <v>46111</v>
          </cell>
          <cell r="Q1235">
            <v>46123</v>
          </cell>
          <cell r="R1235">
            <v>46120</v>
          </cell>
          <cell r="S1235">
            <v>12</v>
          </cell>
          <cell r="T1235">
            <v>6.2</v>
          </cell>
          <cell r="U1235">
            <v>22</v>
          </cell>
          <cell r="V1235">
            <v>15</v>
          </cell>
          <cell r="W1235" t="str">
            <v>0.145D</v>
          </cell>
          <cell r="X1235" t="str">
            <v>4-2026</v>
          </cell>
          <cell r="Y1235" t="str">
            <v>Week 15</v>
          </cell>
          <cell r="Z1235">
            <v>46118</v>
          </cell>
          <cell r="AA1235">
            <v>93</v>
          </cell>
          <cell r="AB1235">
            <v>4.5449999999999997E-2</v>
          </cell>
        </row>
        <row r="1236">
          <cell r="A1236" t="str">
            <v>F-2026-03-577</v>
          </cell>
          <cell r="B1236"/>
          <cell r="C1236" t="str">
            <v>RPRO-260330-1125</v>
          </cell>
          <cell r="D1236" t="str">
            <v>Pro.sche.report 27.03+28.03+29.03</v>
          </cell>
          <cell r="E1236" t="str">
            <v>BDB-000113</v>
          </cell>
          <cell r="F1236" t="str">
            <v>PVN-003601</v>
          </cell>
          <cell r="G1236" t="str">
            <v>OrthoLite Regular-Hybrid SEEDPEARL/12-0703TPX Hybrid Flat Sheet 0.11D 25+/-4 Asker C 1.1M 2M 20mm</v>
          </cell>
          <cell r="H1236">
            <v>96</v>
          </cell>
          <cell r="I1236">
            <v>96</v>
          </cell>
          <cell r="J1236">
            <v>0</v>
          </cell>
          <cell r="K1236">
            <v>96</v>
          </cell>
          <cell r="L1236" t="str">
            <v>ASICS</v>
          </cell>
          <cell r="M1236" t="str">
            <v>Pr.Sch.R</v>
          </cell>
          <cell r="N1236" t="str">
            <v>MOLDED</v>
          </cell>
          <cell r="O1236">
            <v>1</v>
          </cell>
          <cell r="P1236">
            <v>46111</v>
          </cell>
          <cell r="Q1236">
            <v>46121</v>
          </cell>
          <cell r="R1236">
            <v>46118</v>
          </cell>
          <cell r="S1236">
            <v>10</v>
          </cell>
          <cell r="T1236">
            <v>20</v>
          </cell>
          <cell r="U1236">
            <v>6</v>
          </cell>
          <cell r="V1236">
            <v>17</v>
          </cell>
          <cell r="W1236" t="str">
            <v>0.11D</v>
          </cell>
          <cell r="X1236" t="str">
            <v>4-2026</v>
          </cell>
          <cell r="Y1236" t="str">
            <v>Week 14</v>
          </cell>
          <cell r="Z1236">
            <v>46111</v>
          </cell>
          <cell r="AA1236">
            <v>2</v>
          </cell>
          <cell r="AB1236">
            <v>0.16667000000000001</v>
          </cell>
        </row>
        <row r="1237">
          <cell r="A1237" t="str">
            <v>F-2026-03-578</v>
          </cell>
          <cell r="B1237"/>
          <cell r="C1237" t="str">
            <v>RPRO-260330-1126</v>
          </cell>
          <cell r="D1237" t="str">
            <v>Pro.sche.report 27.03+28.03+29.03</v>
          </cell>
          <cell r="E1237" t="str">
            <v>BDB-000107</v>
          </cell>
          <cell r="F1237" t="str">
            <v>PVN-003482</v>
          </cell>
          <cell r="G1237" t="str">
            <v>OrthoLite Eco LT-Hybrid SEEDPEARL/12-0703TPX Hybrid Flat Sheet 0.11D 25+/-4 Asker C 1.1M 1.47M 4mm</v>
          </cell>
          <cell r="H1237">
            <v>35</v>
          </cell>
          <cell r="I1237">
            <v>35</v>
          </cell>
          <cell r="J1237">
            <v>0</v>
          </cell>
          <cell r="K1237">
            <v>35</v>
          </cell>
          <cell r="L1237" t="str">
            <v>NEW BALANCE</v>
          </cell>
          <cell r="M1237" t="str">
            <v>Pr.Sch.R</v>
          </cell>
          <cell r="N1237" t="str">
            <v>DIE CUT</v>
          </cell>
          <cell r="O1237">
            <v>1</v>
          </cell>
          <cell r="P1237">
            <v>46111</v>
          </cell>
          <cell r="Q1237">
            <v>46126</v>
          </cell>
          <cell r="R1237">
            <v>46123</v>
          </cell>
          <cell r="S1237">
            <v>15</v>
          </cell>
          <cell r="T1237">
            <v>4</v>
          </cell>
          <cell r="U1237">
            <v>35</v>
          </cell>
          <cell r="V1237">
            <v>1</v>
          </cell>
          <cell r="W1237" t="str">
            <v>0.11D</v>
          </cell>
          <cell r="X1237" t="str">
            <v>4-2026</v>
          </cell>
          <cell r="Y1237" t="str">
            <v>Week 15</v>
          </cell>
          <cell r="Z1237">
            <v>46118</v>
          </cell>
          <cell r="AA1237">
            <v>57</v>
          </cell>
          <cell r="AB1237">
            <v>2.8570000000000002E-2</v>
          </cell>
        </row>
        <row r="1238">
          <cell r="A1238" t="str">
            <v>F-2026-03-579</v>
          </cell>
          <cell r="B1238"/>
          <cell r="C1238" t="str">
            <v>RPRO-260330-1127</v>
          </cell>
          <cell r="D1238" t="str">
            <v>Pro.sche.report 27.03+28.03+29.03</v>
          </cell>
          <cell r="E1238" t="str">
            <v>BDB-000117</v>
          </cell>
          <cell r="F1238" t="str">
            <v>PVN-003148</v>
          </cell>
          <cell r="G1238" t="str">
            <v>OrthoLite X-35-Hybrid SEEDPEARL/12-0703TPX Hybrid Flat Sheet 0.145D 25+/-4 Asker C 1.1M 2M 4.5mm</v>
          </cell>
          <cell r="H1238">
            <v>186</v>
          </cell>
          <cell r="I1238">
            <v>186</v>
          </cell>
          <cell r="J1238">
            <v>0</v>
          </cell>
          <cell r="K1238">
            <v>186</v>
          </cell>
          <cell r="L1238" t="str">
            <v>WILSON</v>
          </cell>
          <cell r="M1238" t="str">
            <v>Pr.Sch.R</v>
          </cell>
          <cell r="N1238" t="str">
            <v>MOLDED</v>
          </cell>
          <cell r="O1238">
            <v>1</v>
          </cell>
          <cell r="P1238">
            <v>46111</v>
          </cell>
          <cell r="Q1238">
            <v>46120</v>
          </cell>
          <cell r="R1238">
            <v>46117</v>
          </cell>
          <cell r="S1238">
            <v>9</v>
          </cell>
          <cell r="T1238">
            <v>4.5</v>
          </cell>
          <cell r="U1238">
            <v>31</v>
          </cell>
          <cell r="V1238">
            <v>7</v>
          </cell>
          <cell r="W1238" t="str">
            <v>0.145D</v>
          </cell>
          <cell r="X1238" t="str">
            <v>4-2026</v>
          </cell>
          <cell r="Y1238" t="str">
            <v>Week 14</v>
          </cell>
          <cell r="Z1238">
            <v>46111</v>
          </cell>
          <cell r="AA1238">
            <v>9</v>
          </cell>
          <cell r="AB1238">
            <v>3.2259999999999997E-2</v>
          </cell>
        </row>
        <row r="1239">
          <cell r="A1239" t="str">
            <v>F-2026-03-580</v>
          </cell>
          <cell r="B1239"/>
          <cell r="C1239" t="str">
            <v>RPRO-260330-1128</v>
          </cell>
          <cell r="D1239" t="str">
            <v>Pro.sche.report 27.03+28.03+29.03</v>
          </cell>
          <cell r="E1239" t="str">
            <v>BDB-000334</v>
          </cell>
          <cell r="F1239" t="str">
            <v>PVN-004327</v>
          </cell>
          <cell r="G1239" t="str">
            <v>OrthoLite X-55-Hybrid FOSSIL/17-0909TPX Hybrid Flat Sheet 0.16D 25+/-4 Asker C 1.1M 2M 6mm</v>
          </cell>
          <cell r="H1239">
            <v>319</v>
          </cell>
          <cell r="I1239">
            <v>319</v>
          </cell>
          <cell r="J1239">
            <v>0</v>
          </cell>
          <cell r="K1239">
            <v>319</v>
          </cell>
          <cell r="L1239" t="str">
            <v>ASICS</v>
          </cell>
          <cell r="M1239" t="str">
            <v>Pr.Sch.R</v>
          </cell>
          <cell r="N1239" t="str">
            <v>MOLDED</v>
          </cell>
          <cell r="O1239">
            <v>1</v>
          </cell>
          <cell r="P1239">
            <v>46111</v>
          </cell>
          <cell r="Q1239">
            <v>46126</v>
          </cell>
          <cell r="R1239">
            <v>46123</v>
          </cell>
          <cell r="S1239">
            <v>15</v>
          </cell>
          <cell r="T1239">
            <v>6</v>
          </cell>
          <cell r="U1239">
            <v>23</v>
          </cell>
          <cell r="V1239">
            <v>14</v>
          </cell>
          <cell r="W1239" t="e">
            <v>#N/A</v>
          </cell>
          <cell r="X1239" t="str">
            <v>4-2026</v>
          </cell>
          <cell r="Y1239" t="str">
            <v>Week 15</v>
          </cell>
          <cell r="Z1239">
            <v>46118</v>
          </cell>
          <cell r="AA1239">
            <v>8</v>
          </cell>
          <cell r="AB1239">
            <v>4.1669999999999999E-2</v>
          </cell>
        </row>
        <row r="1240">
          <cell r="A1240" t="str">
            <v>F-2026-03-581</v>
          </cell>
          <cell r="B1240"/>
          <cell r="C1240" t="str">
            <v>RPRO-260330-1129</v>
          </cell>
          <cell r="D1240" t="str">
            <v>Pro.sche.report 27.03+28.03+29.03</v>
          </cell>
          <cell r="E1240" t="str">
            <v>BDB-000076</v>
          </cell>
          <cell r="F1240" t="str">
            <v>PVN-004119</v>
          </cell>
          <cell r="G1240" t="str">
            <v>OrthoLite X-25 BILLIARD/16-5427TPX Flat Sheet 0.12D 20+/-4 Asker C 1.1M 2M 6.5mm</v>
          </cell>
          <cell r="H1240">
            <v>21</v>
          </cell>
          <cell r="I1240">
            <v>21</v>
          </cell>
          <cell r="J1240">
            <v>0</v>
          </cell>
          <cell r="K1240">
            <v>21</v>
          </cell>
          <cell r="L1240" t="str">
            <v>ONE8</v>
          </cell>
          <cell r="M1240" t="str">
            <v>Pr.Sch.R</v>
          </cell>
          <cell r="N1240" t="str">
            <v>MOLDED</v>
          </cell>
          <cell r="O1240">
            <v>1</v>
          </cell>
          <cell r="P1240">
            <v>46111</v>
          </cell>
          <cell r="Q1240">
            <v>46126</v>
          </cell>
          <cell r="R1240">
            <v>46123</v>
          </cell>
          <cell r="S1240">
            <v>15</v>
          </cell>
          <cell r="T1240">
            <v>6.5</v>
          </cell>
          <cell r="U1240">
            <v>21</v>
          </cell>
          <cell r="V1240">
            <v>2</v>
          </cell>
          <cell r="W1240" t="str">
            <v>0.12D</v>
          </cell>
          <cell r="X1240" t="str">
            <v>4-2026</v>
          </cell>
          <cell r="Y1240" t="str">
            <v>Week 15</v>
          </cell>
          <cell r="Z1240">
            <v>46118</v>
          </cell>
          <cell r="AA1240">
            <v>9</v>
          </cell>
          <cell r="AB1240">
            <v>4.7620000000000003E-2</v>
          </cell>
        </row>
        <row r="1241">
          <cell r="A1241" t="str">
            <v>F-2026-03-582</v>
          </cell>
          <cell r="B1241"/>
          <cell r="C1241" t="str">
            <v>RPRO-260330-1130</v>
          </cell>
          <cell r="D1241" t="str">
            <v>Pro.sche.report 27.03+28.03+29.03</v>
          </cell>
          <cell r="E1241" t="str">
            <v>BDB-000158</v>
          </cell>
          <cell r="F1241" t="str">
            <v>PVN-001554</v>
          </cell>
          <cell r="G1241" t="str">
            <v>OrthoLite Ultra-Nike YELLOW/13-0858TPX Flat Sheet 0.085D 15+/-4 Asker C 1.1M 2M 3mm</v>
          </cell>
          <cell r="H1241">
            <v>184</v>
          </cell>
          <cell r="I1241">
            <v>184</v>
          </cell>
          <cell r="J1241">
            <v>0</v>
          </cell>
          <cell r="K1241">
            <v>184</v>
          </cell>
          <cell r="L1241" t="str">
            <v>NIKE</v>
          </cell>
          <cell r="M1241" t="str">
            <v>Pr.Sch.R</v>
          </cell>
          <cell r="N1241" t="str">
            <v>DIE CUT</v>
          </cell>
          <cell r="O1241">
            <v>1</v>
          </cell>
          <cell r="P1241">
            <v>46111</v>
          </cell>
          <cell r="Q1241">
            <v>46120</v>
          </cell>
          <cell r="R1241">
            <v>46117</v>
          </cell>
          <cell r="S1241">
            <v>9</v>
          </cell>
          <cell r="T1241">
            <v>3</v>
          </cell>
          <cell r="U1241">
            <v>46</v>
          </cell>
          <cell r="V1241">
            <v>5</v>
          </cell>
          <cell r="W1241" t="str">
            <v>0.085D</v>
          </cell>
          <cell r="X1241" t="str">
            <v>4-2026</v>
          </cell>
          <cell r="Y1241" t="str">
            <v>Week 14</v>
          </cell>
          <cell r="Z1241">
            <v>46111</v>
          </cell>
          <cell r="AA1241">
            <v>42</v>
          </cell>
          <cell r="AB1241">
            <v>2.1739999999999999E-2</v>
          </cell>
        </row>
        <row r="1242">
          <cell r="A1242" t="str">
            <v>F-2026-03-583</v>
          </cell>
          <cell r="B1242"/>
          <cell r="C1242" t="str">
            <v>RPRO-260330-1131</v>
          </cell>
          <cell r="D1242" t="str">
            <v>Pro.sche.report 27.03+28.03+29.03</v>
          </cell>
          <cell r="E1242" t="str">
            <v>BDB-000338</v>
          </cell>
          <cell r="F1242" t="str">
            <v>PVN-004172</v>
          </cell>
          <cell r="G1242" t="str">
            <v>OrthoLite X-35-Hybrid SEEDPEARL/12-0703TPX Hybrid Flat Sheet 0.145D 25+/-4 Asker C 1.1M 1.47M 11mm</v>
          </cell>
          <cell r="H1242">
            <v>132</v>
          </cell>
          <cell r="I1242">
            <v>132</v>
          </cell>
          <cell r="J1242">
            <v>0</v>
          </cell>
          <cell r="K1242">
            <v>132</v>
          </cell>
          <cell r="L1242" t="str">
            <v>DESCENTE</v>
          </cell>
          <cell r="M1242" t="str">
            <v>Pr.Sch.R</v>
          </cell>
          <cell r="N1242" t="str">
            <v>MOLDED</v>
          </cell>
          <cell r="O1242">
            <v>1</v>
          </cell>
          <cell r="P1242">
            <v>46111</v>
          </cell>
          <cell r="Q1242">
            <v>46126</v>
          </cell>
          <cell r="R1242">
            <v>46123</v>
          </cell>
          <cell r="S1242">
            <v>15</v>
          </cell>
          <cell r="T1242">
            <v>11</v>
          </cell>
          <cell r="U1242">
            <v>12</v>
          </cell>
          <cell r="V1242">
            <v>11</v>
          </cell>
          <cell r="W1242" t="e">
            <v>#N/A</v>
          </cell>
          <cell r="X1242" t="str">
            <v>4-2026</v>
          </cell>
          <cell r="Y1242" t="str">
            <v>Week 15</v>
          </cell>
          <cell r="Z1242">
            <v>46118</v>
          </cell>
          <cell r="AA1242">
            <v>96</v>
          </cell>
          <cell r="AB1242">
            <v>8.3330000000000001E-2</v>
          </cell>
        </row>
        <row r="1243">
          <cell r="A1243" t="str">
            <v>OIN-2026.03.27-01</v>
          </cell>
          <cell r="B1243" t="str">
            <v>Urgent/FCL</v>
          </cell>
          <cell r="C1243" t="str">
            <v>RPRO-260331-0001</v>
          </cell>
          <cell r="D1243" t="str">
            <v>OIN</v>
          </cell>
          <cell r="E1243" t="str">
            <v>BDB-000060</v>
          </cell>
          <cell r="F1243" t="str">
            <v>PVN-003782</v>
          </cell>
          <cell r="G1243" t="str">
            <v>[116-446] Ultra 25+/-4 Asker C 0.085D Burnt Sienna 17-1544 Tpx 1.10M X 2.00M 47mm</v>
          </cell>
          <cell r="H1243">
            <v>13</v>
          </cell>
          <cell r="I1243">
            <v>13</v>
          </cell>
          <cell r="J1243">
            <v>0</v>
          </cell>
          <cell r="K1243">
            <v>13</v>
          </cell>
          <cell r="L1243" t="str">
            <v>CLARKS</v>
          </cell>
          <cell r="M1243" t="str">
            <v>PO-6979-SO-260328-0384</v>
          </cell>
          <cell r="N1243" t="str">
            <v>FLAT SHEET</v>
          </cell>
          <cell r="O1243">
            <v>2</v>
          </cell>
          <cell r="P1243">
            <v>46108</v>
          </cell>
          <cell r="Q1243">
            <v>46122</v>
          </cell>
          <cell r="R1243">
            <v>46119</v>
          </cell>
          <cell r="S1243">
            <v>14</v>
          </cell>
          <cell r="T1243">
            <v>47</v>
          </cell>
          <cell r="U1243">
            <v>3</v>
          </cell>
          <cell r="V1243">
            <v>5</v>
          </cell>
          <cell r="W1243" t="str">
            <v>0.085D</v>
          </cell>
          <cell r="X1243" t="str">
            <v>4-2026</v>
          </cell>
          <cell r="Y1243" t="str">
            <v>Week 14</v>
          </cell>
          <cell r="Z1243">
            <v>46111</v>
          </cell>
          <cell r="AA1243">
            <v>111</v>
          </cell>
          <cell r="AB1243">
            <v>0.33333000000000002</v>
          </cell>
        </row>
        <row r="1244">
          <cell r="A1244" t="str">
            <v>OIN-2026.03.27-02</v>
          </cell>
          <cell r="B1244" t="str">
            <v>Urgent/FCL</v>
          </cell>
          <cell r="C1244" t="str">
            <v>RPRO-260331-0002</v>
          </cell>
          <cell r="D1244" t="str">
            <v>OIN</v>
          </cell>
          <cell r="E1244" t="str">
            <v>BDB-000078</v>
          </cell>
          <cell r="F1244" t="str">
            <v>PVN-003912</v>
          </cell>
          <cell r="G1244" t="str">
            <v>[116-1517] X 30 25+/-4 Asker C 0.13D Red 19-1764 Tpx 1.10M X 2.00M 47mm</v>
          </cell>
          <cell r="H1244">
            <v>170</v>
          </cell>
          <cell r="I1244">
            <v>170</v>
          </cell>
          <cell r="J1244">
            <v>0</v>
          </cell>
          <cell r="K1244">
            <v>170</v>
          </cell>
          <cell r="L1244" t="str">
            <v>BATA</v>
          </cell>
          <cell r="M1244" t="str">
            <v>PO-6979-SO-260328-0385</v>
          </cell>
          <cell r="N1244" t="str">
            <v>FLAT SHEET</v>
          </cell>
          <cell r="O1244">
            <v>2</v>
          </cell>
          <cell r="P1244">
            <v>46108</v>
          </cell>
          <cell r="Q1244">
            <v>46122</v>
          </cell>
          <cell r="R1244">
            <v>46119</v>
          </cell>
          <cell r="S1244">
            <v>14</v>
          </cell>
          <cell r="T1244">
            <v>47</v>
          </cell>
          <cell r="U1244">
            <v>3</v>
          </cell>
          <cell r="V1244">
            <v>57</v>
          </cell>
          <cell r="W1244" t="str">
            <v>0.13D</v>
          </cell>
          <cell r="X1244" t="str">
            <v>4-2026</v>
          </cell>
          <cell r="Y1244" t="str">
            <v>Week 14</v>
          </cell>
          <cell r="Z1244">
            <v>46111</v>
          </cell>
          <cell r="AA1244">
            <v>51</v>
          </cell>
          <cell r="AB1244">
            <v>0.33333000000000002</v>
          </cell>
        </row>
        <row r="1245">
          <cell r="A1245" t="str">
            <v>OIN-2026.03.27-03</v>
          </cell>
          <cell r="B1245" t="str">
            <v>Urgent/FCL</v>
          </cell>
          <cell r="C1245" t="str">
            <v>RPRO-260331-0003</v>
          </cell>
          <cell r="D1245" t="str">
            <v>OIN</v>
          </cell>
          <cell r="E1245" t="str">
            <v>BDB-000020</v>
          </cell>
          <cell r="F1245" t="str">
            <v>PVN-004180</v>
          </cell>
          <cell r="G1245" t="str">
            <v>[116-013] Regular 35+/-4 Asker C 0.13D Red 19-1764 Tpx 1.10M X 2.00M 12.5mm</v>
          </cell>
          <cell r="H1245">
            <v>240</v>
          </cell>
          <cell r="I1245">
            <v>240</v>
          </cell>
          <cell r="J1245">
            <v>0</v>
          </cell>
          <cell r="K1245">
            <v>240</v>
          </cell>
          <cell r="L1245" t="str">
            <v>HUGO BOSS</v>
          </cell>
          <cell r="M1245" t="str">
            <v>PO-6979-SO-260328-0386</v>
          </cell>
          <cell r="N1245" t="str">
            <v>FLAT SHEET</v>
          </cell>
          <cell r="O1245">
            <v>2</v>
          </cell>
          <cell r="P1245">
            <v>46108</v>
          </cell>
          <cell r="Q1245">
            <v>46122</v>
          </cell>
          <cell r="R1245">
            <v>46119</v>
          </cell>
          <cell r="S1245">
            <v>14</v>
          </cell>
          <cell r="T1245">
            <v>12.5</v>
          </cell>
          <cell r="U1245">
            <v>10</v>
          </cell>
          <cell r="V1245">
            <v>24</v>
          </cell>
          <cell r="W1245" t="str">
            <v>0.13D</v>
          </cell>
          <cell r="X1245" t="str">
            <v>4-2026</v>
          </cell>
          <cell r="Y1245" t="str">
            <v>Week 14</v>
          </cell>
          <cell r="Z1245">
            <v>46111</v>
          </cell>
          <cell r="AA1245">
            <v>71</v>
          </cell>
          <cell r="AB1245">
            <v>0.1</v>
          </cell>
        </row>
        <row r="1246">
          <cell r="A1246" t="str">
            <v>OIN-2026.03.27-04</v>
          </cell>
          <cell r="B1246" t="str">
            <v>Urgent/FCL</v>
          </cell>
          <cell r="C1246" t="str">
            <v>RPRO-260331-0004</v>
          </cell>
          <cell r="D1246" t="str">
            <v>OIN</v>
          </cell>
          <cell r="E1246" t="str">
            <v>BDB-000076</v>
          </cell>
          <cell r="F1246" t="str">
            <v>PVN-003911</v>
          </cell>
          <cell r="G1246" t="str">
            <v>[116-1516] X 25 20+/-4 Asker C 0.12D Billiard 1.10M X 2.00M 47mm</v>
          </cell>
          <cell r="H1246">
            <v>11</v>
          </cell>
          <cell r="I1246">
            <v>11</v>
          </cell>
          <cell r="J1246">
            <v>0</v>
          </cell>
          <cell r="K1246">
            <v>11</v>
          </cell>
          <cell r="L1246" t="str">
            <v>LANGUAGE</v>
          </cell>
          <cell r="M1246" t="str">
            <v>PO-6979-SO-260328-0387</v>
          </cell>
          <cell r="N1246" t="str">
            <v>FLAT SHEET</v>
          </cell>
          <cell r="O1246">
            <v>2</v>
          </cell>
          <cell r="P1246">
            <v>46108</v>
          </cell>
          <cell r="Q1246">
            <v>46122</v>
          </cell>
          <cell r="R1246">
            <v>46119</v>
          </cell>
          <cell r="S1246">
            <v>14</v>
          </cell>
          <cell r="T1246">
            <v>47</v>
          </cell>
          <cell r="U1246">
            <v>3</v>
          </cell>
          <cell r="V1246">
            <v>4</v>
          </cell>
          <cell r="W1246" t="str">
            <v>0.12D</v>
          </cell>
          <cell r="X1246" t="str">
            <v>4-2026</v>
          </cell>
          <cell r="Y1246" t="str">
            <v>Week 14</v>
          </cell>
          <cell r="Z1246">
            <v>46111</v>
          </cell>
          <cell r="AA1246">
            <v>23</v>
          </cell>
          <cell r="AB1246">
            <v>0.33333000000000002</v>
          </cell>
        </row>
        <row r="1247">
          <cell r="A1247" t="str">
            <v>OIN-2026.03.27-05</v>
          </cell>
          <cell r="B1247" t="str">
            <v>Urgent/FCL</v>
          </cell>
          <cell r="C1247" t="str">
            <v>RPRO-260331-0005</v>
          </cell>
          <cell r="D1247" t="str">
            <v>OIN</v>
          </cell>
          <cell r="E1247" t="str">
            <v>BDB-000374</v>
          </cell>
          <cell r="F1247" t="str">
            <v>PVN-004318</v>
          </cell>
          <cell r="G1247" t="str">
            <v>[116-15588] Regular 45+/-4 Asker C 0.15D Fossil 17-0909 Tpx 1.10M X 2.00M 47mm</v>
          </cell>
          <cell r="H1247">
            <v>6</v>
          </cell>
          <cell r="I1247">
            <v>6</v>
          </cell>
          <cell r="J1247">
            <v>0</v>
          </cell>
          <cell r="K1247">
            <v>6</v>
          </cell>
          <cell r="L1247" t="str">
            <v>LLOYD</v>
          </cell>
          <cell r="M1247" t="str">
            <v>PO-6979-SO-260328-0388</v>
          </cell>
          <cell r="N1247" t="str">
            <v>FLAT SHEET</v>
          </cell>
          <cell r="O1247">
            <v>2</v>
          </cell>
          <cell r="P1247">
            <v>46108</v>
          </cell>
          <cell r="Q1247">
            <v>46122</v>
          </cell>
          <cell r="R1247">
            <v>46119</v>
          </cell>
          <cell r="S1247">
            <v>14</v>
          </cell>
          <cell r="T1247">
            <v>47</v>
          </cell>
          <cell r="U1247">
            <v>3</v>
          </cell>
          <cell r="V1247">
            <v>2</v>
          </cell>
          <cell r="W1247" t="e">
            <v>#N/A</v>
          </cell>
          <cell r="X1247" t="str">
            <v>4-2026</v>
          </cell>
          <cell r="Y1247" t="str">
            <v>Week 14</v>
          </cell>
          <cell r="Z1247">
            <v>46111</v>
          </cell>
          <cell r="AA1247">
            <v>100</v>
          </cell>
          <cell r="AB1247">
            <v>0.33333000000000002</v>
          </cell>
        </row>
        <row r="1248">
          <cell r="A1248" t="str">
            <v>OIN-2026.03.28-01</v>
          </cell>
          <cell r="B1248" t="str">
            <v>Urgent/LCL</v>
          </cell>
          <cell r="C1248" t="str">
            <v>RPRO-260331-0006</v>
          </cell>
          <cell r="D1248" t="str">
            <v>OIN</v>
          </cell>
          <cell r="E1248" t="str">
            <v>BDB-000356</v>
          </cell>
          <cell r="F1248" t="str">
            <v>PVN-004232</v>
          </cell>
          <cell r="G1248" t="str">
            <v>[116-12300] Eco Lite 15+/-4 Asker C 0.11D Lime Green 14-0452 Tpx 1.10M X 2.00M 47mm</v>
          </cell>
          <cell r="H1248">
            <v>6</v>
          </cell>
          <cell r="I1248">
            <v>6</v>
          </cell>
          <cell r="J1248">
            <v>0</v>
          </cell>
          <cell r="K1248">
            <v>6</v>
          </cell>
          <cell r="L1248" t="str">
            <v>JOOP</v>
          </cell>
          <cell r="M1248" t="str">
            <v>PO-6988-SO-260330-0033</v>
          </cell>
          <cell r="N1248" t="str">
            <v>FLAT SHEET</v>
          </cell>
          <cell r="O1248">
            <v>2</v>
          </cell>
          <cell r="P1248">
            <v>46109</v>
          </cell>
          <cell r="Q1248">
            <v>46122</v>
          </cell>
          <cell r="R1248">
            <v>46119</v>
          </cell>
          <cell r="S1248">
            <v>13</v>
          </cell>
          <cell r="T1248">
            <v>47</v>
          </cell>
          <cell r="U1248">
            <v>3</v>
          </cell>
          <cell r="V1248">
            <v>2</v>
          </cell>
          <cell r="W1248" t="e">
            <v>#N/A</v>
          </cell>
          <cell r="X1248" t="str">
            <v>4-2026</v>
          </cell>
          <cell r="Y1248" t="str">
            <v>Week 14</v>
          </cell>
          <cell r="Z1248">
            <v>46111</v>
          </cell>
          <cell r="AA1248">
            <v>70</v>
          </cell>
          <cell r="AB1248">
            <v>0.33333000000000002</v>
          </cell>
        </row>
        <row r="1249">
          <cell r="A1249" t="str">
            <v>OIN-2026.03.28-02</v>
          </cell>
          <cell r="B1249" t="str">
            <v>Urgent/LCL</v>
          </cell>
          <cell r="C1249" t="str">
            <v>RPRO-260331-0007</v>
          </cell>
          <cell r="D1249" t="str">
            <v>OIN</v>
          </cell>
          <cell r="E1249" t="str">
            <v>BDB-000060</v>
          </cell>
          <cell r="F1249" t="str">
            <v>PVN-003782</v>
          </cell>
          <cell r="G1249" t="str">
            <v>[116-446] Ultra 25+/-4 Asker C 0.085D Burnt Sienna 17-1544 Tpx 1.10M X 2.00M 47mm</v>
          </cell>
          <cell r="H1249">
            <v>13</v>
          </cell>
          <cell r="I1249">
            <v>13</v>
          </cell>
          <cell r="J1249">
            <v>0</v>
          </cell>
          <cell r="K1249">
            <v>13</v>
          </cell>
          <cell r="L1249" t="str">
            <v>CLARKS</v>
          </cell>
          <cell r="M1249" t="str">
            <v>PO-6988-SO-260330-0034</v>
          </cell>
          <cell r="N1249" t="str">
            <v>FLAT SHEET</v>
          </cell>
          <cell r="O1249">
            <v>2</v>
          </cell>
          <cell r="P1249">
            <v>46109</v>
          </cell>
          <cell r="Q1249">
            <v>46122</v>
          </cell>
          <cell r="R1249">
            <v>46119</v>
          </cell>
          <cell r="S1249">
            <v>13</v>
          </cell>
          <cell r="T1249">
            <v>47</v>
          </cell>
          <cell r="U1249">
            <v>3</v>
          </cell>
          <cell r="V1249">
            <v>5</v>
          </cell>
          <cell r="W1249" t="str">
            <v>0.085D</v>
          </cell>
          <cell r="X1249" t="str">
            <v>4-2026</v>
          </cell>
          <cell r="Y1249" t="str">
            <v>Week 14</v>
          </cell>
          <cell r="Z1249">
            <v>46111</v>
          </cell>
          <cell r="AA1249">
            <v>14</v>
          </cell>
          <cell r="AB1249">
            <v>0.33333000000000002</v>
          </cell>
        </row>
        <row r="1250">
          <cell r="A1250" t="str">
            <v>F-2026-03-584</v>
          </cell>
          <cell r="B1250"/>
          <cell r="C1250" t="str">
            <v>FPRO-260330-0006</v>
          </cell>
          <cell r="D1250" t="str">
            <v>Firm plan 30.3</v>
          </cell>
          <cell r="E1250" t="str">
            <v>BDB-000209</v>
          </cell>
          <cell r="F1250" t="str">
            <v>PVN-003537</v>
          </cell>
          <cell r="G1250" t="str">
            <v>OrthoLite HybridPlus-Recycled MINT GREEN/11-4805TPX Hybrid 0.12D 25+/-4 Asker C 1.1M 2M 4.5mm</v>
          </cell>
          <cell r="H1250">
            <v>2500</v>
          </cell>
          <cell r="I1250">
            <v>2500</v>
          </cell>
          <cell r="J1250">
            <v>0</v>
          </cell>
          <cell r="K1250">
            <v>2500</v>
          </cell>
          <cell r="L1250" t="str">
            <v>ON RUNNING</v>
          </cell>
          <cell r="M1250" t="str">
            <v>Forecast</v>
          </cell>
          <cell r="N1250" t="str">
            <v>MOLDED</v>
          </cell>
          <cell r="O1250">
            <v>1</v>
          </cell>
          <cell r="P1250">
            <v>46111</v>
          </cell>
          <cell r="Q1250">
            <v>46170</v>
          </cell>
          <cell r="R1250">
            <v>46167</v>
          </cell>
          <cell r="S1250">
            <v>59</v>
          </cell>
          <cell r="T1250">
            <v>4.5</v>
          </cell>
          <cell r="U1250">
            <v>31</v>
          </cell>
          <cell r="V1250">
            <v>81</v>
          </cell>
          <cell r="W1250" t="str">
            <v>0.12D</v>
          </cell>
          <cell r="X1250" t="str">
            <v>5-2026</v>
          </cell>
          <cell r="Y1250" t="str">
            <v>Week 21</v>
          </cell>
          <cell r="Z1250">
            <v>46160</v>
          </cell>
          <cell r="AA1250">
            <v>32</v>
          </cell>
          <cell r="AB1250">
            <v>3.2259999999999997E-2</v>
          </cell>
        </row>
        <row r="1251">
          <cell r="A1251" t="str">
            <v>F-2026-03-585</v>
          </cell>
          <cell r="B1251"/>
          <cell r="C1251" t="str">
            <v>FPRO-260330-0007</v>
          </cell>
          <cell r="D1251" t="str">
            <v>Firm plan 30.3</v>
          </cell>
          <cell r="E1251" t="str">
            <v>BDB-000209</v>
          </cell>
          <cell r="F1251" t="str">
            <v>PVN-003537</v>
          </cell>
          <cell r="G1251" t="str">
            <v>OrthoLite HybridPlus-Recycled MINT GREEN/11-4805TPX Hybrid 0.12D 25+/-4 Asker C 1.1M 2M 4.5mm</v>
          </cell>
          <cell r="H1251">
            <v>2500</v>
          </cell>
          <cell r="I1251">
            <v>2500</v>
          </cell>
          <cell r="J1251">
            <v>0</v>
          </cell>
          <cell r="K1251">
            <v>2500</v>
          </cell>
          <cell r="L1251" t="str">
            <v>ON RUNNING</v>
          </cell>
          <cell r="M1251" t="str">
            <v>Forecast</v>
          </cell>
          <cell r="N1251" t="str">
            <v>MOLDED</v>
          </cell>
          <cell r="O1251">
            <v>1</v>
          </cell>
          <cell r="P1251">
            <v>46111</v>
          </cell>
          <cell r="Q1251">
            <v>46203</v>
          </cell>
          <cell r="R1251">
            <v>46200</v>
          </cell>
          <cell r="S1251">
            <v>92</v>
          </cell>
          <cell r="T1251">
            <v>4.5</v>
          </cell>
          <cell r="U1251">
            <v>31</v>
          </cell>
          <cell r="V1251">
            <v>81</v>
          </cell>
          <cell r="W1251" t="str">
            <v>0.12D</v>
          </cell>
          <cell r="X1251" t="str">
            <v>6-2026</v>
          </cell>
          <cell r="Y1251" t="str">
            <v>Week 24</v>
          </cell>
          <cell r="Z1251">
            <v>46181</v>
          </cell>
          <cell r="AA1251">
            <v>39</v>
          </cell>
          <cell r="AB1251">
            <v>3.2259999999999997E-2</v>
          </cell>
        </row>
        <row r="1252">
          <cell r="A1252" t="str">
            <v>F-2026-03-586</v>
          </cell>
          <cell r="B1252"/>
          <cell r="C1252" t="str">
            <v>FPRO-260330-0008</v>
          </cell>
          <cell r="D1252" t="str">
            <v>Firm plan 30.3</v>
          </cell>
          <cell r="E1252" t="str">
            <v>BDB-000209</v>
          </cell>
          <cell r="F1252" t="str">
            <v>PVN-003537</v>
          </cell>
          <cell r="G1252" t="str">
            <v>OrthoLite HybridPlus-Recycled MINT GREEN/11-4805TPX Hybrid 0.12D 25+/-4 Asker C 1.1M 2M 4.5mm</v>
          </cell>
          <cell r="H1252">
            <v>2500</v>
          </cell>
          <cell r="I1252">
            <v>2500</v>
          </cell>
          <cell r="J1252">
            <v>0</v>
          </cell>
          <cell r="K1252">
            <v>2500</v>
          </cell>
          <cell r="L1252" t="str">
            <v>ON RUNNING</v>
          </cell>
          <cell r="M1252" t="str">
            <v>Forecast</v>
          </cell>
          <cell r="N1252" t="str">
            <v>MOLDED</v>
          </cell>
          <cell r="O1252">
            <v>1</v>
          </cell>
          <cell r="P1252">
            <v>46111</v>
          </cell>
          <cell r="Q1252">
            <v>46205</v>
          </cell>
          <cell r="R1252">
            <v>46202</v>
          </cell>
          <cell r="S1252">
            <v>94</v>
          </cell>
          <cell r="T1252">
            <v>4.5</v>
          </cell>
          <cell r="U1252">
            <v>31</v>
          </cell>
          <cell r="V1252">
            <v>81</v>
          </cell>
          <cell r="W1252" t="str">
            <v>0.12D</v>
          </cell>
          <cell r="X1252" t="str">
            <v>7-2026</v>
          </cell>
          <cell r="Y1252" t="str">
            <v>Week 24</v>
          </cell>
          <cell r="Z1252">
            <v>46181</v>
          </cell>
          <cell r="AA1252">
            <v>238</v>
          </cell>
          <cell r="AB1252">
            <v>3.2259999999999997E-2</v>
          </cell>
        </row>
        <row r="1253">
          <cell r="A1253" t="str">
            <v>F-2026-03-587</v>
          </cell>
          <cell r="B1253"/>
          <cell r="C1253" t="str">
            <v>FPRO-260330-0009</v>
          </cell>
          <cell r="D1253" t="str">
            <v>Firm plan 30.3</v>
          </cell>
          <cell r="E1253" t="str">
            <v>BDB-000209</v>
          </cell>
          <cell r="F1253" t="str">
            <v>PVN-003537</v>
          </cell>
          <cell r="G1253" t="str">
            <v>OrthoLite HybridPlus-Recycled MINT GREEN/11-4805TPX Hybrid 0.12D 25+/-4 Asker C 1.1M 2M 4.5mm</v>
          </cell>
          <cell r="H1253">
            <v>2500</v>
          </cell>
          <cell r="I1253">
            <v>2500</v>
          </cell>
          <cell r="J1253">
            <v>0</v>
          </cell>
          <cell r="K1253">
            <v>2500</v>
          </cell>
          <cell r="L1253" t="str">
            <v>ON RUNNING</v>
          </cell>
          <cell r="M1253" t="str">
            <v>Forecast</v>
          </cell>
          <cell r="N1253" t="str">
            <v>MOLDED</v>
          </cell>
          <cell r="O1253">
            <v>1</v>
          </cell>
          <cell r="P1253">
            <v>46111</v>
          </cell>
          <cell r="Q1253">
            <v>46175</v>
          </cell>
          <cell r="R1253">
            <v>46172</v>
          </cell>
          <cell r="S1253">
            <v>64</v>
          </cell>
          <cell r="T1253">
            <v>4.5</v>
          </cell>
          <cell r="U1253">
            <v>31</v>
          </cell>
          <cell r="V1253">
            <v>81</v>
          </cell>
          <cell r="W1253" t="str">
            <v>0.12D</v>
          </cell>
          <cell r="X1253" t="str">
            <v>6-2026</v>
          </cell>
          <cell r="Y1253" t="str">
            <v>Week 22</v>
          </cell>
          <cell r="Z1253">
            <v>46167</v>
          </cell>
          <cell r="AA1253">
            <v>238</v>
          </cell>
          <cell r="AB1253">
            <v>3.2259999999999997E-2</v>
          </cell>
        </row>
        <row r="1254">
          <cell r="A1254" t="str">
            <v>F-2026-03-588</v>
          </cell>
          <cell r="B1254"/>
          <cell r="C1254" t="str">
            <v>FPRO-260330-0010</v>
          </cell>
          <cell r="D1254" t="str">
            <v>Firm plan 30.3</v>
          </cell>
          <cell r="E1254" t="str">
            <v>BDB-000209</v>
          </cell>
          <cell r="F1254" t="str">
            <v>PVN-003537</v>
          </cell>
          <cell r="G1254" t="str">
            <v>OrthoLite HybridPlus-Recycled MINT GREEN/11-4805TPX Hybrid 0.12D 25+/-4 Asker C 1.1M 2M 4.5mm</v>
          </cell>
          <cell r="H1254">
            <v>2500</v>
          </cell>
          <cell r="I1254">
            <v>2500</v>
          </cell>
          <cell r="J1254">
            <v>0</v>
          </cell>
          <cell r="K1254">
            <v>2500</v>
          </cell>
          <cell r="L1254" t="str">
            <v>ON RUNNING</v>
          </cell>
          <cell r="M1254" t="str">
            <v>Forecast</v>
          </cell>
          <cell r="N1254" t="str">
            <v>MOLDED</v>
          </cell>
          <cell r="O1254">
            <v>1</v>
          </cell>
          <cell r="P1254">
            <v>46111</v>
          </cell>
          <cell r="Q1254">
            <v>46177</v>
          </cell>
          <cell r="R1254">
            <v>46174</v>
          </cell>
          <cell r="S1254">
            <v>66</v>
          </cell>
          <cell r="T1254">
            <v>4.5</v>
          </cell>
          <cell r="U1254">
            <v>31</v>
          </cell>
          <cell r="V1254">
            <v>81</v>
          </cell>
          <cell r="W1254" t="str">
            <v>0.12D</v>
          </cell>
          <cell r="X1254" t="str">
            <v>6-2026</v>
          </cell>
          <cell r="Y1254" t="str">
            <v>Week 22</v>
          </cell>
          <cell r="Z1254">
            <v>46167</v>
          </cell>
          <cell r="AA1254">
            <v>238</v>
          </cell>
          <cell r="AB1254">
            <v>3.2259999999999997E-2</v>
          </cell>
        </row>
        <row r="1255">
          <cell r="A1255" t="str">
            <v>F-2026-03-589</v>
          </cell>
          <cell r="B1255"/>
          <cell r="C1255" t="str">
            <v>FPRO-260330-0011</v>
          </cell>
          <cell r="D1255" t="str">
            <v>Firm plan 30.3</v>
          </cell>
          <cell r="E1255" t="str">
            <v>BDB-000209</v>
          </cell>
          <cell r="F1255" t="str">
            <v>PVN-003537</v>
          </cell>
          <cell r="G1255" t="str">
            <v>OrthoLite HybridPlus-Recycled MINT GREEN/11-4805TPX Hybrid 0.12D 25+/-4 Asker C 1.1M 2M 4.5mm</v>
          </cell>
          <cell r="H1255">
            <v>2500</v>
          </cell>
          <cell r="I1255">
            <v>2500</v>
          </cell>
          <cell r="J1255">
            <v>0</v>
          </cell>
          <cell r="K1255">
            <v>2500</v>
          </cell>
          <cell r="L1255" t="str">
            <v>ON RUNNING</v>
          </cell>
          <cell r="M1255" t="str">
            <v>Forecast</v>
          </cell>
          <cell r="N1255" t="str">
            <v>MOLDED</v>
          </cell>
          <cell r="O1255">
            <v>1</v>
          </cell>
          <cell r="P1255">
            <v>46111</v>
          </cell>
          <cell r="Q1255">
            <v>46192</v>
          </cell>
          <cell r="R1255">
            <v>46189</v>
          </cell>
          <cell r="S1255">
            <v>81</v>
          </cell>
          <cell r="T1255">
            <v>4.5</v>
          </cell>
          <cell r="U1255">
            <v>31</v>
          </cell>
          <cell r="V1255">
            <v>81</v>
          </cell>
          <cell r="W1255" t="str">
            <v>0.12D</v>
          </cell>
          <cell r="X1255" t="str">
            <v>6-2026</v>
          </cell>
          <cell r="Y1255" t="str">
            <v>Week 24</v>
          </cell>
          <cell r="Z1255">
            <v>46181</v>
          </cell>
          <cell r="AA1255">
            <v>238</v>
          </cell>
          <cell r="AB1255">
            <v>3.2259999999999997E-2</v>
          </cell>
        </row>
        <row r="1256">
          <cell r="A1256" t="str">
            <v>F-2026-03-590</v>
          </cell>
          <cell r="B1256"/>
          <cell r="C1256" t="str">
            <v>FPRO-260330-0012</v>
          </cell>
          <cell r="D1256" t="str">
            <v>Firm plan 30.3</v>
          </cell>
          <cell r="E1256" t="str">
            <v>BDB-000209</v>
          </cell>
          <cell r="F1256" t="str">
            <v>PVN-003537</v>
          </cell>
          <cell r="G1256" t="str">
            <v>OrthoLite HybridPlus-Recycled MINT GREEN/11-4805TPX Hybrid 0.12D 25+/-4 Asker C 1.1M 2M 4.5mm</v>
          </cell>
          <cell r="H1256">
            <v>2500</v>
          </cell>
          <cell r="I1256">
            <v>2500</v>
          </cell>
          <cell r="J1256">
            <v>0</v>
          </cell>
          <cell r="K1256">
            <v>2500</v>
          </cell>
          <cell r="L1256" t="str">
            <v>ON RUNNING</v>
          </cell>
          <cell r="M1256" t="str">
            <v>Forecast</v>
          </cell>
          <cell r="N1256" t="str">
            <v>MOLDED</v>
          </cell>
          <cell r="O1256">
            <v>1</v>
          </cell>
          <cell r="P1256">
            <v>46111</v>
          </cell>
          <cell r="Q1256">
            <v>46196</v>
          </cell>
          <cell r="R1256">
            <v>46193</v>
          </cell>
          <cell r="S1256">
            <v>85</v>
          </cell>
          <cell r="T1256">
            <v>4.5</v>
          </cell>
          <cell r="U1256">
            <v>31</v>
          </cell>
          <cell r="V1256">
            <v>81</v>
          </cell>
          <cell r="W1256" t="str">
            <v>0.12D</v>
          </cell>
          <cell r="X1256" t="str">
            <v>6-2026</v>
          </cell>
          <cell r="Y1256" t="str">
            <v>Week 24</v>
          </cell>
          <cell r="Z1256">
            <v>46181</v>
          </cell>
          <cell r="AA1256">
            <v>238</v>
          </cell>
          <cell r="AB1256">
            <v>3.2259999999999997E-2</v>
          </cell>
        </row>
        <row r="1257">
          <cell r="A1257" t="str">
            <v>F-2026-03-591</v>
          </cell>
          <cell r="B1257"/>
          <cell r="C1257" t="str">
            <v>FPRO-260330-0013</v>
          </cell>
          <cell r="D1257" t="str">
            <v>Firm plan 30.3</v>
          </cell>
          <cell r="E1257" t="str">
            <v>BDB-000209</v>
          </cell>
          <cell r="F1257" t="str">
            <v>PVN-003537</v>
          </cell>
          <cell r="G1257" t="str">
            <v>OrthoLite HybridPlus-Recycled MINT GREEN/11-4805TPX Hybrid 0.12D 25+/-4 Asker C 1.1M 2M 4.5mm</v>
          </cell>
          <cell r="H1257">
            <v>2500</v>
          </cell>
          <cell r="I1257">
            <v>2500</v>
          </cell>
          <cell r="J1257">
            <v>0</v>
          </cell>
          <cell r="K1257">
            <v>2500</v>
          </cell>
          <cell r="L1257" t="str">
            <v>ON RUNNING</v>
          </cell>
          <cell r="M1257" t="str">
            <v>Forecast</v>
          </cell>
          <cell r="N1257" t="str">
            <v>MOLDED</v>
          </cell>
          <cell r="O1257">
            <v>1</v>
          </cell>
          <cell r="P1257">
            <v>46111</v>
          </cell>
          <cell r="Q1257">
            <v>46199</v>
          </cell>
          <cell r="R1257">
            <v>46196</v>
          </cell>
          <cell r="S1257">
            <v>88</v>
          </cell>
          <cell r="T1257">
            <v>4.5</v>
          </cell>
          <cell r="U1257">
            <v>31</v>
          </cell>
          <cell r="V1257">
            <v>81</v>
          </cell>
          <cell r="W1257" t="str">
            <v>0.12D</v>
          </cell>
          <cell r="X1257" t="str">
            <v>6-2026</v>
          </cell>
          <cell r="Y1257" t="str">
            <v>Week 24</v>
          </cell>
          <cell r="Z1257">
            <v>46181</v>
          </cell>
          <cell r="AA1257">
            <v>238</v>
          </cell>
          <cell r="AB1257">
            <v>3.2259999999999997E-2</v>
          </cell>
        </row>
        <row r="1258">
          <cell r="A1258" t="str">
            <v>F-2026-03-592</v>
          </cell>
          <cell r="B1258"/>
          <cell r="C1258" t="str">
            <v>FPRO-260330-0014</v>
          </cell>
          <cell r="D1258" t="str">
            <v>Firm plan 30.3</v>
          </cell>
          <cell r="E1258" t="str">
            <v>BDB-000209</v>
          </cell>
          <cell r="F1258" t="str">
            <v>PVN-003537</v>
          </cell>
          <cell r="G1258" t="str">
            <v>OrthoLite HybridPlus-Recycled MINT GREEN/11-4805TPX Hybrid 0.12D 25+/-4 Asker C 1.1M 2M 4.5mm</v>
          </cell>
          <cell r="H1258">
            <v>2500</v>
          </cell>
          <cell r="I1258">
            <v>2500</v>
          </cell>
          <cell r="J1258">
            <v>0</v>
          </cell>
          <cell r="K1258">
            <v>2500</v>
          </cell>
          <cell r="L1258" t="str">
            <v>ON RUNNING</v>
          </cell>
          <cell r="M1258" t="str">
            <v>Forecast</v>
          </cell>
          <cell r="N1258" t="str">
            <v>MOLDED</v>
          </cell>
          <cell r="O1258">
            <v>1</v>
          </cell>
          <cell r="P1258">
            <v>46111</v>
          </cell>
          <cell r="Q1258">
            <v>46163</v>
          </cell>
          <cell r="R1258">
            <v>46160</v>
          </cell>
          <cell r="S1258">
            <v>52</v>
          </cell>
          <cell r="T1258">
            <v>4.5</v>
          </cell>
          <cell r="U1258">
            <v>31</v>
          </cell>
          <cell r="V1258">
            <v>81</v>
          </cell>
          <cell r="W1258" t="str">
            <v>0.12D</v>
          </cell>
          <cell r="X1258" t="str">
            <v>5-2026</v>
          </cell>
          <cell r="Y1258" t="str">
            <v>Week 20</v>
          </cell>
          <cell r="Z1258">
            <v>46153</v>
          </cell>
          <cell r="AA1258">
            <v>238</v>
          </cell>
          <cell r="AB1258">
            <v>3.2259999999999997E-2</v>
          </cell>
        </row>
        <row r="1259">
          <cell r="A1259" t="str">
            <v>F-2026-03-593</v>
          </cell>
          <cell r="B1259"/>
          <cell r="C1259" t="str">
            <v>FPRO-260330-0015</v>
          </cell>
          <cell r="D1259" t="str">
            <v>Firm plan 30.3</v>
          </cell>
          <cell r="E1259" t="str">
            <v>BDB-000209</v>
          </cell>
          <cell r="F1259" t="str">
            <v>PVN-003537</v>
          </cell>
          <cell r="G1259" t="str">
            <v>OrthoLite HybridPlus-Recycled MINT GREEN/11-4805TPX Hybrid 0.12D 25+/-4 Asker C 1.1M 2M 4.5mm</v>
          </cell>
          <cell r="H1259">
            <v>2500</v>
          </cell>
          <cell r="I1259">
            <v>2500</v>
          </cell>
          <cell r="J1259">
            <v>0</v>
          </cell>
          <cell r="K1259">
            <v>2500</v>
          </cell>
          <cell r="L1259" t="str">
            <v>ON RUNNING</v>
          </cell>
          <cell r="M1259" t="str">
            <v>Forecast</v>
          </cell>
          <cell r="N1259" t="str">
            <v>MOLDED</v>
          </cell>
          <cell r="O1259">
            <v>1</v>
          </cell>
          <cell r="P1259">
            <v>46111</v>
          </cell>
          <cell r="Q1259">
            <v>46204</v>
          </cell>
          <cell r="R1259">
            <v>46201</v>
          </cell>
          <cell r="S1259">
            <v>93</v>
          </cell>
          <cell r="T1259">
            <v>4.5</v>
          </cell>
          <cell r="U1259">
            <v>31</v>
          </cell>
          <cell r="V1259">
            <v>81</v>
          </cell>
          <cell r="W1259" t="str">
            <v>0.12D</v>
          </cell>
          <cell r="X1259" t="str">
            <v>7-2026</v>
          </cell>
          <cell r="Y1259" t="str">
            <v>Week 24</v>
          </cell>
          <cell r="Z1259">
            <v>46181</v>
          </cell>
          <cell r="AA1259">
            <v>270</v>
          </cell>
          <cell r="AB1259">
            <v>3.2259999999999997E-2</v>
          </cell>
        </row>
        <row r="1260">
          <cell r="A1260" t="str">
            <v>F-2026-03-594</v>
          </cell>
          <cell r="B1260"/>
          <cell r="C1260" t="str">
            <v>FPRO-260330-0016</v>
          </cell>
          <cell r="D1260" t="str">
            <v>Firm plan 30.3</v>
          </cell>
          <cell r="E1260" t="str">
            <v>BDB-000209</v>
          </cell>
          <cell r="F1260" t="str">
            <v>PVN-003537</v>
          </cell>
          <cell r="G1260" t="str">
            <v>OrthoLite HybridPlus-Recycled MINT GREEN/11-4805TPX Hybrid 0.12D 25+/-4 Asker C 1.1M 2M 4.5mm</v>
          </cell>
          <cell r="H1260">
            <v>2500</v>
          </cell>
          <cell r="I1260">
            <v>2500</v>
          </cell>
          <cell r="J1260">
            <v>0</v>
          </cell>
          <cell r="K1260">
            <v>2500</v>
          </cell>
          <cell r="L1260" t="str">
            <v>ON RUNNING</v>
          </cell>
          <cell r="M1260" t="str">
            <v>Forecast</v>
          </cell>
          <cell r="N1260" t="str">
            <v>MOLDED</v>
          </cell>
          <cell r="O1260">
            <v>1</v>
          </cell>
          <cell r="P1260">
            <v>46111</v>
          </cell>
          <cell r="Q1260">
            <v>46167</v>
          </cell>
          <cell r="R1260">
            <v>46164</v>
          </cell>
          <cell r="S1260">
            <v>56</v>
          </cell>
          <cell r="T1260">
            <v>4.5</v>
          </cell>
          <cell r="U1260">
            <v>31</v>
          </cell>
          <cell r="V1260">
            <v>81</v>
          </cell>
          <cell r="W1260" t="str">
            <v>0.12D</v>
          </cell>
          <cell r="X1260" t="str">
            <v>5-2026</v>
          </cell>
          <cell r="Y1260" t="str">
            <v>Week 21</v>
          </cell>
          <cell r="Z1260">
            <v>46160</v>
          </cell>
          <cell r="AA1260">
            <v>167</v>
          </cell>
          <cell r="AB1260">
            <v>3.2259999999999997E-2</v>
          </cell>
        </row>
        <row r="1261">
          <cell r="A1261" t="str">
            <v>F-2026-03-595</v>
          </cell>
          <cell r="B1261"/>
          <cell r="C1261" t="str">
            <v>FPRO-260330-0017</v>
          </cell>
          <cell r="D1261" t="str">
            <v>Firm plan 30.3</v>
          </cell>
          <cell r="E1261" t="str">
            <v>BDB-000209</v>
          </cell>
          <cell r="F1261" t="str">
            <v>PVN-003537</v>
          </cell>
          <cell r="G1261" t="str">
            <v>OrthoLite HybridPlus-Recycled MINT GREEN/11-4805TPX Hybrid 0.12D 25+/-4 Asker C 1.1M 2M 4.5mm</v>
          </cell>
          <cell r="H1261">
            <v>2500</v>
          </cell>
          <cell r="I1261">
            <v>2500</v>
          </cell>
          <cell r="J1261">
            <v>0</v>
          </cell>
          <cell r="K1261">
            <v>2500</v>
          </cell>
          <cell r="L1261" t="str">
            <v>ON RUNNING</v>
          </cell>
          <cell r="M1261" t="str">
            <v>Forecast</v>
          </cell>
          <cell r="N1261" t="str">
            <v>MOLDED</v>
          </cell>
          <cell r="O1261">
            <v>1</v>
          </cell>
          <cell r="P1261">
            <v>46111</v>
          </cell>
          <cell r="Q1261">
            <v>46137</v>
          </cell>
          <cell r="R1261">
            <v>46134</v>
          </cell>
          <cell r="S1261">
            <v>26</v>
          </cell>
          <cell r="T1261">
            <v>4.5</v>
          </cell>
          <cell r="U1261">
            <v>31</v>
          </cell>
          <cell r="V1261">
            <v>81</v>
          </cell>
          <cell r="W1261" t="str">
            <v>0.12D</v>
          </cell>
          <cell r="X1261" t="str">
            <v>4-2026</v>
          </cell>
          <cell r="Y1261" t="str">
            <v>Week 17</v>
          </cell>
          <cell r="Z1261">
            <v>46132</v>
          </cell>
          <cell r="AA1261">
            <v>42</v>
          </cell>
          <cell r="AB1261">
            <v>3.2259999999999997E-2</v>
          </cell>
        </row>
        <row r="1262">
          <cell r="A1262" t="str">
            <v>F-2026-03-596</v>
          </cell>
          <cell r="B1262"/>
          <cell r="C1262" t="str">
            <v>FPRO-260330-0018</v>
          </cell>
          <cell r="D1262" t="str">
            <v>Firm plan 30.3</v>
          </cell>
          <cell r="E1262" t="str">
            <v>BDB-000209</v>
          </cell>
          <cell r="F1262" t="str">
            <v>PVN-003537</v>
          </cell>
          <cell r="G1262" t="str">
            <v>OrthoLite HybridPlus-Recycled MINT GREEN/11-4805TPX Hybrid 0.12D 25+/-4 Asker C 1.1M 2M 4.5mm</v>
          </cell>
          <cell r="H1262">
            <v>1200</v>
          </cell>
          <cell r="I1262">
            <v>1200</v>
          </cell>
          <cell r="J1262">
            <v>0</v>
          </cell>
          <cell r="K1262">
            <v>1200</v>
          </cell>
          <cell r="L1262" t="str">
            <v>ON RUNNING</v>
          </cell>
          <cell r="M1262" t="str">
            <v>Forecast</v>
          </cell>
          <cell r="N1262" t="str">
            <v>MOLDED</v>
          </cell>
          <cell r="O1262">
            <v>1</v>
          </cell>
          <cell r="P1262">
            <v>46111</v>
          </cell>
          <cell r="Q1262">
            <v>46150</v>
          </cell>
          <cell r="R1262">
            <v>46147</v>
          </cell>
          <cell r="S1262">
            <v>39</v>
          </cell>
          <cell r="T1262">
            <v>4.5</v>
          </cell>
          <cell r="U1262">
            <v>31</v>
          </cell>
          <cell r="V1262">
            <v>39</v>
          </cell>
          <cell r="W1262" t="str">
            <v>0.12D</v>
          </cell>
          <cell r="X1262" t="str">
            <v>5-2026</v>
          </cell>
          <cell r="Y1262" t="str">
            <v>Week 18</v>
          </cell>
          <cell r="Z1262">
            <v>46139</v>
          </cell>
          <cell r="AA1262">
            <v>438</v>
          </cell>
          <cell r="AB1262">
            <v>3.2259999999999997E-2</v>
          </cell>
        </row>
        <row r="1263">
          <cell r="A1263" t="str">
            <v>F-2026-03-597</v>
          </cell>
          <cell r="B1263"/>
          <cell r="C1263" t="str">
            <v>FPRO-260330-0019</v>
          </cell>
          <cell r="D1263" t="str">
            <v>Firm plan 30.3</v>
          </cell>
          <cell r="E1263" t="str">
            <v>BDB-000273</v>
          </cell>
          <cell r="F1263" t="str">
            <v>PVN-004138</v>
          </cell>
          <cell r="G1263" t="str">
            <v>OrthoLite X-40-Hybrid SEEDPEARL/12-0703TPX Hybrid Flat Sheet 0.16D 25+/-4 Asker C 1.1M 2M 5.5mm</v>
          </cell>
          <cell r="H1263">
            <v>1000</v>
          </cell>
          <cell r="I1263">
            <v>1000</v>
          </cell>
          <cell r="J1263">
            <v>0</v>
          </cell>
          <cell r="K1263">
            <v>1000</v>
          </cell>
          <cell r="L1263" t="str">
            <v>ON RUNNING</v>
          </cell>
          <cell r="M1263" t="str">
            <v>Forecast</v>
          </cell>
          <cell r="N1263" t="str">
            <v>MOLDED</v>
          </cell>
          <cell r="O1263">
            <v>1</v>
          </cell>
          <cell r="P1263">
            <v>46111</v>
          </cell>
          <cell r="Q1263">
            <v>46129</v>
          </cell>
          <cell r="R1263">
            <v>46126</v>
          </cell>
          <cell r="S1263">
            <v>18</v>
          </cell>
          <cell r="T1263">
            <v>5.5</v>
          </cell>
          <cell r="U1263">
            <v>25</v>
          </cell>
          <cell r="V1263">
            <v>40</v>
          </cell>
          <cell r="W1263" t="str">
            <v>0.16D</v>
          </cell>
          <cell r="X1263" t="str">
            <v>4-2026</v>
          </cell>
          <cell r="Y1263" t="str">
            <v>Week 15</v>
          </cell>
          <cell r="Z1263">
            <v>46118</v>
          </cell>
          <cell r="AA1263">
            <v>4</v>
          </cell>
          <cell r="AB1263">
            <v>0.04</v>
          </cell>
        </row>
        <row r="1264">
          <cell r="A1264" t="str">
            <v>F-2026-03-598</v>
          </cell>
          <cell r="B1264"/>
          <cell r="C1264" t="str">
            <v>FPRO-260330-0020</v>
          </cell>
          <cell r="D1264" t="str">
            <v>Firm plan 30.3</v>
          </cell>
          <cell r="E1264" t="str">
            <v>BDB-000273</v>
          </cell>
          <cell r="F1264" t="str">
            <v>PVN-004138</v>
          </cell>
          <cell r="G1264" t="str">
            <v>OrthoLite X-40-Hybrid SEEDPEARL/12-0703TPX Hybrid Flat Sheet 0.16D 25+/-4 Asker C 1.1M 2M 5.5mm</v>
          </cell>
          <cell r="H1264">
            <v>1000</v>
          </cell>
          <cell r="I1264">
            <v>1000</v>
          </cell>
          <cell r="J1264">
            <v>0</v>
          </cell>
          <cell r="K1264">
            <v>1000</v>
          </cell>
          <cell r="L1264" t="str">
            <v>ON RUNNING</v>
          </cell>
          <cell r="M1264" t="str">
            <v>Forecast</v>
          </cell>
          <cell r="N1264" t="str">
            <v>MOLDED</v>
          </cell>
          <cell r="O1264">
            <v>1</v>
          </cell>
          <cell r="P1264">
            <v>46111</v>
          </cell>
          <cell r="Q1264">
            <v>46150</v>
          </cell>
          <cell r="R1264">
            <v>46147</v>
          </cell>
          <cell r="S1264">
            <v>39</v>
          </cell>
          <cell r="T1264">
            <v>5.5</v>
          </cell>
          <cell r="U1264">
            <v>25</v>
          </cell>
          <cell r="V1264">
            <v>40</v>
          </cell>
          <cell r="W1264" t="str">
            <v>0.16D</v>
          </cell>
          <cell r="X1264" t="str">
            <v>5-2026</v>
          </cell>
          <cell r="Y1264" t="str">
            <v>Week 18</v>
          </cell>
          <cell r="Z1264">
            <v>46139</v>
          </cell>
          <cell r="AA1264">
            <v>56</v>
          </cell>
          <cell r="AB1264">
            <v>0.04</v>
          </cell>
        </row>
        <row r="1265">
          <cell r="A1265" t="str">
            <v>F-2026-03-599</v>
          </cell>
          <cell r="B1265"/>
          <cell r="C1265" t="str">
            <v>FPRO-260330-0021</v>
          </cell>
          <cell r="D1265" t="str">
            <v>Firm plan 30.3</v>
          </cell>
          <cell r="E1265" t="str">
            <v>BDB-000273</v>
          </cell>
          <cell r="F1265" t="str">
            <v>PVN-004138</v>
          </cell>
          <cell r="G1265" t="str">
            <v>OrthoLite X-40-Hybrid SEEDPEARL/12-0703TPX Hybrid Flat Sheet 0.16D 25+/-4 Asker C 1.1M 2M 5.5mm</v>
          </cell>
          <cell r="H1265">
            <v>400</v>
          </cell>
          <cell r="I1265">
            <v>400</v>
          </cell>
          <cell r="J1265">
            <v>0</v>
          </cell>
          <cell r="K1265">
            <v>400</v>
          </cell>
          <cell r="L1265" t="str">
            <v>ON RUNNING</v>
          </cell>
          <cell r="M1265" t="str">
            <v>Forecast</v>
          </cell>
          <cell r="N1265" t="str">
            <v>MOLDED</v>
          </cell>
          <cell r="O1265">
            <v>1</v>
          </cell>
          <cell r="P1265">
            <v>46111</v>
          </cell>
          <cell r="Q1265">
            <v>46128</v>
          </cell>
          <cell r="R1265">
            <v>46125</v>
          </cell>
          <cell r="S1265">
            <v>17</v>
          </cell>
          <cell r="T1265">
            <v>5.5</v>
          </cell>
          <cell r="U1265">
            <v>25</v>
          </cell>
          <cell r="V1265">
            <v>16</v>
          </cell>
          <cell r="W1265" t="str">
            <v>0.16D</v>
          </cell>
          <cell r="X1265" t="str">
            <v>4-2026</v>
          </cell>
          <cell r="Y1265" t="str">
            <v>Week 16</v>
          </cell>
          <cell r="Z1265">
            <v>46125</v>
          </cell>
          <cell r="AA1265">
            <v>284</v>
          </cell>
          <cell r="AB1265">
            <v>0.04</v>
          </cell>
        </row>
        <row r="1266">
          <cell r="A1266" t="str">
            <v>F-2026-03-600</v>
          </cell>
          <cell r="B1266"/>
          <cell r="C1266" t="str">
            <v>FPRO-260330-0022</v>
          </cell>
          <cell r="D1266" t="str">
            <v>Firm plan 30.3</v>
          </cell>
          <cell r="E1266" t="str">
            <v>BDB-000355</v>
          </cell>
          <cell r="F1266" t="str">
            <v>PVN-004231</v>
          </cell>
          <cell r="G1266" t="str">
            <v>OrthoLite HybridPlus-Recycled CASTLEROCK/18-0201TPX Hybrid 0.12D 25+/-4 Asker C 1.1M 2M 4.5mm</v>
          </cell>
          <cell r="H1266">
            <v>1000</v>
          </cell>
          <cell r="I1266">
            <v>1000</v>
          </cell>
          <cell r="J1266">
            <v>0</v>
          </cell>
          <cell r="K1266">
            <v>1000</v>
          </cell>
          <cell r="L1266" t="str">
            <v>ON RUNNING</v>
          </cell>
          <cell r="M1266" t="str">
            <v>Forecast</v>
          </cell>
          <cell r="N1266" t="str">
            <v>MOLDED</v>
          </cell>
          <cell r="O1266">
            <v>1</v>
          </cell>
          <cell r="P1266">
            <v>46111</v>
          </cell>
          <cell r="Q1266">
            <v>46122</v>
          </cell>
          <cell r="R1266">
            <v>46119</v>
          </cell>
          <cell r="S1266">
            <v>11</v>
          </cell>
          <cell r="T1266">
            <v>4.5</v>
          </cell>
          <cell r="U1266">
            <v>31</v>
          </cell>
          <cell r="V1266">
            <v>33</v>
          </cell>
          <cell r="W1266" t="e">
            <v>#N/A</v>
          </cell>
          <cell r="X1266" t="str">
            <v>4-2026</v>
          </cell>
          <cell r="Y1266" t="str">
            <v>Week 15</v>
          </cell>
          <cell r="Z1266">
            <v>46118</v>
          </cell>
          <cell r="AA1266">
            <v>4</v>
          </cell>
          <cell r="AB1266">
            <v>3.2259999999999997E-2</v>
          </cell>
        </row>
        <row r="1267">
          <cell r="A1267" t="str">
            <v>F-2026-03-601</v>
          </cell>
          <cell r="B1267"/>
          <cell r="C1267" t="str">
            <v>FPRO-260330-0023</v>
          </cell>
          <cell r="D1267" t="str">
            <v>Firm plan 30.3</v>
          </cell>
          <cell r="E1267" t="str">
            <v>BDB-000355</v>
          </cell>
          <cell r="F1267" t="str">
            <v>PVN-004231</v>
          </cell>
          <cell r="G1267" t="str">
            <v>OrthoLite HybridPlus-Recycled CASTLEROCK/18-0201TPX Hybrid 0.12D 25+/-4 Asker C 1.1M 2M 4.5mm</v>
          </cell>
          <cell r="H1267">
            <v>1000</v>
          </cell>
          <cell r="I1267">
            <v>1000</v>
          </cell>
          <cell r="J1267">
            <v>0</v>
          </cell>
          <cell r="K1267">
            <v>1000</v>
          </cell>
          <cell r="L1267" t="str">
            <v>ON RUNNING</v>
          </cell>
          <cell r="M1267" t="str">
            <v>Forecast</v>
          </cell>
          <cell r="N1267" t="str">
            <v>MOLDED</v>
          </cell>
          <cell r="O1267">
            <v>1</v>
          </cell>
          <cell r="P1267">
            <v>46111</v>
          </cell>
          <cell r="Q1267">
            <v>46128</v>
          </cell>
          <cell r="R1267">
            <v>46125</v>
          </cell>
          <cell r="S1267">
            <v>17</v>
          </cell>
          <cell r="T1267">
            <v>4.5</v>
          </cell>
          <cell r="U1267">
            <v>31</v>
          </cell>
          <cell r="V1267">
            <v>33</v>
          </cell>
          <cell r="W1267" t="e">
            <v>#N/A</v>
          </cell>
          <cell r="X1267" t="str">
            <v>4-2026</v>
          </cell>
          <cell r="Y1267" t="str">
            <v>Week 15</v>
          </cell>
          <cell r="Z1267">
            <v>46118</v>
          </cell>
          <cell r="AA1267">
            <v>52</v>
          </cell>
          <cell r="AB1267">
            <v>3.2259999999999997E-2</v>
          </cell>
        </row>
        <row r="1268">
          <cell r="A1268" t="str">
            <v>F-2026-03-602</v>
          </cell>
          <cell r="B1268"/>
          <cell r="C1268" t="str">
            <v>FPRO-260330-0024</v>
          </cell>
          <cell r="D1268" t="str">
            <v>Firm plan 30.3</v>
          </cell>
          <cell r="E1268" t="str">
            <v>BDB-000355</v>
          </cell>
          <cell r="F1268" t="str">
            <v>PVN-004231</v>
          </cell>
          <cell r="G1268" t="str">
            <v>OrthoLite HybridPlus-Recycled CASTLEROCK/18-0201TPX Hybrid 0.12D 25+/-4 Asker C 1.1M 2M 4.5mm</v>
          </cell>
          <cell r="H1268">
            <v>550</v>
          </cell>
          <cell r="I1268">
            <v>550</v>
          </cell>
          <cell r="J1268">
            <v>0</v>
          </cell>
          <cell r="K1268">
            <v>550</v>
          </cell>
          <cell r="L1268" t="str">
            <v>ON RUNNING</v>
          </cell>
          <cell r="M1268" t="str">
            <v>Forecast</v>
          </cell>
          <cell r="N1268" t="str">
            <v>MOLDED</v>
          </cell>
          <cell r="O1268">
            <v>1</v>
          </cell>
          <cell r="P1268">
            <v>46111</v>
          </cell>
          <cell r="Q1268">
            <v>46161</v>
          </cell>
          <cell r="R1268">
            <v>46158</v>
          </cell>
          <cell r="S1268">
            <v>50</v>
          </cell>
          <cell r="T1268">
            <v>4.5</v>
          </cell>
          <cell r="U1268">
            <v>31</v>
          </cell>
          <cell r="V1268">
            <v>18</v>
          </cell>
          <cell r="W1268" t="e">
            <v>#N/A</v>
          </cell>
          <cell r="X1268" t="str">
            <v>5-2026</v>
          </cell>
          <cell r="Y1268" t="str">
            <v>Week 20</v>
          </cell>
          <cell r="Z1268">
            <v>46153</v>
          </cell>
          <cell r="AA1268">
            <v>85</v>
          </cell>
          <cell r="AB1268">
            <v>3.2259999999999997E-2</v>
          </cell>
        </row>
        <row r="1269">
          <cell r="A1269" t="str">
            <v>F-2026-03-603</v>
          </cell>
          <cell r="B1269"/>
          <cell r="C1269" t="str">
            <v>RPRO-260331-0988</v>
          </cell>
          <cell r="D1269" t="str">
            <v>MPS 30.03</v>
          </cell>
          <cell r="E1269" t="str">
            <v>BDB-000286</v>
          </cell>
          <cell r="F1269" t="str">
            <v>PVN-003924</v>
          </cell>
          <cell r="G1269" t="str">
            <v>OrthoLite Regular-Hybrid SEEDPEARL/12-0703TPX Hybrid Flat Sheet 0.13D 25+/-4 Asker C 1.1M 1.7M 5mm</v>
          </cell>
          <cell r="H1269">
            <v>28</v>
          </cell>
          <cell r="I1269">
            <v>28</v>
          </cell>
          <cell r="J1269">
            <v>0</v>
          </cell>
          <cell r="K1269">
            <v>28</v>
          </cell>
          <cell r="L1269"/>
          <cell r="M1269" t="str">
            <v>MPS</v>
          </cell>
          <cell r="N1269" t="str">
            <v>SPLITTING</v>
          </cell>
          <cell r="O1269">
            <v>2</v>
          </cell>
          <cell r="P1269">
            <v>46112</v>
          </cell>
          <cell r="Q1269">
            <v>46127</v>
          </cell>
          <cell r="R1269">
            <v>46124</v>
          </cell>
          <cell r="S1269">
            <v>15</v>
          </cell>
          <cell r="T1269">
            <v>5</v>
          </cell>
          <cell r="U1269">
            <v>28</v>
          </cell>
          <cell r="V1269">
            <v>1</v>
          </cell>
          <cell r="W1269" t="str">
            <v>0.13D</v>
          </cell>
          <cell r="X1269" t="str">
            <v>4-2026</v>
          </cell>
          <cell r="Y1269" t="str">
            <v>Week 15</v>
          </cell>
          <cell r="Z1269">
            <v>46118</v>
          </cell>
          <cell r="AA1269">
            <v>114</v>
          </cell>
          <cell r="AB1269">
            <v>3.5709999999999999E-2</v>
          </cell>
        </row>
        <row r="1270">
          <cell r="A1270" t="str">
            <v>F-2026-03-604</v>
          </cell>
          <cell r="B1270"/>
          <cell r="C1270" t="str">
            <v>RPRO-260331-0989</v>
          </cell>
          <cell r="D1270" t="str">
            <v>Pro.sche.report 30.03</v>
          </cell>
          <cell r="E1270" t="str">
            <v>BDB-000346</v>
          </cell>
          <cell r="F1270" t="str">
            <v>PVN-004188</v>
          </cell>
          <cell r="G1270" t="str">
            <v>OrthoLite Float NEUTRAL GRAY/17-4402TPX Flat Sheet 0.12D 21+/-4 Asker C 1.1M 1.47M 5.5mm</v>
          </cell>
          <cell r="H1270">
            <v>25</v>
          </cell>
          <cell r="I1270">
            <v>25</v>
          </cell>
          <cell r="J1270">
            <v>0</v>
          </cell>
          <cell r="K1270">
            <v>25</v>
          </cell>
          <cell r="L1270" t="str">
            <v>PUMA</v>
          </cell>
          <cell r="M1270" t="str">
            <v>Pr.Sch.R</v>
          </cell>
          <cell r="N1270" t="str">
            <v>MOLDED</v>
          </cell>
          <cell r="O1270">
            <v>1</v>
          </cell>
          <cell r="P1270">
            <v>46112</v>
          </cell>
          <cell r="Q1270">
            <v>46127</v>
          </cell>
          <cell r="R1270">
            <v>46124</v>
          </cell>
          <cell r="S1270">
            <v>15</v>
          </cell>
          <cell r="T1270">
            <v>5.5</v>
          </cell>
          <cell r="U1270">
            <v>25</v>
          </cell>
          <cell r="V1270">
            <v>1</v>
          </cell>
          <cell r="W1270" t="e">
            <v>#N/A</v>
          </cell>
          <cell r="X1270" t="str">
            <v>4-2026</v>
          </cell>
          <cell r="Y1270" t="str">
            <v>Week 15</v>
          </cell>
          <cell r="Z1270">
            <v>46118</v>
          </cell>
          <cell r="AA1270">
            <v>41</v>
          </cell>
          <cell r="AB1270">
            <v>0.04</v>
          </cell>
        </row>
        <row r="1271">
          <cell r="A1271" t="str">
            <v>F-2026-03-605</v>
          </cell>
          <cell r="B1271"/>
          <cell r="C1271" t="str">
            <v>RPRO-260331-0990</v>
          </cell>
          <cell r="D1271" t="str">
            <v>Pro.sche.report 30.03</v>
          </cell>
          <cell r="E1271" t="str">
            <v>BDB-000123</v>
          </cell>
          <cell r="F1271" t="str">
            <v>PVN-002884</v>
          </cell>
          <cell r="G1271" t="str">
            <v>OrthoLite Ultra-Hybrid SEEDPEARL/12-0703TPX Hybrid Flat Sheet 0.085D 25+/-4 Asker C 1.1M 2M 10mm</v>
          </cell>
          <cell r="H1271">
            <v>104</v>
          </cell>
          <cell r="I1271">
            <v>104</v>
          </cell>
          <cell r="J1271">
            <v>0</v>
          </cell>
          <cell r="K1271">
            <v>104</v>
          </cell>
          <cell r="L1271" t="str">
            <v>ADIDAS</v>
          </cell>
          <cell r="M1271" t="str">
            <v>Pr.Sch.R</v>
          </cell>
          <cell r="N1271" t="str">
            <v>MOLDED</v>
          </cell>
          <cell r="O1271">
            <v>1</v>
          </cell>
          <cell r="P1271">
            <v>46112</v>
          </cell>
          <cell r="Q1271">
            <v>46122</v>
          </cell>
          <cell r="R1271">
            <v>46119</v>
          </cell>
          <cell r="S1271">
            <v>10</v>
          </cell>
          <cell r="T1271">
            <v>10</v>
          </cell>
          <cell r="U1271">
            <v>13</v>
          </cell>
          <cell r="V1271">
            <v>8</v>
          </cell>
          <cell r="W1271" t="str">
            <v>0.085D</v>
          </cell>
          <cell r="X1271" t="str">
            <v>4-2026</v>
          </cell>
          <cell r="Y1271" t="str">
            <v>Week 15</v>
          </cell>
          <cell r="Z1271">
            <v>46118</v>
          </cell>
          <cell r="AA1271">
            <v>18</v>
          </cell>
          <cell r="AB1271">
            <v>7.6920000000000002E-2</v>
          </cell>
        </row>
        <row r="1272">
          <cell r="A1272" t="str">
            <v>F-2026-03-606</v>
          </cell>
          <cell r="B1272"/>
          <cell r="C1272" t="str">
            <v>RPRO-260331-0991</v>
          </cell>
          <cell r="D1272" t="str">
            <v>Pro.sche.report 30.03</v>
          </cell>
          <cell r="E1272" t="str">
            <v>BDB-000094</v>
          </cell>
          <cell r="F1272" t="str">
            <v>PVN-004255</v>
          </cell>
          <cell r="G1272" t="str">
            <v>OrthoLite Eco LT 300C(ADIDAS BLUEBIRD) Flat Sheet 0.11D 25+/-4 Asker C 1.1M 1.47M 12mm</v>
          </cell>
          <cell r="H1272">
            <v>77</v>
          </cell>
          <cell r="I1272">
            <v>77</v>
          </cell>
          <cell r="J1272">
            <v>0</v>
          </cell>
          <cell r="K1272">
            <v>77</v>
          </cell>
          <cell r="L1272" t="str">
            <v>ADIDAS</v>
          </cell>
          <cell r="M1272" t="str">
            <v>Pr.Sch.R</v>
          </cell>
          <cell r="N1272" t="str">
            <v>MOLDED</v>
          </cell>
          <cell r="O1272">
            <v>1</v>
          </cell>
          <cell r="P1272">
            <v>46112</v>
          </cell>
          <cell r="Q1272">
            <v>46122</v>
          </cell>
          <cell r="R1272">
            <v>46119</v>
          </cell>
          <cell r="S1272">
            <v>10</v>
          </cell>
          <cell r="T1272">
            <v>12</v>
          </cell>
          <cell r="U1272">
            <v>11</v>
          </cell>
          <cell r="V1272">
            <v>8</v>
          </cell>
          <cell r="W1272" t="str">
            <v>0.11D</v>
          </cell>
          <cell r="X1272" t="str">
            <v>4-2026</v>
          </cell>
          <cell r="Y1272" t="str">
            <v>Week 15</v>
          </cell>
          <cell r="Z1272">
            <v>46118</v>
          </cell>
          <cell r="AA1272">
            <v>89</v>
          </cell>
          <cell r="AB1272">
            <v>9.0910000000000005E-2</v>
          </cell>
        </row>
        <row r="1273">
          <cell r="A1273" t="str">
            <v>F-2026-03-607</v>
          </cell>
          <cell r="B1273"/>
          <cell r="C1273" t="str">
            <v>RPRO-260331-0992</v>
          </cell>
          <cell r="D1273" t="str">
            <v>Pro.sche.report 30.03</v>
          </cell>
          <cell r="E1273" t="str">
            <v>BDB-000113</v>
          </cell>
          <cell r="F1273" t="str">
            <v>PVN-002699</v>
          </cell>
          <cell r="G1273" t="str">
            <v>OrthoLite Regular-Hybrid SEEDPEARL/12-0703TPX Hybrid Flat Sheet 0.11D 25+/-4 Asker C 1.1M 2M 4.5mm</v>
          </cell>
          <cell r="H1273">
            <v>155</v>
          </cell>
          <cell r="I1273">
            <v>155</v>
          </cell>
          <cell r="J1273">
            <v>0</v>
          </cell>
          <cell r="K1273">
            <v>155</v>
          </cell>
          <cell r="L1273" t="str">
            <v>ASICS</v>
          </cell>
          <cell r="M1273" t="str">
            <v>Pr.Sch.R</v>
          </cell>
          <cell r="N1273" t="str">
            <v>DIE CUT</v>
          </cell>
          <cell r="O1273">
            <v>1</v>
          </cell>
          <cell r="P1273">
            <v>46112</v>
          </cell>
          <cell r="Q1273">
            <v>46121</v>
          </cell>
          <cell r="R1273">
            <v>46118</v>
          </cell>
          <cell r="S1273">
            <v>9</v>
          </cell>
          <cell r="T1273">
            <v>4.5</v>
          </cell>
          <cell r="U1273">
            <v>31</v>
          </cell>
          <cell r="V1273">
            <v>6</v>
          </cell>
          <cell r="W1273" t="str">
            <v>0.11D</v>
          </cell>
          <cell r="X1273" t="str">
            <v>4-2026</v>
          </cell>
          <cell r="Y1273" t="str">
            <v>Week 14</v>
          </cell>
          <cell r="Z1273">
            <v>46111</v>
          </cell>
          <cell r="AA1273">
            <v>60</v>
          </cell>
          <cell r="AB1273">
            <v>3.2259999999999997E-2</v>
          </cell>
        </row>
        <row r="1274">
          <cell r="A1274" t="str">
            <v>F-2026-03-608</v>
          </cell>
          <cell r="B1274"/>
          <cell r="C1274" t="str">
            <v>RPRO-260331-0993</v>
          </cell>
          <cell r="D1274" t="str">
            <v>Pro.sche.report 30.03</v>
          </cell>
          <cell r="E1274" t="str">
            <v>BDB-000123</v>
          </cell>
          <cell r="F1274" t="str">
            <v>PVN-002539</v>
          </cell>
          <cell r="G1274" t="str">
            <v>OrthoLite Ultra-Hybrid SEEDPEARL/12-0703TPX Hybrid Flat Sheet 0.085D 25+/-4 Asker C 1.1M 2M 5mm</v>
          </cell>
          <cell r="H1274">
            <v>112</v>
          </cell>
          <cell r="I1274">
            <v>112</v>
          </cell>
          <cell r="J1274">
            <v>0</v>
          </cell>
          <cell r="K1274">
            <v>112</v>
          </cell>
          <cell r="L1274" t="str">
            <v>BROOKS</v>
          </cell>
          <cell r="M1274" t="str">
            <v>Pr.Sch.R</v>
          </cell>
          <cell r="N1274" t="str">
            <v>DIE CUT</v>
          </cell>
          <cell r="O1274">
            <v>1</v>
          </cell>
          <cell r="P1274">
            <v>46112</v>
          </cell>
          <cell r="Q1274">
            <v>46126</v>
          </cell>
          <cell r="R1274">
            <v>46123</v>
          </cell>
          <cell r="S1274">
            <v>14</v>
          </cell>
          <cell r="T1274">
            <v>5</v>
          </cell>
          <cell r="U1274">
            <v>28</v>
          </cell>
          <cell r="V1274">
            <v>4</v>
          </cell>
          <cell r="W1274" t="str">
            <v>0.085D</v>
          </cell>
          <cell r="X1274" t="str">
            <v>4-2026</v>
          </cell>
          <cell r="Y1274" t="str">
            <v>Week 15</v>
          </cell>
          <cell r="Z1274">
            <v>46118</v>
          </cell>
          <cell r="AA1274">
            <v>136</v>
          </cell>
          <cell r="AB1274">
            <v>3.5709999999999999E-2</v>
          </cell>
        </row>
        <row r="1275">
          <cell r="A1275" t="str">
            <v>F-2026-03-609</v>
          </cell>
          <cell r="B1275"/>
          <cell r="C1275" t="str">
            <v>RPRO-260331-0994</v>
          </cell>
          <cell r="D1275" t="str">
            <v>Pro.sche.report 30.03</v>
          </cell>
          <cell r="E1275" t="str">
            <v>BDB-000329</v>
          </cell>
          <cell r="F1275" t="str">
            <v>PVN-004140</v>
          </cell>
          <cell r="G1275" t="str">
            <v>OrthoLite Ultra YELLOW/13-0858TPX Flat Sheet 0.095D 33+/-4 Asker C 1.1M 2M 4.5mm</v>
          </cell>
          <cell r="H1275">
            <v>62</v>
          </cell>
          <cell r="I1275">
            <v>62</v>
          </cell>
          <cell r="J1275">
            <v>0</v>
          </cell>
          <cell r="K1275">
            <v>62</v>
          </cell>
          <cell r="L1275" t="str">
            <v>KOLON SPORT</v>
          </cell>
          <cell r="M1275" t="str">
            <v>Pr.Sch.R</v>
          </cell>
          <cell r="N1275" t="str">
            <v>MOLDED</v>
          </cell>
          <cell r="O1275">
            <v>1</v>
          </cell>
          <cell r="P1275">
            <v>46112</v>
          </cell>
          <cell r="Q1275">
            <v>46126</v>
          </cell>
          <cell r="R1275">
            <v>46123</v>
          </cell>
          <cell r="S1275">
            <v>14</v>
          </cell>
          <cell r="T1275">
            <v>4.5</v>
          </cell>
          <cell r="U1275">
            <v>31</v>
          </cell>
          <cell r="V1275">
            <v>3</v>
          </cell>
          <cell r="W1275" t="e">
            <v>#N/A</v>
          </cell>
          <cell r="X1275" t="str">
            <v>4-2026</v>
          </cell>
          <cell r="Y1275" t="str">
            <v>Week 15</v>
          </cell>
          <cell r="Z1275">
            <v>46118</v>
          </cell>
          <cell r="AA1275">
            <v>134</v>
          </cell>
          <cell r="AB1275">
            <v>3.2259999999999997E-2</v>
          </cell>
        </row>
        <row r="1276">
          <cell r="A1276" t="str">
            <v>F-2026-03-610</v>
          </cell>
          <cell r="B1276"/>
          <cell r="C1276" t="str">
            <v>RPRO-260331-0995</v>
          </cell>
          <cell r="D1276" t="str">
            <v>Pro.sche.report 30.03</v>
          </cell>
          <cell r="E1276" t="str">
            <v>BDB-000318</v>
          </cell>
          <cell r="F1276" t="str">
            <v>PVN-004077</v>
          </cell>
          <cell r="G1276" t="str">
            <v>OrthoLite X-55 RED/19-1764TPX Flat Sheet 0.16D 25+/-4 Asker C 1.1M 2M 5.2mm</v>
          </cell>
          <cell r="H1276">
            <v>26</v>
          </cell>
          <cell r="I1276">
            <v>26</v>
          </cell>
          <cell r="J1276">
            <v>0</v>
          </cell>
          <cell r="K1276">
            <v>26</v>
          </cell>
          <cell r="L1276" t="str">
            <v>NEW BALANCE</v>
          </cell>
          <cell r="M1276" t="str">
            <v>Pr.Sch.R</v>
          </cell>
          <cell r="N1276" t="str">
            <v>MOLDED</v>
          </cell>
          <cell r="O1276">
            <v>1</v>
          </cell>
          <cell r="P1276">
            <v>46112</v>
          </cell>
          <cell r="Q1276">
            <v>46127</v>
          </cell>
          <cell r="R1276">
            <v>46124</v>
          </cell>
          <cell r="S1276">
            <v>15</v>
          </cell>
          <cell r="T1276">
            <v>5.2</v>
          </cell>
          <cell r="U1276">
            <v>26</v>
          </cell>
          <cell r="V1276">
            <v>1</v>
          </cell>
          <cell r="W1276" t="e">
            <v>#N/A</v>
          </cell>
          <cell r="X1276" t="str">
            <v>4-2026</v>
          </cell>
          <cell r="Y1276" t="str">
            <v>Week 15</v>
          </cell>
          <cell r="Z1276">
            <v>46118</v>
          </cell>
          <cell r="AA1276">
            <v>34</v>
          </cell>
          <cell r="AB1276">
            <v>3.8460000000000001E-2</v>
          </cell>
        </row>
        <row r="1277">
          <cell r="A1277" t="str">
            <v>F-2026-03-611</v>
          </cell>
          <cell r="B1277"/>
          <cell r="C1277" t="str">
            <v>RPRO-260331-0996</v>
          </cell>
          <cell r="D1277" t="str">
            <v>Pro.sche.report 30.03</v>
          </cell>
          <cell r="E1277" t="str">
            <v>BDB-000317</v>
          </cell>
          <cell r="F1277" t="str">
            <v>PVN-004076</v>
          </cell>
          <cell r="G1277" t="str">
            <v>OrthoLite Regular NEUTRAL GRAY/17-4402TPX Flat Sheet 0.13D 15+/-4 Asker C 1.1M 2M 24mm</v>
          </cell>
          <cell r="H1277">
            <v>105</v>
          </cell>
          <cell r="I1277">
            <v>105</v>
          </cell>
          <cell r="J1277">
            <v>0</v>
          </cell>
          <cell r="K1277">
            <v>105</v>
          </cell>
          <cell r="L1277" t="str">
            <v>ASICS</v>
          </cell>
          <cell r="M1277" t="str">
            <v>Pr.Sch.R</v>
          </cell>
          <cell r="N1277" t="str">
            <v>MOLDED</v>
          </cell>
          <cell r="O1277">
            <v>1</v>
          </cell>
          <cell r="P1277">
            <v>46112</v>
          </cell>
          <cell r="Q1277">
            <v>46121</v>
          </cell>
          <cell r="R1277">
            <v>46118</v>
          </cell>
          <cell r="S1277">
            <v>9</v>
          </cell>
          <cell r="T1277">
            <v>24</v>
          </cell>
          <cell r="U1277">
            <v>5</v>
          </cell>
          <cell r="V1277">
            <v>21</v>
          </cell>
          <cell r="W1277" t="e">
            <v>#N/A</v>
          </cell>
          <cell r="X1277" t="str">
            <v>4-2026</v>
          </cell>
          <cell r="Y1277" t="str">
            <v>Week 14</v>
          </cell>
          <cell r="Z1277">
            <v>46111</v>
          </cell>
          <cell r="AA1277">
            <v>71</v>
          </cell>
          <cell r="AB1277">
            <v>0.2</v>
          </cell>
        </row>
        <row r="1278">
          <cell r="A1278" t="str">
            <v>F-2026-03-612</v>
          </cell>
          <cell r="B1278"/>
          <cell r="C1278" t="str">
            <v>RPRO-260331-0997</v>
          </cell>
          <cell r="D1278" t="str">
            <v>Pro.sche.report 30.03</v>
          </cell>
          <cell r="E1278" t="str">
            <v>BDB-000325</v>
          </cell>
          <cell r="F1278" t="str">
            <v>PVN-004115</v>
          </cell>
          <cell r="G1278" t="str">
            <v>OrthoLite X-40 TRUE BLUE/19-4057TPX Flat Sheet 0.16D 35+/-4 Asker C 1.1M 2M 4mm</v>
          </cell>
          <cell r="H1278">
            <v>210</v>
          </cell>
          <cell r="I1278">
            <v>210</v>
          </cell>
          <cell r="J1278">
            <v>0</v>
          </cell>
          <cell r="K1278">
            <v>210</v>
          </cell>
          <cell r="L1278" t="str">
            <v>ASICS</v>
          </cell>
          <cell r="M1278" t="str">
            <v>Pr.Sch.R</v>
          </cell>
          <cell r="N1278" t="str">
            <v>MOLDED</v>
          </cell>
          <cell r="O1278">
            <v>1</v>
          </cell>
          <cell r="P1278">
            <v>46112</v>
          </cell>
          <cell r="Q1278">
            <v>46121</v>
          </cell>
          <cell r="R1278">
            <v>46118</v>
          </cell>
          <cell r="S1278">
            <v>9</v>
          </cell>
          <cell r="T1278">
            <v>4</v>
          </cell>
          <cell r="U1278">
            <v>35</v>
          </cell>
          <cell r="V1278">
            <v>6</v>
          </cell>
          <cell r="W1278" t="e">
            <v>#N/A</v>
          </cell>
          <cell r="X1278" t="str">
            <v>4-2026</v>
          </cell>
          <cell r="Y1278" t="str">
            <v>Week 14</v>
          </cell>
          <cell r="Z1278">
            <v>46111</v>
          </cell>
          <cell r="AA1278">
            <v>108</v>
          </cell>
          <cell r="AB1278">
            <v>2.8570000000000002E-2</v>
          </cell>
        </row>
        <row r="1279">
          <cell r="A1279" t="str">
            <v>F-2026-03-613</v>
          </cell>
          <cell r="B1279"/>
          <cell r="C1279" t="str">
            <v>RPRO-260331-0998</v>
          </cell>
          <cell r="D1279" t="str">
            <v>Pro.sche.report 30.03</v>
          </cell>
          <cell r="E1279" t="str">
            <v>BDB-000149</v>
          </cell>
          <cell r="F1279" t="str">
            <v>PVN-002827</v>
          </cell>
          <cell r="G1279" t="str">
            <v>OrthoLite Regular-Hybrid-Nike SEEDPEARL/12-0703TPX Hybrid Flat Sheet 0.11D 25+/-4 Asker C 1.1M 2M 5mm</v>
          </cell>
          <cell r="H1279">
            <v>28</v>
          </cell>
          <cell r="I1279">
            <v>28</v>
          </cell>
          <cell r="J1279">
            <v>0</v>
          </cell>
          <cell r="K1279">
            <v>28</v>
          </cell>
          <cell r="L1279" t="str">
            <v>NIKE</v>
          </cell>
          <cell r="M1279" t="str">
            <v>Pr.Sch.R</v>
          </cell>
          <cell r="N1279" t="str">
            <v>MOLDED</v>
          </cell>
          <cell r="O1279">
            <v>1</v>
          </cell>
          <cell r="P1279">
            <v>46112</v>
          </cell>
          <cell r="Q1279">
            <v>46127</v>
          </cell>
          <cell r="R1279">
            <v>46124</v>
          </cell>
          <cell r="S1279">
            <v>15</v>
          </cell>
          <cell r="T1279">
            <v>5</v>
          </cell>
          <cell r="U1279">
            <v>28</v>
          </cell>
          <cell r="V1279">
            <v>1</v>
          </cell>
          <cell r="W1279" t="str">
            <v>0.11D</v>
          </cell>
          <cell r="X1279" t="str">
            <v>4-2026</v>
          </cell>
          <cell r="Y1279" t="str">
            <v>Week 15</v>
          </cell>
          <cell r="Z1279">
            <v>46118</v>
          </cell>
          <cell r="AA1279">
            <v>141</v>
          </cell>
          <cell r="AB1279">
            <v>3.5709999999999999E-2</v>
          </cell>
        </row>
        <row r="1280">
          <cell r="A1280" t="str">
            <v>F-2026-03-614</v>
          </cell>
          <cell r="B1280"/>
          <cell r="C1280" t="str">
            <v>RPRO-260331-0999</v>
          </cell>
          <cell r="D1280" t="str">
            <v>Pro.sche.report 30.03</v>
          </cell>
          <cell r="E1280" t="str">
            <v>BDB-000321</v>
          </cell>
          <cell r="F1280" t="str">
            <v>PVN-004104</v>
          </cell>
          <cell r="G1280" t="str">
            <v>OrthoLite Float BLUE ATOLL/16-4535TPX Flat Sheet 0.12D 21+/-4 Asker C 1.1M 2M 5mm</v>
          </cell>
          <cell r="H1280">
            <v>112</v>
          </cell>
          <cell r="I1280">
            <v>112</v>
          </cell>
          <cell r="J1280">
            <v>0</v>
          </cell>
          <cell r="K1280">
            <v>112</v>
          </cell>
          <cell r="L1280" t="str">
            <v>LOWA</v>
          </cell>
          <cell r="M1280" t="str">
            <v>Pr.Sch.R</v>
          </cell>
          <cell r="N1280" t="str">
            <v>MOLDED</v>
          </cell>
          <cell r="O1280">
            <v>1</v>
          </cell>
          <cell r="P1280">
            <v>46112</v>
          </cell>
          <cell r="Q1280">
            <v>46127</v>
          </cell>
          <cell r="R1280">
            <v>46124</v>
          </cell>
          <cell r="S1280">
            <v>15</v>
          </cell>
          <cell r="T1280">
            <v>5</v>
          </cell>
          <cell r="U1280">
            <v>28</v>
          </cell>
          <cell r="V1280">
            <v>4</v>
          </cell>
          <cell r="W1280" t="e">
            <v>#N/A</v>
          </cell>
          <cell r="X1280" t="str">
            <v>4-2026</v>
          </cell>
          <cell r="Y1280" t="str">
            <v>Week 15</v>
          </cell>
          <cell r="Z1280">
            <v>46118</v>
          </cell>
          <cell r="AA1280">
            <v>15</v>
          </cell>
          <cell r="AB1280">
            <v>3.5709999999999999E-2</v>
          </cell>
        </row>
        <row r="1281">
          <cell r="A1281" t="str">
            <v>F-2026-03-615</v>
          </cell>
          <cell r="B1281"/>
          <cell r="C1281" t="str">
            <v>RPRO-260331-1000</v>
          </cell>
          <cell r="D1281" t="str">
            <v>Pro.sche.report 30.03</v>
          </cell>
          <cell r="E1281" t="str">
            <v>BDB-000113</v>
          </cell>
          <cell r="F1281" t="str">
            <v>PVN-003601</v>
          </cell>
          <cell r="G1281" t="str">
            <v>OrthoLite Regular-Hybrid SEEDPEARL/12-0703TPX Hybrid Flat Sheet 0.11D 25+/-4 Asker C 1.1M 2M 20mm</v>
          </cell>
          <cell r="H1281">
            <v>204</v>
          </cell>
          <cell r="I1281">
            <v>204</v>
          </cell>
          <cell r="J1281">
            <v>0</v>
          </cell>
          <cell r="K1281">
            <v>204</v>
          </cell>
          <cell r="L1281" t="str">
            <v>ASICS</v>
          </cell>
          <cell r="M1281" t="str">
            <v>Pr.Sch.R</v>
          </cell>
          <cell r="N1281" t="str">
            <v>MOLDED</v>
          </cell>
          <cell r="O1281">
            <v>1</v>
          </cell>
          <cell r="P1281">
            <v>46112</v>
          </cell>
          <cell r="Q1281">
            <v>46121</v>
          </cell>
          <cell r="R1281">
            <v>46118</v>
          </cell>
          <cell r="S1281">
            <v>9</v>
          </cell>
          <cell r="T1281">
            <v>20</v>
          </cell>
          <cell r="U1281">
            <v>6</v>
          </cell>
          <cell r="V1281">
            <v>35</v>
          </cell>
          <cell r="W1281" t="str">
            <v>0.11D</v>
          </cell>
          <cell r="X1281" t="str">
            <v>4-2026</v>
          </cell>
          <cell r="Y1281" t="str">
            <v>Week 14</v>
          </cell>
          <cell r="Z1281">
            <v>46111</v>
          </cell>
          <cell r="AA1281">
            <v>2</v>
          </cell>
          <cell r="AB1281">
            <v>0.16667000000000001</v>
          </cell>
        </row>
        <row r="1282">
          <cell r="A1282" t="str">
            <v>F-2026-03-616</v>
          </cell>
          <cell r="B1282"/>
          <cell r="C1282" t="str">
            <v>RPRO-260331-1001</v>
          </cell>
          <cell r="D1282" t="str">
            <v>Pro.sche.report 30.03</v>
          </cell>
          <cell r="E1282" t="str">
            <v>BDB-000055</v>
          </cell>
          <cell r="F1282" t="str">
            <v>PVN-003326</v>
          </cell>
          <cell r="G1282" t="str">
            <v>OrthoLite X-40 TRUE BLUE/19-4057TPX Flat Sheet 0.16D 35+/-4 Asker C 1.1M 1.7M 14mm</v>
          </cell>
          <cell r="H1282">
            <v>99</v>
          </cell>
          <cell r="I1282">
            <v>99</v>
          </cell>
          <cell r="J1282">
            <v>0</v>
          </cell>
          <cell r="K1282">
            <v>99</v>
          </cell>
          <cell r="L1282" t="str">
            <v>ADIDAS</v>
          </cell>
          <cell r="M1282" t="str">
            <v>Pr.Sch.R</v>
          </cell>
          <cell r="N1282" t="str">
            <v>MOLDED</v>
          </cell>
          <cell r="O1282">
            <v>1</v>
          </cell>
          <cell r="P1282">
            <v>46112</v>
          </cell>
          <cell r="Q1282">
            <v>46122</v>
          </cell>
          <cell r="R1282">
            <v>46119</v>
          </cell>
          <cell r="S1282">
            <v>10</v>
          </cell>
          <cell r="T1282">
            <v>14</v>
          </cell>
          <cell r="U1282">
            <v>9</v>
          </cell>
          <cell r="V1282">
            <v>11</v>
          </cell>
          <cell r="W1282" t="str">
            <v>0.16D</v>
          </cell>
          <cell r="X1282" t="str">
            <v>4-2026</v>
          </cell>
          <cell r="Y1282" t="str">
            <v>Week 15</v>
          </cell>
          <cell r="Z1282">
            <v>46118</v>
          </cell>
          <cell r="AA1282">
            <v>167</v>
          </cell>
          <cell r="AB1282">
            <v>0.11111</v>
          </cell>
        </row>
        <row r="1283">
          <cell r="A1283" t="str">
            <v>F-2026-03-617</v>
          </cell>
          <cell r="B1283"/>
          <cell r="C1283" t="str">
            <v>RPRO-260331-1002</v>
          </cell>
          <cell r="D1283" t="str">
            <v>Pro.sche.report 30.03</v>
          </cell>
          <cell r="E1283" t="str">
            <v>BDB-000149</v>
          </cell>
          <cell r="F1283" t="str">
            <v>PVN-002773</v>
          </cell>
          <cell r="G1283" t="str">
            <v>OrthoLite Regular-Hybrid-Nike SEEDPEARL/12-0703TPX Hybrid Flat Sheet 0.11D 25+/-4 Asker C 1.1M 2M 4mm</v>
          </cell>
          <cell r="H1283">
            <v>35</v>
          </cell>
          <cell r="I1283">
            <v>35</v>
          </cell>
          <cell r="J1283">
            <v>0</v>
          </cell>
          <cell r="K1283">
            <v>35</v>
          </cell>
          <cell r="L1283" t="str">
            <v>NIKE</v>
          </cell>
          <cell r="M1283" t="str">
            <v>Pr.Sch.R</v>
          </cell>
          <cell r="N1283" t="str">
            <v>DIE CUT</v>
          </cell>
          <cell r="O1283">
            <v>1</v>
          </cell>
          <cell r="P1283">
            <v>46112</v>
          </cell>
          <cell r="Q1283">
            <v>46120</v>
          </cell>
          <cell r="R1283">
            <v>46117</v>
          </cell>
          <cell r="S1283">
            <v>8</v>
          </cell>
          <cell r="T1283">
            <v>4</v>
          </cell>
          <cell r="U1283">
            <v>35</v>
          </cell>
          <cell r="V1283">
            <v>1</v>
          </cell>
          <cell r="W1283" t="str">
            <v>0.11D</v>
          </cell>
          <cell r="X1283" t="str">
            <v>4-2026</v>
          </cell>
          <cell r="Y1283" t="str">
            <v>Week 14</v>
          </cell>
          <cell r="Z1283">
            <v>46111</v>
          </cell>
          <cell r="AA1283">
            <v>58</v>
          </cell>
          <cell r="AB1283">
            <v>2.8570000000000002E-2</v>
          </cell>
        </row>
        <row r="1284">
          <cell r="A1284" t="str">
            <v>F-2026-04-01</v>
          </cell>
          <cell r="B1284"/>
          <cell r="C1284" t="str">
            <v>RPRO-260402-0683</v>
          </cell>
          <cell r="D1284" t="str">
            <v>MPS 31.03+01.4</v>
          </cell>
          <cell r="E1284" t="str">
            <v>BDB-000083</v>
          </cell>
          <cell r="F1284" t="str">
            <v>PVN-000930</v>
          </cell>
          <cell r="G1284" t="str">
            <v>OrthoLite Eco LT 300C(ADIDAS BLUEBIRD) Flat Sheet 0.11D 25+/-4 Asker C 1.1M 2M 3mm</v>
          </cell>
          <cell r="H1284">
            <v>276</v>
          </cell>
          <cell r="I1284">
            <v>276</v>
          </cell>
          <cell r="J1284">
            <v>0</v>
          </cell>
          <cell r="K1284">
            <v>276</v>
          </cell>
          <cell r="L1284"/>
          <cell r="M1284" t="str">
            <v>MPS</v>
          </cell>
          <cell r="N1284" t="str">
            <v>SPLITTING</v>
          </cell>
          <cell r="O1284">
            <v>2</v>
          </cell>
          <cell r="P1284">
            <v>46114</v>
          </cell>
          <cell r="Q1284">
            <v>46128</v>
          </cell>
          <cell r="R1284">
            <v>46125</v>
          </cell>
          <cell r="S1284">
            <v>14</v>
          </cell>
          <cell r="T1284">
            <v>3</v>
          </cell>
          <cell r="U1284">
            <v>46</v>
          </cell>
          <cell r="V1284">
            <v>7</v>
          </cell>
          <cell r="W1284" t="str">
            <v>0.11D</v>
          </cell>
          <cell r="X1284" t="str">
            <v>4-2026</v>
          </cell>
          <cell r="Y1284" t="str">
            <v>Week 15</v>
          </cell>
          <cell r="Z1284">
            <v>46118</v>
          </cell>
          <cell r="AA1284">
            <v>16</v>
          </cell>
          <cell r="AB1284">
            <v>2.1739999999999999E-2</v>
          </cell>
        </row>
        <row r="1285">
          <cell r="A1285" t="str">
            <v>F-2026-04-02</v>
          </cell>
          <cell r="B1285"/>
          <cell r="C1285" t="str">
            <v>RPRO-260402-0684</v>
          </cell>
          <cell r="D1285" t="str">
            <v>MPS 31.03+01.4</v>
          </cell>
          <cell r="E1285" t="str">
            <v>BDB-000058</v>
          </cell>
          <cell r="F1285" t="str">
            <v>PVN-001277</v>
          </cell>
          <cell r="G1285" t="str">
            <v>OrthoLite Ultra GREEN/16-5932TPX Flat Sheet 0.085D 25+/-4 Asker C 1.1M 2M 4mm</v>
          </cell>
          <cell r="H1285">
            <v>770</v>
          </cell>
          <cell r="I1285">
            <v>770</v>
          </cell>
          <cell r="J1285">
            <v>0</v>
          </cell>
          <cell r="K1285">
            <v>770</v>
          </cell>
          <cell r="L1285"/>
          <cell r="M1285" t="str">
            <v>MPS</v>
          </cell>
          <cell r="N1285" t="str">
            <v>SPLITTING</v>
          </cell>
          <cell r="O1285">
            <v>2</v>
          </cell>
          <cell r="P1285">
            <v>46114</v>
          </cell>
          <cell r="Q1285">
            <v>46128</v>
          </cell>
          <cell r="R1285">
            <v>46125</v>
          </cell>
          <cell r="S1285">
            <v>14</v>
          </cell>
          <cell r="T1285">
            <v>4</v>
          </cell>
          <cell r="U1285">
            <v>35</v>
          </cell>
          <cell r="V1285">
            <v>22</v>
          </cell>
          <cell r="W1285" t="str">
            <v>0.085D</v>
          </cell>
          <cell r="X1285" t="str">
            <v>4-2026</v>
          </cell>
          <cell r="Y1285" t="str">
            <v>Week 15</v>
          </cell>
          <cell r="Z1285">
            <v>46118</v>
          </cell>
          <cell r="AA1285">
            <v>8</v>
          </cell>
          <cell r="AB1285">
            <v>2.8570000000000002E-2</v>
          </cell>
        </row>
        <row r="1286">
          <cell r="A1286" t="str">
            <v>F-2026-04-03</v>
          </cell>
          <cell r="B1286"/>
          <cell r="C1286" t="str">
            <v>RPRO-260402-0685</v>
          </cell>
          <cell r="D1286" t="str">
            <v>MPS 31.03+01.4</v>
          </cell>
          <cell r="E1286" t="str">
            <v>BDB-000058</v>
          </cell>
          <cell r="F1286" t="str">
            <v>PVN-001319</v>
          </cell>
          <cell r="G1286" t="str">
            <v>OrthoLite Ultra GREEN/16-5932TPX 0.085D 25+/-4 Asker C 1.1M 2M 5mm</v>
          </cell>
          <cell r="H1286">
            <v>784</v>
          </cell>
          <cell r="I1286">
            <v>784</v>
          </cell>
          <cell r="J1286">
            <v>0</v>
          </cell>
          <cell r="K1286">
            <v>784</v>
          </cell>
          <cell r="L1286"/>
          <cell r="M1286" t="str">
            <v>MPS</v>
          </cell>
          <cell r="N1286" t="str">
            <v>SPLITTING</v>
          </cell>
          <cell r="O1286">
            <v>2</v>
          </cell>
          <cell r="P1286">
            <v>46114</v>
          </cell>
          <cell r="Q1286">
            <v>46123</v>
          </cell>
          <cell r="R1286">
            <v>46120</v>
          </cell>
          <cell r="S1286">
            <v>9</v>
          </cell>
          <cell r="T1286">
            <v>5</v>
          </cell>
          <cell r="U1286">
            <v>28</v>
          </cell>
          <cell r="V1286">
            <v>28</v>
          </cell>
          <cell r="W1286" t="str">
            <v>0.085D</v>
          </cell>
          <cell r="X1286" t="str">
            <v>4-2026</v>
          </cell>
          <cell r="Y1286" t="str">
            <v>Week 15</v>
          </cell>
          <cell r="Z1286">
            <v>46118</v>
          </cell>
          <cell r="AA1286">
            <v>76</v>
          </cell>
          <cell r="AB1286">
            <v>3.5709999999999999E-2</v>
          </cell>
        </row>
        <row r="1287">
          <cell r="A1287" t="str">
            <v>F-2026-04-04</v>
          </cell>
          <cell r="B1287"/>
          <cell r="C1287" t="str">
            <v>RPRO-260402-0686</v>
          </cell>
          <cell r="D1287" t="str">
            <v>MPS 31.03+01.4</v>
          </cell>
          <cell r="E1287" t="str">
            <v>BDB-000056</v>
          </cell>
          <cell r="F1287" t="str">
            <v>PVN-001983</v>
          </cell>
          <cell r="G1287" t="str">
            <v>OrthoLite X-40 SEEDPEARL/12-0703TPX Flat Sheet 0.16D 25+/-4 Asker C 1.1M 1.7M 5mm</v>
          </cell>
          <cell r="H1287">
            <v>1120</v>
          </cell>
          <cell r="I1287">
            <v>1120</v>
          </cell>
          <cell r="J1287">
            <v>0</v>
          </cell>
          <cell r="K1287">
            <v>1120</v>
          </cell>
          <cell r="L1287"/>
          <cell r="M1287" t="str">
            <v>MPS</v>
          </cell>
          <cell r="N1287" t="str">
            <v>SPLITTING</v>
          </cell>
          <cell r="O1287">
            <v>2</v>
          </cell>
          <cell r="P1287">
            <v>46114</v>
          </cell>
          <cell r="Q1287">
            <v>46128</v>
          </cell>
          <cell r="R1287">
            <v>46125</v>
          </cell>
          <cell r="S1287">
            <v>14</v>
          </cell>
          <cell r="T1287">
            <v>5</v>
          </cell>
          <cell r="U1287">
            <v>28</v>
          </cell>
          <cell r="V1287">
            <v>40</v>
          </cell>
          <cell r="W1287" t="str">
            <v>0.16D</v>
          </cell>
          <cell r="X1287" t="str">
            <v>4-2026</v>
          </cell>
          <cell r="Y1287" t="str">
            <v>Week 15</v>
          </cell>
          <cell r="Z1287">
            <v>46118</v>
          </cell>
          <cell r="AA1287">
            <v>100</v>
          </cell>
          <cell r="AB1287">
            <v>3.5709999999999999E-2</v>
          </cell>
        </row>
        <row r="1288">
          <cell r="A1288" t="str">
            <v>F-2026-04-05</v>
          </cell>
          <cell r="B1288"/>
          <cell r="C1288" t="str">
            <v>RPRO-260402-0687</v>
          </cell>
          <cell r="D1288" t="str">
            <v>MPS 31.03+01.4</v>
          </cell>
          <cell r="E1288" t="str">
            <v>BDB-000113</v>
          </cell>
          <cell r="F1288" t="str">
            <v>PVN-002501</v>
          </cell>
          <cell r="G1288" t="str">
            <v>OrthoLite Regular-Hybrid SEEDPEARL/12-0703TPX Hybrid Flat Sheet 0.11D 25+/-4 Asker C 1.1M 2M 2mm</v>
          </cell>
          <cell r="H1288">
            <v>70</v>
          </cell>
          <cell r="I1288">
            <v>70</v>
          </cell>
          <cell r="J1288">
            <v>0</v>
          </cell>
          <cell r="K1288">
            <v>70</v>
          </cell>
          <cell r="L1288"/>
          <cell r="M1288" t="str">
            <v>MPS</v>
          </cell>
          <cell r="N1288" t="str">
            <v>SPLITTING</v>
          </cell>
          <cell r="O1288">
            <v>2</v>
          </cell>
          <cell r="P1288">
            <v>46114</v>
          </cell>
          <cell r="Q1288">
            <v>46127</v>
          </cell>
          <cell r="R1288">
            <v>46124</v>
          </cell>
          <cell r="S1288">
            <v>13</v>
          </cell>
          <cell r="T1288">
            <v>2</v>
          </cell>
          <cell r="U1288">
            <v>70</v>
          </cell>
          <cell r="V1288">
            <v>2</v>
          </cell>
          <cell r="W1288" t="str">
            <v>0.11D</v>
          </cell>
          <cell r="X1288" t="str">
            <v>4-2026</v>
          </cell>
          <cell r="Y1288" t="str">
            <v>Week 15</v>
          </cell>
          <cell r="Z1288">
            <v>46118</v>
          </cell>
          <cell r="AA1288">
            <v>70</v>
          </cell>
          <cell r="AB1288">
            <v>1.4290000000000001E-2</v>
          </cell>
        </row>
        <row r="1289">
          <cell r="A1289" t="str">
            <v>F-2026-04-06</v>
          </cell>
          <cell r="B1289"/>
          <cell r="C1289" t="str">
            <v>RPRO-260402-0688</v>
          </cell>
          <cell r="D1289" t="str">
            <v>MPS 31.03+01.4</v>
          </cell>
          <cell r="E1289" t="str">
            <v>BDB-000123</v>
          </cell>
          <cell r="F1289" t="str">
            <v>PVN-003300</v>
          </cell>
          <cell r="G1289" t="str">
            <v>OrthoLite Ultra-Hybrid SEEDPEARL/12-0703TPX Hybrid Flat Sheet 0.085D 25+/-4 Asker C 1.1M 2M 2mm</v>
          </cell>
          <cell r="H1289">
            <v>280</v>
          </cell>
          <cell r="I1289">
            <v>280</v>
          </cell>
          <cell r="J1289">
            <v>0</v>
          </cell>
          <cell r="K1289">
            <v>280</v>
          </cell>
          <cell r="L1289"/>
          <cell r="M1289" t="str">
            <v>MPS</v>
          </cell>
          <cell r="N1289" t="str">
            <v>SPLITTING</v>
          </cell>
          <cell r="O1289">
            <v>2</v>
          </cell>
          <cell r="P1289">
            <v>46114</v>
          </cell>
          <cell r="Q1289">
            <v>46126</v>
          </cell>
          <cell r="R1289">
            <v>46123</v>
          </cell>
          <cell r="S1289">
            <v>12</v>
          </cell>
          <cell r="T1289">
            <v>2</v>
          </cell>
          <cell r="U1289">
            <v>70</v>
          </cell>
          <cell r="V1289">
            <v>5</v>
          </cell>
          <cell r="W1289" t="str">
            <v>0.085D</v>
          </cell>
          <cell r="X1289" t="str">
            <v>4-2026</v>
          </cell>
          <cell r="Y1289" t="str">
            <v>Week 15</v>
          </cell>
          <cell r="Z1289">
            <v>46118</v>
          </cell>
          <cell r="AA1289">
            <v>14</v>
          </cell>
          <cell r="AB1289">
            <v>1.4290000000000001E-2</v>
          </cell>
        </row>
        <row r="1290">
          <cell r="A1290" t="str">
            <v>F-2026-04-07</v>
          </cell>
          <cell r="B1290"/>
          <cell r="C1290" t="str">
            <v>RPRO-260402-0689</v>
          </cell>
          <cell r="D1290" t="str">
            <v>MPS 31.03+01.4</v>
          </cell>
          <cell r="E1290" t="str">
            <v>BDB-000123</v>
          </cell>
          <cell r="F1290" t="str">
            <v>PVN-003315</v>
          </cell>
          <cell r="G1290" t="str">
            <v>OrthoLite Ultra-Hybrid SEEDPEARL/12-0703TPX Hybrid 0.085D 25+/-4 Asker C 1.1M 2M 3.5mm</v>
          </cell>
          <cell r="H1290">
            <v>80</v>
          </cell>
          <cell r="I1290">
            <v>80</v>
          </cell>
          <cell r="J1290">
            <v>0</v>
          </cell>
          <cell r="K1290">
            <v>80</v>
          </cell>
          <cell r="L1290"/>
          <cell r="M1290" t="str">
            <v>MPS</v>
          </cell>
          <cell r="N1290" t="str">
            <v>SPLITTING</v>
          </cell>
          <cell r="O1290">
            <v>2</v>
          </cell>
          <cell r="P1290">
            <v>46114</v>
          </cell>
          <cell r="Q1290">
            <v>46123</v>
          </cell>
          <cell r="R1290">
            <v>46120</v>
          </cell>
          <cell r="S1290">
            <v>9</v>
          </cell>
          <cell r="T1290">
            <v>3.5</v>
          </cell>
          <cell r="U1290">
            <v>40</v>
          </cell>
          <cell r="V1290">
            <v>2</v>
          </cell>
          <cell r="W1290" t="str">
            <v>0.085D</v>
          </cell>
          <cell r="X1290" t="str">
            <v>4-2026</v>
          </cell>
          <cell r="Y1290" t="str">
            <v>Week 15</v>
          </cell>
          <cell r="Z1290">
            <v>46118</v>
          </cell>
          <cell r="AA1290">
            <v>85</v>
          </cell>
          <cell r="AB1290">
            <v>2.5000000000000001E-2</v>
          </cell>
        </row>
        <row r="1291">
          <cell r="A1291" t="str">
            <v>F-2026-04-08</v>
          </cell>
          <cell r="B1291"/>
          <cell r="C1291" t="str">
            <v>RPRO-260402-0690</v>
          </cell>
          <cell r="D1291" t="str">
            <v>MPS 31.03+01.4</v>
          </cell>
          <cell r="E1291" t="str">
            <v>BDB-000200</v>
          </cell>
          <cell r="F1291" t="str">
            <v>PVN-003425</v>
          </cell>
          <cell r="G1291" t="str">
            <v>OrthoLite Ultra SEEDPEARL/12-0703TPX Flat Sheet 0.085D 78-90 Asker F 1.1M 2M 4mm</v>
          </cell>
          <cell r="H1291">
            <v>245</v>
          </cell>
          <cell r="I1291">
            <v>245</v>
          </cell>
          <cell r="J1291">
            <v>0</v>
          </cell>
          <cell r="K1291">
            <v>245</v>
          </cell>
          <cell r="L1291"/>
          <cell r="M1291" t="str">
            <v>MPS</v>
          </cell>
          <cell r="N1291" t="str">
            <v>SPLITTING</v>
          </cell>
          <cell r="O1291">
            <v>2</v>
          </cell>
          <cell r="P1291">
            <v>46114</v>
          </cell>
          <cell r="Q1291">
            <v>46128</v>
          </cell>
          <cell r="R1291">
            <v>46125</v>
          </cell>
          <cell r="S1291">
            <v>14</v>
          </cell>
          <cell r="T1291">
            <v>4</v>
          </cell>
          <cell r="U1291">
            <v>35</v>
          </cell>
          <cell r="V1291">
            <v>7</v>
          </cell>
          <cell r="W1291" t="str">
            <v>0.085D</v>
          </cell>
          <cell r="X1291" t="str">
            <v>4-2026</v>
          </cell>
          <cell r="Y1291" t="str">
            <v>Week 15</v>
          </cell>
          <cell r="Z1291">
            <v>46118</v>
          </cell>
          <cell r="AA1291">
            <v>39</v>
          </cell>
          <cell r="AB1291">
            <v>2.8570000000000002E-2</v>
          </cell>
        </row>
        <row r="1292">
          <cell r="A1292" t="str">
            <v>F-2026-04-09</v>
          </cell>
          <cell r="B1292"/>
          <cell r="C1292" t="str">
            <v>RPRO-260402-0691</v>
          </cell>
          <cell r="D1292" t="str">
            <v>Pro.sche.report 31.03+01.4</v>
          </cell>
          <cell r="E1292" t="str">
            <v>BDB-000076</v>
          </cell>
          <cell r="F1292" t="str">
            <v>PVN-003448</v>
          </cell>
          <cell r="G1292" t="str">
            <v>OrthoLite X-25 BILLIARD/16-5427TPX Flat Sheet 0.12D 20+/-4 Asker C 1.1M 2M 6.2mm</v>
          </cell>
          <cell r="H1292">
            <v>660</v>
          </cell>
          <cell r="I1292">
            <v>660</v>
          </cell>
          <cell r="J1292">
            <v>0</v>
          </cell>
          <cell r="K1292">
            <v>660</v>
          </cell>
          <cell r="L1292" t="str">
            <v>ADIDAS</v>
          </cell>
          <cell r="M1292" t="str">
            <v>Pr.Sch.R</v>
          </cell>
          <cell r="N1292" t="str">
            <v>MOLDED</v>
          </cell>
          <cell r="O1292">
            <v>1</v>
          </cell>
          <cell r="P1292">
            <v>46114</v>
          </cell>
          <cell r="Q1292">
            <v>46123</v>
          </cell>
          <cell r="R1292">
            <v>46120</v>
          </cell>
          <cell r="S1292">
            <v>9</v>
          </cell>
          <cell r="T1292">
            <v>6.2</v>
          </cell>
          <cell r="U1292">
            <v>22</v>
          </cell>
          <cell r="V1292">
            <v>30</v>
          </cell>
          <cell r="W1292" t="str">
            <v>0.12D</v>
          </cell>
          <cell r="X1292" t="str">
            <v>4-2026</v>
          </cell>
          <cell r="Y1292" t="str">
            <v>Week 15</v>
          </cell>
          <cell r="Z1292">
            <v>46118</v>
          </cell>
          <cell r="AA1292">
            <v>0</v>
          </cell>
          <cell r="AB1292">
            <v>4.5449999999999997E-2</v>
          </cell>
        </row>
        <row r="1293">
          <cell r="A1293" t="str">
            <v>F-2026-04-10</v>
          </cell>
          <cell r="B1293"/>
          <cell r="C1293" t="str">
            <v>RPRO-260402-0692</v>
          </cell>
          <cell r="D1293" t="str">
            <v>Pro.sche.report 31.03+01.4</v>
          </cell>
          <cell r="E1293" t="str">
            <v>BDB-000346</v>
          </cell>
          <cell r="F1293" t="str">
            <v>PVN-004188</v>
          </cell>
          <cell r="G1293" t="str">
            <v>OrthoLite Float NEUTRAL GRAY/17-4402TPX Flat Sheet 0.12D 21+/-4 Asker C 1.1M 1.47M 5.5mm</v>
          </cell>
          <cell r="H1293">
            <v>1100</v>
          </cell>
          <cell r="I1293">
            <v>1100</v>
          </cell>
          <cell r="J1293">
            <v>0</v>
          </cell>
          <cell r="K1293">
            <v>1100</v>
          </cell>
          <cell r="L1293" t="str">
            <v>PUMA</v>
          </cell>
          <cell r="M1293" t="str">
            <v>Pr.Sch.R</v>
          </cell>
          <cell r="N1293" t="str">
            <v>MOLDED</v>
          </cell>
          <cell r="O1293">
            <v>1</v>
          </cell>
          <cell r="P1293">
            <v>46114</v>
          </cell>
          <cell r="Q1293">
            <v>46129</v>
          </cell>
          <cell r="R1293">
            <v>46126</v>
          </cell>
          <cell r="S1293">
            <v>15</v>
          </cell>
          <cell r="T1293">
            <v>5.5</v>
          </cell>
          <cell r="U1293">
            <v>25</v>
          </cell>
          <cell r="V1293">
            <v>44</v>
          </cell>
          <cell r="W1293" t="e">
            <v>#N/A</v>
          </cell>
          <cell r="X1293" t="str">
            <v>4-2026</v>
          </cell>
          <cell r="Y1293" t="str">
            <v>Week 15</v>
          </cell>
          <cell r="Z1293">
            <v>46118</v>
          </cell>
          <cell r="AA1293">
            <v>3</v>
          </cell>
          <cell r="AB1293">
            <v>0.04</v>
          </cell>
        </row>
        <row r="1294">
          <cell r="A1294" t="str">
            <v>F-2026-04-11</v>
          </cell>
          <cell r="B1294"/>
          <cell r="C1294" t="str">
            <v>RPRO-260402-0693</v>
          </cell>
          <cell r="D1294" t="str">
            <v>Pro.sche.report 31.03+01.4</v>
          </cell>
          <cell r="E1294" t="str">
            <v>BDB-000094</v>
          </cell>
          <cell r="F1294" t="str">
            <v>PVN-004255</v>
          </cell>
          <cell r="G1294" t="str">
            <v>OrthoLite Eco LT 300C(ADIDAS BLUEBIRD) Flat Sheet 0.11D 25+/-4 Asker C 1.1M 1.47M 12mm</v>
          </cell>
          <cell r="H1294">
            <v>209</v>
          </cell>
          <cell r="I1294">
            <v>209</v>
          </cell>
          <cell r="J1294">
            <v>0</v>
          </cell>
          <cell r="K1294">
            <v>209</v>
          </cell>
          <cell r="L1294" t="str">
            <v>ADIDAS</v>
          </cell>
          <cell r="M1294" t="str">
            <v>Pr.Sch.R</v>
          </cell>
          <cell r="N1294" t="str">
            <v>MOLDED</v>
          </cell>
          <cell r="O1294">
            <v>1</v>
          </cell>
          <cell r="P1294">
            <v>46114</v>
          </cell>
          <cell r="Q1294">
            <v>46125</v>
          </cell>
          <cell r="R1294">
            <v>46122</v>
          </cell>
          <cell r="S1294">
            <v>11</v>
          </cell>
          <cell r="T1294">
            <v>12</v>
          </cell>
          <cell r="U1294">
            <v>11</v>
          </cell>
          <cell r="V1294">
            <v>20</v>
          </cell>
          <cell r="W1294" t="str">
            <v>0.11D</v>
          </cell>
          <cell r="X1294" t="str">
            <v>4-2026</v>
          </cell>
          <cell r="Y1294" t="str">
            <v>Week 15</v>
          </cell>
          <cell r="Z1294">
            <v>46118</v>
          </cell>
          <cell r="AA1294">
            <v>25</v>
          </cell>
          <cell r="AB1294">
            <v>9.0910000000000005E-2</v>
          </cell>
        </row>
        <row r="1295">
          <cell r="A1295" t="str">
            <v>F-2026-04-12</v>
          </cell>
          <cell r="B1295"/>
          <cell r="C1295" t="str">
            <v>RPRO-260402-0694</v>
          </cell>
          <cell r="D1295" t="str">
            <v>Pro.sche.report 31.03+01.4</v>
          </cell>
          <cell r="E1295" t="str">
            <v>BDB-000011</v>
          </cell>
          <cell r="F1295" t="str">
            <v>PVN-000121</v>
          </cell>
          <cell r="G1295" t="str">
            <v>OrthoLite Regular AIR BLUE/16-4134TPX Flat Sheet 0.13D 35+/-4 Asker C 1.1M 2M 12mm</v>
          </cell>
          <cell r="H1295">
            <v>11</v>
          </cell>
          <cell r="I1295">
            <v>11</v>
          </cell>
          <cell r="J1295">
            <v>0</v>
          </cell>
          <cell r="K1295">
            <v>11</v>
          </cell>
          <cell r="L1295" t="str">
            <v>ASICS</v>
          </cell>
          <cell r="M1295" t="str">
            <v>Pr.Sch.R</v>
          </cell>
          <cell r="N1295" t="str">
            <v>MOLDED</v>
          </cell>
          <cell r="O1295">
            <v>1</v>
          </cell>
          <cell r="P1295">
            <v>46114</v>
          </cell>
          <cell r="Q1295">
            <v>46129</v>
          </cell>
          <cell r="R1295">
            <v>46126</v>
          </cell>
          <cell r="S1295">
            <v>15</v>
          </cell>
          <cell r="T1295">
            <v>12</v>
          </cell>
          <cell r="U1295">
            <v>11.5</v>
          </cell>
          <cell r="V1295">
            <v>1</v>
          </cell>
          <cell r="W1295" t="str">
            <v>0.13D</v>
          </cell>
          <cell r="X1295" t="str">
            <v>4-2026</v>
          </cell>
          <cell r="Y1295" t="str">
            <v>Week 15</v>
          </cell>
          <cell r="Z1295">
            <v>46118</v>
          </cell>
          <cell r="AA1295">
            <v>0</v>
          </cell>
          <cell r="AB1295">
            <v>8.6959999999999996E-2</v>
          </cell>
        </row>
        <row r="1296">
          <cell r="A1296" t="str">
            <v>F-2026-04-13</v>
          </cell>
          <cell r="B1296"/>
          <cell r="C1296" t="str">
            <v>RPRO-260402-0695</v>
          </cell>
          <cell r="D1296" t="str">
            <v>Pro.sche.report 31.03+01.4</v>
          </cell>
          <cell r="E1296" t="str">
            <v>BDB-000054</v>
          </cell>
          <cell r="F1296" t="str">
            <v>PVN-003895</v>
          </cell>
          <cell r="G1296" t="str">
            <v>OrthoLite X-40 RED/19-1764TPX Flat Sheet 0.16D 25+/-4 Asker C 1.1M 1.7M 5mm</v>
          </cell>
          <cell r="H1296">
            <v>224</v>
          </cell>
          <cell r="I1296">
            <v>224</v>
          </cell>
          <cell r="J1296">
            <v>0</v>
          </cell>
          <cell r="K1296">
            <v>224</v>
          </cell>
          <cell r="L1296" t="str">
            <v>PAYNTR</v>
          </cell>
          <cell r="M1296" t="str">
            <v>Pr.Sch.R</v>
          </cell>
          <cell r="N1296" t="str">
            <v>MOLDED</v>
          </cell>
          <cell r="O1296">
            <v>1</v>
          </cell>
          <cell r="P1296">
            <v>46114</v>
          </cell>
          <cell r="Q1296">
            <v>46129</v>
          </cell>
          <cell r="R1296">
            <v>46126</v>
          </cell>
          <cell r="S1296">
            <v>15</v>
          </cell>
          <cell r="T1296">
            <v>5</v>
          </cell>
          <cell r="U1296">
            <v>28</v>
          </cell>
          <cell r="V1296">
            <v>8</v>
          </cell>
          <cell r="W1296" t="str">
            <v>0.16D</v>
          </cell>
          <cell r="X1296" t="str">
            <v>4-2026</v>
          </cell>
          <cell r="Y1296" t="str">
            <v>Week 15</v>
          </cell>
          <cell r="Z1296">
            <v>46118</v>
          </cell>
          <cell r="AA1296">
            <v>1</v>
          </cell>
          <cell r="AB1296">
            <v>3.5709999999999999E-2</v>
          </cell>
        </row>
        <row r="1297">
          <cell r="A1297" t="str">
            <v>F-2026-04-14</v>
          </cell>
          <cell r="B1297"/>
          <cell r="C1297" t="str">
            <v>RPRO-260402-0696</v>
          </cell>
          <cell r="D1297" t="str">
            <v>Pro.sche.report 31.03+01.4</v>
          </cell>
          <cell r="E1297" t="str">
            <v>BDB-000181</v>
          </cell>
          <cell r="F1297" t="str">
            <v>PVN-003238</v>
          </cell>
          <cell r="G1297" t="str">
            <v>OrthoLite Eco LT-Hybrid-Converse SEEDPEARL/12-0703TPX Hybrid Flat Sheet 0.11D 25+/-4 Asker C 1.1M 2M 5mm</v>
          </cell>
          <cell r="H1297">
            <v>112</v>
          </cell>
          <cell r="I1297">
            <v>112</v>
          </cell>
          <cell r="J1297">
            <v>0</v>
          </cell>
          <cell r="K1297">
            <v>112</v>
          </cell>
          <cell r="L1297" t="str">
            <v>CONVERSE</v>
          </cell>
          <cell r="M1297" t="str">
            <v>Pr.Sch.R</v>
          </cell>
          <cell r="N1297" t="str">
            <v>DIE CUT</v>
          </cell>
          <cell r="O1297">
            <v>1</v>
          </cell>
          <cell r="P1297">
            <v>46114</v>
          </cell>
          <cell r="Q1297">
            <v>46123</v>
          </cell>
          <cell r="R1297">
            <v>46120</v>
          </cell>
          <cell r="S1297">
            <v>9</v>
          </cell>
          <cell r="T1297">
            <v>5</v>
          </cell>
          <cell r="U1297">
            <v>28</v>
          </cell>
          <cell r="V1297">
            <v>4</v>
          </cell>
          <cell r="W1297" t="str">
            <v>0.11D</v>
          </cell>
          <cell r="X1297" t="str">
            <v>4-2026</v>
          </cell>
          <cell r="Y1297" t="str">
            <v>Week 15</v>
          </cell>
          <cell r="Z1297">
            <v>46118</v>
          </cell>
          <cell r="AA1297">
            <v>4</v>
          </cell>
          <cell r="AB1297">
            <v>3.5709999999999999E-2</v>
          </cell>
        </row>
        <row r="1298">
          <cell r="A1298" t="str">
            <v>F-2026-04-15</v>
          </cell>
          <cell r="B1298"/>
          <cell r="C1298" t="str">
            <v>RPRO-260402-0697</v>
          </cell>
          <cell r="D1298" t="str">
            <v>Pro.sche.report 31.03+01.4</v>
          </cell>
          <cell r="E1298" t="str">
            <v>BDB-000255</v>
          </cell>
          <cell r="F1298" t="str">
            <v>PVN-003730</v>
          </cell>
          <cell r="G1298" t="str">
            <v>OrthoLite Regular GREY/17-1501TPX Flat Sheet 0.15D 45+/-4 Asker C 1.1M 1.7M 2mm</v>
          </cell>
          <cell r="H1298">
            <v>70</v>
          </cell>
          <cell r="I1298">
            <v>70</v>
          </cell>
          <cell r="J1298">
            <v>0</v>
          </cell>
          <cell r="K1298">
            <v>70</v>
          </cell>
          <cell r="L1298" t="str">
            <v>OBOZ</v>
          </cell>
          <cell r="M1298" t="str">
            <v>Pr.Sch.R</v>
          </cell>
          <cell r="N1298" t="str">
            <v>MOLDED</v>
          </cell>
          <cell r="O1298">
            <v>1</v>
          </cell>
          <cell r="P1298">
            <v>46114</v>
          </cell>
          <cell r="Q1298">
            <v>46122</v>
          </cell>
          <cell r="R1298">
            <v>46119</v>
          </cell>
          <cell r="S1298">
            <v>8</v>
          </cell>
          <cell r="T1298">
            <v>2</v>
          </cell>
          <cell r="U1298">
            <v>70</v>
          </cell>
          <cell r="V1298">
            <v>2</v>
          </cell>
          <cell r="W1298" t="str">
            <v>0.15D</v>
          </cell>
          <cell r="X1298" t="str">
            <v>4-2026</v>
          </cell>
          <cell r="Y1298" t="str">
            <v>Week 15</v>
          </cell>
          <cell r="Z1298">
            <v>46118</v>
          </cell>
          <cell r="AA1298">
            <v>2</v>
          </cell>
          <cell r="AB1298">
            <v>1.4290000000000001E-2</v>
          </cell>
        </row>
        <row r="1299">
          <cell r="A1299" t="str">
            <v>F-2026-04-16</v>
          </cell>
          <cell r="B1299"/>
          <cell r="C1299" t="str">
            <v>RPRO-260402-0698</v>
          </cell>
          <cell r="D1299" t="str">
            <v>Pro.sche.report 31.03+01.4</v>
          </cell>
          <cell r="E1299" t="str">
            <v>BDB-000076</v>
          </cell>
          <cell r="F1299" t="str">
            <v>PVN-003494</v>
          </cell>
          <cell r="G1299" t="str">
            <v>OrthoLite X-25 BILLIARD/16-5427TPX Flat Sheet 0.12D 20+/-4 Asker C 1.1M 2M 5.5mm</v>
          </cell>
          <cell r="H1299">
            <v>125</v>
          </cell>
          <cell r="I1299">
            <v>125</v>
          </cell>
          <cell r="J1299">
            <v>0</v>
          </cell>
          <cell r="K1299">
            <v>125</v>
          </cell>
          <cell r="L1299" t="str">
            <v>LOTTO</v>
          </cell>
          <cell r="M1299" t="str">
            <v>Pr.Sch.R</v>
          </cell>
          <cell r="N1299" t="str">
            <v>MOLDED</v>
          </cell>
          <cell r="O1299">
            <v>1</v>
          </cell>
          <cell r="P1299">
            <v>46114</v>
          </cell>
          <cell r="Q1299">
            <v>46127</v>
          </cell>
          <cell r="R1299">
            <v>46124</v>
          </cell>
          <cell r="S1299">
            <v>13</v>
          </cell>
          <cell r="T1299">
            <v>5.5</v>
          </cell>
          <cell r="U1299">
            <v>25</v>
          </cell>
          <cell r="V1299">
            <v>5</v>
          </cell>
          <cell r="W1299" t="str">
            <v>0.12D</v>
          </cell>
          <cell r="X1299" t="str">
            <v>4-2026</v>
          </cell>
          <cell r="Y1299" t="str">
            <v>Week 15</v>
          </cell>
          <cell r="Z1299">
            <v>46118</v>
          </cell>
          <cell r="AA1299">
            <v>2</v>
          </cell>
          <cell r="AB1299">
            <v>0.04</v>
          </cell>
        </row>
        <row r="1300">
          <cell r="A1300" t="str">
            <v>F-2026-04-17</v>
          </cell>
          <cell r="B1300"/>
          <cell r="C1300" t="str">
            <v>RPRO-260402-0699</v>
          </cell>
          <cell r="D1300" t="str">
            <v>Pro.sche.report 31.03+01.4</v>
          </cell>
          <cell r="E1300" t="str">
            <v>BDB-000317</v>
          </cell>
          <cell r="F1300" t="str">
            <v>PVN-004076</v>
          </cell>
          <cell r="G1300" t="str">
            <v>OrthoLite Regular NEUTRAL GRAY/17-4402TPX Flat Sheet 0.13D 15+/-4 Asker C 1.1M 2M 24mm</v>
          </cell>
          <cell r="H1300">
            <v>5</v>
          </cell>
          <cell r="I1300">
            <v>5</v>
          </cell>
          <cell r="J1300">
            <v>0</v>
          </cell>
          <cell r="K1300">
            <v>5</v>
          </cell>
          <cell r="L1300" t="str">
            <v>ASICS</v>
          </cell>
          <cell r="M1300" t="str">
            <v>Pr.Sch.R</v>
          </cell>
          <cell r="N1300" t="str">
            <v>MOLDED</v>
          </cell>
          <cell r="O1300">
            <v>1</v>
          </cell>
          <cell r="P1300">
            <v>46114</v>
          </cell>
          <cell r="Q1300">
            <v>46122</v>
          </cell>
          <cell r="R1300">
            <v>46119</v>
          </cell>
          <cell r="S1300">
            <v>8</v>
          </cell>
          <cell r="T1300">
            <v>24</v>
          </cell>
          <cell r="U1300">
            <v>5</v>
          </cell>
          <cell r="V1300">
            <v>1</v>
          </cell>
          <cell r="W1300" t="e">
            <v>#N/A</v>
          </cell>
          <cell r="X1300" t="str">
            <v>4-2026</v>
          </cell>
          <cell r="Y1300" t="str">
            <v>Week 15</v>
          </cell>
          <cell r="Z1300">
            <v>46118</v>
          </cell>
          <cell r="AA1300">
            <v>1</v>
          </cell>
          <cell r="AB1300">
            <v>0.2</v>
          </cell>
        </row>
        <row r="1301">
          <cell r="A1301" t="str">
            <v>F-2026-04-18</v>
          </cell>
          <cell r="B1301"/>
          <cell r="C1301" t="str">
            <v>RPRO-260402-0700</v>
          </cell>
          <cell r="D1301" t="str">
            <v>Pro.sche.report 31.03+01.4</v>
          </cell>
          <cell r="E1301" t="str">
            <v>BDB-000077</v>
          </cell>
          <cell r="F1301" t="str">
            <v>PVN-004147</v>
          </cell>
          <cell r="G1301" t="str">
            <v>OrthoLite X-25 SEEDPEARL/12-0703TPX Flat Sheet 0.12D 20+/-4 Asker C 1.1M 2M 5.5mm</v>
          </cell>
          <cell r="H1301">
            <v>25</v>
          </cell>
          <cell r="I1301">
            <v>25</v>
          </cell>
          <cell r="J1301">
            <v>0</v>
          </cell>
          <cell r="K1301">
            <v>25</v>
          </cell>
          <cell r="L1301" t="str">
            <v>ON RUNNING</v>
          </cell>
          <cell r="M1301" t="str">
            <v>Pr.Sch.R</v>
          </cell>
          <cell r="N1301" t="str">
            <v>MOLDED</v>
          </cell>
          <cell r="O1301">
            <v>1</v>
          </cell>
          <cell r="P1301">
            <v>46114</v>
          </cell>
          <cell r="Q1301">
            <v>46126</v>
          </cell>
          <cell r="R1301">
            <v>46123</v>
          </cell>
          <cell r="S1301">
            <v>12</v>
          </cell>
          <cell r="T1301">
            <v>5.5</v>
          </cell>
          <cell r="U1301">
            <v>25</v>
          </cell>
          <cell r="V1301">
            <v>1</v>
          </cell>
          <cell r="W1301" t="str">
            <v>0.12D</v>
          </cell>
          <cell r="X1301" t="str">
            <v>4-2026</v>
          </cell>
          <cell r="Y1301" t="str">
            <v>Week 15</v>
          </cell>
          <cell r="Z1301">
            <v>46118</v>
          </cell>
          <cell r="AA1301">
            <v>2</v>
          </cell>
          <cell r="AB1301">
            <v>0.04</v>
          </cell>
        </row>
        <row r="1302">
          <cell r="A1302" t="str">
            <v>F-2026-04-19</v>
          </cell>
          <cell r="B1302"/>
          <cell r="C1302" t="str">
            <v>RPRO-260402-0701</v>
          </cell>
          <cell r="D1302" t="str">
            <v>Pro.sche.report 31.03+01.4</v>
          </cell>
          <cell r="E1302" t="str">
            <v>BDB-000123</v>
          </cell>
          <cell r="F1302" t="str">
            <v>PVN-002973</v>
          </cell>
          <cell r="G1302" t="str">
            <v>OrthoLite Ultra-Hybrid SEEDPEARL/12-0703TPX Hybrid Flat Sheet 0.085D 25+/-4 Asker C 1.1M 2M 4.5mm</v>
          </cell>
          <cell r="H1302">
            <v>837</v>
          </cell>
          <cell r="I1302">
            <v>837</v>
          </cell>
          <cell r="J1302">
            <v>0</v>
          </cell>
          <cell r="K1302">
            <v>837</v>
          </cell>
          <cell r="L1302" t="str">
            <v>SALOMON</v>
          </cell>
          <cell r="M1302" t="str">
            <v>Pr.Sch.R</v>
          </cell>
          <cell r="N1302" t="str">
            <v>MOLDED</v>
          </cell>
          <cell r="O1302">
            <v>1</v>
          </cell>
          <cell r="P1302">
            <v>46114</v>
          </cell>
          <cell r="Q1302">
            <v>46129</v>
          </cell>
          <cell r="R1302">
            <v>46126</v>
          </cell>
          <cell r="S1302">
            <v>15</v>
          </cell>
          <cell r="T1302">
            <v>4.5</v>
          </cell>
          <cell r="U1302">
            <v>31</v>
          </cell>
          <cell r="V1302">
            <v>28</v>
          </cell>
          <cell r="W1302" t="str">
            <v>0.085D</v>
          </cell>
          <cell r="X1302" t="str">
            <v>4-2026</v>
          </cell>
          <cell r="Y1302" t="str">
            <v>Week 15</v>
          </cell>
          <cell r="Z1302">
            <v>46118</v>
          </cell>
          <cell r="AA1302">
            <v>1</v>
          </cell>
          <cell r="AB1302">
            <v>3.2259999999999997E-2</v>
          </cell>
        </row>
        <row r="1303">
          <cell r="A1303" t="str">
            <v>F-2026-04-20</v>
          </cell>
          <cell r="B1303"/>
          <cell r="C1303" t="str">
            <v>RPRO-260402-0702</v>
          </cell>
          <cell r="D1303" t="str">
            <v>Pro.sche.report 31.03+01.4</v>
          </cell>
          <cell r="E1303" t="str">
            <v>BDB-000339</v>
          </cell>
          <cell r="F1303" t="str">
            <v>PVN-004178</v>
          </cell>
          <cell r="G1303" t="str">
            <v>OrthoLite Float NEUTRAL GRAY/17-4402TPX Flat Sheet 0.12D 21+/-4 Asker C 1.1M 2M 5.5mm</v>
          </cell>
          <cell r="H1303">
            <v>375</v>
          </cell>
          <cell r="I1303">
            <v>375</v>
          </cell>
          <cell r="J1303">
            <v>0</v>
          </cell>
          <cell r="K1303">
            <v>375</v>
          </cell>
          <cell r="L1303" t="str">
            <v>PUMA</v>
          </cell>
          <cell r="M1303" t="str">
            <v>Pr.Sch.R</v>
          </cell>
          <cell r="N1303" t="str">
            <v>MOLDED</v>
          </cell>
          <cell r="O1303">
            <v>1</v>
          </cell>
          <cell r="P1303">
            <v>46114</v>
          </cell>
          <cell r="Q1303">
            <v>46125</v>
          </cell>
          <cell r="R1303">
            <v>46122</v>
          </cell>
          <cell r="S1303">
            <v>11</v>
          </cell>
          <cell r="T1303">
            <v>5.5</v>
          </cell>
          <cell r="U1303">
            <v>25</v>
          </cell>
          <cell r="V1303">
            <v>15</v>
          </cell>
          <cell r="W1303" t="e">
            <v>#N/A</v>
          </cell>
          <cell r="X1303" t="str">
            <v>4-2026</v>
          </cell>
          <cell r="Y1303" t="str">
            <v>Week 15</v>
          </cell>
          <cell r="Z1303">
            <v>46118</v>
          </cell>
          <cell r="AA1303">
            <v>238</v>
          </cell>
          <cell r="AB1303">
            <v>0.04</v>
          </cell>
        </row>
        <row r="1304">
          <cell r="A1304" t="str">
            <v>F-2026-04-21</v>
          </cell>
          <cell r="B1304"/>
          <cell r="C1304" t="str">
            <v>RPRO-260402-0703</v>
          </cell>
          <cell r="D1304" t="str">
            <v>Pro.sche.report 31.03+01.4</v>
          </cell>
          <cell r="E1304" t="str">
            <v>BDB-000229</v>
          </cell>
          <cell r="F1304" t="str">
            <v>PVN-003692</v>
          </cell>
          <cell r="G1304" t="str">
            <v>OrthoLite Ultra-Hybrid SEEDPEARL/12-0703TPX Hybrid Flat Sheet 0.095D 33+/-4 Asker C 1.1M 2M 15.5mm</v>
          </cell>
          <cell r="H1304">
            <v>24</v>
          </cell>
          <cell r="I1304">
            <v>24</v>
          </cell>
          <cell r="J1304">
            <v>0</v>
          </cell>
          <cell r="K1304">
            <v>24</v>
          </cell>
          <cell r="L1304" t="str">
            <v>GARMONT</v>
          </cell>
          <cell r="M1304" t="str">
            <v>Pr.Sch.R</v>
          </cell>
          <cell r="N1304" t="str">
            <v>MOLDED</v>
          </cell>
          <cell r="O1304">
            <v>1</v>
          </cell>
          <cell r="P1304">
            <v>46114</v>
          </cell>
          <cell r="Q1304">
            <v>46124</v>
          </cell>
          <cell r="R1304">
            <v>46121</v>
          </cell>
          <cell r="S1304">
            <v>10</v>
          </cell>
          <cell r="T1304">
            <v>15.5</v>
          </cell>
          <cell r="U1304">
            <v>8</v>
          </cell>
          <cell r="V1304">
            <v>3</v>
          </cell>
          <cell r="W1304" t="str">
            <v>0.095D</v>
          </cell>
          <cell r="X1304" t="str">
            <v>4-2026</v>
          </cell>
          <cell r="Y1304" t="str">
            <v>Week 15</v>
          </cell>
          <cell r="Z1304">
            <v>46118</v>
          </cell>
          <cell r="AA1304">
            <v>238</v>
          </cell>
          <cell r="AB1304">
            <v>0.125</v>
          </cell>
        </row>
        <row r="1305">
          <cell r="A1305" t="str">
            <v>F-2026-04-22</v>
          </cell>
          <cell r="B1305"/>
          <cell r="C1305" t="str">
            <v>RPRO-260402-0704</v>
          </cell>
          <cell r="D1305" t="str">
            <v>Pro.sche.report 31.03+01.4</v>
          </cell>
          <cell r="E1305" t="str">
            <v>BDB-000340</v>
          </cell>
          <cell r="F1305" t="str">
            <v>PVN-004177</v>
          </cell>
          <cell r="G1305" t="str">
            <v>OrthoLite Float SEEDPEARL/12-0703TPX Flat Sheet 0.12D 21+/-4 Asker C 1.1M 2M 5.5mm</v>
          </cell>
          <cell r="H1305">
            <v>175</v>
          </cell>
          <cell r="I1305">
            <v>175</v>
          </cell>
          <cell r="J1305">
            <v>0</v>
          </cell>
          <cell r="K1305">
            <v>175</v>
          </cell>
          <cell r="L1305" t="str">
            <v>ON RUNNING</v>
          </cell>
          <cell r="M1305" t="str">
            <v>Pr.Sch.R</v>
          </cell>
          <cell r="N1305" t="str">
            <v>MOLDED</v>
          </cell>
          <cell r="O1305">
            <v>1</v>
          </cell>
          <cell r="P1305">
            <v>46114</v>
          </cell>
          <cell r="Q1305">
            <v>46126</v>
          </cell>
          <cell r="R1305">
            <v>46123</v>
          </cell>
          <cell r="S1305">
            <v>12</v>
          </cell>
          <cell r="T1305">
            <v>5.5</v>
          </cell>
          <cell r="U1305">
            <v>25</v>
          </cell>
          <cell r="V1305">
            <v>7</v>
          </cell>
          <cell r="W1305" t="e">
            <v>#N/A</v>
          </cell>
          <cell r="X1305" t="str">
            <v>4-2026</v>
          </cell>
          <cell r="Y1305" t="str">
            <v>Week 15</v>
          </cell>
          <cell r="Z1305">
            <v>46118</v>
          </cell>
          <cell r="AA1305">
            <v>238</v>
          </cell>
          <cell r="AB1305">
            <v>0.04</v>
          </cell>
        </row>
        <row r="1306">
          <cell r="A1306" t="str">
            <v>F-2026-04-23</v>
          </cell>
          <cell r="B1306"/>
          <cell r="C1306" t="str">
            <v>RPRO-260402-0705</v>
          </cell>
          <cell r="D1306" t="str">
            <v>Pro.sche.report 31.03+01.4</v>
          </cell>
          <cell r="E1306" t="str">
            <v>BDB-000055</v>
          </cell>
          <cell r="F1306" t="str">
            <v>PVN-003326</v>
          </cell>
          <cell r="G1306" t="str">
            <v>OrthoLite X-40 TRUE BLUE/19-4057TPX Flat Sheet 0.16D 35+/-4 Asker C 1.1M 1.7M 14mm</v>
          </cell>
          <cell r="H1306">
            <v>18</v>
          </cell>
          <cell r="I1306">
            <v>18</v>
          </cell>
          <cell r="J1306">
            <v>0</v>
          </cell>
          <cell r="K1306">
            <v>18</v>
          </cell>
          <cell r="L1306" t="str">
            <v>ADIDAS</v>
          </cell>
          <cell r="M1306" t="str">
            <v>Pr.Sch.R</v>
          </cell>
          <cell r="N1306" t="str">
            <v>MOLDED</v>
          </cell>
          <cell r="O1306">
            <v>1</v>
          </cell>
          <cell r="P1306">
            <v>46114</v>
          </cell>
          <cell r="Q1306">
            <v>46122</v>
          </cell>
          <cell r="R1306">
            <v>46119</v>
          </cell>
          <cell r="S1306">
            <v>8</v>
          </cell>
          <cell r="T1306">
            <v>14</v>
          </cell>
          <cell r="U1306">
            <v>9</v>
          </cell>
          <cell r="V1306">
            <v>2</v>
          </cell>
          <cell r="W1306" t="str">
            <v>0.16D</v>
          </cell>
          <cell r="X1306" t="str">
            <v>4-2026</v>
          </cell>
          <cell r="Y1306" t="str">
            <v>Week 15</v>
          </cell>
          <cell r="Z1306">
            <v>46118</v>
          </cell>
          <cell r="AA1306">
            <v>238</v>
          </cell>
          <cell r="AB1306">
            <v>0.11111</v>
          </cell>
        </row>
        <row r="1307">
          <cell r="A1307" t="str">
            <v>F-2026-04-24</v>
          </cell>
          <cell r="B1307"/>
          <cell r="C1307" t="str">
            <v>RPRO-260402-0706</v>
          </cell>
          <cell r="D1307" t="str">
            <v>Pro.sche.report 31.03+01.4</v>
          </cell>
          <cell r="E1307" t="str">
            <v>BDB-000107</v>
          </cell>
          <cell r="F1307" t="str">
            <v>PVN-003482</v>
          </cell>
          <cell r="G1307" t="str">
            <v>OrthoLite Eco LT-Hybrid SEEDPEARL/12-0703TPX Hybrid Flat Sheet 0.11D 25+/-4 Asker C 1.1M 1.47M 4mm</v>
          </cell>
          <cell r="H1307">
            <v>420</v>
          </cell>
          <cell r="I1307">
            <v>420</v>
          </cell>
          <cell r="J1307">
            <v>0</v>
          </cell>
          <cell r="K1307">
            <v>420</v>
          </cell>
          <cell r="L1307" t="str">
            <v>NEW BALANCE</v>
          </cell>
          <cell r="M1307" t="str">
            <v>Pr.Sch.R</v>
          </cell>
          <cell r="N1307" t="str">
            <v>DIE CUT</v>
          </cell>
          <cell r="O1307">
            <v>1</v>
          </cell>
          <cell r="P1307">
            <v>46114</v>
          </cell>
          <cell r="Q1307">
            <v>46129</v>
          </cell>
          <cell r="R1307">
            <v>46126</v>
          </cell>
          <cell r="S1307">
            <v>15</v>
          </cell>
          <cell r="T1307">
            <v>4</v>
          </cell>
          <cell r="U1307">
            <v>35</v>
          </cell>
          <cell r="V1307">
            <v>12</v>
          </cell>
          <cell r="W1307" t="str">
            <v>0.11D</v>
          </cell>
          <cell r="X1307" t="str">
            <v>4-2026</v>
          </cell>
          <cell r="Y1307" t="str">
            <v>Week 15</v>
          </cell>
          <cell r="Z1307">
            <v>46118</v>
          </cell>
          <cell r="AA1307">
            <v>238</v>
          </cell>
          <cell r="AB1307">
            <v>2.8570000000000002E-2</v>
          </cell>
        </row>
        <row r="1308">
          <cell r="A1308" t="str">
            <v>F-2026-04-25</v>
          </cell>
          <cell r="B1308"/>
          <cell r="C1308" t="str">
            <v>RPRO-260402-0707</v>
          </cell>
          <cell r="D1308" t="str">
            <v>Pro.sche.report 31.03+01.4</v>
          </cell>
          <cell r="E1308" t="str">
            <v>BDB-000113</v>
          </cell>
          <cell r="F1308" t="str">
            <v>PVN-003796</v>
          </cell>
          <cell r="G1308" t="str">
            <v>OrthoLite Regular-Hybrid SEEDPEARL/12-0703TPX Hybrid Flat Sheet 0.11D 25+/-4 Asker C 1.1M 2M 3.5mm</v>
          </cell>
          <cell r="H1308">
            <v>40</v>
          </cell>
          <cell r="I1308">
            <v>40</v>
          </cell>
          <cell r="J1308">
            <v>0</v>
          </cell>
          <cell r="K1308">
            <v>40</v>
          </cell>
          <cell r="L1308" t="str">
            <v>ASICS</v>
          </cell>
          <cell r="M1308" t="str">
            <v>Pr.Sch.R</v>
          </cell>
          <cell r="N1308" t="str">
            <v>DIE CUT</v>
          </cell>
          <cell r="O1308">
            <v>1</v>
          </cell>
          <cell r="P1308">
            <v>46114</v>
          </cell>
          <cell r="Q1308">
            <v>46125</v>
          </cell>
          <cell r="R1308">
            <v>46122</v>
          </cell>
          <cell r="S1308">
            <v>11</v>
          </cell>
          <cell r="T1308">
            <v>3.5</v>
          </cell>
          <cell r="U1308">
            <v>40</v>
          </cell>
          <cell r="V1308">
            <v>1</v>
          </cell>
          <cell r="W1308" t="str">
            <v>0.11D</v>
          </cell>
          <cell r="X1308" t="str">
            <v>4-2026</v>
          </cell>
          <cell r="Y1308" t="str">
            <v>Week 15</v>
          </cell>
          <cell r="Z1308">
            <v>46118</v>
          </cell>
          <cell r="AA1308">
            <v>238</v>
          </cell>
          <cell r="AB1308">
            <v>2.5000000000000001E-2</v>
          </cell>
        </row>
        <row r="1309">
          <cell r="A1309" t="str">
            <v>F-2026-04-26</v>
          </cell>
          <cell r="B1309"/>
          <cell r="C1309" t="str">
            <v>RPRO-260402-0708</v>
          </cell>
          <cell r="D1309" t="str">
            <v>Pro.sche.report 31.03+01.4</v>
          </cell>
          <cell r="E1309" t="str">
            <v>BDB-000154</v>
          </cell>
          <cell r="F1309" t="str">
            <v>PVN-003347</v>
          </cell>
          <cell r="G1309" t="str">
            <v>OrthoLite X-40-Nike TRUE BLUE/19-4057TPX Flat Sheet 0.16D 35+/-4 Asker C 1.1M 1.7M 4mm</v>
          </cell>
          <cell r="H1309">
            <v>1015</v>
          </cell>
          <cell r="I1309">
            <v>1015</v>
          </cell>
          <cell r="J1309">
            <v>0</v>
          </cell>
          <cell r="K1309">
            <v>1015</v>
          </cell>
          <cell r="L1309" t="str">
            <v>NIKE</v>
          </cell>
          <cell r="M1309" t="str">
            <v>Pr.Sch.R</v>
          </cell>
          <cell r="N1309" t="str">
            <v>LAMINATING</v>
          </cell>
          <cell r="O1309">
            <v>1</v>
          </cell>
          <cell r="P1309">
            <v>46114</v>
          </cell>
          <cell r="Q1309">
            <v>46125</v>
          </cell>
          <cell r="R1309">
            <v>46122</v>
          </cell>
          <cell r="S1309">
            <v>11</v>
          </cell>
          <cell r="T1309">
            <v>4</v>
          </cell>
          <cell r="U1309">
            <v>35</v>
          </cell>
          <cell r="V1309">
            <v>29</v>
          </cell>
          <cell r="W1309" t="str">
            <v>0.16D</v>
          </cell>
          <cell r="X1309" t="str">
            <v>4-2026</v>
          </cell>
          <cell r="Y1309" t="str">
            <v>Week 15</v>
          </cell>
          <cell r="Z1309">
            <v>46118</v>
          </cell>
          <cell r="AA1309">
            <v>238</v>
          </cell>
          <cell r="AB1309">
            <v>2.8570000000000002E-2</v>
          </cell>
        </row>
        <row r="1310">
          <cell r="A1310" t="str">
            <v>F-2026-04-27</v>
          </cell>
          <cell r="B1310"/>
          <cell r="C1310" t="str">
            <v>RPRO-260402-0709</v>
          </cell>
          <cell r="D1310" t="str">
            <v>Pro.sche.report 31.03+01.4</v>
          </cell>
          <cell r="E1310" t="str">
            <v>BDB-000334</v>
          </cell>
          <cell r="F1310" t="str">
            <v>PVN-004327</v>
          </cell>
          <cell r="G1310" t="str">
            <v>OrthoLite X-55-Hybrid FOSSIL/17-0909TPX Hybrid Flat Sheet 0.16D 25+/-4 Asker C 1.1M 2M 6mm</v>
          </cell>
          <cell r="H1310">
            <v>23</v>
          </cell>
          <cell r="I1310">
            <v>23</v>
          </cell>
          <cell r="J1310">
            <v>0</v>
          </cell>
          <cell r="K1310">
            <v>23</v>
          </cell>
          <cell r="L1310" t="str">
            <v>ASICS</v>
          </cell>
          <cell r="M1310" t="str">
            <v>Pr.Sch.R</v>
          </cell>
          <cell r="N1310" t="str">
            <v>MOLDED</v>
          </cell>
          <cell r="O1310">
            <v>1</v>
          </cell>
          <cell r="P1310">
            <v>46114</v>
          </cell>
          <cell r="Q1310">
            <v>46129</v>
          </cell>
          <cell r="R1310">
            <v>46126</v>
          </cell>
          <cell r="S1310">
            <v>15</v>
          </cell>
          <cell r="T1310">
            <v>6</v>
          </cell>
          <cell r="U1310">
            <v>23</v>
          </cell>
          <cell r="V1310">
            <v>2</v>
          </cell>
          <cell r="W1310" t="e">
            <v>#N/A</v>
          </cell>
          <cell r="X1310" t="str">
            <v>4-2026</v>
          </cell>
          <cell r="Y1310" t="str">
            <v>Week 15</v>
          </cell>
          <cell r="Z1310">
            <v>46118</v>
          </cell>
          <cell r="AA1310">
            <v>238</v>
          </cell>
          <cell r="AB1310">
            <v>4.1669999999999999E-2</v>
          </cell>
        </row>
        <row r="1311">
          <cell r="A1311" t="str">
            <v>F-2026-04-28</v>
          </cell>
          <cell r="B1311"/>
          <cell r="C1311" t="str">
            <v>RPRO-260402-0710</v>
          </cell>
          <cell r="D1311" t="str">
            <v>Pro.sche.report 31.03+01.4</v>
          </cell>
          <cell r="E1311" t="str">
            <v>BDB-000313</v>
          </cell>
          <cell r="F1311" t="str">
            <v>PVN-004061</v>
          </cell>
          <cell r="G1311" t="str">
            <v>OrthoLite X-55 RED/19-1764TPX Flat Sheet 0.16D 25+/-4 Asker C 1.1M 1.47M 18mm</v>
          </cell>
          <cell r="H1311">
            <v>189</v>
          </cell>
          <cell r="I1311">
            <v>189</v>
          </cell>
          <cell r="J1311">
            <v>0</v>
          </cell>
          <cell r="K1311">
            <v>189</v>
          </cell>
          <cell r="L1311" t="str">
            <v>WILSON</v>
          </cell>
          <cell r="M1311" t="str">
            <v>Pr.Sch.R</v>
          </cell>
          <cell r="N1311" t="str">
            <v>MOLDED</v>
          </cell>
          <cell r="O1311">
            <v>1</v>
          </cell>
          <cell r="P1311">
            <v>46114</v>
          </cell>
          <cell r="Q1311">
            <v>46127</v>
          </cell>
          <cell r="R1311">
            <v>46124</v>
          </cell>
          <cell r="S1311">
            <v>13</v>
          </cell>
          <cell r="T1311">
            <v>18</v>
          </cell>
          <cell r="U1311">
            <v>7</v>
          </cell>
          <cell r="V1311">
            <v>28</v>
          </cell>
          <cell r="W1311" t="e">
            <v>#N/A</v>
          </cell>
          <cell r="X1311" t="str">
            <v>4-2026</v>
          </cell>
          <cell r="Y1311" t="str">
            <v>Week 15</v>
          </cell>
          <cell r="Z1311">
            <v>46118</v>
          </cell>
          <cell r="AA1311">
            <v>238</v>
          </cell>
          <cell r="AB1311">
            <v>0.14285999999999999</v>
          </cell>
        </row>
        <row r="1312">
          <cell r="A1312" t="str">
            <v>F-2026-04-29</v>
          </cell>
          <cell r="B1312"/>
          <cell r="C1312" t="str">
            <v>RPRO-260402-0711</v>
          </cell>
          <cell r="D1312" t="str">
            <v>Pro.sche.report 31.03+01.4</v>
          </cell>
          <cell r="E1312" t="str">
            <v>BDB-000113</v>
          </cell>
          <cell r="F1312" t="str">
            <v>PVN-002515</v>
          </cell>
          <cell r="G1312" t="str">
            <v>OrthoLite Regular-Hybrid SEEDPEARL/12-0703TPX Hybrid Flat Sheet 0.11D 25+/-4 Asker C 1.1M 2M 11mm</v>
          </cell>
          <cell r="H1312">
            <v>12</v>
          </cell>
          <cell r="I1312">
            <v>12</v>
          </cell>
          <cell r="J1312">
            <v>0</v>
          </cell>
          <cell r="K1312">
            <v>12</v>
          </cell>
          <cell r="L1312" t="str">
            <v>ASICS</v>
          </cell>
          <cell r="M1312" t="str">
            <v>Pr.Sch.R</v>
          </cell>
          <cell r="N1312" t="str">
            <v>MOLDED</v>
          </cell>
          <cell r="O1312">
            <v>1</v>
          </cell>
          <cell r="P1312">
            <v>46114</v>
          </cell>
          <cell r="Q1312">
            <v>46122</v>
          </cell>
          <cell r="R1312">
            <v>46119</v>
          </cell>
          <cell r="S1312">
            <v>8</v>
          </cell>
          <cell r="T1312">
            <v>11</v>
          </cell>
          <cell r="U1312">
            <v>12</v>
          </cell>
          <cell r="V1312">
            <v>1</v>
          </cell>
          <cell r="W1312" t="str">
            <v>0.11D</v>
          </cell>
          <cell r="X1312" t="str">
            <v>4-2026</v>
          </cell>
          <cell r="Y1312" t="str">
            <v>Week 15</v>
          </cell>
          <cell r="Z1312">
            <v>46118</v>
          </cell>
          <cell r="AA1312">
            <v>238</v>
          </cell>
          <cell r="AB1312">
            <v>8.3330000000000001E-2</v>
          </cell>
        </row>
        <row r="1313">
          <cell r="A1313" t="str">
            <v>F-2026-04-30</v>
          </cell>
          <cell r="B1313"/>
          <cell r="C1313" t="str">
            <v>RPRO-260402-0712</v>
          </cell>
          <cell r="D1313" t="str">
            <v>Pro.sche.report 31.03+01.4</v>
          </cell>
          <cell r="E1313" t="str">
            <v>BDB-000301</v>
          </cell>
          <cell r="F1313" t="str">
            <v>PVN-004088</v>
          </cell>
          <cell r="G1313" t="str">
            <v>OrthoLite Regular NEUTRAL GRAY/17-4402TPX Flat Sheet 0.13D 35+/-4 Asker C 1.1M 2M 4.5mm</v>
          </cell>
          <cell r="H1313">
            <v>465</v>
          </cell>
          <cell r="I1313">
            <v>465</v>
          </cell>
          <cell r="J1313">
            <v>0</v>
          </cell>
          <cell r="K1313">
            <v>465</v>
          </cell>
          <cell r="L1313" t="str">
            <v>ADIDAS</v>
          </cell>
          <cell r="M1313" t="str">
            <v>Pr.Sch.R</v>
          </cell>
          <cell r="N1313" t="str">
            <v>MOLDED</v>
          </cell>
          <cell r="O1313">
            <v>1</v>
          </cell>
          <cell r="P1313">
            <v>46114</v>
          </cell>
          <cell r="Q1313">
            <v>46129</v>
          </cell>
          <cell r="R1313">
            <v>46126</v>
          </cell>
          <cell r="S1313">
            <v>15</v>
          </cell>
          <cell r="T1313">
            <v>4.5</v>
          </cell>
          <cell r="U1313">
            <v>31</v>
          </cell>
          <cell r="V1313">
            <v>16</v>
          </cell>
          <cell r="W1313" t="str">
            <v>0.13D</v>
          </cell>
          <cell r="X1313" t="str">
            <v>4-2026</v>
          </cell>
          <cell r="Y1313" t="str">
            <v>Week 15</v>
          </cell>
          <cell r="Z1313">
            <v>46118</v>
          </cell>
          <cell r="AA1313">
            <v>238</v>
          </cell>
          <cell r="AB1313">
            <v>3.2259999999999997E-2</v>
          </cell>
        </row>
        <row r="1314">
          <cell r="A1314" t="str">
            <v>F-2026-04-31</v>
          </cell>
          <cell r="B1314"/>
          <cell r="C1314" t="str">
            <v>RPRO-260402-0713</v>
          </cell>
          <cell r="D1314" t="str">
            <v>Pro.sche.report 31.03+01.4</v>
          </cell>
          <cell r="E1314" t="str">
            <v>BDB-000369</v>
          </cell>
          <cell r="F1314" t="str">
            <v>PVN-004291</v>
          </cell>
          <cell r="G1314" t="str">
            <v>OrthoLite X-40 GREY/17-1501TPX Flat Sheet 0.16D 35+/-4 Asker C 1.1M 1.7M 3.2mm</v>
          </cell>
          <cell r="H1314">
            <v>129</v>
          </cell>
          <cell r="I1314">
            <v>129</v>
          </cell>
          <cell r="J1314">
            <v>0</v>
          </cell>
          <cell r="K1314">
            <v>129</v>
          </cell>
          <cell r="L1314" t="str">
            <v>ADIDAS</v>
          </cell>
          <cell r="M1314" t="str">
            <v>Pr.Sch.R</v>
          </cell>
          <cell r="N1314" t="str">
            <v>MOLDED</v>
          </cell>
          <cell r="O1314">
            <v>1</v>
          </cell>
          <cell r="P1314">
            <v>46114</v>
          </cell>
          <cell r="Q1314">
            <v>46129</v>
          </cell>
          <cell r="R1314">
            <v>46126</v>
          </cell>
          <cell r="S1314">
            <v>15</v>
          </cell>
          <cell r="T1314">
            <v>3.2</v>
          </cell>
          <cell r="U1314">
            <v>43</v>
          </cell>
          <cell r="V1314">
            <v>4</v>
          </cell>
          <cell r="W1314" t="e">
            <v>#N/A</v>
          </cell>
          <cell r="X1314" t="str">
            <v>4-2026</v>
          </cell>
          <cell r="Y1314" t="str">
            <v>Week 15</v>
          </cell>
          <cell r="Z1314">
            <v>46118</v>
          </cell>
          <cell r="AA1314">
            <v>238</v>
          </cell>
          <cell r="AB1314">
            <v>2.3259999999999999E-2</v>
          </cell>
        </row>
        <row r="1315">
          <cell r="A1315" t="str">
            <v>F-2026-04-32</v>
          </cell>
          <cell r="B1315"/>
          <cell r="C1315" t="str">
            <v>RPRO-260402-0714</v>
          </cell>
          <cell r="D1315" t="str">
            <v>Pro.sche.report 31.03+01.4</v>
          </cell>
          <cell r="E1315" t="str">
            <v>BDB-000097</v>
          </cell>
          <cell r="F1315" t="str">
            <v>PVN-002473</v>
          </cell>
          <cell r="G1315" t="str">
            <v>OrthoLite Eco LT-Hybrid SEEDPEARL/12-0703TPX Hybrid Flat Sheet 0.11D 25+/-4 Asker C 1.1M 2M 5mm</v>
          </cell>
          <cell r="H1315">
            <v>308</v>
          </cell>
          <cell r="I1315">
            <v>308</v>
          </cell>
          <cell r="J1315">
            <v>0</v>
          </cell>
          <cell r="K1315">
            <v>308</v>
          </cell>
          <cell r="L1315" t="str">
            <v>NEW BALANCE</v>
          </cell>
          <cell r="M1315" t="str">
            <v>Pr.Sch.R</v>
          </cell>
          <cell r="N1315" t="str">
            <v>DIE CUT</v>
          </cell>
          <cell r="O1315">
            <v>1</v>
          </cell>
          <cell r="P1315">
            <v>46114</v>
          </cell>
          <cell r="Q1315">
            <v>46129</v>
          </cell>
          <cell r="R1315">
            <v>46126</v>
          </cell>
          <cell r="S1315">
            <v>15</v>
          </cell>
          <cell r="T1315">
            <v>5</v>
          </cell>
          <cell r="U1315">
            <v>28</v>
          </cell>
          <cell r="V1315">
            <v>11</v>
          </cell>
          <cell r="W1315" t="str">
            <v>0.11D</v>
          </cell>
          <cell r="X1315" t="str">
            <v>4-2026</v>
          </cell>
          <cell r="Y1315" t="str">
            <v>Week 15</v>
          </cell>
          <cell r="Z1315">
            <v>46118</v>
          </cell>
          <cell r="AA1315">
            <v>238</v>
          </cell>
          <cell r="AB1315">
            <v>3.5709999999999999E-2</v>
          </cell>
        </row>
        <row r="1316">
          <cell r="A1316" t="str">
            <v>F-2026-04-33</v>
          </cell>
          <cell r="B1316"/>
          <cell r="C1316" t="str">
            <v>RPRO-260403-0421</v>
          </cell>
          <cell r="D1316" t="str">
            <v>MPS 02.04</v>
          </cell>
          <cell r="E1316" t="str">
            <v>BDB-000011</v>
          </cell>
          <cell r="F1316" t="str">
            <v>PVN-000126</v>
          </cell>
          <cell r="G1316" t="str">
            <v>OrthoLite Regular AIR BLUE/16-4134TPX Flat Sheet 0.13D 35+/-4 Asker C 1.1M 2M 4mm</v>
          </cell>
          <cell r="H1316">
            <v>595</v>
          </cell>
          <cell r="I1316">
            <v>595</v>
          </cell>
          <cell r="J1316">
            <v>0</v>
          </cell>
          <cell r="K1316">
            <v>595</v>
          </cell>
          <cell r="L1316"/>
          <cell r="M1316" t="str">
            <v>MPS</v>
          </cell>
          <cell r="N1316" t="str">
            <v>SPLITTING</v>
          </cell>
          <cell r="O1316">
            <v>2</v>
          </cell>
          <cell r="P1316">
            <v>46115</v>
          </cell>
          <cell r="Q1316">
            <v>46126</v>
          </cell>
          <cell r="R1316">
            <v>46123</v>
          </cell>
          <cell r="S1316">
            <v>11</v>
          </cell>
          <cell r="T1316">
            <v>4</v>
          </cell>
          <cell r="U1316">
            <v>35</v>
          </cell>
          <cell r="V1316">
            <v>17</v>
          </cell>
          <cell r="W1316" t="str">
            <v>0.13D</v>
          </cell>
          <cell r="X1316" t="str">
            <v>4-2026</v>
          </cell>
          <cell r="Y1316" t="str">
            <v>Week 15</v>
          </cell>
          <cell r="Z1316">
            <v>46118</v>
          </cell>
          <cell r="AA1316">
            <v>11</v>
          </cell>
          <cell r="AB1316">
            <v>2.8570000000000002E-2</v>
          </cell>
        </row>
        <row r="1317">
          <cell r="A1317" t="str">
            <v>F-2026-04-34</v>
          </cell>
          <cell r="B1317"/>
          <cell r="C1317" t="str">
            <v>RPRO-260403-0422</v>
          </cell>
          <cell r="D1317" t="str">
            <v>MPS 02.04</v>
          </cell>
          <cell r="E1317" t="str">
            <v>BDB-000058</v>
          </cell>
          <cell r="F1317" t="str">
            <v>PVN-001277</v>
          </cell>
          <cell r="G1317" t="str">
            <v>OrthoLite Ultra GREEN/16-5932TPX Flat Sheet 0.085D 25+/-4 Asker C 1.1M 2M 4mm</v>
          </cell>
          <cell r="H1317">
            <v>1330</v>
          </cell>
          <cell r="I1317">
            <v>1330</v>
          </cell>
          <cell r="J1317">
            <v>0</v>
          </cell>
          <cell r="K1317">
            <v>1330</v>
          </cell>
          <cell r="L1317"/>
          <cell r="M1317" t="str">
            <v>MPS</v>
          </cell>
          <cell r="N1317" t="str">
            <v>SPLITTING</v>
          </cell>
          <cell r="O1317">
            <v>2</v>
          </cell>
          <cell r="P1317">
            <v>46115</v>
          </cell>
          <cell r="Q1317">
            <v>46130</v>
          </cell>
          <cell r="R1317">
            <v>46127</v>
          </cell>
          <cell r="S1317">
            <v>15</v>
          </cell>
          <cell r="T1317">
            <v>4</v>
          </cell>
          <cell r="U1317">
            <v>35</v>
          </cell>
          <cell r="V1317">
            <v>38</v>
          </cell>
          <cell r="W1317" t="str">
            <v>0.085D</v>
          </cell>
          <cell r="X1317" t="str">
            <v>4-2026</v>
          </cell>
          <cell r="Y1317" t="str">
            <v>Week 15</v>
          </cell>
          <cell r="Z1317">
            <v>46118</v>
          </cell>
          <cell r="AA1317">
            <v>11</v>
          </cell>
          <cell r="AB1317">
            <v>2.8570000000000002E-2</v>
          </cell>
        </row>
        <row r="1318">
          <cell r="A1318" t="str">
            <v>F-2026-04-35</v>
          </cell>
          <cell r="B1318"/>
          <cell r="C1318" t="str">
            <v>RPRO-260403-0423</v>
          </cell>
          <cell r="D1318" t="str">
            <v>MPS 02.04</v>
          </cell>
          <cell r="E1318" t="str">
            <v>BDB-000113</v>
          </cell>
          <cell r="F1318" t="str">
            <v>PVN-002501</v>
          </cell>
          <cell r="G1318" t="str">
            <v>OrthoLite Regular-Hybrid SEEDPEARL/12-0703TPX Hybrid Flat Sheet 0.11D 25+/-4 Asker C 1.1M 2M 2mm</v>
          </cell>
          <cell r="H1318">
            <v>560</v>
          </cell>
          <cell r="I1318">
            <v>560</v>
          </cell>
          <cell r="J1318">
            <v>0</v>
          </cell>
          <cell r="K1318">
            <v>560</v>
          </cell>
          <cell r="L1318"/>
          <cell r="M1318" t="str">
            <v>MPS</v>
          </cell>
          <cell r="N1318" t="str">
            <v>SPLITTING</v>
          </cell>
          <cell r="O1318">
            <v>2</v>
          </cell>
          <cell r="P1318">
            <v>46115</v>
          </cell>
          <cell r="Q1318">
            <v>46127</v>
          </cell>
          <cell r="R1318">
            <v>46124</v>
          </cell>
          <cell r="S1318">
            <v>12</v>
          </cell>
          <cell r="T1318">
            <v>2</v>
          </cell>
          <cell r="U1318">
            <v>70</v>
          </cell>
          <cell r="V1318">
            <v>9</v>
          </cell>
          <cell r="W1318" t="str">
            <v>0.11D</v>
          </cell>
          <cell r="X1318" t="str">
            <v>4-2026</v>
          </cell>
          <cell r="Y1318" t="str">
            <v>Week 15</v>
          </cell>
          <cell r="Z1318">
            <v>46118</v>
          </cell>
          <cell r="AA1318">
            <v>11</v>
          </cell>
          <cell r="AB1318">
            <v>1.4290000000000001E-2</v>
          </cell>
        </row>
        <row r="1319">
          <cell r="A1319" t="str">
            <v>F-2026-04-36</v>
          </cell>
          <cell r="B1319"/>
          <cell r="C1319" t="str">
            <v>RPRO-260403-0424</v>
          </cell>
          <cell r="D1319" t="str">
            <v>MPS 02.04</v>
          </cell>
          <cell r="E1319" t="str">
            <v>BDB-000113</v>
          </cell>
          <cell r="F1319" t="str">
            <v>PVN-003161</v>
          </cell>
          <cell r="G1319" t="str">
            <v>OrthoLite Regular-Hybrid SEEDPEARL/12-0703TPX Hybrid Flat Sheet 0.11D 25+/-4 Asker C 1.1M 2M 2.5mm</v>
          </cell>
          <cell r="H1319">
            <v>112</v>
          </cell>
          <cell r="I1319">
            <v>112</v>
          </cell>
          <cell r="J1319">
            <v>0</v>
          </cell>
          <cell r="K1319">
            <v>112</v>
          </cell>
          <cell r="L1319"/>
          <cell r="M1319" t="str">
            <v>MPS</v>
          </cell>
          <cell r="N1319" t="str">
            <v>SPLITTING</v>
          </cell>
          <cell r="O1319">
            <v>2</v>
          </cell>
          <cell r="P1319">
            <v>46115</v>
          </cell>
          <cell r="Q1319">
            <v>46130</v>
          </cell>
          <cell r="R1319">
            <v>46127</v>
          </cell>
          <cell r="S1319">
            <v>15</v>
          </cell>
          <cell r="T1319">
            <v>2.5</v>
          </cell>
          <cell r="U1319">
            <v>56</v>
          </cell>
          <cell r="V1319">
            <v>3</v>
          </cell>
          <cell r="W1319" t="str">
            <v>0.11D</v>
          </cell>
          <cell r="X1319" t="str">
            <v>4-2026</v>
          </cell>
          <cell r="Y1319" t="str">
            <v>Week 15</v>
          </cell>
          <cell r="Z1319">
            <v>46118</v>
          </cell>
          <cell r="AA1319">
            <v>7</v>
          </cell>
          <cell r="AB1319">
            <v>1.7860000000000001E-2</v>
          </cell>
        </row>
        <row r="1320">
          <cell r="A1320" t="str">
            <v>F-2026-04-37</v>
          </cell>
          <cell r="B1320"/>
          <cell r="C1320" t="str">
            <v>RPRO-260403-0425</v>
          </cell>
          <cell r="D1320" t="str">
            <v>MPS 02.04</v>
          </cell>
          <cell r="E1320" t="str">
            <v>BDB-000123</v>
          </cell>
          <cell r="F1320" t="str">
            <v>PVN-003300</v>
          </cell>
          <cell r="G1320" t="str">
            <v>OrthoLite Ultra-Hybrid SEEDPEARL/12-0703TPX Hybrid Flat Sheet 0.085D 25+/-4 Asker C 1.1M 2M 2mm</v>
          </cell>
          <cell r="H1320">
            <v>210</v>
          </cell>
          <cell r="I1320">
            <v>210</v>
          </cell>
          <cell r="J1320">
            <v>0</v>
          </cell>
          <cell r="K1320">
            <v>210</v>
          </cell>
          <cell r="L1320"/>
          <cell r="M1320" t="str">
            <v>MPS</v>
          </cell>
          <cell r="N1320" t="str">
            <v>SPLITTING</v>
          </cell>
          <cell r="O1320">
            <v>2</v>
          </cell>
          <cell r="P1320">
            <v>46115</v>
          </cell>
          <cell r="Q1320">
            <v>46126</v>
          </cell>
          <cell r="R1320">
            <v>46123</v>
          </cell>
          <cell r="S1320">
            <v>11</v>
          </cell>
          <cell r="T1320">
            <v>2</v>
          </cell>
          <cell r="U1320">
            <v>70</v>
          </cell>
          <cell r="V1320">
            <v>4</v>
          </cell>
          <cell r="W1320" t="str">
            <v>0.085D</v>
          </cell>
          <cell r="X1320" t="str">
            <v>4-2026</v>
          </cell>
          <cell r="Y1320" t="str">
            <v>Week 15</v>
          </cell>
          <cell r="Z1320">
            <v>46118</v>
          </cell>
          <cell r="AA1320">
            <v>7</v>
          </cell>
          <cell r="AB1320">
            <v>1.4290000000000001E-2</v>
          </cell>
        </row>
        <row r="1321">
          <cell r="A1321" t="str">
            <v>F-2026-04-38</v>
          </cell>
          <cell r="B1321"/>
          <cell r="C1321" t="str">
            <v>RPRO-260403-0426</v>
          </cell>
          <cell r="D1321" t="str">
            <v>MPS 02.04</v>
          </cell>
          <cell r="E1321" t="str">
            <v>BDB-000200</v>
          </cell>
          <cell r="F1321" t="str">
            <v>PVN-003418</v>
          </cell>
          <cell r="G1321" t="str">
            <v>OrthoLite Ultra SEEDPEARL/12-0703TPX Flat Sheet 0.085D 78-90 Asker F 1.1M 2M 5mm</v>
          </cell>
          <cell r="H1321">
            <v>140</v>
          </cell>
          <cell r="I1321">
            <v>140</v>
          </cell>
          <cell r="J1321">
            <v>0</v>
          </cell>
          <cell r="K1321">
            <v>140</v>
          </cell>
          <cell r="L1321"/>
          <cell r="M1321" t="str">
            <v>MPS</v>
          </cell>
          <cell r="N1321" t="str">
            <v>SPLITTING</v>
          </cell>
          <cell r="O1321">
            <v>2</v>
          </cell>
          <cell r="P1321">
            <v>46115</v>
          </cell>
          <cell r="Q1321">
            <v>46126</v>
          </cell>
          <cell r="R1321">
            <v>46123</v>
          </cell>
          <cell r="S1321">
            <v>11</v>
          </cell>
          <cell r="T1321">
            <v>5</v>
          </cell>
          <cell r="U1321">
            <v>28</v>
          </cell>
          <cell r="V1321">
            <v>5</v>
          </cell>
          <cell r="W1321" t="str">
            <v>0.085D</v>
          </cell>
          <cell r="X1321" t="str">
            <v>4-2026</v>
          </cell>
          <cell r="Y1321" t="str">
            <v>Week 15</v>
          </cell>
          <cell r="Z1321">
            <v>46118</v>
          </cell>
          <cell r="AA1321">
            <v>7</v>
          </cell>
          <cell r="AB1321">
            <v>3.5709999999999999E-2</v>
          </cell>
        </row>
        <row r="1322">
          <cell r="A1322" t="str">
            <v>F-2026-04-39</v>
          </cell>
          <cell r="B1322"/>
          <cell r="C1322" t="str">
            <v>RPRO-260403-0427</v>
          </cell>
          <cell r="D1322" t="str">
            <v>MPS 02.04</v>
          </cell>
          <cell r="E1322" t="str">
            <v>BDB-000200</v>
          </cell>
          <cell r="F1322" t="str">
            <v>PVN-003425</v>
          </cell>
          <cell r="G1322" t="str">
            <v>OrthoLite Ultra SEEDPEARL/12-0703TPX Flat Sheet 0.085D 78-90 Asker F 1.1M 2M 4mm</v>
          </cell>
          <cell r="H1322">
            <v>1750</v>
          </cell>
          <cell r="I1322">
            <v>1750</v>
          </cell>
          <cell r="J1322">
            <v>0</v>
          </cell>
          <cell r="K1322">
            <v>1750</v>
          </cell>
          <cell r="L1322"/>
          <cell r="M1322" t="str">
            <v>MPS</v>
          </cell>
          <cell r="N1322" t="str">
            <v>SPLITTING</v>
          </cell>
          <cell r="O1322">
            <v>2</v>
          </cell>
          <cell r="P1322">
            <v>46115</v>
          </cell>
          <cell r="Q1322">
            <v>46123</v>
          </cell>
          <cell r="R1322">
            <v>46120</v>
          </cell>
          <cell r="S1322">
            <v>8</v>
          </cell>
          <cell r="T1322">
            <v>4</v>
          </cell>
          <cell r="U1322">
            <v>35</v>
          </cell>
          <cell r="V1322">
            <v>50</v>
          </cell>
          <cell r="W1322" t="str">
            <v>0.085D</v>
          </cell>
          <cell r="X1322" t="str">
            <v>4-2026</v>
          </cell>
          <cell r="Y1322" t="str">
            <v>Week 15</v>
          </cell>
          <cell r="Z1322">
            <v>46118</v>
          </cell>
          <cell r="AA1322">
            <v>4</v>
          </cell>
          <cell r="AB1322">
            <v>2.8570000000000002E-2</v>
          </cell>
        </row>
        <row r="1323">
          <cell r="A1323" t="str">
            <v>F-2026-04-40</v>
          </cell>
          <cell r="B1323"/>
          <cell r="C1323" t="str">
            <v>RPRO-260403-0428</v>
          </cell>
          <cell r="D1323" t="str">
            <v>MPS 02.04</v>
          </cell>
          <cell r="E1323" t="str">
            <v>BDB-000002</v>
          </cell>
          <cell r="F1323" t="str">
            <v>PVN-003875</v>
          </cell>
          <cell r="G1323" t="str">
            <v>OrthoLite Regular YELLOW/13-0858TPX Flat Sheet 0.11D 15+/-4 Asker C 1.1M 2M 2mm</v>
          </cell>
          <cell r="H1323">
            <v>70</v>
          </cell>
          <cell r="I1323">
            <v>70</v>
          </cell>
          <cell r="J1323">
            <v>0</v>
          </cell>
          <cell r="K1323">
            <v>70</v>
          </cell>
          <cell r="L1323"/>
          <cell r="M1323" t="str">
            <v>MPS</v>
          </cell>
          <cell r="N1323" t="str">
            <v>SPLITTING</v>
          </cell>
          <cell r="O1323">
            <v>2</v>
          </cell>
          <cell r="P1323">
            <v>46115</v>
          </cell>
          <cell r="Q1323">
            <v>46126</v>
          </cell>
          <cell r="R1323">
            <v>46123</v>
          </cell>
          <cell r="S1323">
            <v>11</v>
          </cell>
          <cell r="T1323">
            <v>2</v>
          </cell>
          <cell r="U1323">
            <v>70</v>
          </cell>
          <cell r="V1323">
            <v>2</v>
          </cell>
          <cell r="W1323" t="str">
            <v>0.11D</v>
          </cell>
          <cell r="X1323" t="str">
            <v>4-2026</v>
          </cell>
          <cell r="Y1323" t="str">
            <v>Week 15</v>
          </cell>
          <cell r="Z1323">
            <v>46118</v>
          </cell>
          <cell r="AA1323">
            <v>16</v>
          </cell>
          <cell r="AB1323">
            <v>1.4290000000000001E-2</v>
          </cell>
        </row>
        <row r="1324">
          <cell r="A1324" t="str">
            <v>F-2026-04-41</v>
          </cell>
          <cell r="B1324"/>
          <cell r="C1324" t="str">
            <v>RPRO-260403-0429</v>
          </cell>
          <cell r="D1324" t="str">
            <v>Pro.sche.report 02.04</v>
          </cell>
          <cell r="E1324" t="str">
            <v>BDB-000346</v>
          </cell>
          <cell r="F1324" t="str">
            <v>PVN-004188</v>
          </cell>
          <cell r="G1324" t="str">
            <v>OrthoLite Float NEUTRAL GRAY/17-4402TPX Flat Sheet 0.12D 21+/-4 Asker C 1.1M 1.47M 5.5mm</v>
          </cell>
          <cell r="H1324">
            <v>25</v>
          </cell>
          <cell r="I1324">
            <v>25</v>
          </cell>
          <cell r="J1324">
            <v>0</v>
          </cell>
          <cell r="K1324">
            <v>25</v>
          </cell>
          <cell r="L1324" t="str">
            <v>PUMA</v>
          </cell>
          <cell r="M1324" t="str">
            <v>Pr.Sch.R</v>
          </cell>
          <cell r="N1324" t="str">
            <v>MOLDED</v>
          </cell>
          <cell r="O1324">
            <v>1</v>
          </cell>
          <cell r="P1324">
            <v>46115</v>
          </cell>
          <cell r="Q1324">
            <v>46127</v>
          </cell>
          <cell r="R1324">
            <v>46124</v>
          </cell>
          <cell r="S1324">
            <v>12</v>
          </cell>
          <cell r="T1324">
            <v>5.5</v>
          </cell>
          <cell r="U1324">
            <v>25</v>
          </cell>
          <cell r="V1324">
            <v>1</v>
          </cell>
          <cell r="W1324" t="e">
            <v>#N/A</v>
          </cell>
          <cell r="X1324" t="str">
            <v>4-2026</v>
          </cell>
          <cell r="Y1324" t="str">
            <v>Week 15</v>
          </cell>
          <cell r="Z1324">
            <v>46118</v>
          </cell>
          <cell r="AA1324">
            <v>16</v>
          </cell>
          <cell r="AB1324">
            <v>0.04</v>
          </cell>
        </row>
        <row r="1325">
          <cell r="A1325" t="str">
            <v>F-2026-04-42</v>
          </cell>
          <cell r="B1325"/>
          <cell r="C1325" t="str">
            <v>RPRO-260403-0430</v>
          </cell>
          <cell r="D1325" t="str">
            <v>Pro.sche.report 02.04</v>
          </cell>
          <cell r="E1325" t="str">
            <v>BDB-000039</v>
          </cell>
          <cell r="F1325" t="str">
            <v>PVN-002019</v>
          </cell>
          <cell r="G1325" t="str">
            <v>OrthoLite Regular NEUTRAL GRAY/17-4402TPX Flat Sheet 0.11D 25+/-4 Asker C 1.1M 2M 13mm</v>
          </cell>
          <cell r="H1325">
            <v>130</v>
          </cell>
          <cell r="I1325">
            <v>130</v>
          </cell>
          <cell r="J1325">
            <v>0</v>
          </cell>
          <cell r="K1325">
            <v>130</v>
          </cell>
          <cell r="L1325" t="str">
            <v>NEW BALANCE</v>
          </cell>
          <cell r="M1325" t="str">
            <v>Pr.Sch.R</v>
          </cell>
          <cell r="N1325" t="str">
            <v>MOLDED</v>
          </cell>
          <cell r="O1325">
            <v>1</v>
          </cell>
          <cell r="P1325">
            <v>46115</v>
          </cell>
          <cell r="Q1325">
            <v>46128</v>
          </cell>
          <cell r="R1325">
            <v>46125</v>
          </cell>
          <cell r="S1325">
            <v>13</v>
          </cell>
          <cell r="T1325">
            <v>13</v>
          </cell>
          <cell r="U1325">
            <v>10</v>
          </cell>
          <cell r="V1325">
            <v>13</v>
          </cell>
          <cell r="W1325" t="str">
            <v>0.11D</v>
          </cell>
          <cell r="X1325" t="str">
            <v>4-2026</v>
          </cell>
          <cell r="Y1325" t="str">
            <v>Week 15</v>
          </cell>
          <cell r="Z1325">
            <v>46118</v>
          </cell>
          <cell r="AA1325">
            <v>3</v>
          </cell>
          <cell r="AB1325">
            <v>0.1</v>
          </cell>
        </row>
        <row r="1326">
          <cell r="A1326" t="str">
            <v>F-2026-04-43</v>
          </cell>
          <cell r="B1326"/>
          <cell r="C1326" t="str">
            <v>RPRO-260403-0431</v>
          </cell>
          <cell r="D1326" t="str">
            <v>Pro.sche.report 02.04</v>
          </cell>
          <cell r="E1326" t="str">
            <v>BDB-000008</v>
          </cell>
          <cell r="F1326" t="str">
            <v>PVN-000505</v>
          </cell>
          <cell r="G1326" t="str">
            <v>OrthoLite Regular LIME GREEN/14-0452TPX Flat Sheet 0.11D 25+/-4 Asker C 1.1M 2M 12mm</v>
          </cell>
          <cell r="H1326">
            <v>77</v>
          </cell>
          <cell r="I1326">
            <v>77</v>
          </cell>
          <cell r="J1326">
            <v>0</v>
          </cell>
          <cell r="K1326">
            <v>77</v>
          </cell>
          <cell r="L1326" t="str">
            <v>ASICS</v>
          </cell>
          <cell r="M1326" t="str">
            <v>Pr.Sch.R</v>
          </cell>
          <cell r="N1326" t="str">
            <v>MOLDED</v>
          </cell>
          <cell r="O1326">
            <v>1</v>
          </cell>
          <cell r="P1326">
            <v>46115</v>
          </cell>
          <cell r="Q1326">
            <v>46130</v>
          </cell>
          <cell r="R1326">
            <v>46127</v>
          </cell>
          <cell r="S1326">
            <v>15</v>
          </cell>
          <cell r="T1326">
            <v>12</v>
          </cell>
          <cell r="U1326">
            <v>11.5</v>
          </cell>
          <cell r="V1326">
            <v>7</v>
          </cell>
          <cell r="W1326" t="str">
            <v>0.11D</v>
          </cell>
          <cell r="X1326" t="str">
            <v>4-2026</v>
          </cell>
          <cell r="Y1326" t="str">
            <v>Week 15</v>
          </cell>
          <cell r="Z1326">
            <v>46118</v>
          </cell>
          <cell r="AA1326">
            <v>45</v>
          </cell>
          <cell r="AB1326">
            <v>8.6959999999999996E-2</v>
          </cell>
        </row>
        <row r="1327">
          <cell r="A1327" t="str">
            <v>F-2026-04-44</v>
          </cell>
          <cell r="B1327"/>
          <cell r="C1327" t="str">
            <v>RPRO-260403-0432</v>
          </cell>
          <cell r="D1327" t="str">
            <v>Pro.sche.report 02.04</v>
          </cell>
          <cell r="E1327" t="str">
            <v>BDB-000011</v>
          </cell>
          <cell r="F1327" t="str">
            <v>PVN-000121</v>
          </cell>
          <cell r="G1327" t="str">
            <v>OrthoLite Regular AIR BLUE/16-4134TPX Flat Sheet 0.13D 35+/-4 Asker C 1.1M 2M 12mm</v>
          </cell>
          <cell r="H1327">
            <v>99</v>
          </cell>
          <cell r="I1327">
            <v>99</v>
          </cell>
          <cell r="J1327">
            <v>0</v>
          </cell>
          <cell r="K1327">
            <v>99</v>
          </cell>
          <cell r="L1327" t="str">
            <v>ASICS</v>
          </cell>
          <cell r="M1327" t="str">
            <v>Pr.Sch.R</v>
          </cell>
          <cell r="N1327" t="str">
            <v>MOLDED</v>
          </cell>
          <cell r="O1327">
            <v>1</v>
          </cell>
          <cell r="P1327">
            <v>46115</v>
          </cell>
          <cell r="Q1327">
            <v>46130</v>
          </cell>
          <cell r="R1327">
            <v>46127</v>
          </cell>
          <cell r="S1327">
            <v>15</v>
          </cell>
          <cell r="T1327">
            <v>12</v>
          </cell>
          <cell r="U1327">
            <v>11.5</v>
          </cell>
          <cell r="V1327">
            <v>9</v>
          </cell>
          <cell r="W1327" t="str">
            <v>0.13D</v>
          </cell>
          <cell r="X1327" t="str">
            <v>4-2026</v>
          </cell>
          <cell r="Y1327" t="str">
            <v>Week 15</v>
          </cell>
          <cell r="Z1327">
            <v>46118</v>
          </cell>
          <cell r="AA1327">
            <v>141</v>
          </cell>
          <cell r="AB1327">
            <v>8.6959999999999996E-2</v>
          </cell>
        </row>
        <row r="1328">
          <cell r="A1328" t="str">
            <v>F-2026-04-45</v>
          </cell>
          <cell r="B1328"/>
          <cell r="C1328" t="str">
            <v>RPRO-260403-0433</v>
          </cell>
          <cell r="D1328" t="str">
            <v>Pro.sche.report 02.04</v>
          </cell>
          <cell r="E1328" t="str">
            <v>BDB-000113</v>
          </cell>
          <cell r="F1328" t="str">
            <v>PVN-002699</v>
          </cell>
          <cell r="G1328" t="str">
            <v>OrthoLite Regular-Hybrid SEEDPEARL/12-0703TPX Hybrid Flat Sheet 0.11D 25+/-4 Asker C 1.1M 2M 4.5mm</v>
          </cell>
          <cell r="H1328">
            <v>62</v>
          </cell>
          <cell r="I1328">
            <v>62</v>
          </cell>
          <cell r="J1328">
            <v>0</v>
          </cell>
          <cell r="K1328">
            <v>62</v>
          </cell>
          <cell r="L1328" t="str">
            <v>ASICS</v>
          </cell>
          <cell r="M1328" t="str">
            <v>Pr.Sch.R</v>
          </cell>
          <cell r="N1328" t="str">
            <v>DIE CUT</v>
          </cell>
          <cell r="O1328">
            <v>1</v>
          </cell>
          <cell r="P1328">
            <v>46115</v>
          </cell>
          <cell r="Q1328">
            <v>46127</v>
          </cell>
          <cell r="R1328">
            <v>46124</v>
          </cell>
          <cell r="S1328">
            <v>12</v>
          </cell>
          <cell r="T1328">
            <v>4.5</v>
          </cell>
          <cell r="U1328">
            <v>31</v>
          </cell>
          <cell r="V1328">
            <v>3</v>
          </cell>
          <cell r="W1328" t="str">
            <v>0.11D</v>
          </cell>
          <cell r="X1328" t="str">
            <v>4-2026</v>
          </cell>
          <cell r="Y1328" t="str">
            <v>Week 15</v>
          </cell>
          <cell r="Z1328">
            <v>46118</v>
          </cell>
          <cell r="AA1328">
            <v>2</v>
          </cell>
          <cell r="AB1328">
            <v>3.2259999999999997E-2</v>
          </cell>
        </row>
        <row r="1329">
          <cell r="A1329" t="str">
            <v>F-2026-04-46</v>
          </cell>
          <cell r="B1329"/>
          <cell r="C1329" t="str">
            <v>RPRO-260403-0434</v>
          </cell>
          <cell r="D1329" t="str">
            <v>Pro.sche.report 02.04</v>
          </cell>
          <cell r="E1329" t="str">
            <v>BDB-000332</v>
          </cell>
          <cell r="F1329" t="str">
            <v>PVN-004146</v>
          </cell>
          <cell r="G1329" t="str">
            <v>OrthoLite X-25 CASTLEROCK/18-0201TPX Flat Sheet 0.12D 20+/-4 Asker C 1.1M 2M 5.5mm</v>
          </cell>
          <cell r="H1329">
            <v>325</v>
          </cell>
          <cell r="I1329">
            <v>325</v>
          </cell>
          <cell r="J1329">
            <v>0</v>
          </cell>
          <cell r="K1329">
            <v>325</v>
          </cell>
          <cell r="L1329" t="str">
            <v>ON RUNNING</v>
          </cell>
          <cell r="M1329" t="str">
            <v>Pr.Sch.R</v>
          </cell>
          <cell r="N1329" t="str">
            <v>MOLDED</v>
          </cell>
          <cell r="O1329">
            <v>1</v>
          </cell>
          <cell r="P1329">
            <v>46115</v>
          </cell>
          <cell r="Q1329">
            <v>46128</v>
          </cell>
          <cell r="R1329">
            <v>46125</v>
          </cell>
          <cell r="S1329">
            <v>13</v>
          </cell>
          <cell r="T1329">
            <v>5.5</v>
          </cell>
          <cell r="U1329">
            <v>25</v>
          </cell>
          <cell r="V1329">
            <v>13</v>
          </cell>
          <cell r="W1329" t="e">
            <v>#N/A</v>
          </cell>
          <cell r="X1329" t="str">
            <v>4-2026</v>
          </cell>
          <cell r="Y1329" t="str">
            <v>Week 15</v>
          </cell>
          <cell r="Z1329">
            <v>46118</v>
          </cell>
          <cell r="AA1329">
            <v>16</v>
          </cell>
          <cell r="AB1329">
            <v>0.04</v>
          </cell>
        </row>
        <row r="1330">
          <cell r="A1330" t="str">
            <v>F-2026-04-47</v>
          </cell>
          <cell r="B1330"/>
          <cell r="C1330" t="str">
            <v>RPRO-260403-0435</v>
          </cell>
          <cell r="D1330" t="str">
            <v>Pro.sche.report 02.04</v>
          </cell>
          <cell r="E1330" t="str">
            <v>BDB-000339</v>
          </cell>
          <cell r="F1330" t="str">
            <v>PVN-004178</v>
          </cell>
          <cell r="G1330" t="str">
            <v>OrthoLite Float NEUTRAL GRAY/17-4402TPX Flat Sheet 0.12D 21+/-4 Asker C 1.1M 2M 5.5mm</v>
          </cell>
          <cell r="H1330">
            <v>1875</v>
          </cell>
          <cell r="I1330">
            <v>1875</v>
          </cell>
          <cell r="J1330">
            <v>0</v>
          </cell>
          <cell r="K1330">
            <v>1875</v>
          </cell>
          <cell r="L1330" t="str">
            <v>PUMA</v>
          </cell>
          <cell r="M1330" t="str">
            <v>Pr.Sch.R</v>
          </cell>
          <cell r="N1330" t="str">
            <v>MOLDED</v>
          </cell>
          <cell r="O1330">
            <v>1</v>
          </cell>
          <cell r="P1330">
            <v>46115</v>
          </cell>
          <cell r="Q1330">
            <v>46130</v>
          </cell>
          <cell r="R1330">
            <v>46127</v>
          </cell>
          <cell r="S1330">
            <v>15</v>
          </cell>
          <cell r="T1330">
            <v>5.5</v>
          </cell>
          <cell r="U1330">
            <v>25</v>
          </cell>
          <cell r="V1330">
            <v>75</v>
          </cell>
          <cell r="W1330" t="e">
            <v>#N/A</v>
          </cell>
          <cell r="X1330" t="str">
            <v>4-2026</v>
          </cell>
          <cell r="Y1330" t="str">
            <v>Week 15</v>
          </cell>
          <cell r="Z1330">
            <v>46118</v>
          </cell>
          <cell r="AA1330">
            <v>23</v>
          </cell>
          <cell r="AB1330">
            <v>0.04</v>
          </cell>
        </row>
        <row r="1331">
          <cell r="A1331" t="str">
            <v>F-2026-04-48</v>
          </cell>
          <cell r="B1331"/>
          <cell r="C1331" t="str">
            <v>RPRO-260403-0436</v>
          </cell>
          <cell r="D1331" t="str">
            <v>Pro.sche.report 02.04</v>
          </cell>
          <cell r="E1331" t="str">
            <v>BDB-000213</v>
          </cell>
          <cell r="F1331" t="str">
            <v>PVN-003752</v>
          </cell>
          <cell r="G1331" t="str">
            <v>OrthoLite X-25-Hybrid SEEDPEARL/12-0703TPX Hybrid Flat Sheet 0.12D 20+/-4 Asker C 1.1M 1.47M 4.5mm</v>
          </cell>
          <cell r="H1331">
            <v>31</v>
          </cell>
          <cell r="I1331">
            <v>31</v>
          </cell>
          <cell r="J1331">
            <v>0</v>
          </cell>
          <cell r="K1331">
            <v>31</v>
          </cell>
          <cell r="L1331" t="str">
            <v>ON RUNNING</v>
          </cell>
          <cell r="M1331" t="str">
            <v>Pr.Sch.R</v>
          </cell>
          <cell r="N1331" t="str">
            <v>MOLDED</v>
          </cell>
          <cell r="O1331">
            <v>1</v>
          </cell>
          <cell r="P1331">
            <v>46115</v>
          </cell>
          <cell r="Q1331">
            <v>46130</v>
          </cell>
          <cell r="R1331">
            <v>46127</v>
          </cell>
          <cell r="S1331">
            <v>15</v>
          </cell>
          <cell r="T1331">
            <v>4.5</v>
          </cell>
          <cell r="U1331">
            <v>31</v>
          </cell>
          <cell r="V1331">
            <v>2</v>
          </cell>
          <cell r="W1331" t="str">
            <v>0.12D</v>
          </cell>
          <cell r="X1331" t="str">
            <v>4-2026</v>
          </cell>
          <cell r="Y1331" t="str">
            <v>Week 15</v>
          </cell>
          <cell r="Z1331">
            <v>46118</v>
          </cell>
          <cell r="AA1331">
            <v>19</v>
          </cell>
          <cell r="AB1331">
            <v>3.2259999999999997E-2</v>
          </cell>
        </row>
        <row r="1332">
          <cell r="A1332" t="str">
            <v>F-2026-04-49</v>
          </cell>
          <cell r="B1332"/>
          <cell r="C1332" t="str">
            <v>RPRO-260403-0437</v>
          </cell>
          <cell r="D1332" t="str">
            <v>Pro.sche.report 02.04</v>
          </cell>
          <cell r="E1332" t="str">
            <v>BDB-000058</v>
          </cell>
          <cell r="F1332" t="str">
            <v>PVN-001319</v>
          </cell>
          <cell r="G1332" t="str">
            <v>OrthoLite Ultra GREEN/16-5932TPX Flat Sheet 0.085D 25+/-4 Asker C 1.1M 2M 5mm</v>
          </cell>
          <cell r="H1332">
            <v>336</v>
          </cell>
          <cell r="I1332">
            <v>336</v>
          </cell>
          <cell r="J1332">
            <v>0</v>
          </cell>
          <cell r="K1332">
            <v>336</v>
          </cell>
          <cell r="L1332" t="str">
            <v>NEW BALANCE</v>
          </cell>
          <cell r="M1332" t="str">
            <v>Pr.Sch.R</v>
          </cell>
          <cell r="N1332" t="str">
            <v>DIE CUT</v>
          </cell>
          <cell r="O1332">
            <v>1</v>
          </cell>
          <cell r="P1332">
            <v>46115</v>
          </cell>
          <cell r="Q1332">
            <v>46126</v>
          </cell>
          <cell r="R1332">
            <v>46123</v>
          </cell>
          <cell r="S1332">
            <v>11</v>
          </cell>
          <cell r="T1332">
            <v>5</v>
          </cell>
          <cell r="U1332">
            <v>28</v>
          </cell>
          <cell r="V1332">
            <v>12</v>
          </cell>
          <cell r="W1332" t="str">
            <v>0.085D</v>
          </cell>
          <cell r="X1332" t="str">
            <v>4-2026</v>
          </cell>
          <cell r="Y1332" t="str">
            <v>Week 15</v>
          </cell>
          <cell r="Z1332">
            <v>46118</v>
          </cell>
          <cell r="AA1332">
            <v>237</v>
          </cell>
          <cell r="AB1332">
            <v>3.5709999999999999E-2</v>
          </cell>
        </row>
        <row r="1333">
          <cell r="A1333" t="str">
            <v>F-2026-04-50</v>
          </cell>
          <cell r="B1333"/>
          <cell r="C1333" t="str">
            <v>RPRO-260403-0438</v>
          </cell>
          <cell r="D1333" t="str">
            <v>Pro.sche.report 02.04</v>
          </cell>
          <cell r="E1333" t="str">
            <v>BDB-000339</v>
          </cell>
          <cell r="F1333" t="str">
            <v>PVN-004223</v>
          </cell>
          <cell r="G1333" t="str">
            <v>OrthoLite Float NEUTRAL GRAY/17-4402TPX Flat Sheet 0.12D 21+/-4 Asker C 1.1M 2M 5mm</v>
          </cell>
          <cell r="H1333">
            <v>28</v>
          </cell>
          <cell r="I1333">
            <v>28</v>
          </cell>
          <cell r="J1333">
            <v>0</v>
          </cell>
          <cell r="K1333">
            <v>28</v>
          </cell>
          <cell r="L1333" t="str">
            <v>PUMA</v>
          </cell>
          <cell r="M1333" t="str">
            <v>Pr.Sch.R</v>
          </cell>
          <cell r="N1333" t="str">
            <v>DIE CUT</v>
          </cell>
          <cell r="O1333">
            <v>1</v>
          </cell>
          <cell r="P1333">
            <v>46115</v>
          </cell>
          <cell r="Q1333">
            <v>46125</v>
          </cell>
          <cell r="R1333">
            <v>46122</v>
          </cell>
          <cell r="S1333">
            <v>10</v>
          </cell>
          <cell r="T1333">
            <v>5</v>
          </cell>
          <cell r="U1333">
            <v>28</v>
          </cell>
          <cell r="V1333">
            <v>1</v>
          </cell>
          <cell r="W1333" t="e">
            <v>#N/A</v>
          </cell>
          <cell r="X1333" t="str">
            <v>4-2026</v>
          </cell>
          <cell r="Y1333" t="str">
            <v>Week 15</v>
          </cell>
          <cell r="Z1333">
            <v>46118</v>
          </cell>
          <cell r="AA1333">
            <v>4</v>
          </cell>
          <cell r="AB1333">
            <v>3.5709999999999999E-2</v>
          </cell>
        </row>
        <row r="1334">
          <cell r="A1334" t="str">
            <v>F-2026-04-51</v>
          </cell>
          <cell r="B1334"/>
          <cell r="C1334" t="str">
            <v>RPRO-260403-0439</v>
          </cell>
          <cell r="D1334" t="str">
            <v>Pro.sche.report 02.04</v>
          </cell>
          <cell r="E1334" t="str">
            <v>BDB-000067</v>
          </cell>
          <cell r="F1334" t="str">
            <v>PVN-002129</v>
          </cell>
          <cell r="G1334" t="str">
            <v>OrthoLite Ultra SEEDPEARL/12-0703TPX Flat Sheet 0.085D 25+/-4 Asker C 1.1M 2M 6mm</v>
          </cell>
          <cell r="H1334">
            <v>23</v>
          </cell>
          <cell r="I1334">
            <v>23</v>
          </cell>
          <cell r="J1334">
            <v>0</v>
          </cell>
          <cell r="K1334">
            <v>23</v>
          </cell>
          <cell r="L1334" t="str">
            <v>BABOLAT</v>
          </cell>
          <cell r="M1334" t="str">
            <v>Pr.Sch.R</v>
          </cell>
          <cell r="N1334" t="str">
            <v>DIE CUT</v>
          </cell>
          <cell r="O1334">
            <v>1</v>
          </cell>
          <cell r="P1334">
            <v>46115</v>
          </cell>
          <cell r="Q1334">
            <v>46130</v>
          </cell>
          <cell r="R1334">
            <v>46127</v>
          </cell>
          <cell r="S1334">
            <v>15</v>
          </cell>
          <cell r="T1334">
            <v>6</v>
          </cell>
          <cell r="U1334">
            <v>23</v>
          </cell>
          <cell r="V1334">
            <v>2</v>
          </cell>
          <cell r="W1334" t="str">
            <v>0.085D</v>
          </cell>
          <cell r="X1334" t="str">
            <v>4-2026</v>
          </cell>
          <cell r="Y1334" t="str">
            <v>Week 15</v>
          </cell>
          <cell r="Z1334">
            <v>46118</v>
          </cell>
          <cell r="AA1334">
            <v>14</v>
          </cell>
          <cell r="AB1334">
            <v>4.3479999999999998E-2</v>
          </cell>
        </row>
        <row r="1335">
          <cell r="A1335" t="str">
            <v>F-2026-04-52</v>
          </cell>
          <cell r="B1335"/>
          <cell r="C1335" t="str">
            <v>RPRO-260403-0440</v>
          </cell>
          <cell r="D1335" t="str">
            <v>Pro.sche.report 02.04</v>
          </cell>
          <cell r="E1335" t="str">
            <v>BDB-000076</v>
          </cell>
          <cell r="F1335" t="str">
            <v>PVN-004119</v>
          </cell>
          <cell r="G1335" t="str">
            <v>OrthoLite X-25 BILLIARD/16-5427TPX Flat Sheet 0.12D 20+/-4 Asker C 1.1M 2M 6.5mm</v>
          </cell>
          <cell r="H1335">
            <v>42</v>
          </cell>
          <cell r="I1335">
            <v>42</v>
          </cell>
          <cell r="J1335">
            <v>0</v>
          </cell>
          <cell r="K1335">
            <v>42</v>
          </cell>
          <cell r="L1335" t="str">
            <v>ONE8</v>
          </cell>
          <cell r="M1335" t="str">
            <v>Pr.Sch.R</v>
          </cell>
          <cell r="N1335" t="str">
            <v>MOLDED</v>
          </cell>
          <cell r="O1335">
            <v>1</v>
          </cell>
          <cell r="P1335">
            <v>46115</v>
          </cell>
          <cell r="Q1335">
            <v>46126</v>
          </cell>
          <cell r="R1335">
            <v>46123</v>
          </cell>
          <cell r="S1335">
            <v>11</v>
          </cell>
          <cell r="T1335">
            <v>6.5</v>
          </cell>
          <cell r="U1335">
            <v>21</v>
          </cell>
          <cell r="V1335">
            <v>3</v>
          </cell>
          <cell r="W1335" t="str">
            <v>0.12D</v>
          </cell>
          <cell r="X1335" t="str">
            <v>4-2026</v>
          </cell>
          <cell r="Y1335" t="str">
            <v>Week 15</v>
          </cell>
          <cell r="Z1335">
            <v>46118</v>
          </cell>
          <cell r="AA1335">
            <v>133</v>
          </cell>
          <cell r="AB1335">
            <v>4.7620000000000003E-2</v>
          </cell>
        </row>
        <row r="1336">
          <cell r="A1336" t="str">
            <v>F-2026-04-53</v>
          </cell>
          <cell r="B1336"/>
          <cell r="C1336" t="str">
            <v>RPRO-260403-0441</v>
          </cell>
          <cell r="D1336" t="str">
            <v>Pro.sche.report 02.04</v>
          </cell>
          <cell r="E1336" t="str">
            <v>BDB-000217</v>
          </cell>
          <cell r="F1336" t="str">
            <v>PVN-003733</v>
          </cell>
          <cell r="G1336" t="str">
            <v>OrthoLite X-40-Hybrid SEEDPEARL/12-0703TPX Hybrid Flat Sheet 0.16D 35+/-4 Asker C 1.1M 1.7M 12.5mm</v>
          </cell>
          <cell r="H1336">
            <v>10</v>
          </cell>
          <cell r="I1336">
            <v>10</v>
          </cell>
          <cell r="J1336">
            <v>0</v>
          </cell>
          <cell r="K1336">
            <v>10</v>
          </cell>
          <cell r="L1336" t="str">
            <v>OBOZ</v>
          </cell>
          <cell r="M1336" t="str">
            <v>Pr.Sch.R</v>
          </cell>
          <cell r="N1336" t="str">
            <v>MOLDED</v>
          </cell>
          <cell r="O1336">
            <v>1</v>
          </cell>
          <cell r="P1336">
            <v>46115</v>
          </cell>
          <cell r="Q1336">
            <v>46122</v>
          </cell>
          <cell r="R1336">
            <v>46119</v>
          </cell>
          <cell r="S1336">
            <v>7</v>
          </cell>
          <cell r="T1336">
            <v>12.5</v>
          </cell>
          <cell r="U1336">
            <v>10</v>
          </cell>
          <cell r="V1336">
            <v>1</v>
          </cell>
          <cell r="W1336" t="str">
            <v>0.16D</v>
          </cell>
          <cell r="X1336" t="str">
            <v>4-2026</v>
          </cell>
          <cell r="Y1336" t="str">
            <v>Week 15</v>
          </cell>
          <cell r="Z1336">
            <v>46118</v>
          </cell>
          <cell r="AA1336">
            <v>127</v>
          </cell>
          <cell r="AB1336">
            <v>0.1</v>
          </cell>
        </row>
        <row r="1337">
          <cell r="A1337" t="str">
            <v>OIN-2026.03.31-01</v>
          </cell>
          <cell r="B1337" t="str">
            <v>Urgent/FCL</v>
          </cell>
          <cell r="C1337" t="str">
            <v>RPRO-260406-0116</v>
          </cell>
          <cell r="D1337" t="str">
            <v>OIN</v>
          </cell>
          <cell r="E1337" t="str">
            <v>BDB-000356</v>
          </cell>
          <cell r="F1337" t="str">
            <v>PVN-004232</v>
          </cell>
          <cell r="G1337" t="str">
            <v>[116-12300] Eco Lite 15+/-4 Asker C 0.11D Lime Green 14-0452 Tpx 1.10M X 2.00M 47mm</v>
          </cell>
          <cell r="H1337">
            <v>13</v>
          </cell>
          <cell r="I1337">
            <v>13</v>
          </cell>
          <cell r="J1337">
            <v>0</v>
          </cell>
          <cell r="K1337">
            <v>13</v>
          </cell>
          <cell r="L1337" t="str">
            <v>JOOP</v>
          </cell>
          <cell r="M1337" t="str">
            <v>PO-7005-SO-260402-0171</v>
          </cell>
          <cell r="N1337" t="str">
            <v>FLAT SHEET</v>
          </cell>
          <cell r="O1337">
            <v>2</v>
          </cell>
          <cell r="P1337">
            <v>46112</v>
          </cell>
          <cell r="Q1337">
            <v>46122</v>
          </cell>
          <cell r="R1337">
            <v>46119</v>
          </cell>
          <cell r="S1337">
            <v>10</v>
          </cell>
          <cell r="T1337">
            <v>47</v>
          </cell>
          <cell r="U1337">
            <v>3</v>
          </cell>
          <cell r="V1337">
            <v>5</v>
          </cell>
          <cell r="W1337" t="e">
            <v>#N/A</v>
          </cell>
          <cell r="X1337" t="str">
            <v>4-2026</v>
          </cell>
          <cell r="Y1337" t="str">
            <v>Week 15</v>
          </cell>
          <cell r="Z1337">
            <v>46118</v>
          </cell>
          <cell r="AA1337">
            <v>284</v>
          </cell>
          <cell r="AB1337">
            <v>0.33333000000000002</v>
          </cell>
        </row>
        <row r="1338">
          <cell r="A1338" t="str">
            <v>OIN-2026.03.31-02</v>
          </cell>
          <cell r="B1338" t="str">
            <v>Urgent/FCL</v>
          </cell>
          <cell r="C1338" t="str">
            <v>RPRO-260406-0141</v>
          </cell>
          <cell r="D1338" t="str">
            <v>OIN</v>
          </cell>
          <cell r="E1338" t="str">
            <v>BDB-000058</v>
          </cell>
          <cell r="F1338" t="str">
            <v>PVN-003780</v>
          </cell>
          <cell r="G1338" t="str">
            <v>[116-361] Ultra 25+/-4 Asker C 0.085D Green 16-5932 Tpx 1.10M X 2.00M 47mm</v>
          </cell>
          <cell r="H1338">
            <v>108</v>
          </cell>
          <cell r="I1338">
            <v>108</v>
          </cell>
          <cell r="J1338">
            <v>0</v>
          </cell>
          <cell r="K1338">
            <v>108</v>
          </cell>
          <cell r="L1338" t="str">
            <v>ADIDAS</v>
          </cell>
          <cell r="M1338" t="str">
            <v>PO-7005-SO-260402-0172</v>
          </cell>
          <cell r="N1338" t="str">
            <v>FLAT SHEET</v>
          </cell>
          <cell r="O1338">
            <v>2</v>
          </cell>
          <cell r="P1338">
            <v>46112</v>
          </cell>
          <cell r="Q1338">
            <v>46122</v>
          </cell>
          <cell r="R1338">
            <v>46119</v>
          </cell>
          <cell r="S1338">
            <v>10</v>
          </cell>
          <cell r="T1338">
            <v>47</v>
          </cell>
          <cell r="U1338">
            <v>3</v>
          </cell>
          <cell r="V1338">
            <v>36</v>
          </cell>
          <cell r="W1338" t="str">
            <v>0.085D</v>
          </cell>
          <cell r="X1338" t="str">
            <v>4-2026</v>
          </cell>
          <cell r="Y1338" t="str">
            <v>Week 15</v>
          </cell>
          <cell r="Z1338">
            <v>46118</v>
          </cell>
          <cell r="AA1338">
            <v>114</v>
          </cell>
          <cell r="AB1338">
            <v>0.33333000000000002</v>
          </cell>
        </row>
        <row r="1339">
          <cell r="A1339" t="str">
            <v>OIN-2026.04.02-01</v>
          </cell>
          <cell r="B1339" t="str">
            <v>Urgent/LCL</v>
          </cell>
          <cell r="C1339" t="str">
            <v>RPRO-260406-0169</v>
          </cell>
          <cell r="D1339" t="str">
            <v>OIN</v>
          </cell>
          <cell r="E1339" t="str">
            <v>BDB-000058</v>
          </cell>
          <cell r="F1339" t="str">
            <v>PVN-003780</v>
          </cell>
          <cell r="G1339" t="str">
            <v>[116-361] Ultra 25+/-4 Asker C 0.085D Green 16-5932 Tpx 1.10M X 2.00M 47mm</v>
          </cell>
          <cell r="H1339">
            <v>106</v>
          </cell>
          <cell r="I1339">
            <v>106</v>
          </cell>
          <cell r="J1339">
            <v>0</v>
          </cell>
          <cell r="K1339">
            <v>106</v>
          </cell>
          <cell r="L1339" t="str">
            <v>ADIDAS</v>
          </cell>
          <cell r="M1339" t="str">
            <v>PO-7012-SO-260403-0144</v>
          </cell>
          <cell r="N1339" t="str">
            <v>FLAT SHEET</v>
          </cell>
          <cell r="O1339">
            <v>2</v>
          </cell>
          <cell r="P1339">
            <v>46114</v>
          </cell>
          <cell r="Q1339">
            <v>46129</v>
          </cell>
          <cell r="R1339">
            <v>46126</v>
          </cell>
          <cell r="S1339">
            <v>15</v>
          </cell>
          <cell r="T1339">
            <v>47</v>
          </cell>
          <cell r="U1339">
            <v>3</v>
          </cell>
          <cell r="V1339">
            <v>36</v>
          </cell>
          <cell r="W1339" t="str">
            <v>0.085D</v>
          </cell>
          <cell r="X1339" t="str">
            <v>4-2026</v>
          </cell>
          <cell r="Y1339" t="str">
            <v>Week 15</v>
          </cell>
          <cell r="Z1339">
            <v>46118</v>
          </cell>
          <cell r="AA1339">
            <v>162</v>
          </cell>
          <cell r="AB1339">
            <v>0.33333000000000002</v>
          </cell>
        </row>
        <row r="1340">
          <cell r="A1340" t="str">
            <v>F-2026-04-54</v>
          </cell>
          <cell r="B1340"/>
          <cell r="C1340" t="str">
            <v>FPRO-260401-0001</v>
          </cell>
          <cell r="D1340" t="str">
            <v>Firm plan 01.04</v>
          </cell>
          <cell r="E1340" t="str">
            <v>BDB-000123</v>
          </cell>
          <cell r="F1340" t="str">
            <v>PVN-002973</v>
          </cell>
          <cell r="G1340" t="str">
            <v>OrthoLite Ultra-Hybrid SEEDPEARL/12-0703TPX Hybrid 0.085D 25+/-4 Asker C 1.1M 2M 4.5mm</v>
          </cell>
          <cell r="H1340">
            <v>41</v>
          </cell>
          <cell r="I1340">
            <v>41</v>
          </cell>
          <cell r="J1340">
            <v>0</v>
          </cell>
          <cell r="K1340">
            <v>41</v>
          </cell>
          <cell r="L1340" t="str">
            <v>SALOMON</v>
          </cell>
          <cell r="M1340" t="str">
            <v>Forecast</v>
          </cell>
          <cell r="N1340" t="str">
            <v>MOLDED</v>
          </cell>
          <cell r="O1340">
            <v>1</v>
          </cell>
          <cell r="P1340">
            <v>46113</v>
          </cell>
          <cell r="Q1340">
            <v>46134</v>
          </cell>
          <cell r="R1340">
            <v>46131</v>
          </cell>
          <cell r="S1340">
            <v>21</v>
          </cell>
          <cell r="T1340">
            <v>4.5</v>
          </cell>
          <cell r="U1340">
            <v>31</v>
          </cell>
          <cell r="V1340">
            <v>2</v>
          </cell>
          <cell r="W1340" t="str">
            <v>0.085D</v>
          </cell>
          <cell r="X1340" t="str">
            <v>4-2026</v>
          </cell>
          <cell r="Y1340" t="str">
            <v>Week 16</v>
          </cell>
          <cell r="Z1340">
            <v>46125</v>
          </cell>
          <cell r="AA1340">
            <v>25</v>
          </cell>
          <cell r="AB1340">
            <v>3.2259999999999997E-2</v>
          </cell>
        </row>
        <row r="1341">
          <cell r="A1341" t="str">
            <v>F-2026-04-55</v>
          </cell>
          <cell r="B1341"/>
          <cell r="C1341" t="str">
            <v>FPRO-260401-0003</v>
          </cell>
          <cell r="D1341" t="str">
            <v>Firm plan 01.04</v>
          </cell>
          <cell r="E1341" t="str">
            <v>BDB-000076</v>
          </cell>
          <cell r="F1341" t="str">
            <v>PVN-004091</v>
          </cell>
          <cell r="G1341" t="str">
            <v>OrthoLite X-25 BILLIARD/16-5427TPX Flat Sheet 0.12D 20+/-4 Asker C 1.1M 2M 3.5mm</v>
          </cell>
          <cell r="H1341">
            <v>670</v>
          </cell>
          <cell r="I1341">
            <v>670</v>
          </cell>
          <cell r="J1341">
            <v>0</v>
          </cell>
          <cell r="K1341">
            <v>670</v>
          </cell>
          <cell r="L1341" t="str">
            <v>BROOKS</v>
          </cell>
          <cell r="M1341" t="str">
            <v>Forecast</v>
          </cell>
          <cell r="N1341" t="str">
            <v>MOLDED</v>
          </cell>
          <cell r="O1341">
            <v>1</v>
          </cell>
          <cell r="P1341">
            <v>46113</v>
          </cell>
          <cell r="Q1341">
            <v>46136</v>
          </cell>
          <cell r="R1341">
            <v>46133</v>
          </cell>
          <cell r="S1341">
            <v>23</v>
          </cell>
          <cell r="T1341">
            <v>3.5</v>
          </cell>
          <cell r="U1341">
            <v>40</v>
          </cell>
          <cell r="V1341">
            <v>17</v>
          </cell>
          <cell r="W1341" t="str">
            <v>0.12D</v>
          </cell>
          <cell r="X1341" t="str">
            <v>4-2026</v>
          </cell>
          <cell r="Y1341" t="str">
            <v>Week 16</v>
          </cell>
          <cell r="Z1341">
            <v>46125</v>
          </cell>
          <cell r="AA1341">
            <v>84</v>
          </cell>
          <cell r="AB1341">
            <v>2.5000000000000001E-2</v>
          </cell>
        </row>
        <row r="1342">
          <cell r="A1342" t="str">
            <v>F-2026-04-56-1</v>
          </cell>
          <cell r="B1342"/>
          <cell r="C1342" t="str">
            <v>FPRO-260401-0004</v>
          </cell>
          <cell r="D1342" t="str">
            <v>Firm plan 01.04</v>
          </cell>
          <cell r="E1342" t="str">
            <v>BDB-000123</v>
          </cell>
          <cell r="F1342" t="str">
            <v>PVN-002539</v>
          </cell>
          <cell r="G1342" t="str">
            <v>OrthoLite Ultra-Hybrid SEEDPEARL/12-0703TPX Hybrid Flat Sheet 0.085D 25+/-4 Asker C 1.1M 2M 5mm</v>
          </cell>
          <cell r="H1342">
            <v>1000</v>
          </cell>
          <cell r="I1342">
            <v>500</v>
          </cell>
          <cell r="J1342">
            <v>0</v>
          </cell>
          <cell r="K1342">
            <v>500</v>
          </cell>
          <cell r="L1342" t="str">
            <v>BROOKS</v>
          </cell>
          <cell r="M1342" t="str">
            <v>Forecast</v>
          </cell>
          <cell r="N1342" t="str">
            <v>DIE CUT</v>
          </cell>
          <cell r="O1342">
            <v>1</v>
          </cell>
          <cell r="P1342">
            <v>46113</v>
          </cell>
          <cell r="Q1342">
            <v>46167</v>
          </cell>
          <cell r="R1342">
            <v>46164</v>
          </cell>
          <cell r="S1342">
            <v>54</v>
          </cell>
          <cell r="T1342">
            <v>5</v>
          </cell>
          <cell r="U1342">
            <v>28</v>
          </cell>
          <cell r="V1342">
            <v>18</v>
          </cell>
          <cell r="W1342" t="str">
            <v>0.085D</v>
          </cell>
          <cell r="X1342" t="str">
            <v>5-2026</v>
          </cell>
          <cell r="Y1342" t="str">
            <v>Week 21</v>
          </cell>
          <cell r="Z1342">
            <v>46160</v>
          </cell>
          <cell r="AA1342">
            <v>89</v>
          </cell>
          <cell r="AB1342">
            <v>3.5709999999999999E-2</v>
          </cell>
        </row>
        <row r="1343">
          <cell r="A1343" t="str">
            <v>F-2026-04-56-2</v>
          </cell>
          <cell r="B1343"/>
          <cell r="C1343" t="str">
            <v>FPRO-260401-0004</v>
          </cell>
          <cell r="D1343" t="str">
            <v>Firm plan 01.04</v>
          </cell>
          <cell r="E1343" t="str">
            <v>BDB-000123</v>
          </cell>
          <cell r="F1343" t="str">
            <v>PVN-002539</v>
          </cell>
          <cell r="G1343" t="str">
            <v>OrthoLite Ultra-Hybrid SEEDPEARL/12-0703TPX Hybrid Flat Sheet 0.085D 25+/-4 Asker C 1.1M 2M 5mm</v>
          </cell>
          <cell r="H1343">
            <v>1000</v>
          </cell>
          <cell r="I1343">
            <v>500</v>
          </cell>
          <cell r="J1343">
            <v>0</v>
          </cell>
          <cell r="K1343">
            <v>500</v>
          </cell>
          <cell r="L1343" t="str">
            <v>BROOKS</v>
          </cell>
          <cell r="M1343" t="str">
            <v>Forecast</v>
          </cell>
          <cell r="N1343" t="str">
            <v>DIE CUT</v>
          </cell>
          <cell r="O1343">
            <v>1</v>
          </cell>
          <cell r="P1343">
            <v>46113</v>
          </cell>
          <cell r="Q1343">
            <v>46174</v>
          </cell>
          <cell r="R1343">
            <v>46171</v>
          </cell>
          <cell r="S1343">
            <v>61</v>
          </cell>
          <cell r="T1343">
            <v>5</v>
          </cell>
          <cell r="U1343">
            <v>28</v>
          </cell>
          <cell r="V1343">
            <v>18</v>
          </cell>
          <cell r="W1343" t="str">
            <v>0.085D</v>
          </cell>
          <cell r="X1343" t="str">
            <v>6-2026</v>
          </cell>
          <cell r="Y1343" t="str">
            <v>Week 22</v>
          </cell>
          <cell r="Z1343">
            <v>46167</v>
          </cell>
          <cell r="AA1343">
            <v>60</v>
          </cell>
          <cell r="AB1343">
            <v>3.5709999999999999E-2</v>
          </cell>
        </row>
        <row r="1344">
          <cell r="A1344" t="str">
            <v>F-2026-04-57</v>
          </cell>
          <cell r="B1344"/>
          <cell r="C1344" t="str">
            <v>FPRO-260401-0005</v>
          </cell>
          <cell r="D1344" t="str">
            <v>Firm plan 01.04</v>
          </cell>
          <cell r="E1344" t="str">
            <v>BDB-000123</v>
          </cell>
          <cell r="F1344" t="str">
            <v>PVN-002539</v>
          </cell>
          <cell r="G1344" t="str">
            <v>OrthoLite Ultra-Hybrid SEEDPEARL/12-0703TPX Hybrid Flat Sheet 0.085D 25+/-4 Asker C 1.1M 2M 5mm</v>
          </cell>
          <cell r="H1344">
            <v>800</v>
          </cell>
          <cell r="I1344">
            <v>800</v>
          </cell>
          <cell r="J1344">
            <v>0</v>
          </cell>
          <cell r="K1344">
            <v>800</v>
          </cell>
          <cell r="L1344" t="str">
            <v>BROOKS</v>
          </cell>
          <cell r="M1344" t="str">
            <v>Forecast</v>
          </cell>
          <cell r="N1344" t="str">
            <v>DIE CUT</v>
          </cell>
          <cell r="O1344">
            <v>1</v>
          </cell>
          <cell r="P1344">
            <v>46113</v>
          </cell>
          <cell r="Q1344">
            <v>46160</v>
          </cell>
          <cell r="R1344">
            <v>46157</v>
          </cell>
          <cell r="S1344">
            <v>47</v>
          </cell>
          <cell r="T1344">
            <v>5</v>
          </cell>
          <cell r="U1344">
            <v>28</v>
          </cell>
          <cell r="V1344">
            <v>29</v>
          </cell>
          <cell r="W1344" t="str">
            <v>0.085D</v>
          </cell>
          <cell r="X1344" t="str">
            <v>5-2026</v>
          </cell>
          <cell r="Y1344" t="str">
            <v>Week 20</v>
          </cell>
          <cell r="Z1344">
            <v>46153</v>
          </cell>
          <cell r="AA1344">
            <v>60</v>
          </cell>
          <cell r="AB1344">
            <v>3.5709999999999999E-2</v>
          </cell>
        </row>
        <row r="1345">
          <cell r="A1345" t="str">
            <v>F-2026-04-58</v>
          </cell>
          <cell r="B1345"/>
          <cell r="C1345" t="str">
            <v>FPRO-260401-0006</v>
          </cell>
          <cell r="D1345" t="str">
            <v>Firm plan 01.04</v>
          </cell>
          <cell r="E1345" t="str">
            <v>BDB-000209</v>
          </cell>
          <cell r="F1345" t="str">
            <v>PVN-003462</v>
          </cell>
          <cell r="G1345" t="str">
            <v>OrthoLite HybridPlus-Recycled MINT GREEN/11-4805TPX Hybrid 0.12D 25+/-4 Asker C 1.1M 2M 12mm</v>
          </cell>
          <cell r="H1345">
            <v>500</v>
          </cell>
          <cell r="I1345">
            <v>500</v>
          </cell>
          <cell r="J1345">
            <v>0</v>
          </cell>
          <cell r="K1345">
            <v>500</v>
          </cell>
          <cell r="L1345" t="str">
            <v>BROOKS</v>
          </cell>
          <cell r="M1345" t="str">
            <v>Forecast</v>
          </cell>
          <cell r="N1345" t="str">
            <v>MOLDED</v>
          </cell>
          <cell r="O1345">
            <v>1</v>
          </cell>
          <cell r="P1345">
            <v>46113</v>
          </cell>
          <cell r="Q1345">
            <v>46137</v>
          </cell>
          <cell r="R1345">
            <v>46134</v>
          </cell>
          <cell r="S1345">
            <v>24</v>
          </cell>
          <cell r="T1345">
            <v>12</v>
          </cell>
          <cell r="U1345">
            <v>11</v>
          </cell>
          <cell r="V1345">
            <v>46</v>
          </cell>
          <cell r="W1345" t="str">
            <v>0.12D</v>
          </cell>
          <cell r="X1345" t="str">
            <v>4-2026</v>
          </cell>
          <cell r="Y1345" t="str">
            <v>Week 17</v>
          </cell>
          <cell r="Z1345">
            <v>46132</v>
          </cell>
          <cell r="AA1345">
            <v>136</v>
          </cell>
          <cell r="AB1345">
            <v>9.0910000000000005E-2</v>
          </cell>
        </row>
        <row r="1346">
          <cell r="A1346" t="str">
            <v>F-2026-04-59</v>
          </cell>
          <cell r="B1346"/>
          <cell r="C1346" t="str">
            <v>FPRO-260401-0007</v>
          </cell>
          <cell r="D1346" t="str">
            <v>Firm plan 01.04</v>
          </cell>
          <cell r="E1346" t="str">
            <v>BDB-000209</v>
          </cell>
          <cell r="F1346" t="str">
            <v>PVN-003462</v>
          </cell>
          <cell r="G1346" t="str">
            <v>OrthoLite HybridPlus-Recycled MINT GREEN/11-4805TPX Hybrid 0.12D 25+/-4 Asker C 1.1M 2M 12mm</v>
          </cell>
          <cell r="H1346">
            <v>500</v>
          </cell>
          <cell r="I1346">
            <v>500</v>
          </cell>
          <cell r="J1346">
            <v>0</v>
          </cell>
          <cell r="K1346">
            <v>500</v>
          </cell>
          <cell r="L1346" t="str">
            <v>BROOKS</v>
          </cell>
          <cell r="M1346" t="str">
            <v>Forecast</v>
          </cell>
          <cell r="N1346" t="str">
            <v>MOLDED</v>
          </cell>
          <cell r="O1346">
            <v>1</v>
          </cell>
          <cell r="P1346">
            <v>46113</v>
          </cell>
          <cell r="Q1346">
            <v>46151</v>
          </cell>
          <cell r="R1346">
            <v>46148</v>
          </cell>
          <cell r="S1346">
            <v>38</v>
          </cell>
          <cell r="T1346">
            <v>12</v>
          </cell>
          <cell r="U1346">
            <v>11</v>
          </cell>
          <cell r="V1346">
            <v>46</v>
          </cell>
          <cell r="W1346" t="str">
            <v>0.12D</v>
          </cell>
          <cell r="X1346" t="str">
            <v>5-2026</v>
          </cell>
          <cell r="Y1346" t="str">
            <v>Week 19</v>
          </cell>
          <cell r="Z1346">
            <v>46146</v>
          </cell>
          <cell r="AA1346">
            <v>111</v>
          </cell>
          <cell r="AB1346">
            <v>9.0910000000000005E-2</v>
          </cell>
        </row>
        <row r="1347">
          <cell r="A1347" t="str">
            <v>F-2026-04-60</v>
          </cell>
          <cell r="B1347"/>
          <cell r="C1347" t="str">
            <v>FPRO-260401-0008</v>
          </cell>
          <cell r="D1347" t="str">
            <v>Firm plan 01.04</v>
          </cell>
          <cell r="E1347" t="str">
            <v>BDB-000209</v>
          </cell>
          <cell r="F1347" t="str">
            <v>PVN-003462</v>
          </cell>
          <cell r="G1347" t="str">
            <v>OrthoLite HybridPlus-Recycled MINT GREEN/11-4805TPX Hybrid 0.12D 25+/-4 Asker C 1.1M 2M 12mm</v>
          </cell>
          <cell r="H1347">
            <v>300</v>
          </cell>
          <cell r="I1347">
            <v>300</v>
          </cell>
          <cell r="J1347">
            <v>0</v>
          </cell>
          <cell r="K1347">
            <v>300</v>
          </cell>
          <cell r="L1347" t="str">
            <v>BROOKS</v>
          </cell>
          <cell r="M1347" t="str">
            <v>Forecast</v>
          </cell>
          <cell r="N1347" t="str">
            <v>MOLDED</v>
          </cell>
          <cell r="O1347">
            <v>1</v>
          </cell>
          <cell r="P1347">
            <v>46113</v>
          </cell>
          <cell r="Q1347">
            <v>46160</v>
          </cell>
          <cell r="R1347">
            <v>46157</v>
          </cell>
          <cell r="S1347">
            <v>47</v>
          </cell>
          <cell r="T1347">
            <v>12</v>
          </cell>
          <cell r="U1347">
            <v>11</v>
          </cell>
          <cell r="V1347">
            <v>28</v>
          </cell>
          <cell r="W1347" t="str">
            <v>0.12D</v>
          </cell>
          <cell r="X1347" t="str">
            <v>5-2026</v>
          </cell>
          <cell r="Y1347" t="str">
            <v>Week 20</v>
          </cell>
          <cell r="Z1347">
            <v>46153</v>
          </cell>
          <cell r="AA1347">
            <v>16</v>
          </cell>
          <cell r="AB1347">
            <v>9.0910000000000005E-2</v>
          </cell>
        </row>
        <row r="1348">
          <cell r="A1348" t="str">
            <v>F-2026-04-61</v>
          </cell>
          <cell r="B1348"/>
          <cell r="C1348" t="str">
            <v>RPRO-260406-1099</v>
          </cell>
          <cell r="D1348" t="str">
            <v>MPS 3.4+4.4</v>
          </cell>
          <cell r="E1348" t="str">
            <v>BDB-000016</v>
          </cell>
          <cell r="F1348" t="str">
            <v>PVN-000458</v>
          </cell>
          <cell r="G1348" t="str">
            <v>OrthoLite Regular GREEN/16-5932TPX Flat Sheet 0.13D 35+/-4 Asker C 1.1M 2M 3mm</v>
          </cell>
          <cell r="H1348">
            <v>506</v>
          </cell>
          <cell r="I1348">
            <v>506</v>
          </cell>
          <cell r="J1348">
            <v>0</v>
          </cell>
          <cell r="K1348">
            <v>506</v>
          </cell>
          <cell r="L1348"/>
          <cell r="M1348" t="str">
            <v>MPS</v>
          </cell>
          <cell r="N1348" t="str">
            <v>SPLITTING</v>
          </cell>
          <cell r="O1348">
            <v>2</v>
          </cell>
          <cell r="P1348">
            <v>46118</v>
          </cell>
          <cell r="Q1348">
            <v>46127</v>
          </cell>
          <cell r="R1348">
            <v>46124</v>
          </cell>
          <cell r="S1348">
            <v>9</v>
          </cell>
          <cell r="T1348">
            <v>3</v>
          </cell>
          <cell r="U1348">
            <v>46</v>
          </cell>
          <cell r="V1348">
            <v>12</v>
          </cell>
          <cell r="W1348" t="str">
            <v>0.13D</v>
          </cell>
          <cell r="X1348" t="str">
            <v>4-2026</v>
          </cell>
          <cell r="Y1348" t="str">
            <v>Week 15</v>
          </cell>
          <cell r="Z1348">
            <v>46118</v>
          </cell>
          <cell r="AA1348">
            <v>3</v>
          </cell>
          <cell r="AB1348">
            <v>2.1739999999999999E-2</v>
          </cell>
        </row>
        <row r="1349">
          <cell r="A1349" t="str">
            <v>F-2026-04-62</v>
          </cell>
          <cell r="B1349"/>
          <cell r="C1349" t="str">
            <v>RPRO-260406-1100</v>
          </cell>
          <cell r="D1349" t="str">
            <v>Pro.sche.report 3.4+4.4</v>
          </cell>
          <cell r="E1349" t="str">
            <v>BDB-000346</v>
          </cell>
          <cell r="F1349" t="str">
            <v>PVN-004188</v>
          </cell>
          <cell r="G1349" t="str">
            <v>OrthoLite Float NEUTRAL GRAY/17-4402TPX Flat Sheet 0.12D 21+/-4 Asker C 1.1M 1.47M 5.5mm</v>
          </cell>
          <cell r="H1349">
            <v>250</v>
          </cell>
          <cell r="I1349">
            <v>250</v>
          </cell>
          <cell r="J1349">
            <v>0</v>
          </cell>
          <cell r="K1349">
            <v>250</v>
          </cell>
          <cell r="L1349" t="str">
            <v>PUMA</v>
          </cell>
          <cell r="M1349" t="str">
            <v>Pr.Sch.R</v>
          </cell>
          <cell r="N1349" t="str">
            <v>MOLDED</v>
          </cell>
          <cell r="O1349">
            <v>1</v>
          </cell>
          <cell r="P1349">
            <v>46118</v>
          </cell>
          <cell r="Q1349">
            <v>46133</v>
          </cell>
          <cell r="R1349">
            <v>46130</v>
          </cell>
          <cell r="S1349">
            <v>15</v>
          </cell>
          <cell r="T1349">
            <v>5.5</v>
          </cell>
          <cell r="U1349">
            <v>25</v>
          </cell>
          <cell r="V1349">
            <v>10</v>
          </cell>
          <cell r="W1349" t="e">
            <v>#N/A</v>
          </cell>
          <cell r="X1349" t="str">
            <v>4-2026</v>
          </cell>
          <cell r="Y1349" t="str">
            <v>Week 16</v>
          </cell>
          <cell r="Z1349">
            <v>46125</v>
          </cell>
          <cell r="AA1349">
            <v>108</v>
          </cell>
          <cell r="AB1349">
            <v>0.04</v>
          </cell>
        </row>
        <row r="1350">
          <cell r="A1350" t="str">
            <v>F-2026-04-63</v>
          </cell>
          <cell r="B1350"/>
          <cell r="C1350" t="str">
            <v>RPRO-260406-1101</v>
          </cell>
          <cell r="D1350" t="str">
            <v>Pro.sche.report 3.4+4.4</v>
          </cell>
          <cell r="E1350" t="str">
            <v>BDB-000039</v>
          </cell>
          <cell r="F1350" t="str">
            <v>PVN-002019</v>
          </cell>
          <cell r="G1350" t="str">
            <v>OrthoLite Regular NEUTRAL GRAY/17-4402TPX Flat Sheet 0.11D 25+/-4 Asker C 1.1M 2M 13mm</v>
          </cell>
          <cell r="H1350">
            <v>110</v>
          </cell>
          <cell r="I1350">
            <v>110</v>
          </cell>
          <cell r="J1350">
            <v>0</v>
          </cell>
          <cell r="K1350">
            <v>110</v>
          </cell>
          <cell r="L1350" t="str">
            <v>NEW BALANCE</v>
          </cell>
          <cell r="M1350" t="str">
            <v>Pr.Sch.R</v>
          </cell>
          <cell r="N1350" t="str">
            <v>MOLDED</v>
          </cell>
          <cell r="O1350">
            <v>1</v>
          </cell>
          <cell r="P1350">
            <v>46118</v>
          </cell>
          <cell r="Q1350">
            <v>46128</v>
          </cell>
          <cell r="R1350">
            <v>46125</v>
          </cell>
          <cell r="S1350">
            <v>10</v>
          </cell>
          <cell r="T1350">
            <v>13</v>
          </cell>
          <cell r="U1350">
            <v>10</v>
          </cell>
          <cell r="V1350">
            <v>11</v>
          </cell>
          <cell r="W1350" t="str">
            <v>0.11D</v>
          </cell>
          <cell r="X1350" t="str">
            <v>4-2026</v>
          </cell>
          <cell r="Y1350" t="str">
            <v>Week 15</v>
          </cell>
          <cell r="Z1350">
            <v>46118</v>
          </cell>
          <cell r="AA1350">
            <v>37</v>
          </cell>
          <cell r="AB1350">
            <v>0.1</v>
          </cell>
        </row>
        <row r="1351">
          <cell r="A1351" t="str">
            <v>F-2026-04-64</v>
          </cell>
          <cell r="B1351"/>
          <cell r="C1351" t="str">
            <v>RPRO-260406-1102</v>
          </cell>
          <cell r="D1351" t="str">
            <v>Pro.sche.report 3.4+4.4</v>
          </cell>
          <cell r="E1351" t="str">
            <v>BDB-000212</v>
          </cell>
          <cell r="F1351" t="str">
            <v>PVN-003460</v>
          </cell>
          <cell r="G1351" t="str">
            <v>OrthoLite X-25-Hybrid SEEDPEARL/12-0703TPX Hybrid Flat Sheet 0.12D 20+/-4 Asker C 1.1M 2M 5.5mm</v>
          </cell>
          <cell r="H1351">
            <v>25</v>
          </cell>
          <cell r="I1351">
            <v>25</v>
          </cell>
          <cell r="J1351">
            <v>0</v>
          </cell>
          <cell r="K1351">
            <v>25</v>
          </cell>
          <cell r="L1351" t="str">
            <v>ON RUNNING</v>
          </cell>
          <cell r="M1351" t="str">
            <v>Pr.Sch.R</v>
          </cell>
          <cell r="N1351" t="str">
            <v>MOLDED</v>
          </cell>
          <cell r="O1351">
            <v>1</v>
          </cell>
          <cell r="P1351">
            <v>46118</v>
          </cell>
          <cell r="Q1351">
            <v>46127</v>
          </cell>
          <cell r="R1351">
            <v>46124</v>
          </cell>
          <cell r="S1351">
            <v>9</v>
          </cell>
          <cell r="T1351">
            <v>5.5</v>
          </cell>
          <cell r="U1351">
            <v>25</v>
          </cell>
          <cell r="V1351">
            <v>1</v>
          </cell>
          <cell r="W1351" t="str">
            <v>0.12D</v>
          </cell>
          <cell r="X1351" t="str">
            <v>4-2026</v>
          </cell>
          <cell r="Y1351" t="str">
            <v>Week 15</v>
          </cell>
          <cell r="Z1351">
            <v>46118</v>
          </cell>
          <cell r="AA1351">
            <v>167</v>
          </cell>
          <cell r="AB1351">
            <v>0.04</v>
          </cell>
        </row>
        <row r="1352">
          <cell r="A1352" t="str">
            <v>F-2026-04-65</v>
          </cell>
          <cell r="B1352"/>
          <cell r="C1352" t="str">
            <v>RPRO-260406-1103</v>
          </cell>
          <cell r="D1352" t="str">
            <v>Pro.sche.report 3.4+4.4</v>
          </cell>
          <cell r="E1352" t="str">
            <v>BDB-000180</v>
          </cell>
          <cell r="F1352" t="str">
            <v>PVN-003236</v>
          </cell>
          <cell r="G1352" t="str">
            <v>OrthoLite Eco LT-Hybrid-Converse SEEDPEARL/12-0703TPX Hybrid Flat Sheet 0.13D 25+/-4 Asker C 1.1M 2M 5mm</v>
          </cell>
          <cell r="H1352">
            <v>728</v>
          </cell>
          <cell r="I1352">
            <v>728</v>
          </cell>
          <cell r="J1352">
            <v>0</v>
          </cell>
          <cell r="K1352">
            <v>728</v>
          </cell>
          <cell r="L1352" t="str">
            <v>CONVERSE</v>
          </cell>
          <cell r="M1352" t="str">
            <v>Pr.Sch.R</v>
          </cell>
          <cell r="N1352" t="str">
            <v>DIE CUT</v>
          </cell>
          <cell r="O1352" t="str">
            <v>1-SLT</v>
          </cell>
          <cell r="P1352">
            <v>46118</v>
          </cell>
          <cell r="Q1352">
            <v>46127</v>
          </cell>
          <cell r="R1352">
            <v>46124</v>
          </cell>
          <cell r="S1352">
            <v>9</v>
          </cell>
          <cell r="T1352">
            <v>5</v>
          </cell>
          <cell r="U1352">
            <v>28</v>
          </cell>
          <cell r="V1352">
            <v>26</v>
          </cell>
          <cell r="W1352" t="str">
            <v>0.13D</v>
          </cell>
          <cell r="X1352" t="str">
            <v>4-2026</v>
          </cell>
          <cell r="Y1352" t="str">
            <v>Week 15</v>
          </cell>
          <cell r="Z1352">
            <v>46118</v>
          </cell>
          <cell r="AA1352">
            <v>27</v>
          </cell>
          <cell r="AB1352">
            <v>3.5709999999999999E-2</v>
          </cell>
        </row>
        <row r="1353">
          <cell r="A1353" t="str">
            <v>F-2026-04-66</v>
          </cell>
          <cell r="B1353"/>
          <cell r="C1353" t="str">
            <v>RPRO-260406-1104</v>
          </cell>
          <cell r="D1353" t="str">
            <v>Pro.sche.report 3.4+4.4</v>
          </cell>
          <cell r="E1353" t="str">
            <v>BDB-000235</v>
          </cell>
          <cell r="F1353" t="str">
            <v>PVN-003576</v>
          </cell>
          <cell r="G1353" t="str">
            <v>OrthoLite X-55-Hybrid FOSSIL/17-0909TPX Hybrid Flat Sheet 0.16D 25+/-4 Asker C 1.1M 1.7M 12mm</v>
          </cell>
          <cell r="H1353">
            <v>1617</v>
          </cell>
          <cell r="I1353">
            <v>1617</v>
          </cell>
          <cell r="J1353">
            <v>0</v>
          </cell>
          <cell r="K1353">
            <v>1617</v>
          </cell>
          <cell r="L1353" t="str">
            <v>ASICS</v>
          </cell>
          <cell r="M1353" t="str">
            <v>Pr.Sch.R</v>
          </cell>
          <cell r="N1353" t="str">
            <v>MOLDED</v>
          </cell>
          <cell r="O1353">
            <v>1</v>
          </cell>
          <cell r="P1353">
            <v>46118</v>
          </cell>
          <cell r="Q1353">
            <v>46146</v>
          </cell>
          <cell r="R1353">
            <v>46143</v>
          </cell>
          <cell r="S1353">
            <v>28</v>
          </cell>
          <cell r="T1353">
            <v>12</v>
          </cell>
          <cell r="U1353">
            <v>11.5</v>
          </cell>
          <cell r="V1353">
            <v>141</v>
          </cell>
          <cell r="W1353" t="str">
            <v>0.16D</v>
          </cell>
          <cell r="X1353" t="str">
            <v>5-2026</v>
          </cell>
          <cell r="Y1353" t="str">
            <v>Week 17</v>
          </cell>
          <cell r="Z1353">
            <v>46132</v>
          </cell>
          <cell r="AA1353">
            <v>50</v>
          </cell>
          <cell r="AB1353">
            <v>8.6959999999999996E-2</v>
          </cell>
        </row>
        <row r="1354">
          <cell r="A1354" t="str">
            <v>F-2026-04-67</v>
          </cell>
          <cell r="B1354"/>
          <cell r="C1354" t="str">
            <v>RPRO-260406-1105</v>
          </cell>
          <cell r="D1354" t="str">
            <v>Pro.sche.report 3.4+4.4</v>
          </cell>
          <cell r="E1354" t="str">
            <v>BDB-000332</v>
          </cell>
          <cell r="F1354" t="str">
            <v>PVN-004146</v>
          </cell>
          <cell r="G1354" t="str">
            <v>OrthoLite X-25 CASTLEROCK/18-0201TPX Flat Sheet 0.12D 20+/-4 Asker C 1.1M 2M 5.5mm</v>
          </cell>
          <cell r="H1354">
            <v>1000</v>
          </cell>
          <cell r="I1354">
            <v>1000</v>
          </cell>
          <cell r="J1354">
            <v>0</v>
          </cell>
          <cell r="K1354">
            <v>1000</v>
          </cell>
          <cell r="L1354" t="str">
            <v>ON RUNNING</v>
          </cell>
          <cell r="M1354" t="str">
            <v>Pr.Sch.R</v>
          </cell>
          <cell r="N1354" t="str">
            <v>MOLDED</v>
          </cell>
          <cell r="O1354">
            <v>1</v>
          </cell>
          <cell r="P1354">
            <v>46118</v>
          </cell>
          <cell r="Q1354">
            <v>46133</v>
          </cell>
          <cell r="R1354">
            <v>46130</v>
          </cell>
          <cell r="S1354">
            <v>15</v>
          </cell>
          <cell r="T1354">
            <v>5.5</v>
          </cell>
          <cell r="U1354">
            <v>25</v>
          </cell>
          <cell r="V1354">
            <v>40</v>
          </cell>
          <cell r="W1354" t="e">
            <v>#N/A</v>
          </cell>
          <cell r="X1354" t="str">
            <v>4-2026</v>
          </cell>
          <cell r="Y1354" t="str">
            <v>Week 16</v>
          </cell>
          <cell r="Z1354">
            <v>46125</v>
          </cell>
          <cell r="AA1354">
            <v>23</v>
          </cell>
          <cell r="AB1354">
            <v>0.04</v>
          </cell>
        </row>
        <row r="1355">
          <cell r="A1355" t="str">
            <v>F-2026-04-68</v>
          </cell>
          <cell r="B1355"/>
          <cell r="C1355" t="str">
            <v>RPRO-260406-1106</v>
          </cell>
          <cell r="D1355" t="str">
            <v>Pro.sche.report 3.4+4.4</v>
          </cell>
          <cell r="E1355" t="str">
            <v>BDB-000077</v>
          </cell>
          <cell r="F1355" t="str">
            <v>PVN-004147</v>
          </cell>
          <cell r="G1355" t="str">
            <v>OrthoLite X-25 SEEDPEARL/12-0703TPX Flat Sheet 0.12D 20+/-4 Asker C 1.1M 2M 5.5mm</v>
          </cell>
          <cell r="H1355">
            <v>1025</v>
          </cell>
          <cell r="I1355">
            <v>1025</v>
          </cell>
          <cell r="J1355">
            <v>0</v>
          </cell>
          <cell r="K1355">
            <v>1025</v>
          </cell>
          <cell r="L1355" t="str">
            <v>ON RUNNING</v>
          </cell>
          <cell r="M1355" t="str">
            <v>Pr.Sch.R</v>
          </cell>
          <cell r="N1355" t="str">
            <v>MOLDED</v>
          </cell>
          <cell r="O1355">
            <v>1</v>
          </cell>
          <cell r="P1355">
            <v>46118</v>
          </cell>
          <cell r="Q1355">
            <v>46129</v>
          </cell>
          <cell r="R1355">
            <v>46126</v>
          </cell>
          <cell r="S1355">
            <v>11</v>
          </cell>
          <cell r="T1355">
            <v>5.5</v>
          </cell>
          <cell r="U1355">
            <v>25</v>
          </cell>
          <cell r="V1355">
            <v>41</v>
          </cell>
          <cell r="W1355" t="str">
            <v>0.12D</v>
          </cell>
          <cell r="X1355" t="str">
            <v>4-2026</v>
          </cell>
          <cell r="Y1355" t="str">
            <v>Week 15</v>
          </cell>
          <cell r="Z1355">
            <v>46118</v>
          </cell>
          <cell r="AA1355">
            <v>24</v>
          </cell>
          <cell r="AB1355">
            <v>0.04</v>
          </cell>
        </row>
        <row r="1356">
          <cell r="A1356" t="str">
            <v>F-2026-04-69</v>
          </cell>
          <cell r="B1356"/>
          <cell r="C1356" t="str">
            <v>RPRO-260406-1107</v>
          </cell>
          <cell r="D1356" t="str">
            <v>Pro.sche.report 3.4+4.4</v>
          </cell>
          <cell r="E1356" t="str">
            <v>BDB-000339</v>
          </cell>
          <cell r="F1356" t="str">
            <v>PVN-004178</v>
          </cell>
          <cell r="G1356" t="str">
            <v>OrthoLite Float NEUTRAL GRAY/17-4402TPX Flat Sheet 0.12D 21+/-4 Asker C 1.1M 2M 5.5mm</v>
          </cell>
          <cell r="H1356">
            <v>500</v>
          </cell>
          <cell r="I1356">
            <v>500</v>
          </cell>
          <cell r="J1356">
            <v>0</v>
          </cell>
          <cell r="K1356">
            <v>500</v>
          </cell>
          <cell r="L1356" t="str">
            <v>PUMA</v>
          </cell>
          <cell r="M1356" t="str">
            <v>Pr.Sch.R</v>
          </cell>
          <cell r="N1356" t="str">
            <v>MOLDED</v>
          </cell>
          <cell r="O1356">
            <v>1</v>
          </cell>
          <cell r="P1356">
            <v>46118</v>
          </cell>
          <cell r="Q1356">
            <v>46133</v>
          </cell>
          <cell r="R1356">
            <v>46130</v>
          </cell>
          <cell r="S1356">
            <v>15</v>
          </cell>
          <cell r="T1356">
            <v>5.5</v>
          </cell>
          <cell r="U1356">
            <v>25</v>
          </cell>
          <cell r="V1356">
            <v>20</v>
          </cell>
          <cell r="W1356" t="e">
            <v>#N/A</v>
          </cell>
          <cell r="X1356" t="str">
            <v>4-2026</v>
          </cell>
          <cell r="Y1356" t="str">
            <v>Week 16</v>
          </cell>
          <cell r="Z1356">
            <v>46125</v>
          </cell>
          <cell r="AA1356">
            <v>149</v>
          </cell>
          <cell r="AB1356">
            <v>0.04</v>
          </cell>
        </row>
        <row r="1357">
          <cell r="A1357" t="str">
            <v>F-2026-04-70</v>
          </cell>
          <cell r="B1357"/>
          <cell r="C1357" t="str">
            <v>RPRO-260406-1108</v>
          </cell>
          <cell r="D1357" t="str">
            <v>Pro.sche.report 3.4+4.4</v>
          </cell>
          <cell r="E1357" t="str">
            <v>BDB-000229</v>
          </cell>
          <cell r="F1357" t="str">
            <v>PVN-003692</v>
          </cell>
          <cell r="G1357" t="str">
            <v>OrthoLite Ultra-Hybrid SEEDPEARL/12-0703TPX Hybrid Flat Sheet 0.095D 33+/-4 Asker C 1.1M 2M 15.5mm</v>
          </cell>
          <cell r="H1357">
            <v>24</v>
          </cell>
          <cell r="I1357">
            <v>24</v>
          </cell>
          <cell r="J1357">
            <v>0</v>
          </cell>
          <cell r="K1357">
            <v>24</v>
          </cell>
          <cell r="L1357" t="str">
            <v>GARMONT</v>
          </cell>
          <cell r="M1357" t="str">
            <v>Pr.Sch.R</v>
          </cell>
          <cell r="N1357" t="str">
            <v>MOLDED</v>
          </cell>
          <cell r="O1357">
            <v>1</v>
          </cell>
          <cell r="P1357">
            <v>46118</v>
          </cell>
          <cell r="Q1357">
            <v>46133</v>
          </cell>
          <cell r="R1357">
            <v>46130</v>
          </cell>
          <cell r="S1357">
            <v>15</v>
          </cell>
          <cell r="T1357">
            <v>15.5</v>
          </cell>
          <cell r="U1357">
            <v>8</v>
          </cell>
          <cell r="V1357">
            <v>3</v>
          </cell>
          <cell r="W1357" t="str">
            <v>0.095D</v>
          </cell>
          <cell r="X1357" t="str">
            <v>4-2026</v>
          </cell>
          <cell r="Y1357" t="str">
            <v>Week 16</v>
          </cell>
          <cell r="Z1357">
            <v>46125</v>
          </cell>
          <cell r="AA1357">
            <v>27</v>
          </cell>
          <cell r="AB1357">
            <v>0.125</v>
          </cell>
        </row>
        <row r="1358">
          <cell r="A1358" t="str">
            <v>F-2026-04-71</v>
          </cell>
          <cell r="B1358"/>
          <cell r="C1358" t="str">
            <v>RPRO-260406-1109</v>
          </cell>
          <cell r="D1358" t="str">
            <v>Pro.sche.report 3.4+4.4</v>
          </cell>
          <cell r="E1358" t="str">
            <v>BDB-000058</v>
          </cell>
          <cell r="F1358" t="str">
            <v>PVN-001319</v>
          </cell>
          <cell r="G1358" t="str">
            <v>OrthoLite Ultra GREEN/16-5932TPX Flat Sheet 0.085D 25+/-4 Asker C 1.1M 2M 5mm</v>
          </cell>
          <cell r="H1358">
            <v>448</v>
          </cell>
          <cell r="I1358">
            <v>448</v>
          </cell>
          <cell r="J1358">
            <v>0</v>
          </cell>
          <cell r="K1358">
            <v>448</v>
          </cell>
          <cell r="L1358" t="str">
            <v>NEW BALANCE</v>
          </cell>
          <cell r="M1358" t="str">
            <v>Pr.Sch.R</v>
          </cell>
          <cell r="N1358" t="str">
            <v>DIE CUT</v>
          </cell>
          <cell r="O1358">
            <v>1</v>
          </cell>
          <cell r="P1358">
            <v>46118</v>
          </cell>
          <cell r="Q1358">
            <v>46127</v>
          </cell>
          <cell r="R1358">
            <v>46124</v>
          </cell>
          <cell r="S1358">
            <v>9</v>
          </cell>
          <cell r="T1358">
            <v>5</v>
          </cell>
          <cell r="U1358">
            <v>28</v>
          </cell>
          <cell r="V1358">
            <v>16</v>
          </cell>
          <cell r="W1358" t="str">
            <v>0.085D</v>
          </cell>
          <cell r="X1358" t="str">
            <v>4-2026</v>
          </cell>
          <cell r="Y1358" t="str">
            <v>Week 15</v>
          </cell>
          <cell r="Z1358">
            <v>46118</v>
          </cell>
          <cell r="AA1358">
            <v>45</v>
          </cell>
          <cell r="AB1358">
            <v>3.5709999999999999E-2</v>
          </cell>
        </row>
        <row r="1359">
          <cell r="A1359" t="str">
            <v>F-2026-04-72</v>
          </cell>
          <cell r="B1359"/>
          <cell r="C1359" t="str">
            <v>RPRO-260406-1110</v>
          </cell>
          <cell r="D1359" t="str">
            <v>Pro.sche.report 3.4+4.4</v>
          </cell>
          <cell r="E1359" t="str">
            <v>BDB-000010</v>
          </cell>
          <cell r="F1359" t="str">
            <v>PVN-003437</v>
          </cell>
          <cell r="G1359" t="str">
            <v>OrthoLite Regular AIR BLUE/16-4134TPX Flat Sheet 0.11D 25+/-4 Asker C 1.1M 2M 10.5mm</v>
          </cell>
          <cell r="H1359">
            <v>48</v>
          </cell>
          <cell r="I1359">
            <v>48</v>
          </cell>
          <cell r="J1359">
            <v>0</v>
          </cell>
          <cell r="K1359">
            <v>48</v>
          </cell>
          <cell r="L1359" t="str">
            <v>TRAVIS MATHEW</v>
          </cell>
          <cell r="M1359" t="str">
            <v>Pr.Sch.R</v>
          </cell>
          <cell r="N1359" t="str">
            <v>MOLDED</v>
          </cell>
          <cell r="O1359">
            <v>1</v>
          </cell>
          <cell r="P1359">
            <v>46118</v>
          </cell>
          <cell r="Q1359">
            <v>46133</v>
          </cell>
          <cell r="R1359">
            <v>46130</v>
          </cell>
          <cell r="S1359">
            <v>15</v>
          </cell>
          <cell r="T1359">
            <v>10.5</v>
          </cell>
          <cell r="U1359">
            <v>12</v>
          </cell>
          <cell r="V1359">
            <v>4</v>
          </cell>
          <cell r="W1359" t="str">
            <v>0.11D</v>
          </cell>
          <cell r="X1359" t="str">
            <v>4-2026</v>
          </cell>
          <cell r="Y1359" t="str">
            <v>Week 16</v>
          </cell>
          <cell r="Z1359">
            <v>46125</v>
          </cell>
          <cell r="AA1359">
            <v>8</v>
          </cell>
          <cell r="AB1359">
            <v>8.3330000000000001E-2</v>
          </cell>
        </row>
        <row r="1360">
          <cell r="A1360" t="str">
            <v>F-2026-04-73</v>
          </cell>
          <cell r="B1360"/>
          <cell r="C1360" t="str">
            <v>RPRO-260406-1111</v>
          </cell>
          <cell r="D1360" t="str">
            <v>Pro.sche.report 3.4+4.4</v>
          </cell>
          <cell r="E1360" t="str">
            <v>BDB-000242</v>
          </cell>
          <cell r="F1360" t="str">
            <v>PVN-003614</v>
          </cell>
          <cell r="G1360" t="str">
            <v>OrthoLite Regular GREY/17-1501TPX Flat Sheet 0.11D 5-10 Asker C 1.1M 2M 3.5mm</v>
          </cell>
          <cell r="H1360">
            <v>80</v>
          </cell>
          <cell r="I1360">
            <v>80</v>
          </cell>
          <cell r="J1360">
            <v>0</v>
          </cell>
          <cell r="K1360">
            <v>80</v>
          </cell>
          <cell r="L1360" t="str">
            <v>TRAVIS MATHEW</v>
          </cell>
          <cell r="M1360" t="str">
            <v>Pr.Sch.R</v>
          </cell>
          <cell r="N1360" t="str">
            <v>MOLDED</v>
          </cell>
          <cell r="O1360">
            <v>1</v>
          </cell>
          <cell r="P1360">
            <v>46118</v>
          </cell>
          <cell r="Q1360">
            <v>46133</v>
          </cell>
          <cell r="R1360">
            <v>46130</v>
          </cell>
          <cell r="S1360">
            <v>15</v>
          </cell>
          <cell r="T1360">
            <v>3.5</v>
          </cell>
          <cell r="U1360">
            <v>40</v>
          </cell>
          <cell r="V1360">
            <v>2</v>
          </cell>
          <cell r="W1360" t="str">
            <v>0.11D</v>
          </cell>
          <cell r="X1360" t="str">
            <v>4-2026</v>
          </cell>
          <cell r="Y1360" t="str">
            <v>Week 16</v>
          </cell>
          <cell r="Z1360">
            <v>46125</v>
          </cell>
          <cell r="AA1360">
            <v>133</v>
          </cell>
          <cell r="AB1360">
            <v>2.5000000000000001E-2</v>
          </cell>
        </row>
        <row r="1361">
          <cell r="A1361" t="str">
            <v>F-2026-04-74</v>
          </cell>
          <cell r="B1361"/>
          <cell r="C1361" t="str">
            <v>RPRO-260406-1112</v>
          </cell>
          <cell r="D1361" t="str">
            <v>Pro.sche.report 3.4+4.4</v>
          </cell>
          <cell r="E1361" t="str">
            <v>BDB-000313</v>
          </cell>
          <cell r="F1361" t="str">
            <v>PVN-004061</v>
          </cell>
          <cell r="G1361" t="str">
            <v>OrthoLite X-55 RED/19-1764TPX Flat Sheet 0.16D 25+/-4 Asker C 1.1M 1.47M 18mm</v>
          </cell>
          <cell r="H1361">
            <v>14</v>
          </cell>
          <cell r="I1361">
            <v>14</v>
          </cell>
          <cell r="J1361">
            <v>0</v>
          </cell>
          <cell r="K1361">
            <v>14</v>
          </cell>
          <cell r="L1361" t="str">
            <v>WILSON</v>
          </cell>
          <cell r="M1361" t="str">
            <v>Pr.Sch.R</v>
          </cell>
          <cell r="N1361" t="str">
            <v>MOLDED</v>
          </cell>
          <cell r="O1361">
            <v>1</v>
          </cell>
          <cell r="P1361">
            <v>46118</v>
          </cell>
          <cell r="Q1361">
            <v>46127</v>
          </cell>
          <cell r="R1361">
            <v>46124</v>
          </cell>
          <cell r="S1361">
            <v>9</v>
          </cell>
          <cell r="T1361">
            <v>18</v>
          </cell>
          <cell r="U1361">
            <v>7</v>
          </cell>
          <cell r="V1361">
            <v>3</v>
          </cell>
          <cell r="W1361" t="e">
            <v>#N/A</v>
          </cell>
          <cell r="X1361" t="str">
            <v>4-2026</v>
          </cell>
          <cell r="Y1361" t="str">
            <v>Week 15</v>
          </cell>
          <cell r="Z1361">
            <v>46118</v>
          </cell>
          <cell r="AA1361">
            <v>85</v>
          </cell>
          <cell r="AB1361">
            <v>0.14285999999999999</v>
          </cell>
        </row>
        <row r="1362">
          <cell r="A1362" t="str">
            <v>F-2026-04-75</v>
          </cell>
          <cell r="B1362"/>
          <cell r="C1362" t="str">
            <v>RPRO-260406-1113</v>
          </cell>
          <cell r="D1362" t="str">
            <v>Pro.sche.report 3.4+4.4</v>
          </cell>
          <cell r="E1362" t="str">
            <v>BDB-000317</v>
          </cell>
          <cell r="F1362" t="str">
            <v>PVN-004293</v>
          </cell>
          <cell r="G1362" t="str">
            <v>OrthoLite Regular NEUTRAL GRAY/17-4402TPX Flat Sheet 0.13D 15+/-4 Asker C 1.1M 2M 22mm</v>
          </cell>
          <cell r="H1362">
            <v>30</v>
          </cell>
          <cell r="I1362">
            <v>30</v>
          </cell>
          <cell r="J1362">
            <v>0</v>
          </cell>
          <cell r="K1362">
            <v>30</v>
          </cell>
          <cell r="L1362" t="str">
            <v>TRAVIS MATHEW</v>
          </cell>
          <cell r="M1362" t="str">
            <v>Pr.Sch.R</v>
          </cell>
          <cell r="N1362" t="str">
            <v>MOLDED</v>
          </cell>
          <cell r="O1362">
            <v>1</v>
          </cell>
          <cell r="P1362">
            <v>46118</v>
          </cell>
          <cell r="Q1362">
            <v>46129</v>
          </cell>
          <cell r="R1362">
            <v>46126</v>
          </cell>
          <cell r="S1362">
            <v>11</v>
          </cell>
          <cell r="T1362">
            <v>22</v>
          </cell>
          <cell r="U1362">
            <v>6</v>
          </cell>
          <cell r="V1362">
            <v>6</v>
          </cell>
          <cell r="W1362" t="e">
            <v>#N/A</v>
          </cell>
          <cell r="X1362" t="str">
            <v>4-2026</v>
          </cell>
          <cell r="Y1362" t="str">
            <v>Week 16</v>
          </cell>
          <cell r="Z1362">
            <v>46125</v>
          </cell>
          <cell r="AA1362">
            <v>32</v>
          </cell>
          <cell r="AB1362">
            <v>0.16667000000000001</v>
          </cell>
        </row>
        <row r="1363">
          <cell r="A1363" t="str">
            <v>F-2026-04-76</v>
          </cell>
          <cell r="B1363"/>
          <cell r="C1363" t="str">
            <v>RPRO-260406-1114</v>
          </cell>
          <cell r="D1363" t="str">
            <v>Pro.sche.report 3.4+4.4</v>
          </cell>
          <cell r="E1363" t="str">
            <v>BDB-000324</v>
          </cell>
          <cell r="F1363" t="str">
            <v>PVN-004129</v>
          </cell>
          <cell r="G1363" t="str">
            <v>OrthoLite X-40 TRUE BLUE/19-4057TPX Flat Sheet 0.16D 25+/-4 Asker C 1.1M 2M 5.5mm</v>
          </cell>
          <cell r="H1363">
            <v>25</v>
          </cell>
          <cell r="I1363">
            <v>25</v>
          </cell>
          <cell r="J1363">
            <v>0</v>
          </cell>
          <cell r="K1363">
            <v>25</v>
          </cell>
          <cell r="L1363" t="str">
            <v>ASICS</v>
          </cell>
          <cell r="M1363" t="str">
            <v>Pr.Sch.R</v>
          </cell>
          <cell r="N1363" t="str">
            <v>DIE CUT</v>
          </cell>
          <cell r="O1363">
            <v>1</v>
          </cell>
          <cell r="P1363">
            <v>46118</v>
          </cell>
          <cell r="Q1363">
            <v>46133</v>
          </cell>
          <cell r="R1363">
            <v>46130</v>
          </cell>
          <cell r="S1363">
            <v>15</v>
          </cell>
          <cell r="T1363">
            <v>5.5</v>
          </cell>
          <cell r="U1363">
            <v>25</v>
          </cell>
          <cell r="V1363">
            <v>1</v>
          </cell>
          <cell r="W1363" t="e">
            <v>#N/A</v>
          </cell>
          <cell r="X1363" t="str">
            <v>4-2026</v>
          </cell>
          <cell r="Y1363" t="str">
            <v>Week 16</v>
          </cell>
          <cell r="Z1363">
            <v>46125</v>
          </cell>
          <cell r="AA1363">
            <v>93</v>
          </cell>
          <cell r="AB1363">
            <v>0.04</v>
          </cell>
        </row>
        <row r="1364">
          <cell r="A1364" t="str">
            <v>F-2026-04-77</v>
          </cell>
          <cell r="B1364"/>
          <cell r="C1364" t="str">
            <v>FPRO-260406-0008</v>
          </cell>
          <cell r="D1364" t="str">
            <v>Firm plan 06.4</v>
          </cell>
          <cell r="E1364" t="str">
            <v>BDB-000180</v>
          </cell>
          <cell r="F1364" t="str">
            <v>PVN-003236</v>
          </cell>
          <cell r="G1364" t="str">
            <v>OrthoLite Eco LT-Hybrid-Converse SEEDPEARL/12-0703TPX Hybrid 0.13D 25+/-4 Asker C 1.1M 2M 5mm</v>
          </cell>
          <cell r="H1364">
            <v>1000</v>
          </cell>
          <cell r="I1364">
            <v>1000</v>
          </cell>
          <cell r="J1364">
            <v>0</v>
          </cell>
          <cell r="K1364">
            <v>1000</v>
          </cell>
          <cell r="L1364" t="str">
            <v>CONVERSE</v>
          </cell>
          <cell r="M1364" t="str">
            <v>Forecast</v>
          </cell>
          <cell r="N1364" t="str">
            <v>DIE CUT</v>
          </cell>
          <cell r="O1364">
            <v>1</v>
          </cell>
          <cell r="P1364">
            <v>46118</v>
          </cell>
          <cell r="Q1364">
            <v>46127</v>
          </cell>
          <cell r="R1364">
            <v>46124</v>
          </cell>
          <cell r="S1364">
            <v>9</v>
          </cell>
          <cell r="T1364">
            <v>5</v>
          </cell>
          <cell r="U1364">
            <v>28</v>
          </cell>
          <cell r="V1364">
            <v>36</v>
          </cell>
          <cell r="W1364" t="str">
            <v>0.13D</v>
          </cell>
          <cell r="X1364" t="str">
            <v>4-2026</v>
          </cell>
          <cell r="Y1364" t="str">
            <v>Week 15</v>
          </cell>
          <cell r="Z1364">
            <v>46118</v>
          </cell>
          <cell r="AA1364">
            <v>0</v>
          </cell>
          <cell r="AB1364">
            <v>3.5709999999999999E-2</v>
          </cell>
        </row>
        <row r="1365">
          <cell r="A1365" t="str">
            <v>F-2026-04-78</v>
          </cell>
          <cell r="B1365"/>
          <cell r="C1365" t="str">
            <v>FPRO-260406-0009</v>
          </cell>
          <cell r="D1365" t="str">
            <v>Firm plan 06.4</v>
          </cell>
          <cell r="E1365" t="str">
            <v>BDB-000180</v>
          </cell>
          <cell r="F1365" t="str">
            <v>PVN-003236</v>
          </cell>
          <cell r="G1365" t="str">
            <v>OrthoLite Eco LT-Hybrid-Converse SEEDPEARL/12-0703TPX Hybrid 0.13D 25+/-4 Asker C 1.1M 2M 5mm</v>
          </cell>
          <cell r="H1365">
            <v>500</v>
          </cell>
          <cell r="I1365">
            <v>500</v>
          </cell>
          <cell r="J1365">
            <v>0</v>
          </cell>
          <cell r="K1365">
            <v>500</v>
          </cell>
          <cell r="L1365" t="str">
            <v>CONVERSE</v>
          </cell>
          <cell r="M1365" t="str">
            <v>Forecast</v>
          </cell>
          <cell r="N1365" t="str">
            <v>DIE CUT</v>
          </cell>
          <cell r="O1365">
            <v>1</v>
          </cell>
          <cell r="P1365">
            <v>46118</v>
          </cell>
          <cell r="Q1365">
            <v>46129</v>
          </cell>
          <cell r="R1365">
            <v>46126</v>
          </cell>
          <cell r="S1365">
            <v>11</v>
          </cell>
          <cell r="T1365">
            <v>5</v>
          </cell>
          <cell r="U1365">
            <v>28</v>
          </cell>
          <cell r="V1365">
            <v>18</v>
          </cell>
          <cell r="W1365" t="str">
            <v>0.13D</v>
          </cell>
          <cell r="X1365" t="str">
            <v>4-2026</v>
          </cell>
          <cell r="Y1365" t="str">
            <v>Week 16</v>
          </cell>
          <cell r="Z1365">
            <v>46125</v>
          </cell>
          <cell r="AA1365">
            <v>20</v>
          </cell>
          <cell r="AB1365">
            <v>3.5709999999999999E-2</v>
          </cell>
        </row>
        <row r="1366">
          <cell r="A1366" t="str">
            <v>F-2026-04-79</v>
          </cell>
          <cell r="B1366"/>
          <cell r="C1366" t="str">
            <v>FPRO-260406-0010</v>
          </cell>
          <cell r="D1366" t="str">
            <v>Firm plan 06.4</v>
          </cell>
          <cell r="E1366" t="str">
            <v>BDB-000181</v>
          </cell>
          <cell r="F1366" t="str">
            <v>PVN-003238</v>
          </cell>
          <cell r="G1366" t="str">
            <v>OrthoLite Eco LT-Hybrid-Converse SEEDPEARL/12-0703TPX Hybrid 0.11D 25+/-4 Asker C 1.1M 2M 5mm</v>
          </cell>
          <cell r="H1366">
            <v>1000</v>
          </cell>
          <cell r="I1366">
            <v>1000</v>
          </cell>
          <cell r="J1366">
            <v>0</v>
          </cell>
          <cell r="K1366">
            <v>1000</v>
          </cell>
          <cell r="L1366" t="str">
            <v>CONVERSE</v>
          </cell>
          <cell r="M1366" t="str">
            <v>Forecast</v>
          </cell>
          <cell r="N1366" t="str">
            <v>DIE CUT</v>
          </cell>
          <cell r="O1366">
            <v>1</v>
          </cell>
          <cell r="P1366">
            <v>46118</v>
          </cell>
          <cell r="Q1366">
            <v>46133</v>
          </cell>
          <cell r="R1366">
            <v>46130</v>
          </cell>
          <cell r="S1366">
            <v>15</v>
          </cell>
          <cell r="T1366">
            <v>5</v>
          </cell>
          <cell r="U1366">
            <v>28</v>
          </cell>
          <cell r="V1366">
            <v>36</v>
          </cell>
          <cell r="W1366" t="str">
            <v>0.11D</v>
          </cell>
          <cell r="X1366" t="str">
            <v>4-2026</v>
          </cell>
          <cell r="Y1366" t="str">
            <v>Week 16</v>
          </cell>
          <cell r="Z1366">
            <v>46125</v>
          </cell>
          <cell r="AA1366">
            <v>37</v>
          </cell>
          <cell r="AB1366">
            <v>3.5709999999999999E-2</v>
          </cell>
        </row>
        <row r="1367">
          <cell r="A1367" t="str">
            <v>F-2026-04-80-1</v>
          </cell>
          <cell r="B1367"/>
          <cell r="C1367" t="str">
            <v>FPRO-260406-0011</v>
          </cell>
          <cell r="D1367" t="str">
            <v>Firm plan 06.4</v>
          </cell>
          <cell r="E1367" t="str">
            <v>BDB-000181</v>
          </cell>
          <cell r="F1367" t="str">
            <v>PVN-003238</v>
          </cell>
          <cell r="G1367" t="str">
            <v>OrthoLite Eco LT-Hybrid-Converse SEEDPEARL/12-0703TPX Hybrid 0.11D 25+/-4 Asker C 1.1M 2M 5mm</v>
          </cell>
          <cell r="H1367">
            <v>800</v>
          </cell>
          <cell r="I1367">
            <v>800</v>
          </cell>
          <cell r="J1367">
            <v>0</v>
          </cell>
          <cell r="K1367">
            <v>800</v>
          </cell>
          <cell r="L1367" t="str">
            <v>CONVERSE</v>
          </cell>
          <cell r="M1367" t="str">
            <v>Forecast</v>
          </cell>
          <cell r="N1367" t="str">
            <v>DIE CUT</v>
          </cell>
          <cell r="O1367">
            <v>1</v>
          </cell>
          <cell r="P1367">
            <v>46118</v>
          </cell>
          <cell r="Q1367">
            <v>46147</v>
          </cell>
          <cell r="R1367">
            <v>46144</v>
          </cell>
          <cell r="S1367">
            <v>29</v>
          </cell>
          <cell r="T1367">
            <v>5</v>
          </cell>
          <cell r="U1367">
            <v>28</v>
          </cell>
          <cell r="V1367">
            <v>29</v>
          </cell>
          <cell r="W1367" t="str">
            <v>0.11D</v>
          </cell>
          <cell r="X1367" t="str">
            <v>5-2026</v>
          </cell>
          <cell r="Y1367" t="str">
            <v>Week 17</v>
          </cell>
          <cell r="Z1367">
            <v>46132</v>
          </cell>
          <cell r="AA1367">
            <v>2</v>
          </cell>
          <cell r="AB1367">
            <v>3.5709999999999999E-2</v>
          </cell>
        </row>
        <row r="1368">
          <cell r="A1368" t="str">
            <v>F-2026-04-80-2</v>
          </cell>
          <cell r="B1368"/>
          <cell r="C1368" t="str">
            <v>FPRO-260409-0009</v>
          </cell>
          <cell r="D1368" t="str">
            <v>Firm plan 06.4</v>
          </cell>
          <cell r="E1368" t="str">
            <v>BDB-000181</v>
          </cell>
          <cell r="F1368" t="str">
            <v>PVN-003238</v>
          </cell>
          <cell r="G1368" t="str">
            <v>OrthoLite Eco LT-Hybrid-Converse SEEDPEARL/12-0703TPX Hybrid 0.11D 25+/-4 Asker C 1.1M 2M 5mm</v>
          </cell>
          <cell r="H1368">
            <v>200</v>
          </cell>
          <cell r="I1368">
            <v>200</v>
          </cell>
          <cell r="J1368">
            <v>0</v>
          </cell>
          <cell r="K1368">
            <v>200</v>
          </cell>
          <cell r="L1368" t="str">
            <v>CONVERSE</v>
          </cell>
          <cell r="M1368" t="str">
            <v>Forecast</v>
          </cell>
          <cell r="N1368" t="str">
            <v>DIE CUT</v>
          </cell>
          <cell r="O1368" t="str">
            <v>1-SLT</v>
          </cell>
          <cell r="P1368">
            <v>46118</v>
          </cell>
          <cell r="Q1368">
            <v>46128</v>
          </cell>
          <cell r="R1368">
            <v>46125</v>
          </cell>
          <cell r="S1368">
            <v>10</v>
          </cell>
          <cell r="T1368">
            <v>5</v>
          </cell>
          <cell r="U1368">
            <v>28</v>
          </cell>
          <cell r="V1368">
            <v>8</v>
          </cell>
          <cell r="W1368" t="str">
            <v>0.11D</v>
          </cell>
          <cell r="X1368" t="str">
            <v>4-2026</v>
          </cell>
          <cell r="Y1368" t="str">
            <v>Week 16</v>
          </cell>
          <cell r="Z1368">
            <v>46125</v>
          </cell>
          <cell r="AA1368">
            <v>0</v>
          </cell>
          <cell r="AB1368">
            <v>3.5709999999999999E-2</v>
          </cell>
        </row>
        <row r="1369">
          <cell r="A1369" t="str">
            <v>F-2026-04-81-1</v>
          </cell>
          <cell r="B1369"/>
          <cell r="C1369" t="str">
            <v>FPRO-260406-0012</v>
          </cell>
          <cell r="D1369" t="str">
            <v>Firm plan 06.4</v>
          </cell>
          <cell r="E1369" t="str">
            <v>BDB-000181</v>
          </cell>
          <cell r="F1369" t="str">
            <v>PVN-003238</v>
          </cell>
          <cell r="G1369" t="str">
            <v>OrthoLite Eco LT-Hybrid-Converse SEEDPEARL/12-0703TPX Hybrid 0.11D 25+/-4 Asker C 1.1M 2M 5mm</v>
          </cell>
          <cell r="H1369">
            <v>32</v>
          </cell>
          <cell r="I1369">
            <v>32</v>
          </cell>
          <cell r="J1369">
            <v>0</v>
          </cell>
          <cell r="K1369">
            <v>32</v>
          </cell>
          <cell r="L1369" t="str">
            <v>CONVERSE</v>
          </cell>
          <cell r="M1369" t="str">
            <v>Forecast</v>
          </cell>
          <cell r="N1369" t="str">
            <v>DIE CUT</v>
          </cell>
          <cell r="O1369">
            <v>1</v>
          </cell>
          <cell r="P1369">
            <v>46118</v>
          </cell>
          <cell r="Q1369">
            <v>46128</v>
          </cell>
          <cell r="R1369">
            <v>46125</v>
          </cell>
          <cell r="S1369">
            <v>10</v>
          </cell>
          <cell r="T1369">
            <v>5</v>
          </cell>
          <cell r="U1369">
            <v>28</v>
          </cell>
          <cell r="V1369">
            <v>2</v>
          </cell>
          <cell r="W1369" t="str">
            <v>0.11D</v>
          </cell>
          <cell r="X1369" t="str">
            <v>4-2026</v>
          </cell>
          <cell r="Y1369" t="str">
            <v>Week 16</v>
          </cell>
          <cell r="Z1369">
            <v>46125</v>
          </cell>
          <cell r="AA1369">
            <v>0</v>
          </cell>
          <cell r="AB1369">
            <v>3.5709999999999999E-2</v>
          </cell>
        </row>
        <row r="1370">
          <cell r="A1370" t="str">
            <v>F-2026-04-81-3</v>
          </cell>
          <cell r="B1370"/>
          <cell r="C1370" t="str">
            <v>FPRO-260408-0002</v>
          </cell>
          <cell r="D1370" t="str">
            <v>Firm plan 06.4</v>
          </cell>
          <cell r="E1370" t="str">
            <v>BDB-000181</v>
          </cell>
          <cell r="F1370" t="str">
            <v>PVN-003238</v>
          </cell>
          <cell r="G1370" t="str">
            <v>OrthoLite Eco LT-Hybrid-Converse SEEDPEARL/12-0703TPX Hybrid 0.11D 25+/-4 Asker C 1.1M 2M 5mm</v>
          </cell>
          <cell r="H1370">
            <v>11</v>
          </cell>
          <cell r="I1370">
            <v>11</v>
          </cell>
          <cell r="J1370">
            <v>0</v>
          </cell>
          <cell r="K1370">
            <v>11</v>
          </cell>
          <cell r="L1370" t="str">
            <v>CONVERSE</v>
          </cell>
          <cell r="M1370" t="str">
            <v>Forecast</v>
          </cell>
          <cell r="N1370" t="str">
            <v>DIE CUT</v>
          </cell>
          <cell r="O1370" t="str">
            <v>1-SLT</v>
          </cell>
          <cell r="P1370">
            <v>46118</v>
          </cell>
          <cell r="Q1370">
            <v>46128</v>
          </cell>
          <cell r="R1370">
            <v>46125</v>
          </cell>
          <cell r="S1370">
            <v>10</v>
          </cell>
          <cell r="T1370">
            <v>5</v>
          </cell>
          <cell r="U1370">
            <v>28</v>
          </cell>
          <cell r="V1370">
            <v>1</v>
          </cell>
          <cell r="W1370" t="str">
            <v>0.11D</v>
          </cell>
          <cell r="X1370" t="str">
            <v>4-2026</v>
          </cell>
          <cell r="Y1370" t="str">
            <v>Week 16</v>
          </cell>
          <cell r="Z1370">
            <v>46125</v>
          </cell>
          <cell r="AA1370">
            <v>72</v>
          </cell>
          <cell r="AB1370">
            <v>3.5709999999999999E-2</v>
          </cell>
        </row>
        <row r="1371">
          <cell r="A1371" t="str">
            <v>F-2026-04-81-2</v>
          </cell>
          <cell r="B1371"/>
          <cell r="C1371" t="str">
            <v>FPRO-260408-0001</v>
          </cell>
          <cell r="D1371" t="str">
            <v>Firm plan 06.4</v>
          </cell>
          <cell r="E1371" t="str">
            <v>BDB-000181</v>
          </cell>
          <cell r="F1371" t="str">
            <v>PVN-003238</v>
          </cell>
          <cell r="G1371" t="str">
            <v>OrthoLite Eco LT-Hybrid-Converse SEEDPEARL/12-0703TPX Hybrid 0.11D 25+/-4 Asker C 1.1M 2M 5mm</v>
          </cell>
          <cell r="H1371">
            <v>407</v>
          </cell>
          <cell r="I1371">
            <v>407</v>
          </cell>
          <cell r="J1371">
            <v>0</v>
          </cell>
          <cell r="K1371">
            <v>407</v>
          </cell>
          <cell r="L1371" t="str">
            <v>CONVERSE</v>
          </cell>
          <cell r="M1371" t="str">
            <v>Forecast</v>
          </cell>
          <cell r="N1371" t="str">
            <v>DIE CUT</v>
          </cell>
          <cell r="O1371" t="str">
            <v>1-SLT</v>
          </cell>
          <cell r="P1371">
            <v>46118</v>
          </cell>
          <cell r="Q1371">
            <v>46128</v>
          </cell>
          <cell r="R1371">
            <v>46125</v>
          </cell>
          <cell r="S1371">
            <v>10</v>
          </cell>
          <cell r="T1371">
            <v>5</v>
          </cell>
          <cell r="U1371">
            <v>28</v>
          </cell>
          <cell r="V1371">
            <v>15</v>
          </cell>
          <cell r="W1371" t="str">
            <v>0.11D</v>
          </cell>
          <cell r="X1371" t="str">
            <v>4-2026</v>
          </cell>
          <cell r="Y1371" t="str">
            <v>Week 16</v>
          </cell>
          <cell r="Z1371">
            <v>46125</v>
          </cell>
          <cell r="AA1371">
            <v>72</v>
          </cell>
          <cell r="AB1371">
            <v>3.5709999999999999E-2</v>
          </cell>
        </row>
        <row r="1372">
          <cell r="A1372" t="str">
            <v>F-2026-04-82</v>
          </cell>
          <cell r="B1372"/>
          <cell r="C1372" t="str">
            <v>RPRO-260407-0075</v>
          </cell>
          <cell r="D1372" t="str">
            <v>MPS 06.04</v>
          </cell>
          <cell r="E1372" t="str">
            <v>BDB-000011</v>
          </cell>
          <cell r="F1372" t="str">
            <v>PVN-000127</v>
          </cell>
          <cell r="G1372" t="str">
            <v>OrthoLite Regular AIR BLUE/16-4134TPX Flat Sheet 0.13D 35+/-4 Asker C 1.1M 2M 5mm</v>
          </cell>
          <cell r="H1372">
            <v>28</v>
          </cell>
          <cell r="I1372">
            <v>28</v>
          </cell>
          <cell r="J1372">
            <v>0</v>
          </cell>
          <cell r="K1372">
            <v>28</v>
          </cell>
          <cell r="L1372"/>
          <cell r="M1372" t="str">
            <v>MPS</v>
          </cell>
          <cell r="N1372" t="str">
            <v>SPLITTING</v>
          </cell>
          <cell r="O1372">
            <v>2</v>
          </cell>
          <cell r="P1372">
            <v>46119</v>
          </cell>
          <cell r="Q1372">
            <v>46128</v>
          </cell>
          <cell r="R1372">
            <v>46125</v>
          </cell>
          <cell r="S1372">
            <v>9</v>
          </cell>
          <cell r="T1372">
            <v>5</v>
          </cell>
          <cell r="U1372">
            <v>28</v>
          </cell>
          <cell r="V1372">
            <v>1</v>
          </cell>
          <cell r="W1372" t="str">
            <v>0.13D</v>
          </cell>
          <cell r="X1372" t="str">
            <v>4-2026</v>
          </cell>
          <cell r="Y1372" t="str">
            <v>Week 15</v>
          </cell>
          <cell r="Z1372">
            <v>46118</v>
          </cell>
          <cell r="AA1372">
            <v>72</v>
          </cell>
          <cell r="AB1372">
            <v>3.5709999999999999E-2</v>
          </cell>
        </row>
        <row r="1373">
          <cell r="A1373" t="str">
            <v>F-2026-04-83</v>
          </cell>
          <cell r="B1373"/>
          <cell r="C1373" t="str">
            <v>RPRO-260407-0076</v>
          </cell>
          <cell r="D1373" t="str">
            <v>MPS 06.04</v>
          </cell>
          <cell r="E1373" t="str">
            <v>BDB-000058</v>
          </cell>
          <cell r="F1373" t="str">
            <v>PVN-001277</v>
          </cell>
          <cell r="G1373" t="str">
            <v>OrthoLite Ultra GREEN/16-5932TPX Flat Sheet 0.085D 25+/-4 Asker C 1.1M 2M 4mm</v>
          </cell>
          <cell r="H1373">
            <v>350</v>
          </cell>
          <cell r="I1373">
            <v>350</v>
          </cell>
          <cell r="J1373">
            <v>0</v>
          </cell>
          <cell r="K1373">
            <v>350</v>
          </cell>
          <cell r="L1373"/>
          <cell r="M1373" t="str">
            <v>MPS</v>
          </cell>
          <cell r="N1373" t="str">
            <v>SPLITTING</v>
          </cell>
          <cell r="O1373">
            <v>2</v>
          </cell>
          <cell r="P1373">
            <v>46119</v>
          </cell>
          <cell r="Q1373">
            <v>46134</v>
          </cell>
          <cell r="R1373">
            <v>46131</v>
          </cell>
          <cell r="S1373">
            <v>15</v>
          </cell>
          <cell r="T1373">
            <v>4</v>
          </cell>
          <cell r="U1373">
            <v>35</v>
          </cell>
          <cell r="V1373">
            <v>10</v>
          </cell>
          <cell r="W1373" t="str">
            <v>0.085D</v>
          </cell>
          <cell r="X1373" t="str">
            <v>4-2026</v>
          </cell>
          <cell r="Y1373" t="str">
            <v>Week 16</v>
          </cell>
          <cell r="Z1373">
            <v>46125</v>
          </cell>
          <cell r="AA1373">
            <v>45</v>
          </cell>
          <cell r="AB1373">
            <v>2.8570000000000002E-2</v>
          </cell>
        </row>
        <row r="1374">
          <cell r="A1374" t="str">
            <v>F-2026-04-84</v>
          </cell>
          <cell r="B1374"/>
          <cell r="C1374" t="str">
            <v>RPRO-260407-0077</v>
          </cell>
          <cell r="D1374" t="str">
            <v>Pro.sche.report 06.04</v>
          </cell>
          <cell r="E1374" t="str">
            <v>BDB-000248</v>
          </cell>
          <cell r="F1374" t="str">
            <v>PVN-003931</v>
          </cell>
          <cell r="G1374" t="str">
            <v>OrthoLite X-40-Hybrid RED/19-1764TPX Hybrid Flat Sheet 0.16D 25+/-4 Asker C 1.1M 1.7M 6.5mm</v>
          </cell>
          <cell r="H1374">
            <v>357</v>
          </cell>
          <cell r="I1374">
            <v>357</v>
          </cell>
          <cell r="J1374">
            <v>0</v>
          </cell>
          <cell r="K1374">
            <v>357</v>
          </cell>
          <cell r="L1374" t="str">
            <v>REDWING</v>
          </cell>
          <cell r="M1374" t="str">
            <v>Pr.Sch.R</v>
          </cell>
          <cell r="N1374" t="str">
            <v>MOLDED</v>
          </cell>
          <cell r="O1374">
            <v>1</v>
          </cell>
          <cell r="P1374">
            <v>46119</v>
          </cell>
          <cell r="Q1374">
            <v>46134</v>
          </cell>
          <cell r="R1374">
            <v>46131</v>
          </cell>
          <cell r="S1374">
            <v>15</v>
          </cell>
          <cell r="T1374">
            <v>6.5</v>
          </cell>
          <cell r="U1374">
            <v>21</v>
          </cell>
          <cell r="V1374">
            <v>18</v>
          </cell>
          <cell r="W1374" t="str">
            <v>0.16D</v>
          </cell>
          <cell r="X1374" t="str">
            <v>4-2026</v>
          </cell>
          <cell r="Y1374" t="str">
            <v>Week 16</v>
          </cell>
          <cell r="Z1374">
            <v>46125</v>
          </cell>
          <cell r="AA1374">
            <v>114</v>
          </cell>
          <cell r="AB1374">
            <v>4.7620000000000003E-2</v>
          </cell>
        </row>
        <row r="1375">
          <cell r="A1375" t="str">
            <v>F-2026-04-85</v>
          </cell>
          <cell r="B1375"/>
          <cell r="C1375" t="str">
            <v>RPRO-260407-0078</v>
          </cell>
          <cell r="D1375" t="str">
            <v>Pro.sche.report 06.04</v>
          </cell>
          <cell r="E1375" t="str">
            <v>BDB-000309</v>
          </cell>
          <cell r="F1375" t="str">
            <v>PVN-004033</v>
          </cell>
          <cell r="G1375" t="str">
            <v>OrthoLite X-40-Hybrid NEUTRAL GRAY/17-4402TPX Hybrid Flat Sheet 0.16D 35+/-4 Asker C 1.1M 2M 2mm</v>
          </cell>
          <cell r="H1375">
            <v>210</v>
          </cell>
          <cell r="I1375">
            <v>210</v>
          </cell>
          <cell r="J1375">
            <v>0</v>
          </cell>
          <cell r="K1375">
            <v>210</v>
          </cell>
          <cell r="L1375" t="str">
            <v>REDWING</v>
          </cell>
          <cell r="M1375" t="str">
            <v>Pr.Sch.R</v>
          </cell>
          <cell r="N1375" t="str">
            <v>MOLDED</v>
          </cell>
          <cell r="O1375">
            <v>1</v>
          </cell>
          <cell r="P1375">
            <v>46119</v>
          </cell>
          <cell r="Q1375">
            <v>46134</v>
          </cell>
          <cell r="R1375">
            <v>46131</v>
          </cell>
          <cell r="S1375">
            <v>15</v>
          </cell>
          <cell r="T1375">
            <v>2</v>
          </cell>
          <cell r="U1375">
            <v>70</v>
          </cell>
          <cell r="V1375">
            <v>4</v>
          </cell>
          <cell r="W1375" t="e">
            <v>#N/A</v>
          </cell>
          <cell r="X1375" t="str">
            <v>4-2026</v>
          </cell>
          <cell r="Y1375" t="str">
            <v>Week 16</v>
          </cell>
          <cell r="Z1375">
            <v>46125</v>
          </cell>
          <cell r="AA1375">
            <v>84</v>
          </cell>
          <cell r="AB1375">
            <v>1.4290000000000001E-2</v>
          </cell>
        </row>
        <row r="1376">
          <cell r="A1376" t="str">
            <v>F-2026-04-86</v>
          </cell>
          <cell r="B1376"/>
          <cell r="C1376" t="str">
            <v>RPRO-260407-0079</v>
          </cell>
          <cell r="D1376" t="str">
            <v>Pro.sche.report 06.04</v>
          </cell>
          <cell r="E1376" t="str">
            <v>BDB-000363</v>
          </cell>
          <cell r="F1376" t="str">
            <v>PVN-004260</v>
          </cell>
          <cell r="G1376" t="str">
            <v>OrthoLite HybridPlus-Recycled MINT GREEN/11-4805TPX Hybrid Flat Sheet 0.12D 35+/-4 Asker C 1.1M 2M 5.5mm</v>
          </cell>
          <cell r="H1376">
            <v>25</v>
          </cell>
          <cell r="I1376">
            <v>25</v>
          </cell>
          <cell r="J1376">
            <v>0</v>
          </cell>
          <cell r="K1376">
            <v>25</v>
          </cell>
          <cell r="L1376" t="str">
            <v>ON RUNNING</v>
          </cell>
          <cell r="M1376" t="str">
            <v>Pr.Sch.R</v>
          </cell>
          <cell r="N1376" t="str">
            <v>MOLDED</v>
          </cell>
          <cell r="O1376">
            <v>1</v>
          </cell>
          <cell r="P1376">
            <v>46119</v>
          </cell>
          <cell r="Q1376">
            <v>46128</v>
          </cell>
          <cell r="R1376">
            <v>46125</v>
          </cell>
          <cell r="S1376">
            <v>9</v>
          </cell>
          <cell r="T1376">
            <v>5.5</v>
          </cell>
          <cell r="U1376">
            <v>25</v>
          </cell>
          <cell r="V1376">
            <v>1</v>
          </cell>
          <cell r="W1376" t="e">
            <v>#N/A</v>
          </cell>
          <cell r="X1376" t="str">
            <v>4-2026</v>
          </cell>
          <cell r="Y1376" t="str">
            <v>Week 15</v>
          </cell>
          <cell r="Z1376">
            <v>46118</v>
          </cell>
          <cell r="AA1376">
            <v>37</v>
          </cell>
          <cell r="AB1376">
            <v>0.04</v>
          </cell>
        </row>
        <row r="1377">
          <cell r="A1377" t="str">
            <v>F-2026-04-87</v>
          </cell>
          <cell r="B1377"/>
          <cell r="C1377" t="str">
            <v>RPRO-260407-0080</v>
          </cell>
          <cell r="D1377" t="str">
            <v>Pro.sche.report 06.04</v>
          </cell>
          <cell r="E1377" t="str">
            <v>BDB-000319</v>
          </cell>
          <cell r="F1377" t="str">
            <v>PVN-004247</v>
          </cell>
          <cell r="G1377" t="str">
            <v>OrthoLite X-40-Hybrid-Nike SEEDPEARL/12-0703TPX Hybrid Flat Sheet 0.16D 25+/-4 Asker C 1.1M 2M 4.2mm</v>
          </cell>
          <cell r="H1377">
            <v>33</v>
          </cell>
          <cell r="I1377">
            <v>33</v>
          </cell>
          <cell r="J1377">
            <v>0</v>
          </cell>
          <cell r="K1377">
            <v>33</v>
          </cell>
          <cell r="L1377" t="str">
            <v>NIKE</v>
          </cell>
          <cell r="M1377" t="str">
            <v>Pr.Sch.R</v>
          </cell>
          <cell r="N1377" t="str">
            <v>MOLDED</v>
          </cell>
          <cell r="O1377">
            <v>1</v>
          </cell>
          <cell r="P1377">
            <v>46119</v>
          </cell>
          <cell r="Q1377">
            <v>46128</v>
          </cell>
          <cell r="R1377">
            <v>46125</v>
          </cell>
          <cell r="S1377">
            <v>9</v>
          </cell>
          <cell r="T1377">
            <v>4.2</v>
          </cell>
          <cell r="U1377">
            <v>33</v>
          </cell>
          <cell r="V1377">
            <v>1</v>
          </cell>
          <cell r="W1377" t="e">
            <v>#N/A</v>
          </cell>
          <cell r="X1377" t="str">
            <v>4-2026</v>
          </cell>
          <cell r="Y1377" t="str">
            <v>Week 15</v>
          </cell>
          <cell r="Z1377">
            <v>46118</v>
          </cell>
          <cell r="AA1377">
            <v>89</v>
          </cell>
          <cell r="AB1377">
            <v>3.0300000000000001E-2</v>
          </cell>
        </row>
        <row r="1378">
          <cell r="A1378" t="str">
            <v>F-2026-04-88</v>
          </cell>
          <cell r="B1378"/>
          <cell r="C1378" t="str">
            <v>RPRO-260407-0081</v>
          </cell>
          <cell r="D1378" t="str">
            <v>Pro.sche.report 06.04</v>
          </cell>
          <cell r="E1378" t="str">
            <v>BDB-000067</v>
          </cell>
          <cell r="F1378" t="str">
            <v>PVN-003691</v>
          </cell>
          <cell r="G1378" t="str">
            <v>OrthoLite Ultra SEEDPEARL/12-0703TPX Flat Sheet 0.085D 25+/-4 Asker C 1.1M 2M 5.2mm</v>
          </cell>
          <cell r="H1378">
            <v>26</v>
          </cell>
          <cell r="I1378">
            <v>26</v>
          </cell>
          <cell r="J1378">
            <v>0</v>
          </cell>
          <cell r="K1378">
            <v>26</v>
          </cell>
          <cell r="L1378" t="str">
            <v>PUMA</v>
          </cell>
          <cell r="M1378" t="str">
            <v>Pr.Sch.R</v>
          </cell>
          <cell r="N1378" t="str">
            <v>MOLDED</v>
          </cell>
          <cell r="O1378">
            <v>1</v>
          </cell>
          <cell r="P1378">
            <v>46119</v>
          </cell>
          <cell r="Q1378">
            <v>46133</v>
          </cell>
          <cell r="R1378">
            <v>46130</v>
          </cell>
          <cell r="S1378">
            <v>14</v>
          </cell>
          <cell r="T1378">
            <v>5.2</v>
          </cell>
          <cell r="U1378">
            <v>26</v>
          </cell>
          <cell r="V1378">
            <v>1</v>
          </cell>
          <cell r="W1378" t="str">
            <v>0.085D</v>
          </cell>
          <cell r="X1378" t="str">
            <v>4-2026</v>
          </cell>
          <cell r="Y1378" t="str">
            <v>Week 16</v>
          </cell>
          <cell r="Z1378">
            <v>46125</v>
          </cell>
          <cell r="AA1378">
            <v>78</v>
          </cell>
          <cell r="AB1378">
            <v>3.8460000000000001E-2</v>
          </cell>
        </row>
        <row r="1379">
          <cell r="A1379" t="str">
            <v>F-2026-04-89</v>
          </cell>
          <cell r="B1379"/>
          <cell r="C1379" t="str">
            <v>RPRO-260407-0082</v>
          </cell>
          <cell r="D1379" t="str">
            <v>Pro.sche.report 06.04</v>
          </cell>
          <cell r="E1379" t="str">
            <v>BDB-000373</v>
          </cell>
          <cell r="F1379" t="str">
            <v>PVN-004315</v>
          </cell>
          <cell r="G1379" t="str">
            <v>OrthoLite X-25-Nike BILLIARD/16-5427TPX Flat Sheet 0.12D 20+/-4 Asker C 1.1M 2M 5mm</v>
          </cell>
          <cell r="H1379">
            <v>112</v>
          </cell>
          <cell r="I1379">
            <v>112</v>
          </cell>
          <cell r="J1379">
            <v>0</v>
          </cell>
          <cell r="K1379">
            <v>112</v>
          </cell>
          <cell r="L1379" t="str">
            <v>NIKE</v>
          </cell>
          <cell r="M1379" t="str">
            <v>Pr.Sch.R</v>
          </cell>
          <cell r="N1379" t="str">
            <v>DIE CUT</v>
          </cell>
          <cell r="O1379">
            <v>1</v>
          </cell>
          <cell r="P1379">
            <v>46119</v>
          </cell>
          <cell r="Q1379">
            <v>46134</v>
          </cell>
          <cell r="R1379">
            <v>46131</v>
          </cell>
          <cell r="S1379">
            <v>15</v>
          </cell>
          <cell r="T1379">
            <v>5</v>
          </cell>
          <cell r="U1379">
            <v>28</v>
          </cell>
          <cell r="V1379">
            <v>4</v>
          </cell>
          <cell r="W1379" t="e">
            <v>#N/A</v>
          </cell>
          <cell r="X1379" t="str">
            <v>4-2026</v>
          </cell>
          <cell r="Y1379" t="str">
            <v>Week 16</v>
          </cell>
          <cell r="Z1379">
            <v>46125</v>
          </cell>
          <cell r="AA1379">
            <v>136</v>
          </cell>
          <cell r="AB1379">
            <v>3.5709999999999999E-2</v>
          </cell>
        </row>
        <row r="1380">
          <cell r="A1380" t="str">
            <v>F-2026-04-90-1</v>
          </cell>
          <cell r="B1380"/>
          <cell r="C1380" t="str">
            <v>FPRO-260406-0015</v>
          </cell>
          <cell r="D1380" t="str">
            <v>Firm plan 06.4</v>
          </cell>
          <cell r="E1380" t="str">
            <v>BDB-000123</v>
          </cell>
          <cell r="F1380" t="str">
            <v>PVN-002973</v>
          </cell>
          <cell r="G1380" t="str">
            <v>OrthoLite Ultra-Hybrid SEEDPEARL/12-0703TPX Hybrid 0.085D 25+/-4 Asker C 1.1M 2M 4.5mm</v>
          </cell>
          <cell r="H1380">
            <v>862</v>
          </cell>
          <cell r="I1380">
            <v>862</v>
          </cell>
          <cell r="J1380">
            <v>0</v>
          </cell>
          <cell r="K1380">
            <v>862</v>
          </cell>
          <cell r="L1380" t="str">
            <v>SALOMON</v>
          </cell>
          <cell r="M1380" t="str">
            <v>Forecast</v>
          </cell>
          <cell r="N1380" t="str">
            <v>MOLDED</v>
          </cell>
          <cell r="O1380">
            <v>1</v>
          </cell>
          <cell r="P1380">
            <v>46118</v>
          </cell>
          <cell r="Q1380">
            <v>46158</v>
          </cell>
          <cell r="R1380">
            <v>46155</v>
          </cell>
          <cell r="S1380">
            <v>40</v>
          </cell>
          <cell r="T1380">
            <v>4.5</v>
          </cell>
          <cell r="U1380">
            <v>31</v>
          </cell>
          <cell r="V1380">
            <v>28</v>
          </cell>
          <cell r="W1380" t="str">
            <v>0.085D</v>
          </cell>
          <cell r="X1380" t="str">
            <v>5-2026</v>
          </cell>
          <cell r="Y1380" t="str">
            <v>Week 20</v>
          </cell>
          <cell r="Z1380">
            <v>46153</v>
          </cell>
          <cell r="AA1380">
            <v>3</v>
          </cell>
          <cell r="AB1380">
            <v>3.2259999999999997E-2</v>
          </cell>
        </row>
        <row r="1381">
          <cell r="A1381" t="str">
            <v>F-2026-04-90-2</v>
          </cell>
          <cell r="B1381"/>
          <cell r="C1381" t="str">
            <v>FPRO-260429-0001</v>
          </cell>
          <cell r="D1381" t="str">
            <v>Firm plan 06.4</v>
          </cell>
          <cell r="E1381" t="str">
            <v>BDB-000123</v>
          </cell>
          <cell r="F1381" t="str">
            <v>PVN-002973</v>
          </cell>
          <cell r="G1381" t="str">
            <v>OrthoLite Ultra-Hybrid SEEDPEARL/12-0703TPX Hybrid 0.085D 25+/-4 Asker C 1.1M 2M 4.5mm</v>
          </cell>
          <cell r="H1381">
            <v>850</v>
          </cell>
          <cell r="I1381">
            <v>850</v>
          </cell>
          <cell r="J1381">
            <v>0</v>
          </cell>
          <cell r="K1381">
            <v>850</v>
          </cell>
          <cell r="L1381" t="str">
            <v>SALOMON</v>
          </cell>
          <cell r="M1381" t="str">
            <v>Forecast</v>
          </cell>
          <cell r="N1381" t="str">
            <v>MOLDED</v>
          </cell>
          <cell r="O1381" t="str">
            <v>1-SLT</v>
          </cell>
          <cell r="P1381">
            <v>46118</v>
          </cell>
          <cell r="Q1381">
            <v>46155</v>
          </cell>
          <cell r="R1381">
            <v>46152</v>
          </cell>
          <cell r="S1381">
            <v>37</v>
          </cell>
          <cell r="T1381">
            <v>4.5</v>
          </cell>
          <cell r="U1381">
            <v>31</v>
          </cell>
          <cell r="V1381">
            <v>28</v>
          </cell>
          <cell r="W1381" t="str">
            <v>0.085D</v>
          </cell>
          <cell r="X1381" t="str">
            <v>5-2026</v>
          </cell>
          <cell r="Y1381" t="str">
            <v>Week 19</v>
          </cell>
          <cell r="Z1381">
            <v>46146</v>
          </cell>
          <cell r="AA1381">
            <v>16</v>
          </cell>
          <cell r="AB1381">
            <v>3.2259999999999997E-2</v>
          </cell>
        </row>
        <row r="1382">
          <cell r="A1382" t="str">
            <v>F-2026-04-91</v>
          </cell>
          <cell r="B1382"/>
          <cell r="C1382" t="str">
            <v>FPRO-260406-0016</v>
          </cell>
          <cell r="D1382" t="str">
            <v>Firm plan 06.4</v>
          </cell>
          <cell r="E1382" t="str">
            <v>BDB-000123</v>
          </cell>
          <cell r="F1382" t="str">
            <v>PVN-003298</v>
          </cell>
          <cell r="G1382" t="str">
            <v>OrthoLite Ultra-Hybrid SEEDPEARL/12-0703TPX Hybrid 0.085D 25+/-4 Asker C 1.1M 2M 4mm</v>
          </cell>
          <cell r="H1382">
            <v>7000</v>
          </cell>
          <cell r="I1382">
            <v>7000</v>
          </cell>
          <cell r="J1382">
            <v>0</v>
          </cell>
          <cell r="K1382">
            <v>7000</v>
          </cell>
          <cell r="L1382" t="str">
            <v>SALOMON</v>
          </cell>
          <cell r="M1382" t="str">
            <v>Forecast</v>
          </cell>
          <cell r="N1382" t="str">
            <v>LAMINATING</v>
          </cell>
          <cell r="O1382">
            <v>1</v>
          </cell>
          <cell r="P1382">
            <v>46118</v>
          </cell>
          <cell r="Q1382">
            <v>46171</v>
          </cell>
          <cell r="R1382">
            <v>46168</v>
          </cell>
          <cell r="S1382">
            <v>53</v>
          </cell>
          <cell r="T1382">
            <v>4</v>
          </cell>
          <cell r="U1382">
            <v>35</v>
          </cell>
          <cell r="V1382">
            <v>200</v>
          </cell>
          <cell r="W1382" t="str">
            <v>0.085D</v>
          </cell>
          <cell r="X1382" t="str">
            <v>5-2026</v>
          </cell>
          <cell r="Y1382" t="str">
            <v>Week 21</v>
          </cell>
          <cell r="Z1382">
            <v>46160</v>
          </cell>
          <cell r="AA1382">
            <v>16</v>
          </cell>
          <cell r="AB1382">
            <v>2.8570000000000002E-2</v>
          </cell>
        </row>
        <row r="1383">
          <cell r="A1383" t="str">
            <v>F-2026-04-92</v>
          </cell>
          <cell r="B1383"/>
          <cell r="C1383" t="str">
            <v>FPRO-260406-0017</v>
          </cell>
          <cell r="D1383" t="str">
            <v>Firm plan 06.4</v>
          </cell>
          <cell r="E1383" t="str">
            <v>BDB-000123</v>
          </cell>
          <cell r="F1383" t="str">
            <v>PVN-003298</v>
          </cell>
          <cell r="G1383" t="str">
            <v>OrthoLite Ultra-Hybrid SEEDPEARL/12-0703TPX Hybrid 0.085D 25+/-4 Asker C 1.1M 2M 4mm</v>
          </cell>
          <cell r="H1383">
            <v>7000</v>
          </cell>
          <cell r="I1383">
            <v>7000</v>
          </cell>
          <cell r="J1383">
            <v>0</v>
          </cell>
          <cell r="K1383">
            <v>7000</v>
          </cell>
          <cell r="L1383" t="str">
            <v>SALOMON</v>
          </cell>
          <cell r="M1383" t="str">
            <v>Forecast</v>
          </cell>
          <cell r="N1383" t="str">
            <v>LAMINATING</v>
          </cell>
          <cell r="O1383">
            <v>1</v>
          </cell>
          <cell r="P1383">
            <v>46118</v>
          </cell>
          <cell r="Q1383">
            <v>46153</v>
          </cell>
          <cell r="R1383">
            <v>46150</v>
          </cell>
          <cell r="S1383">
            <v>35</v>
          </cell>
          <cell r="T1383">
            <v>4</v>
          </cell>
          <cell r="U1383">
            <v>35</v>
          </cell>
          <cell r="V1383">
            <v>200</v>
          </cell>
          <cell r="W1383" t="str">
            <v>0.085D</v>
          </cell>
          <cell r="X1383" t="str">
            <v>5-2026</v>
          </cell>
          <cell r="Y1383" t="str">
            <v>Week 19</v>
          </cell>
          <cell r="Z1383">
            <v>46146</v>
          </cell>
          <cell r="AA1383">
            <v>129</v>
          </cell>
          <cell r="AB1383">
            <v>2.8570000000000002E-2</v>
          </cell>
        </row>
        <row r="1384">
          <cell r="A1384" t="str">
            <v>F-2026-04-93</v>
          </cell>
          <cell r="B1384"/>
          <cell r="C1384" t="str">
            <v>FPRO-260406-0018</v>
          </cell>
          <cell r="D1384" t="str">
            <v>Firm plan 06.4</v>
          </cell>
          <cell r="E1384" t="str">
            <v>BDB-000123</v>
          </cell>
          <cell r="F1384" t="str">
            <v>PVN-003298</v>
          </cell>
          <cell r="G1384" t="str">
            <v>OrthoLite Ultra-Hybrid SEEDPEARL/12-0703TPX Hybrid 0.085D 25+/-4 Asker C 1.1M 2M 4mm</v>
          </cell>
          <cell r="H1384">
            <v>7000</v>
          </cell>
          <cell r="I1384">
            <v>7000</v>
          </cell>
          <cell r="J1384">
            <v>0</v>
          </cell>
          <cell r="K1384">
            <v>7000</v>
          </cell>
          <cell r="L1384" t="str">
            <v>SALOMON</v>
          </cell>
          <cell r="M1384" t="str">
            <v>Forecast</v>
          </cell>
          <cell r="N1384" t="str">
            <v>LAMINATING</v>
          </cell>
          <cell r="O1384">
            <v>1</v>
          </cell>
          <cell r="P1384">
            <v>46118</v>
          </cell>
          <cell r="Q1384">
            <v>46157</v>
          </cell>
          <cell r="R1384">
            <v>46154</v>
          </cell>
          <cell r="S1384">
            <v>39</v>
          </cell>
          <cell r="T1384">
            <v>4</v>
          </cell>
          <cell r="U1384">
            <v>35</v>
          </cell>
          <cell r="V1384">
            <v>200</v>
          </cell>
          <cell r="W1384" t="str">
            <v>0.085D</v>
          </cell>
          <cell r="X1384" t="str">
            <v>5-2026</v>
          </cell>
          <cell r="Y1384" t="str">
            <v>Week 19</v>
          </cell>
          <cell r="Z1384">
            <v>46146</v>
          </cell>
          <cell r="AA1384">
            <v>71</v>
          </cell>
          <cell r="AB1384">
            <v>2.8570000000000002E-2</v>
          </cell>
        </row>
        <row r="1385">
          <cell r="A1385" t="str">
            <v>F-2026-04-94</v>
          </cell>
          <cell r="B1385"/>
          <cell r="C1385" t="str">
            <v>FPRO-260406-0019</v>
          </cell>
          <cell r="D1385" t="str">
            <v>Firm plan 06.4</v>
          </cell>
          <cell r="E1385" t="str">
            <v>BDB-000123</v>
          </cell>
          <cell r="F1385" t="str">
            <v>PVN-003298</v>
          </cell>
          <cell r="G1385" t="str">
            <v>OrthoLite Ultra-Hybrid SEEDPEARL/12-0703TPX Hybrid 0.085D 25+/-4 Asker C 1.1M 2M 4mm</v>
          </cell>
          <cell r="H1385">
            <v>3100</v>
          </cell>
          <cell r="I1385">
            <v>3100</v>
          </cell>
          <cell r="J1385">
            <v>0</v>
          </cell>
          <cell r="K1385">
            <v>3100</v>
          </cell>
          <cell r="L1385" t="str">
            <v>SALOMON</v>
          </cell>
          <cell r="M1385" t="str">
            <v>Forecast</v>
          </cell>
          <cell r="N1385" t="str">
            <v>LAMINATING</v>
          </cell>
          <cell r="O1385">
            <v>1</v>
          </cell>
          <cell r="P1385">
            <v>46118</v>
          </cell>
          <cell r="Q1385">
            <v>46161</v>
          </cell>
          <cell r="R1385">
            <v>46158</v>
          </cell>
          <cell r="S1385">
            <v>43</v>
          </cell>
          <cell r="T1385">
            <v>4</v>
          </cell>
          <cell r="U1385">
            <v>35</v>
          </cell>
          <cell r="V1385">
            <v>89</v>
          </cell>
          <cell r="W1385" t="str">
            <v>0.085D</v>
          </cell>
          <cell r="X1385" t="str">
            <v>5-2026</v>
          </cell>
          <cell r="Y1385" t="str">
            <v>Week 20</v>
          </cell>
          <cell r="Z1385">
            <v>46153</v>
          </cell>
          <cell r="AA1385">
            <v>108</v>
          </cell>
          <cell r="AB1385">
            <v>2.8570000000000002E-2</v>
          </cell>
        </row>
        <row r="1386">
          <cell r="A1386" t="str">
            <v>OIN-2026.04.06-01</v>
          </cell>
          <cell r="B1386" t="str">
            <v>Urgent/LCL</v>
          </cell>
          <cell r="C1386" t="str">
            <v>RPRO-260409-0204</v>
          </cell>
          <cell r="D1386" t="str">
            <v>OIN</v>
          </cell>
          <cell r="E1386" t="str">
            <v>BDB-000356</v>
          </cell>
          <cell r="F1386" t="str">
            <v>PVN-004232</v>
          </cell>
          <cell r="G1386" t="str">
            <v>[116-12300] Eco Lite 15+/-4 Asker C 0.11D Lime Green 14-0452 Tpx 1.10M X 2.00M 47mm</v>
          </cell>
          <cell r="H1386">
            <v>2</v>
          </cell>
          <cell r="I1386">
            <v>2</v>
          </cell>
          <cell r="J1386">
            <v>0</v>
          </cell>
          <cell r="K1386">
            <v>2</v>
          </cell>
          <cell r="L1386" t="str">
            <v>JOOP</v>
          </cell>
          <cell r="M1386" t="str">
            <v>PO-7033-SO-260407-0001</v>
          </cell>
          <cell r="N1386" t="str">
            <v>FLAT SHEET</v>
          </cell>
          <cell r="O1386">
            <v>2</v>
          </cell>
          <cell r="P1386">
            <v>46118</v>
          </cell>
          <cell r="Q1386">
            <v>46129</v>
          </cell>
          <cell r="R1386">
            <v>46126</v>
          </cell>
          <cell r="S1386">
            <v>11</v>
          </cell>
          <cell r="T1386">
            <v>47</v>
          </cell>
          <cell r="U1386">
            <v>3</v>
          </cell>
          <cell r="V1386">
            <v>1</v>
          </cell>
          <cell r="W1386" t="e">
            <v>#N/A</v>
          </cell>
          <cell r="X1386" t="str">
            <v>4-2026</v>
          </cell>
          <cell r="Y1386" t="str">
            <v>Week 15</v>
          </cell>
          <cell r="Z1386">
            <v>46118</v>
          </cell>
          <cell r="AA1386">
            <v>45</v>
          </cell>
          <cell r="AB1386">
            <v>0.33333000000000002</v>
          </cell>
        </row>
        <row r="1387">
          <cell r="A1387" t="str">
            <v>F-2026-04-95</v>
          </cell>
          <cell r="B1387"/>
          <cell r="C1387" t="str">
            <v>RPRO-260409-0281-đã xóa firm</v>
          </cell>
          <cell r="D1387" t="str">
            <v>MPS 07.4+08.4</v>
          </cell>
          <cell r="E1387" t="str">
            <v>BDB-000010</v>
          </cell>
          <cell r="F1387" t="str">
            <v>PVN-000102</v>
          </cell>
          <cell r="G1387" t="str">
            <v>OrthoLite Regular AIR BLUE/16-4134TPX Flat Sheet 0.11D 25+/-4 Asker C 1.1M 2M 4mm</v>
          </cell>
          <cell r="H1387">
            <v>35</v>
          </cell>
          <cell r="I1387">
            <v>35</v>
          </cell>
          <cell r="J1387">
            <v>0</v>
          </cell>
          <cell r="K1387">
            <v>35</v>
          </cell>
          <cell r="L1387"/>
          <cell r="M1387" t="str">
            <v>MPS</v>
          </cell>
          <cell r="N1387" t="str">
            <v>SPLITTING</v>
          </cell>
          <cell r="O1387">
            <v>2</v>
          </cell>
          <cell r="P1387">
            <v>46121</v>
          </cell>
          <cell r="Q1387" t="str">
            <v>delete My zalo 10.4</v>
          </cell>
          <cell r="R1387" t="e">
            <v>#VALUE!</v>
          </cell>
          <cell r="S1387" t="e">
            <v>#VALUE!</v>
          </cell>
          <cell r="T1387">
            <v>4</v>
          </cell>
          <cell r="U1387">
            <v>35</v>
          </cell>
          <cell r="V1387">
            <v>1</v>
          </cell>
          <cell r="W1387" t="str">
            <v>0.11D</v>
          </cell>
          <cell r="X1387" t="e">
            <v>#VALUE!</v>
          </cell>
          <cell r="Y1387" t="e">
            <v>#VALUE!</v>
          </cell>
          <cell r="Z1387" t="str">
            <v/>
          </cell>
          <cell r="AA1387">
            <v>26</v>
          </cell>
          <cell r="AB1387">
            <v>2.8570000000000002E-2</v>
          </cell>
        </row>
        <row r="1388">
          <cell r="A1388" t="str">
            <v>F-2026-04-96</v>
          </cell>
          <cell r="B1388"/>
          <cell r="C1388" t="str">
            <v>RPRO-260409-0282</v>
          </cell>
          <cell r="D1388" t="str">
            <v>MPS 07.4+08.4</v>
          </cell>
          <cell r="E1388" t="str">
            <v>BDB-000057</v>
          </cell>
          <cell r="F1388" t="str">
            <v>PVN-000925</v>
          </cell>
          <cell r="G1388" t="str">
            <v>OrthoLite Ultra YELLOW/13-0858TPX Flat Sheet 0.085D 25+/-4 Asker C 1.1M 2M 5mm</v>
          </cell>
          <cell r="H1388">
            <v>28</v>
          </cell>
          <cell r="I1388">
            <v>28</v>
          </cell>
          <cell r="J1388">
            <v>0</v>
          </cell>
          <cell r="K1388">
            <v>28</v>
          </cell>
          <cell r="L1388"/>
          <cell r="M1388" t="str">
            <v>MPS</v>
          </cell>
          <cell r="N1388" t="str">
            <v>SPLITTING</v>
          </cell>
          <cell r="O1388">
            <v>2</v>
          </cell>
          <cell r="P1388">
            <v>46121</v>
          </cell>
          <cell r="Q1388">
            <v>46129</v>
          </cell>
          <cell r="R1388">
            <v>46126</v>
          </cell>
          <cell r="S1388">
            <v>8</v>
          </cell>
          <cell r="T1388">
            <v>5</v>
          </cell>
          <cell r="U1388">
            <v>28</v>
          </cell>
          <cell r="V1388">
            <v>1</v>
          </cell>
          <cell r="W1388" t="str">
            <v>0.085D</v>
          </cell>
          <cell r="X1388" t="str">
            <v>4-2026</v>
          </cell>
          <cell r="Y1388" t="str">
            <v>Week 16</v>
          </cell>
          <cell r="Z1388">
            <v>46125</v>
          </cell>
          <cell r="AA1388">
            <v>27</v>
          </cell>
          <cell r="AB1388">
            <v>3.5709999999999999E-2</v>
          </cell>
        </row>
        <row r="1389">
          <cell r="A1389" t="str">
            <v>F-2026-04-97</v>
          </cell>
          <cell r="B1389"/>
          <cell r="C1389" t="str">
            <v>RPRO-260409-0283</v>
          </cell>
          <cell r="D1389" t="str">
            <v>MPS 07.4+08.4</v>
          </cell>
          <cell r="E1389" t="str">
            <v>BDB-000058</v>
          </cell>
          <cell r="F1389" t="str">
            <v>PVN-001277</v>
          </cell>
          <cell r="G1389" t="str">
            <v>OrthoLite Ultra GREEN/16-5932TPX Flat Sheet 0.085D 25+/-4 Asker C 1.1M 2M 4mm</v>
          </cell>
          <cell r="H1389">
            <v>1015</v>
          </cell>
          <cell r="I1389">
            <v>1015</v>
          </cell>
          <cell r="J1389">
            <v>0</v>
          </cell>
          <cell r="K1389">
            <v>1015</v>
          </cell>
          <cell r="L1389"/>
          <cell r="M1389" t="str">
            <v>MPS</v>
          </cell>
          <cell r="N1389" t="str">
            <v>SPLITTING</v>
          </cell>
          <cell r="O1389">
            <v>2</v>
          </cell>
          <cell r="P1389">
            <v>46121</v>
          </cell>
          <cell r="Q1389">
            <v>46136</v>
          </cell>
          <cell r="R1389">
            <v>46133</v>
          </cell>
          <cell r="S1389">
            <v>15</v>
          </cell>
          <cell r="T1389">
            <v>4</v>
          </cell>
          <cell r="U1389">
            <v>35</v>
          </cell>
          <cell r="V1389">
            <v>29</v>
          </cell>
          <cell r="W1389" t="str">
            <v>0.085D</v>
          </cell>
          <cell r="X1389" t="str">
            <v>4-2026</v>
          </cell>
          <cell r="Y1389" t="str">
            <v>Week 16</v>
          </cell>
          <cell r="Z1389">
            <v>46125</v>
          </cell>
          <cell r="AA1389">
            <v>32</v>
          </cell>
          <cell r="AB1389">
            <v>2.8570000000000002E-2</v>
          </cell>
        </row>
        <row r="1390">
          <cell r="A1390" t="str">
            <v>F-2026-04-98</v>
          </cell>
          <cell r="B1390"/>
          <cell r="C1390" t="str">
            <v>RPRO-260409-0284</v>
          </cell>
          <cell r="D1390" t="str">
            <v>MPS 07.4+08.4</v>
          </cell>
          <cell r="E1390" t="str">
            <v>BDB-000058</v>
          </cell>
          <cell r="F1390" t="str">
            <v>PVN-001319</v>
          </cell>
          <cell r="G1390" t="str">
            <v>OrthoLite Ultra GREEN/16-5932TPX 0.085D 25+/-4 Asker C 1.1M 2M 5mm</v>
          </cell>
          <cell r="H1390">
            <v>252</v>
          </cell>
          <cell r="I1390">
            <v>252</v>
          </cell>
          <cell r="J1390">
            <v>0</v>
          </cell>
          <cell r="K1390">
            <v>252</v>
          </cell>
          <cell r="L1390"/>
          <cell r="M1390" t="str">
            <v>MPS</v>
          </cell>
          <cell r="N1390" t="str">
            <v>SPLITTING</v>
          </cell>
          <cell r="O1390">
            <v>2</v>
          </cell>
          <cell r="P1390">
            <v>46121</v>
          </cell>
          <cell r="Q1390">
            <v>46136</v>
          </cell>
          <cell r="R1390">
            <v>46133</v>
          </cell>
          <cell r="S1390">
            <v>15</v>
          </cell>
          <cell r="T1390">
            <v>5</v>
          </cell>
          <cell r="U1390">
            <v>28</v>
          </cell>
          <cell r="V1390">
            <v>9</v>
          </cell>
          <cell r="W1390" t="str">
            <v>0.085D</v>
          </cell>
          <cell r="X1390" t="str">
            <v>4-2026</v>
          </cell>
          <cell r="Y1390" t="str">
            <v>Week 16</v>
          </cell>
          <cell r="Z1390">
            <v>46125</v>
          </cell>
          <cell r="AA1390">
            <v>162</v>
          </cell>
          <cell r="AB1390">
            <v>3.5709999999999999E-2</v>
          </cell>
        </row>
        <row r="1391">
          <cell r="A1391" t="str">
            <v>F-2026-04-99</v>
          </cell>
          <cell r="B1391"/>
          <cell r="C1391" t="str">
            <v>RPRO-260409-0285</v>
          </cell>
          <cell r="D1391" t="str">
            <v>MPS 07.4+08.4</v>
          </cell>
          <cell r="E1391" t="str">
            <v>BDB-000123</v>
          </cell>
          <cell r="F1391" t="str">
            <v>PVN-003300</v>
          </cell>
          <cell r="G1391" t="str">
            <v>OrthoLite Ultra-Hybrid SEEDPEARL/12-0703TPX Hybrid Flat Sheet 0.085D 25+/-4 Asker C 1.1M 2M 2mm</v>
          </cell>
          <cell r="H1391">
            <v>140</v>
          </cell>
          <cell r="I1391">
            <v>140</v>
          </cell>
          <cell r="J1391">
            <v>0</v>
          </cell>
          <cell r="K1391">
            <v>140</v>
          </cell>
          <cell r="L1391"/>
          <cell r="M1391" t="str">
            <v>MPS</v>
          </cell>
          <cell r="N1391" t="str">
            <v>SPLITTING</v>
          </cell>
          <cell r="O1391">
            <v>2</v>
          </cell>
          <cell r="P1391">
            <v>46121</v>
          </cell>
          <cell r="Q1391">
            <v>46132</v>
          </cell>
          <cell r="R1391">
            <v>46129</v>
          </cell>
          <cell r="S1391">
            <v>11</v>
          </cell>
          <cell r="T1391">
            <v>2</v>
          </cell>
          <cell r="U1391">
            <v>70</v>
          </cell>
          <cell r="V1391">
            <v>3</v>
          </cell>
          <cell r="W1391" t="str">
            <v>0.085D</v>
          </cell>
          <cell r="X1391" t="str">
            <v>4-2026</v>
          </cell>
          <cell r="Y1391" t="str">
            <v>Week 16</v>
          </cell>
          <cell r="Z1391">
            <v>46125</v>
          </cell>
          <cell r="AA1391">
            <v>9</v>
          </cell>
          <cell r="AB1391">
            <v>1.4290000000000001E-2</v>
          </cell>
        </row>
        <row r="1392">
          <cell r="A1392" t="str">
            <v>F-2026-04-100</v>
          </cell>
          <cell r="B1392"/>
          <cell r="C1392" t="str">
            <v>RPRO-260409-0286-đã xóa</v>
          </cell>
          <cell r="D1392" t="str">
            <v>Pro.sche.report 07.4+08.4</v>
          </cell>
          <cell r="E1392" t="str">
            <v>BDB-000039</v>
          </cell>
          <cell r="F1392" t="str">
            <v>PVN-002019</v>
          </cell>
          <cell r="G1392" t="str">
            <v>OrthoLite Regular NEUTRAL GRAY/17-4402TPX Flat Sheet 0.11D 25+/-4 Asker C 1.1M 2M 13mm</v>
          </cell>
          <cell r="H1392">
            <v>130</v>
          </cell>
          <cell r="I1392">
            <v>130</v>
          </cell>
          <cell r="J1392">
            <v>0</v>
          </cell>
          <cell r="K1392">
            <v>130</v>
          </cell>
          <cell r="L1392" t="str">
            <v>NEW BALANCE</v>
          </cell>
          <cell r="M1392" t="str">
            <v>Pr.Sch.R</v>
          </cell>
          <cell r="N1392" t="str">
            <v>MOLDED</v>
          </cell>
          <cell r="O1392">
            <v>1</v>
          </cell>
          <cell r="P1392">
            <v>46121</v>
          </cell>
          <cell r="Q1392" t="str">
            <v>delete by MY 11.04</v>
          </cell>
          <cell r="R1392" t="e">
            <v>#VALUE!</v>
          </cell>
          <cell r="S1392" t="e">
            <v>#VALUE!</v>
          </cell>
          <cell r="T1392">
            <v>13</v>
          </cell>
          <cell r="U1392">
            <v>10</v>
          </cell>
          <cell r="V1392">
            <v>13</v>
          </cell>
          <cell r="W1392" t="str">
            <v>0.11D</v>
          </cell>
          <cell r="X1392" t="e">
            <v>#VALUE!</v>
          </cell>
          <cell r="Y1392" t="e">
            <v>#VALUE!</v>
          </cell>
          <cell r="Z1392" t="str">
            <v/>
          </cell>
          <cell r="AA1392">
            <v>34</v>
          </cell>
          <cell r="AB1392">
            <v>0.1</v>
          </cell>
        </row>
        <row r="1393">
          <cell r="A1393" t="str">
            <v>F-2026-04-101</v>
          </cell>
          <cell r="B1393"/>
          <cell r="C1393" t="str">
            <v>RPRO-260409-0287</v>
          </cell>
          <cell r="D1393" t="str">
            <v>Pro.sche.report 07.4+08.4</v>
          </cell>
          <cell r="E1393" t="str">
            <v>BDB-000008</v>
          </cell>
          <cell r="F1393" t="str">
            <v>PVN-000505</v>
          </cell>
          <cell r="G1393" t="str">
            <v>OrthoLite Regular LIME GREEN/14-0452TPX Flat Sheet 0.11D 25+/-4 Asker C 1.1M 2M 12mm</v>
          </cell>
          <cell r="H1393">
            <v>22</v>
          </cell>
          <cell r="I1393">
            <v>22</v>
          </cell>
          <cell r="J1393">
            <v>0</v>
          </cell>
          <cell r="K1393">
            <v>22</v>
          </cell>
          <cell r="L1393" t="str">
            <v>ASICS</v>
          </cell>
          <cell r="M1393" t="str">
            <v>Pr.Sch.R</v>
          </cell>
          <cell r="N1393" t="str">
            <v>MOLDED</v>
          </cell>
          <cell r="O1393">
            <v>1</v>
          </cell>
          <cell r="P1393">
            <v>46121</v>
          </cell>
          <cell r="Q1393">
            <v>46136</v>
          </cell>
          <cell r="R1393">
            <v>46133</v>
          </cell>
          <cell r="S1393">
            <v>15</v>
          </cell>
          <cell r="T1393">
            <v>12</v>
          </cell>
          <cell r="U1393">
            <v>11.5</v>
          </cell>
          <cell r="V1393">
            <v>2</v>
          </cell>
          <cell r="W1393" t="str">
            <v>0.11D</v>
          </cell>
          <cell r="X1393" t="str">
            <v>4-2026</v>
          </cell>
          <cell r="Y1393" t="str">
            <v>Week 16</v>
          </cell>
          <cell r="Z1393">
            <v>46125</v>
          </cell>
          <cell r="AA1393">
            <v>3</v>
          </cell>
          <cell r="AB1393">
            <v>8.6959999999999996E-2</v>
          </cell>
        </row>
        <row r="1394">
          <cell r="A1394" t="str">
            <v>F-2026-04-102</v>
          </cell>
          <cell r="B1394"/>
          <cell r="C1394" t="str">
            <v>RPRO-260409-0288</v>
          </cell>
          <cell r="D1394" t="str">
            <v>Pro.sche.report 07.4+08.4</v>
          </cell>
          <cell r="E1394" t="str">
            <v>BDB-000235</v>
          </cell>
          <cell r="F1394" t="str">
            <v>PVN-003576</v>
          </cell>
          <cell r="G1394" t="str">
            <v>OrthoLite X-55-Hybrid FOSSIL/17-0909TPX Hybrid Flat Sheet 0.16D 25+/-4 Asker C 1.1M 1.7M 12mm</v>
          </cell>
          <cell r="H1394">
            <v>165</v>
          </cell>
          <cell r="I1394">
            <v>165</v>
          </cell>
          <cell r="J1394">
            <v>0</v>
          </cell>
          <cell r="K1394">
            <v>165</v>
          </cell>
          <cell r="L1394" t="str">
            <v>ASICS</v>
          </cell>
          <cell r="M1394" t="str">
            <v>Pr.Sch.R</v>
          </cell>
          <cell r="N1394" t="str">
            <v>MOLDED</v>
          </cell>
          <cell r="O1394">
            <v>1</v>
          </cell>
          <cell r="P1394">
            <v>46121</v>
          </cell>
          <cell r="Q1394">
            <v>46136</v>
          </cell>
          <cell r="R1394">
            <v>46133</v>
          </cell>
          <cell r="S1394">
            <v>15</v>
          </cell>
          <cell r="T1394">
            <v>12</v>
          </cell>
          <cell r="U1394">
            <v>11.5</v>
          </cell>
          <cell r="V1394">
            <v>15</v>
          </cell>
          <cell r="W1394" t="str">
            <v>0.16D</v>
          </cell>
          <cell r="X1394" t="str">
            <v>4-2026</v>
          </cell>
          <cell r="Y1394" t="str">
            <v>Week 16</v>
          </cell>
          <cell r="Z1394">
            <v>46125</v>
          </cell>
          <cell r="AA1394">
            <v>58</v>
          </cell>
          <cell r="AB1394">
            <v>8.6959999999999996E-2</v>
          </cell>
        </row>
        <row r="1395">
          <cell r="A1395" t="str">
            <v>F-2026-04-103</v>
          </cell>
          <cell r="B1395"/>
          <cell r="C1395" t="str">
            <v>RPRO-260409-0289</v>
          </cell>
          <cell r="D1395" t="str">
            <v>Pro.sche.report 07.4+08.4</v>
          </cell>
          <cell r="E1395" t="str">
            <v>BDB-000052</v>
          </cell>
          <cell r="F1395" t="str">
            <v>PVN-003603</v>
          </cell>
          <cell r="G1395" t="str">
            <v>OrthoLite X-40 TRUE BLUE/19-4057TPX Flat Sheet 0.16D 25+/-4 Asker C 1.1M 1.47M 12mm</v>
          </cell>
          <cell r="H1395">
            <v>275</v>
          </cell>
          <cell r="I1395">
            <v>275</v>
          </cell>
          <cell r="J1395">
            <v>0</v>
          </cell>
          <cell r="K1395">
            <v>275</v>
          </cell>
          <cell r="L1395" t="str">
            <v>ASICS</v>
          </cell>
          <cell r="M1395" t="str">
            <v>Pr.Sch.R</v>
          </cell>
          <cell r="N1395" t="str">
            <v>MOLDED</v>
          </cell>
          <cell r="O1395">
            <v>1</v>
          </cell>
          <cell r="P1395">
            <v>46121</v>
          </cell>
          <cell r="Q1395">
            <v>46130</v>
          </cell>
          <cell r="R1395">
            <v>46127</v>
          </cell>
          <cell r="S1395">
            <v>9</v>
          </cell>
          <cell r="T1395">
            <v>12</v>
          </cell>
          <cell r="U1395">
            <v>11.5</v>
          </cell>
          <cell r="V1395">
            <v>24</v>
          </cell>
          <cell r="W1395" t="str">
            <v>0.16D</v>
          </cell>
          <cell r="X1395" t="str">
            <v>4-2026</v>
          </cell>
          <cell r="Y1395" t="str">
            <v>Week 16</v>
          </cell>
          <cell r="Z1395">
            <v>46125</v>
          </cell>
          <cell r="AA1395">
            <v>2</v>
          </cell>
          <cell r="AB1395">
            <v>8.6959999999999996E-2</v>
          </cell>
        </row>
        <row r="1396">
          <cell r="A1396" t="str">
            <v>F-2026-04-104</v>
          </cell>
          <cell r="B1396"/>
          <cell r="C1396" t="str">
            <v>RPRO-260409-0290-đã xóa</v>
          </cell>
          <cell r="D1396" t="str">
            <v>Pro.sche.report 07.4+08.4</v>
          </cell>
          <cell r="E1396" t="str">
            <v>BDB-000077</v>
          </cell>
          <cell r="F1396" t="str">
            <v>PVN-004147</v>
          </cell>
          <cell r="G1396" t="str">
            <v>OrthoLite X-25 SEEDPEARL/12-0703TPX Flat Sheet 0.12D 20+/-4 Asker C 1.1M 2M 5.5mm</v>
          </cell>
          <cell r="H1396">
            <v>50</v>
          </cell>
          <cell r="I1396">
            <v>50</v>
          </cell>
          <cell r="J1396">
            <v>0</v>
          </cell>
          <cell r="K1396">
            <v>50</v>
          </cell>
          <cell r="L1396" t="str">
            <v>ON RUNNING</v>
          </cell>
          <cell r="M1396" t="str">
            <v>Pr.Sch.R</v>
          </cell>
          <cell r="N1396" t="str">
            <v>MOLDED</v>
          </cell>
          <cell r="O1396">
            <v>1</v>
          </cell>
          <cell r="P1396">
            <v>46121</v>
          </cell>
          <cell r="Q1396" t="str">
            <v>delete 10.4</v>
          </cell>
          <cell r="R1396" t="e">
            <v>#VALUE!</v>
          </cell>
          <cell r="S1396" t="e">
            <v>#VALUE!</v>
          </cell>
          <cell r="T1396">
            <v>5.5</v>
          </cell>
          <cell r="U1396">
            <v>25</v>
          </cell>
          <cell r="V1396">
            <v>2</v>
          </cell>
          <cell r="W1396" t="str">
            <v>0.12D</v>
          </cell>
          <cell r="X1396" t="e">
            <v>#VALUE!</v>
          </cell>
          <cell r="Y1396" t="e">
            <v>#VALUE!</v>
          </cell>
          <cell r="Z1396" t="str">
            <v/>
          </cell>
          <cell r="AA1396">
            <v>11</v>
          </cell>
          <cell r="AB1396">
            <v>0.04</v>
          </cell>
        </row>
        <row r="1397">
          <cell r="A1397" t="str">
            <v>F-2026-04-105</v>
          </cell>
          <cell r="B1397"/>
          <cell r="C1397" t="str">
            <v>RPRO-260409-0291</v>
          </cell>
          <cell r="D1397" t="str">
            <v>Pro.sche.report 07.4+08.4</v>
          </cell>
          <cell r="E1397" t="str">
            <v>BDB-000317</v>
          </cell>
          <cell r="F1397" t="str">
            <v>PVN-004076</v>
          </cell>
          <cell r="G1397" t="str">
            <v>OrthoLite Regular NEUTRAL GRAY/17-4402TPX Flat Sheet 0.13D 15+/-4 Asker C 1.1M 2M 24mm</v>
          </cell>
          <cell r="H1397">
            <v>10</v>
          </cell>
          <cell r="I1397">
            <v>10</v>
          </cell>
          <cell r="J1397">
            <v>0</v>
          </cell>
          <cell r="K1397">
            <v>10</v>
          </cell>
          <cell r="L1397" t="str">
            <v>ASICS</v>
          </cell>
          <cell r="M1397" t="str">
            <v>Pr.Sch.R</v>
          </cell>
          <cell r="N1397" t="str">
            <v>MOLDED</v>
          </cell>
          <cell r="O1397">
            <v>1</v>
          </cell>
          <cell r="P1397">
            <v>46121</v>
          </cell>
          <cell r="Q1397">
            <v>46136</v>
          </cell>
          <cell r="R1397">
            <v>46133</v>
          </cell>
          <cell r="S1397">
            <v>15</v>
          </cell>
          <cell r="T1397">
            <v>24</v>
          </cell>
          <cell r="U1397">
            <v>5</v>
          </cell>
          <cell r="V1397">
            <v>2</v>
          </cell>
          <cell r="W1397" t="e">
            <v>#N/A</v>
          </cell>
          <cell r="X1397" t="str">
            <v>4-2026</v>
          </cell>
          <cell r="Y1397" t="str">
            <v>Week 16</v>
          </cell>
          <cell r="Z1397">
            <v>46125</v>
          </cell>
          <cell r="AA1397">
            <v>11</v>
          </cell>
          <cell r="AB1397">
            <v>0.2</v>
          </cell>
        </row>
        <row r="1398">
          <cell r="A1398" t="str">
            <v>F-2026-04-106</v>
          </cell>
          <cell r="B1398"/>
          <cell r="C1398" t="str">
            <v>RPRO-260409-0292</v>
          </cell>
          <cell r="D1398" t="str">
            <v>Pro.sche.report 07.4+08.4</v>
          </cell>
          <cell r="E1398" t="str">
            <v>BDB-000325</v>
          </cell>
          <cell r="F1398" t="str">
            <v>PVN-004115</v>
          </cell>
          <cell r="G1398" t="str">
            <v>OrthoLite X-40 TRUE BLUE/19-4057TPX Flat Sheet 0.16D 35+/-4 Asker C 1.1M 2M 4mm</v>
          </cell>
          <cell r="H1398">
            <v>35</v>
          </cell>
          <cell r="I1398">
            <v>35</v>
          </cell>
          <cell r="J1398">
            <v>0</v>
          </cell>
          <cell r="K1398">
            <v>35</v>
          </cell>
          <cell r="L1398" t="str">
            <v>ASICS</v>
          </cell>
          <cell r="M1398" t="str">
            <v>Pr.Sch.R</v>
          </cell>
          <cell r="N1398" t="str">
            <v>MOLDED</v>
          </cell>
          <cell r="O1398">
            <v>1</v>
          </cell>
          <cell r="P1398">
            <v>46121</v>
          </cell>
          <cell r="Q1398">
            <v>46136</v>
          </cell>
          <cell r="R1398">
            <v>46133</v>
          </cell>
          <cell r="S1398">
            <v>15</v>
          </cell>
          <cell r="T1398">
            <v>4</v>
          </cell>
          <cell r="U1398">
            <v>35</v>
          </cell>
          <cell r="V1398">
            <v>1</v>
          </cell>
          <cell r="W1398" t="e">
            <v>#N/A</v>
          </cell>
          <cell r="X1398" t="str">
            <v>4-2026</v>
          </cell>
          <cell r="Y1398" t="str">
            <v>Week 16</v>
          </cell>
          <cell r="Z1398">
            <v>46125</v>
          </cell>
          <cell r="AA1398">
            <v>149</v>
          </cell>
          <cell r="AB1398">
            <v>2.8570000000000002E-2</v>
          </cell>
        </row>
        <row r="1399">
          <cell r="A1399" t="str">
            <v>F-2026-04-107</v>
          </cell>
          <cell r="B1399"/>
          <cell r="C1399" t="str">
            <v>RPRO-260409-0293</v>
          </cell>
          <cell r="D1399" t="str">
            <v>Pro.sche.report 07.4+08.4</v>
          </cell>
          <cell r="E1399" t="str">
            <v>BDB-000334</v>
          </cell>
          <cell r="F1399" t="str">
            <v>PVN-004327</v>
          </cell>
          <cell r="G1399" t="str">
            <v>OrthoLite X-55-Hybrid FOSSIL/17-0909TPX Hybrid Flat Sheet 0.16D 25+/-4 Asker C 1.1M 2M 6mm</v>
          </cell>
          <cell r="H1399">
            <v>46</v>
          </cell>
          <cell r="I1399">
            <v>46</v>
          </cell>
          <cell r="J1399">
            <v>0</v>
          </cell>
          <cell r="K1399">
            <v>46</v>
          </cell>
          <cell r="L1399" t="str">
            <v>ASICS</v>
          </cell>
          <cell r="M1399" t="str">
            <v>Pr.Sch.R</v>
          </cell>
          <cell r="N1399" t="str">
            <v>MOLDED</v>
          </cell>
          <cell r="O1399">
            <v>1</v>
          </cell>
          <cell r="P1399">
            <v>46121</v>
          </cell>
          <cell r="Q1399">
            <v>46132</v>
          </cell>
          <cell r="R1399">
            <v>46129</v>
          </cell>
          <cell r="S1399">
            <v>11</v>
          </cell>
          <cell r="T1399">
            <v>6</v>
          </cell>
          <cell r="U1399">
            <v>23</v>
          </cell>
          <cell r="V1399">
            <v>3</v>
          </cell>
          <cell r="W1399" t="e">
            <v>#N/A</v>
          </cell>
          <cell r="X1399" t="str">
            <v>4-2026</v>
          </cell>
          <cell r="Y1399" t="str">
            <v>Week 16</v>
          </cell>
          <cell r="Z1399">
            <v>46125</v>
          </cell>
          <cell r="AA1399">
            <v>8</v>
          </cell>
          <cell r="AB1399">
            <v>4.1669999999999999E-2</v>
          </cell>
        </row>
        <row r="1400">
          <cell r="A1400" t="str">
            <v>F-2026-04-108</v>
          </cell>
          <cell r="B1400"/>
          <cell r="C1400" t="str">
            <v>RPRO-260409-0294</v>
          </cell>
          <cell r="D1400" t="str">
            <v>Pro.sche.report 07.4+08.4</v>
          </cell>
          <cell r="E1400" t="str">
            <v>BDB-000076</v>
          </cell>
          <cell r="F1400" t="str">
            <v>PVN-003494</v>
          </cell>
          <cell r="G1400" t="str">
            <v>OrthoLite X-25 BILLIARD/16-5427TPX Flat Sheet 0.12D 20+/-4 Asker C 1.1M 2M 5.5mm</v>
          </cell>
          <cell r="H1400">
            <v>25</v>
          </cell>
          <cell r="I1400">
            <v>25</v>
          </cell>
          <cell r="J1400">
            <v>0</v>
          </cell>
          <cell r="K1400">
            <v>25</v>
          </cell>
          <cell r="L1400" t="str">
            <v>LOTTO</v>
          </cell>
          <cell r="M1400" t="str">
            <v>Pr.Sch.R</v>
          </cell>
          <cell r="N1400" t="str">
            <v>MOLDED</v>
          </cell>
          <cell r="O1400">
            <v>1</v>
          </cell>
          <cell r="P1400">
            <v>46121</v>
          </cell>
          <cell r="Q1400">
            <v>46132</v>
          </cell>
          <cell r="R1400">
            <v>46129</v>
          </cell>
          <cell r="S1400">
            <v>11</v>
          </cell>
          <cell r="T1400">
            <v>5.5</v>
          </cell>
          <cell r="U1400">
            <v>25</v>
          </cell>
          <cell r="V1400">
            <v>1</v>
          </cell>
          <cell r="W1400" t="str">
            <v>0.12D</v>
          </cell>
          <cell r="X1400" t="str">
            <v>4-2026</v>
          </cell>
          <cell r="Y1400" t="str">
            <v>Week 16</v>
          </cell>
          <cell r="Z1400">
            <v>46125</v>
          </cell>
          <cell r="AA1400">
            <v>141</v>
          </cell>
          <cell r="AB1400">
            <v>0.04</v>
          </cell>
        </row>
        <row r="1401">
          <cell r="A1401" t="str">
            <v>F-2026-04-109</v>
          </cell>
          <cell r="B1401"/>
          <cell r="C1401" t="str">
            <v>RPRO-260409-0295-đã xóa</v>
          </cell>
          <cell r="D1401" t="str">
            <v>Pro.sche.report 07.4+08.4</v>
          </cell>
          <cell r="E1401" t="str">
            <v>BDB-000189</v>
          </cell>
          <cell r="F1401" t="str">
            <v>PVN-003240</v>
          </cell>
          <cell r="G1401" t="str">
            <v>OrthoLite Eco LT-Hybrid-Converse SEEDPEARL/12-0703TPX Hybrid Flat Sheet 0.13D 25+/-4 Asker C 1.1M 1.47M 5mm</v>
          </cell>
          <cell r="H1401">
            <v>56</v>
          </cell>
          <cell r="I1401">
            <v>56</v>
          </cell>
          <cell r="J1401">
            <v>0</v>
          </cell>
          <cell r="K1401">
            <v>56</v>
          </cell>
          <cell r="L1401" t="str">
            <v>CONVERSE</v>
          </cell>
          <cell r="M1401" t="str">
            <v>Pr.Sch.R</v>
          </cell>
          <cell r="N1401" t="str">
            <v>DIE CUT</v>
          </cell>
          <cell r="O1401">
            <v>1</v>
          </cell>
          <cell r="P1401">
            <v>46121</v>
          </cell>
          <cell r="Q1401" t="str">
            <v>delete 10.4</v>
          </cell>
          <cell r="R1401" t="e">
            <v>#VALUE!</v>
          </cell>
          <cell r="S1401" t="e">
            <v>#VALUE!</v>
          </cell>
          <cell r="T1401">
            <v>5</v>
          </cell>
          <cell r="U1401">
            <v>28</v>
          </cell>
          <cell r="V1401">
            <v>2</v>
          </cell>
          <cell r="W1401" t="str">
            <v>0.13D</v>
          </cell>
          <cell r="X1401" t="e">
            <v>#VALUE!</v>
          </cell>
          <cell r="Y1401" t="e">
            <v>#VALUE!</v>
          </cell>
          <cell r="Z1401" t="str">
            <v/>
          </cell>
          <cell r="AA1401">
            <v>141</v>
          </cell>
          <cell r="AB1401">
            <v>3.5709999999999999E-2</v>
          </cell>
        </row>
        <row r="1402">
          <cell r="A1402" t="str">
            <v>F-2026-04-110</v>
          </cell>
          <cell r="B1402"/>
          <cell r="C1402" t="str">
            <v>FPRO-260407-0001</v>
          </cell>
          <cell r="D1402" t="str">
            <v>Firm plan 07.4</v>
          </cell>
          <cell r="E1402" t="str">
            <v>BDB-000209</v>
          </cell>
          <cell r="F1402" t="str">
            <v>PVN-003537</v>
          </cell>
          <cell r="G1402" t="str">
            <v>OrthoLite HybridPlus-Recycled MINT GREEN/11-4805TPX Hybrid 0.12D 25+/-4 Asker C 1.1M 2M 4.5mm</v>
          </cell>
          <cell r="H1402">
            <v>5000</v>
          </cell>
          <cell r="I1402">
            <v>5000</v>
          </cell>
          <cell r="J1402">
            <v>0</v>
          </cell>
          <cell r="K1402">
            <v>5000</v>
          </cell>
          <cell r="L1402" t="str">
            <v>ON RUNNING</v>
          </cell>
          <cell r="M1402" t="str">
            <v>Forecast</v>
          </cell>
          <cell r="N1402" t="str">
            <v>MOLDED</v>
          </cell>
          <cell r="O1402">
            <v>1</v>
          </cell>
          <cell r="P1402">
            <v>46119</v>
          </cell>
          <cell r="Q1402">
            <v>46221</v>
          </cell>
          <cell r="R1402">
            <v>46218</v>
          </cell>
          <cell r="S1402">
            <v>102</v>
          </cell>
          <cell r="T1402">
            <v>4.5</v>
          </cell>
          <cell r="U1402">
            <v>31</v>
          </cell>
          <cell r="V1402">
            <v>162</v>
          </cell>
          <cell r="W1402" t="str">
            <v>0.12D</v>
          </cell>
          <cell r="X1402" t="str">
            <v>7-2026</v>
          </cell>
          <cell r="Y1402" t="str">
            <v>Week 24</v>
          </cell>
          <cell r="Z1402">
            <v>46181</v>
          </cell>
          <cell r="AA1402">
            <v>13</v>
          </cell>
          <cell r="AB1402">
            <v>3.2259999999999997E-2</v>
          </cell>
        </row>
        <row r="1403">
          <cell r="A1403" t="str">
            <v>F-2026-04-111</v>
          </cell>
          <cell r="B1403"/>
          <cell r="C1403" t="str">
            <v>FPRO-260407-0002</v>
          </cell>
          <cell r="D1403" t="str">
            <v>Firm plan 07.4</v>
          </cell>
          <cell r="E1403" t="str">
            <v>BDB-000209</v>
          </cell>
          <cell r="F1403" t="str">
            <v>PVN-003537</v>
          </cell>
          <cell r="G1403" t="str">
            <v>OrthoLite HybridPlus-Recycled MINT GREEN/11-4805TPX Hybrid 0.12D 25+/-4 Asker C 1.1M 2M 4.5mm</v>
          </cell>
          <cell r="H1403">
            <v>5000</v>
          </cell>
          <cell r="I1403">
            <v>5000</v>
          </cell>
          <cell r="J1403">
            <v>0</v>
          </cell>
          <cell r="K1403">
            <v>5000</v>
          </cell>
          <cell r="L1403" t="str">
            <v>ON RUNNING</v>
          </cell>
          <cell r="M1403" t="str">
            <v>Forecast</v>
          </cell>
          <cell r="N1403" t="str">
            <v>MOLDED</v>
          </cell>
          <cell r="O1403">
            <v>1</v>
          </cell>
          <cell r="P1403">
            <v>46119</v>
          </cell>
          <cell r="Q1403">
            <v>46179</v>
          </cell>
          <cell r="R1403">
            <v>46176</v>
          </cell>
          <cell r="S1403">
            <v>60</v>
          </cell>
          <cell r="T1403">
            <v>4.5</v>
          </cell>
          <cell r="U1403">
            <v>31</v>
          </cell>
          <cell r="V1403">
            <v>162</v>
          </cell>
          <cell r="W1403" t="str">
            <v>0.12D</v>
          </cell>
          <cell r="X1403" t="str">
            <v>6-2026</v>
          </cell>
          <cell r="Y1403" t="str">
            <v>Week 22</v>
          </cell>
          <cell r="Z1403">
            <v>46167</v>
          </cell>
          <cell r="AA1403">
            <v>16</v>
          </cell>
          <cell r="AB1403">
            <v>3.2259999999999997E-2</v>
          </cell>
        </row>
        <row r="1404">
          <cell r="A1404" t="str">
            <v>F-2026-04-112</v>
          </cell>
          <cell r="B1404"/>
          <cell r="C1404" t="str">
            <v>FPRO-260407-0003</v>
          </cell>
          <cell r="D1404" t="str">
            <v>Firm plan 07.4</v>
          </cell>
          <cell r="E1404" t="str">
            <v>BDB-000209</v>
          </cell>
          <cell r="F1404" t="str">
            <v>PVN-003537</v>
          </cell>
          <cell r="G1404" t="str">
            <v>OrthoLite HybridPlus-Recycled MINT GREEN/11-4805TPX Hybrid 0.12D 25+/-4 Asker C 1.1M 2M 4.5mm</v>
          </cell>
          <cell r="H1404">
            <v>5000</v>
          </cell>
          <cell r="I1404">
            <v>5000</v>
          </cell>
          <cell r="J1404">
            <v>0</v>
          </cell>
          <cell r="K1404">
            <v>5000</v>
          </cell>
          <cell r="L1404" t="str">
            <v>ON RUNNING</v>
          </cell>
          <cell r="M1404" t="str">
            <v>Forecast</v>
          </cell>
          <cell r="N1404" t="str">
            <v>MOLDED</v>
          </cell>
          <cell r="O1404">
            <v>1</v>
          </cell>
          <cell r="P1404">
            <v>46119</v>
          </cell>
          <cell r="Q1404">
            <v>46184</v>
          </cell>
          <cell r="R1404">
            <v>46181</v>
          </cell>
          <cell r="S1404">
            <v>65</v>
          </cell>
          <cell r="T1404">
            <v>4.5</v>
          </cell>
          <cell r="U1404">
            <v>31</v>
          </cell>
          <cell r="V1404">
            <v>162</v>
          </cell>
          <cell r="W1404" t="str">
            <v>0.12D</v>
          </cell>
          <cell r="X1404" t="str">
            <v>6-2026</v>
          </cell>
          <cell r="Y1404" t="str">
            <v>Week 23</v>
          </cell>
          <cell r="Z1404">
            <v>46174</v>
          </cell>
          <cell r="AA1404">
            <v>129</v>
          </cell>
          <cell r="AB1404">
            <v>3.2259999999999997E-2</v>
          </cell>
        </row>
        <row r="1405">
          <cell r="A1405" t="str">
            <v>F-2026-04-113</v>
          </cell>
          <cell r="B1405"/>
          <cell r="C1405" t="str">
            <v>FPRO-260407-0004</v>
          </cell>
          <cell r="D1405" t="str">
            <v>Firm plan 07.4</v>
          </cell>
          <cell r="E1405" t="str">
            <v>BDB-000209</v>
          </cell>
          <cell r="F1405" t="str">
            <v>PVN-003537</v>
          </cell>
          <cell r="G1405" t="str">
            <v>OrthoLite HybridPlus-Recycled MINT GREEN/11-4805TPX Hybrid 0.12D 25+/-4 Asker C 1.1M 2M 4.5mm</v>
          </cell>
          <cell r="H1405">
            <v>2500</v>
          </cell>
          <cell r="I1405">
            <v>2500</v>
          </cell>
          <cell r="J1405">
            <v>0</v>
          </cell>
          <cell r="K1405">
            <v>2500</v>
          </cell>
          <cell r="L1405" t="str">
            <v>ON RUNNING</v>
          </cell>
          <cell r="M1405" t="str">
            <v>Forecast</v>
          </cell>
          <cell r="N1405" t="str">
            <v>MOLDED</v>
          </cell>
          <cell r="O1405">
            <v>1</v>
          </cell>
          <cell r="P1405">
            <v>46119</v>
          </cell>
          <cell r="Q1405">
            <v>46186</v>
          </cell>
          <cell r="R1405">
            <v>46183</v>
          </cell>
          <cell r="S1405">
            <v>67</v>
          </cell>
          <cell r="T1405">
            <v>4.5</v>
          </cell>
          <cell r="U1405">
            <v>31</v>
          </cell>
          <cell r="V1405">
            <v>81</v>
          </cell>
          <cell r="W1405" t="str">
            <v>0.12D</v>
          </cell>
          <cell r="X1405" t="str">
            <v>6-2026</v>
          </cell>
          <cell r="Y1405" t="str">
            <v>Week 23</v>
          </cell>
          <cell r="Z1405">
            <v>46174</v>
          </cell>
          <cell r="AA1405">
            <v>51</v>
          </cell>
          <cell r="AB1405">
            <v>3.2259999999999997E-2</v>
          </cell>
        </row>
        <row r="1406">
          <cell r="A1406" t="str">
            <v>F-2026-04-114</v>
          </cell>
          <cell r="B1406"/>
          <cell r="C1406" t="str">
            <v>FPRO-260408-0003</v>
          </cell>
          <cell r="D1406" t="str">
            <v>Firm plan 08.4</v>
          </cell>
          <cell r="E1406" t="str">
            <v>BDB-000123</v>
          </cell>
          <cell r="F1406" t="str">
            <v>PVN-003298</v>
          </cell>
          <cell r="G1406" t="str">
            <v>OrthoLite Ultra-Hybrid SEEDPEARL/12-0703TPX Hybrid 0.085D 25+/-4 Asker C 1.1M 2M 4mm</v>
          </cell>
          <cell r="H1406">
            <v>7000</v>
          </cell>
          <cell r="I1406">
            <v>7000</v>
          </cell>
          <cell r="J1406">
            <v>0</v>
          </cell>
          <cell r="K1406">
            <v>7000</v>
          </cell>
          <cell r="L1406" t="str">
            <v>WILSON</v>
          </cell>
          <cell r="M1406" t="str">
            <v>Forecast</v>
          </cell>
          <cell r="N1406" t="str">
            <v>LAMINATING</v>
          </cell>
          <cell r="O1406">
            <v>1</v>
          </cell>
          <cell r="P1406">
            <v>46120</v>
          </cell>
          <cell r="Q1406" t="str">
            <v>Cancel by Diem 16.04</v>
          </cell>
          <cell r="R1406" t="e">
            <v>#VALUE!</v>
          </cell>
          <cell r="S1406" t="e">
            <v>#VALUE!</v>
          </cell>
          <cell r="T1406">
            <v>4</v>
          </cell>
          <cell r="U1406">
            <v>35</v>
          </cell>
          <cell r="V1406">
            <v>200</v>
          </cell>
          <cell r="W1406" t="str">
            <v>0.085D</v>
          </cell>
          <cell r="X1406" t="e">
            <v>#VALUE!</v>
          </cell>
          <cell r="Y1406" t="e">
            <v>#VALUE!</v>
          </cell>
          <cell r="Z1406" t="str">
            <v/>
          </cell>
          <cell r="AA1406">
            <v>27</v>
          </cell>
          <cell r="AB1406">
            <v>2.8570000000000002E-2</v>
          </cell>
        </row>
        <row r="1407">
          <cell r="A1407" t="str">
            <v>F-2026-04-115</v>
          </cell>
          <cell r="B1407"/>
          <cell r="C1407" t="str">
            <v>FPRO-260408-0004</v>
          </cell>
          <cell r="D1407" t="str">
            <v>Firm plan 08.4</v>
          </cell>
          <cell r="E1407" t="str">
            <v>BDB-000123</v>
          </cell>
          <cell r="F1407" t="str">
            <v>PVN-003298</v>
          </cell>
          <cell r="G1407" t="str">
            <v>OrthoLite Ultra-Hybrid SEEDPEARL/12-0703TPX Hybrid 0.085D 25+/-4 Asker C 1.1M 2M 4mm</v>
          </cell>
          <cell r="H1407">
            <v>2300</v>
          </cell>
          <cell r="I1407">
            <v>2300</v>
          </cell>
          <cell r="J1407">
            <v>0</v>
          </cell>
          <cell r="K1407">
            <v>2300</v>
          </cell>
          <cell r="L1407" t="str">
            <v>WILSON</v>
          </cell>
          <cell r="M1407" t="str">
            <v>Forecast</v>
          </cell>
          <cell r="N1407" t="str">
            <v>LAMINATING</v>
          </cell>
          <cell r="O1407">
            <v>1</v>
          </cell>
          <cell r="P1407">
            <v>46120</v>
          </cell>
          <cell r="Q1407" t="str">
            <v>Cancel by Diem 16.04</v>
          </cell>
          <cell r="R1407" t="e">
            <v>#VALUE!</v>
          </cell>
          <cell r="S1407" t="e">
            <v>#VALUE!</v>
          </cell>
          <cell r="T1407">
            <v>4</v>
          </cell>
          <cell r="U1407">
            <v>35</v>
          </cell>
          <cell r="V1407">
            <v>66</v>
          </cell>
          <cell r="W1407" t="str">
            <v>0.085D</v>
          </cell>
          <cell r="X1407" t="e">
            <v>#VALUE!</v>
          </cell>
          <cell r="Y1407" t="e">
            <v>#VALUE!</v>
          </cell>
          <cell r="Z1407" t="str">
            <v/>
          </cell>
          <cell r="AA1407">
            <v>45</v>
          </cell>
          <cell r="AB1407">
            <v>2.8570000000000002E-2</v>
          </cell>
        </row>
        <row r="1408">
          <cell r="A1408" t="str">
            <v>F-2026-04-116</v>
          </cell>
          <cell r="B1408"/>
          <cell r="C1408" t="str">
            <v>RPRO-260410-0199</v>
          </cell>
          <cell r="D1408" t="str">
            <v>Pro.sche.report 09.4</v>
          </cell>
          <cell r="E1408" t="str">
            <v>BDB-000113</v>
          </cell>
          <cell r="F1408" t="str">
            <v>PVN-003601</v>
          </cell>
          <cell r="G1408" t="str">
            <v>OrthoLite Regular-Hybrid SEEDPEARL/12-0703TPX Hybrid Flat Sheet 0.11D 25+/-4 Asker C 1.1M 2M 20mm</v>
          </cell>
          <cell r="H1408">
            <v>6</v>
          </cell>
          <cell r="I1408">
            <v>6</v>
          </cell>
          <cell r="J1408">
            <v>0</v>
          </cell>
          <cell r="K1408">
            <v>6</v>
          </cell>
          <cell r="L1408" t="str">
            <v>ASICS</v>
          </cell>
          <cell r="M1408" t="str">
            <v>Pr.Sch.R</v>
          </cell>
          <cell r="N1408" t="str">
            <v>MOLDED</v>
          </cell>
          <cell r="O1408">
            <v>1</v>
          </cell>
          <cell r="P1408">
            <v>46122</v>
          </cell>
          <cell r="Q1408">
            <v>46133</v>
          </cell>
          <cell r="R1408">
            <v>46130</v>
          </cell>
          <cell r="S1408">
            <v>11</v>
          </cell>
          <cell r="T1408">
            <v>20</v>
          </cell>
          <cell r="U1408">
            <v>6</v>
          </cell>
          <cell r="V1408">
            <v>2</v>
          </cell>
          <cell r="W1408" t="str">
            <v>0.11D</v>
          </cell>
          <cell r="X1408" t="str">
            <v>4-2026</v>
          </cell>
          <cell r="Y1408" t="str">
            <v>Week 16</v>
          </cell>
          <cell r="Z1408">
            <v>46125</v>
          </cell>
          <cell r="AA1408">
            <v>162</v>
          </cell>
          <cell r="AB1408">
            <v>0.16667000000000001</v>
          </cell>
        </row>
        <row r="1409">
          <cell r="A1409" t="str">
            <v>F-2026-04-117</v>
          </cell>
          <cell r="B1409"/>
          <cell r="C1409" t="str">
            <v>RPRO-260410-0200</v>
          </cell>
          <cell r="D1409" t="str">
            <v>Pro.sche.report 09.4</v>
          </cell>
          <cell r="E1409" t="str">
            <v>BDB-000212</v>
          </cell>
          <cell r="F1409" t="str">
            <v>PVN-003458</v>
          </cell>
          <cell r="G1409" t="str">
            <v>OrthoLite X-25-Hybrid SEEDPEARL/12-0703TPX Hybrid Flat Sheet 0.12D 20+/-4 Asker C 1.1M 2M 4mm</v>
          </cell>
          <cell r="H1409">
            <v>35</v>
          </cell>
          <cell r="I1409">
            <v>35</v>
          </cell>
          <cell r="J1409">
            <v>0</v>
          </cell>
          <cell r="K1409">
            <v>35</v>
          </cell>
          <cell r="L1409" t="str">
            <v>ON RUNNING</v>
          </cell>
          <cell r="M1409" t="str">
            <v>Pr.Sch.R</v>
          </cell>
          <cell r="N1409" t="str">
            <v>DIE CUT</v>
          </cell>
          <cell r="O1409">
            <v>1</v>
          </cell>
          <cell r="P1409">
            <v>46122</v>
          </cell>
          <cell r="Q1409">
            <v>46134</v>
          </cell>
          <cell r="R1409">
            <v>46131</v>
          </cell>
          <cell r="S1409">
            <v>12</v>
          </cell>
          <cell r="T1409">
            <v>4</v>
          </cell>
          <cell r="U1409">
            <v>35</v>
          </cell>
          <cell r="V1409">
            <v>1</v>
          </cell>
          <cell r="W1409" t="str">
            <v>0.12D</v>
          </cell>
          <cell r="X1409" t="str">
            <v>4-2026</v>
          </cell>
          <cell r="Y1409" t="str">
            <v>Week 16</v>
          </cell>
          <cell r="Z1409">
            <v>46125</v>
          </cell>
          <cell r="AA1409">
            <v>84</v>
          </cell>
          <cell r="AB1409">
            <v>2.8570000000000002E-2</v>
          </cell>
        </row>
        <row r="1410">
          <cell r="A1410" t="str">
            <v>F-2026-04-118</v>
          </cell>
          <cell r="B1410"/>
          <cell r="C1410" t="str">
            <v>RPRO-260410-0201</v>
          </cell>
          <cell r="D1410" t="str">
            <v>Pro.sche.report 09.4</v>
          </cell>
          <cell r="E1410" t="str">
            <v>BDB-000319</v>
          </cell>
          <cell r="F1410" t="str">
            <v>PVN-004247</v>
          </cell>
          <cell r="G1410" t="str">
            <v>OrthoLite X-40-Hybrid-Nike SEEDPEARL/12-0703TPX Hybrid Flat Sheet 0.16D 25+/-4 Asker C 1.1M 2M 4.2mm</v>
          </cell>
          <cell r="H1410">
            <v>33</v>
          </cell>
          <cell r="I1410">
            <v>33</v>
          </cell>
          <cell r="J1410">
            <v>0</v>
          </cell>
          <cell r="K1410">
            <v>33</v>
          </cell>
          <cell r="L1410" t="str">
            <v>NIKE</v>
          </cell>
          <cell r="M1410" t="str">
            <v>Pr.Sch.R</v>
          </cell>
          <cell r="N1410" t="str">
            <v>MOLDED</v>
          </cell>
          <cell r="O1410">
            <v>1</v>
          </cell>
          <cell r="P1410">
            <v>46122</v>
          </cell>
          <cell r="Q1410">
            <v>46133</v>
          </cell>
          <cell r="R1410">
            <v>46130</v>
          </cell>
          <cell r="S1410">
            <v>11</v>
          </cell>
          <cell r="T1410">
            <v>4.2</v>
          </cell>
          <cell r="U1410">
            <v>33</v>
          </cell>
          <cell r="V1410">
            <v>1</v>
          </cell>
          <cell r="W1410" t="e">
            <v>#N/A</v>
          </cell>
          <cell r="X1410" t="str">
            <v>4-2026</v>
          </cell>
          <cell r="Y1410" t="str">
            <v>Week 16</v>
          </cell>
          <cell r="Z1410">
            <v>46125</v>
          </cell>
          <cell r="AA1410">
            <v>53</v>
          </cell>
          <cell r="AB1410">
            <v>3.0300000000000001E-2</v>
          </cell>
        </row>
        <row r="1411">
          <cell r="A1411" t="str">
            <v>F-2026-04-119</v>
          </cell>
          <cell r="B1411"/>
          <cell r="C1411" t="str">
            <v>RPRO-260410-0202</v>
          </cell>
          <cell r="D1411" t="str">
            <v>Pro.sche.report 09.4</v>
          </cell>
          <cell r="E1411" t="str">
            <v>BDB-000107</v>
          </cell>
          <cell r="F1411" t="str">
            <v>PVN-003482</v>
          </cell>
          <cell r="G1411" t="str">
            <v>OrthoLite Eco LT-Hybrid SEEDPEARL/12-0703TPX Hybrid Flat Sheet 0.11D 25+/-4 Asker C 1.1M 1.47M 4mm</v>
          </cell>
          <cell r="H1411">
            <v>105</v>
          </cell>
          <cell r="I1411">
            <v>105</v>
          </cell>
          <cell r="J1411">
            <v>0</v>
          </cell>
          <cell r="K1411">
            <v>105</v>
          </cell>
          <cell r="L1411" t="str">
            <v>NEW BALANCE</v>
          </cell>
          <cell r="M1411" t="str">
            <v>Pr.Sch.R</v>
          </cell>
          <cell r="N1411" t="str">
            <v>DIE CUT</v>
          </cell>
          <cell r="O1411">
            <v>1</v>
          </cell>
          <cell r="P1411">
            <v>46122</v>
          </cell>
          <cell r="Q1411">
            <v>46132</v>
          </cell>
          <cell r="R1411">
            <v>46129</v>
          </cell>
          <cell r="S1411">
            <v>10</v>
          </cell>
          <cell r="T1411">
            <v>4</v>
          </cell>
          <cell r="U1411">
            <v>35</v>
          </cell>
          <cell r="V1411">
            <v>3</v>
          </cell>
          <cell r="W1411" t="str">
            <v>0.11D</v>
          </cell>
          <cell r="X1411" t="str">
            <v>4-2026</v>
          </cell>
          <cell r="Y1411" t="str">
            <v>Week 16</v>
          </cell>
          <cell r="Z1411">
            <v>46125</v>
          </cell>
          <cell r="AA1411">
            <v>20</v>
          </cell>
          <cell r="AB1411">
            <v>2.8570000000000002E-2</v>
          </cell>
        </row>
        <row r="1412">
          <cell r="A1412" t="str">
            <v>F-2026-04-120</v>
          </cell>
          <cell r="B1412"/>
          <cell r="C1412" t="str">
            <v>RPRO-260410-0203</v>
          </cell>
          <cell r="D1412" t="str">
            <v>Pro.sche.report 09.4</v>
          </cell>
          <cell r="E1412" t="str">
            <v>BDB-000209</v>
          </cell>
          <cell r="F1412" t="str">
            <v>PVN-003550</v>
          </cell>
          <cell r="G1412" t="str">
            <v>OrthoLite HybridPlus-Recycled MINT GREEN/11-4805TPX Hybrid Flat Sheet 0.12D 25+/-4 Asker C 1.1M 2M 6mm</v>
          </cell>
          <cell r="H1412">
            <v>1380</v>
          </cell>
          <cell r="I1412">
            <v>1380</v>
          </cell>
          <cell r="J1412">
            <v>0</v>
          </cell>
          <cell r="K1412">
            <v>1380</v>
          </cell>
          <cell r="L1412" t="str">
            <v>ON RUNNING</v>
          </cell>
          <cell r="M1412" t="str">
            <v>Pr.Sch.R</v>
          </cell>
          <cell r="N1412" t="str">
            <v>MOLDED</v>
          </cell>
          <cell r="O1412">
            <v>1</v>
          </cell>
          <cell r="P1412">
            <v>46122</v>
          </cell>
          <cell r="Q1412">
            <v>46137</v>
          </cell>
          <cell r="R1412">
            <v>46134</v>
          </cell>
          <cell r="S1412">
            <v>15</v>
          </cell>
          <cell r="T1412">
            <v>6</v>
          </cell>
          <cell r="U1412">
            <v>23</v>
          </cell>
          <cell r="V1412">
            <v>61</v>
          </cell>
          <cell r="W1412" t="str">
            <v>0.12D</v>
          </cell>
          <cell r="X1412" t="str">
            <v>4-2026</v>
          </cell>
          <cell r="Y1412" t="str">
            <v>Week 16</v>
          </cell>
          <cell r="Z1412">
            <v>46125</v>
          </cell>
          <cell r="AA1412">
            <v>0</v>
          </cell>
          <cell r="AB1412">
            <v>4.3479999999999998E-2</v>
          </cell>
        </row>
        <row r="1413">
          <cell r="A1413" t="str">
            <v>F-2026-04-121</v>
          </cell>
          <cell r="B1413"/>
          <cell r="C1413" t="str">
            <v>RPRO-260410-0204</v>
          </cell>
          <cell r="D1413" t="str">
            <v>Pro.sche.report 09.4</v>
          </cell>
          <cell r="E1413" t="str">
            <v>BDB-000340</v>
          </cell>
          <cell r="F1413" t="str">
            <v>PVN-004177</v>
          </cell>
          <cell r="G1413" t="str">
            <v>OrthoLite Float SEEDPEARL/12-0703TPX Flat Sheet 0.12D 21+/-4 Asker C 1.1M 2M 5.5mm</v>
          </cell>
          <cell r="H1413">
            <v>350</v>
          </cell>
          <cell r="I1413">
            <v>350</v>
          </cell>
          <cell r="J1413">
            <v>0</v>
          </cell>
          <cell r="K1413">
            <v>350</v>
          </cell>
          <cell r="L1413" t="str">
            <v>ON RUNNING</v>
          </cell>
          <cell r="M1413" t="str">
            <v>Pr.Sch.R</v>
          </cell>
          <cell r="N1413" t="str">
            <v>MOLDED</v>
          </cell>
          <cell r="O1413">
            <v>1</v>
          </cell>
          <cell r="P1413">
            <v>46122</v>
          </cell>
          <cell r="Q1413">
            <v>46134</v>
          </cell>
          <cell r="R1413">
            <v>46131</v>
          </cell>
          <cell r="S1413">
            <v>12</v>
          </cell>
          <cell r="T1413">
            <v>5.5</v>
          </cell>
          <cell r="U1413">
            <v>25</v>
          </cell>
          <cell r="V1413">
            <v>14</v>
          </cell>
          <cell r="W1413" t="e">
            <v>#N/A</v>
          </cell>
          <cell r="X1413" t="str">
            <v>4-2026</v>
          </cell>
          <cell r="Y1413" t="str">
            <v>Week 16</v>
          </cell>
          <cell r="Z1413">
            <v>46125</v>
          </cell>
          <cell r="AA1413">
            <v>0</v>
          </cell>
          <cell r="AB1413">
            <v>0.04</v>
          </cell>
        </row>
        <row r="1414">
          <cell r="A1414" t="str">
            <v>F-2026-04-122</v>
          </cell>
          <cell r="B1414"/>
          <cell r="C1414" t="str">
            <v>RPRO-260410-0205</v>
          </cell>
          <cell r="D1414" t="str">
            <v>Pro.sche.report 09.4</v>
          </cell>
          <cell r="E1414" t="str">
            <v>BDB-000076</v>
          </cell>
          <cell r="F1414" t="str">
            <v>PVN-003494</v>
          </cell>
          <cell r="G1414" t="str">
            <v>OrthoLite X-25 BILLIARD/16-5427TPX Flat Sheet 0.12D 20+/-4 Asker C 1.1M 2M 5.5mm</v>
          </cell>
          <cell r="H1414">
            <v>50</v>
          </cell>
          <cell r="I1414">
            <v>50</v>
          </cell>
          <cell r="J1414">
            <v>0</v>
          </cell>
          <cell r="K1414">
            <v>50</v>
          </cell>
          <cell r="L1414" t="str">
            <v>LOTTO</v>
          </cell>
          <cell r="M1414" t="str">
            <v>Pr.Sch.R</v>
          </cell>
          <cell r="N1414" t="str">
            <v>MOLDED</v>
          </cell>
          <cell r="O1414">
            <v>1</v>
          </cell>
          <cell r="P1414">
            <v>46122</v>
          </cell>
          <cell r="Q1414">
            <v>46132</v>
          </cell>
          <cell r="R1414">
            <v>46129</v>
          </cell>
          <cell r="S1414">
            <v>10</v>
          </cell>
          <cell r="T1414">
            <v>5.5</v>
          </cell>
          <cell r="U1414">
            <v>25</v>
          </cell>
          <cell r="V1414">
            <v>2</v>
          </cell>
          <cell r="W1414" t="str">
            <v>0.12D</v>
          </cell>
          <cell r="X1414" t="str">
            <v>4-2026</v>
          </cell>
          <cell r="Y1414" t="str">
            <v>Week 16</v>
          </cell>
          <cell r="Z1414">
            <v>46125</v>
          </cell>
          <cell r="AA1414">
            <v>270</v>
          </cell>
          <cell r="AB1414">
            <v>0.04</v>
          </cell>
        </row>
        <row r="1415">
          <cell r="A1415" t="str">
            <v>F-2026-04-123</v>
          </cell>
          <cell r="B1415"/>
          <cell r="C1415" t="str">
            <v>RPRO-260410-0206</v>
          </cell>
          <cell r="D1415" t="str">
            <v>Pro.sche.report 09.4</v>
          </cell>
          <cell r="E1415" t="str">
            <v>BDB-000213</v>
          </cell>
          <cell r="F1415" t="str">
            <v>PVN-003752</v>
          </cell>
          <cell r="G1415" t="str">
            <v>OrthoLite X-25-Hybrid SEEDPEARL/12-0703TPX Hybrid Flat Sheet 0.12D 20+/-4 Asker C 1.1M 1.47M 4.5mm</v>
          </cell>
          <cell r="H1415">
            <v>124</v>
          </cell>
          <cell r="I1415">
            <v>124</v>
          </cell>
          <cell r="J1415">
            <v>0</v>
          </cell>
          <cell r="K1415">
            <v>124</v>
          </cell>
          <cell r="L1415" t="str">
            <v>ON RUNNING</v>
          </cell>
          <cell r="M1415" t="str">
            <v>Pr.Sch.R</v>
          </cell>
          <cell r="N1415" t="str">
            <v>MOLDED</v>
          </cell>
          <cell r="O1415">
            <v>1</v>
          </cell>
          <cell r="P1415">
            <v>46122</v>
          </cell>
          <cell r="Q1415">
            <v>46137</v>
          </cell>
          <cell r="R1415">
            <v>46134</v>
          </cell>
          <cell r="S1415">
            <v>15</v>
          </cell>
          <cell r="T1415">
            <v>4.5</v>
          </cell>
          <cell r="U1415">
            <v>31</v>
          </cell>
          <cell r="V1415">
            <v>5</v>
          </cell>
          <cell r="W1415" t="str">
            <v>0.12D</v>
          </cell>
          <cell r="X1415" t="str">
            <v>4-2026</v>
          </cell>
          <cell r="Y1415" t="str">
            <v>Week 16</v>
          </cell>
          <cell r="Z1415">
            <v>46125</v>
          </cell>
          <cell r="AA1415">
            <v>270</v>
          </cell>
          <cell r="AB1415">
            <v>3.2259999999999997E-2</v>
          </cell>
        </row>
        <row r="1416">
          <cell r="A1416" t="str">
            <v>F-2026-04-124</v>
          </cell>
          <cell r="B1416"/>
          <cell r="C1416" t="str">
            <v>RPRO-260410-0207</v>
          </cell>
          <cell r="D1416" t="str">
            <v>Pro.sche.report 09.4</v>
          </cell>
          <cell r="E1416" t="str">
            <v>BDB-000321</v>
          </cell>
          <cell r="F1416" t="str">
            <v>PVN-004104</v>
          </cell>
          <cell r="G1416" t="str">
            <v>OrthoLite Float BLUE ATOLL/16-4535TPX Flat Sheet 0.12D 21+/-4 Asker C 1.1M 2M 5mm</v>
          </cell>
          <cell r="H1416">
            <v>84</v>
          </cell>
          <cell r="I1416">
            <v>84</v>
          </cell>
          <cell r="J1416">
            <v>0</v>
          </cell>
          <cell r="K1416">
            <v>84</v>
          </cell>
          <cell r="L1416" t="str">
            <v>DESCENTE</v>
          </cell>
          <cell r="M1416" t="str">
            <v>Pr.Sch.R</v>
          </cell>
          <cell r="N1416" t="str">
            <v>DIE CUT</v>
          </cell>
          <cell r="O1416">
            <v>1</v>
          </cell>
          <cell r="P1416">
            <v>46122</v>
          </cell>
          <cell r="Q1416">
            <v>46137</v>
          </cell>
          <cell r="R1416">
            <v>46134</v>
          </cell>
          <cell r="S1416">
            <v>15</v>
          </cell>
          <cell r="T1416">
            <v>5</v>
          </cell>
          <cell r="U1416">
            <v>28</v>
          </cell>
          <cell r="V1416">
            <v>3</v>
          </cell>
          <cell r="W1416" t="e">
            <v>#N/A</v>
          </cell>
          <cell r="X1416" t="str">
            <v>4-2026</v>
          </cell>
          <cell r="Y1416" t="str">
            <v>Week 16</v>
          </cell>
          <cell r="Z1416">
            <v>46125</v>
          </cell>
          <cell r="AA1416">
            <v>167</v>
          </cell>
          <cell r="AB1416">
            <v>3.5709999999999999E-2</v>
          </cell>
        </row>
        <row r="1417">
          <cell r="A1417" t="str">
            <v>F-2026-04-125</v>
          </cell>
          <cell r="B1417"/>
          <cell r="C1417" t="str">
            <v>RPRO-260410-0208</v>
          </cell>
          <cell r="D1417" t="str">
            <v>Pro.sche.report 09.4</v>
          </cell>
          <cell r="E1417" t="str">
            <v>BDB-000321</v>
          </cell>
          <cell r="F1417" t="str">
            <v>PVN-004092</v>
          </cell>
          <cell r="G1417" t="str">
            <v>OrthoLite Float BLUE ATOLL/16-4535TPX Flat Sheet 0.12D 21+/-4 Asker C 1.1M 2M 14.5mm</v>
          </cell>
          <cell r="H1417">
            <v>315</v>
          </cell>
          <cell r="I1417">
            <v>315</v>
          </cell>
          <cell r="J1417">
            <v>0</v>
          </cell>
          <cell r="K1417">
            <v>315</v>
          </cell>
          <cell r="L1417" t="str">
            <v>LOWA</v>
          </cell>
          <cell r="M1417" t="str">
            <v>Pr.Sch.R</v>
          </cell>
          <cell r="N1417" t="str">
            <v>MOLDED</v>
          </cell>
          <cell r="O1417">
            <v>1</v>
          </cell>
          <cell r="P1417">
            <v>46122</v>
          </cell>
          <cell r="Q1417">
            <v>46137</v>
          </cell>
          <cell r="R1417">
            <v>46134</v>
          </cell>
          <cell r="S1417">
            <v>15</v>
          </cell>
          <cell r="T1417">
            <v>14.5</v>
          </cell>
          <cell r="U1417">
            <v>9</v>
          </cell>
          <cell r="V1417">
            <v>35</v>
          </cell>
          <cell r="W1417" t="e">
            <v>#N/A</v>
          </cell>
          <cell r="X1417" t="str">
            <v>4-2026</v>
          </cell>
          <cell r="Y1417" t="str">
            <v>Week 16</v>
          </cell>
          <cell r="Z1417">
            <v>46125</v>
          </cell>
          <cell r="AA1417">
            <v>167</v>
          </cell>
          <cell r="AB1417">
            <v>0.11111</v>
          </cell>
        </row>
        <row r="1418">
          <cell r="A1418" t="str">
            <v>F-2026-04-126</v>
          </cell>
          <cell r="B1418"/>
          <cell r="C1418" t="str">
            <v>RPRO-260410-0209</v>
          </cell>
          <cell r="D1418" t="str">
            <v>Pro.sche.report 09.4</v>
          </cell>
          <cell r="E1418" t="str">
            <v>BDB-000123</v>
          </cell>
          <cell r="F1418" t="str">
            <v>PVN-003743</v>
          </cell>
          <cell r="G1418" t="str">
            <v>OrthoLite Ultra-Hybrid SEEDPEARL/12-0703TPX Hybrid Flat Sheet 0.085D 25+/-4 Asker C 1.1M 2M 5.5mm</v>
          </cell>
          <cell r="H1418">
            <v>200</v>
          </cell>
          <cell r="I1418">
            <v>200</v>
          </cell>
          <cell r="J1418">
            <v>0</v>
          </cell>
          <cell r="K1418">
            <v>200</v>
          </cell>
          <cell r="L1418" t="str">
            <v>LOWA</v>
          </cell>
          <cell r="M1418" t="str">
            <v>Pr.Sch.R</v>
          </cell>
          <cell r="N1418" t="str">
            <v>MOLDED</v>
          </cell>
          <cell r="O1418">
            <v>1</v>
          </cell>
          <cell r="P1418">
            <v>46122</v>
          </cell>
          <cell r="Q1418">
            <v>46137</v>
          </cell>
          <cell r="R1418">
            <v>46134</v>
          </cell>
          <cell r="S1418">
            <v>15</v>
          </cell>
          <cell r="T1418">
            <v>5.5</v>
          </cell>
          <cell r="U1418">
            <v>25</v>
          </cell>
          <cell r="V1418">
            <v>8</v>
          </cell>
          <cell r="W1418" t="str">
            <v>0.085D</v>
          </cell>
          <cell r="X1418" t="str">
            <v>4-2026</v>
          </cell>
          <cell r="Y1418" t="str">
            <v>Week 16</v>
          </cell>
          <cell r="Z1418">
            <v>46125</v>
          </cell>
          <cell r="AA1418">
            <v>167</v>
          </cell>
          <cell r="AB1418">
            <v>0.04</v>
          </cell>
        </row>
        <row r="1419">
          <cell r="A1419" t="str">
            <v>F-2026-04-127</v>
          </cell>
          <cell r="B1419"/>
          <cell r="C1419" t="str">
            <v>FPRO-260409-0001</v>
          </cell>
          <cell r="D1419" t="str">
            <v>Firm plan 09.04</v>
          </cell>
          <cell r="E1419" t="str">
            <v>BDB-000209</v>
          </cell>
          <cell r="F1419" t="str">
            <v>PVN-003537</v>
          </cell>
          <cell r="G1419" t="str">
            <v>OrthoLite HybridPlus-Recycled MINT GREEN/11-4805TPX Hybrid 0.12D 25+/-4 Asker C 1.1M 2M 4.5mm</v>
          </cell>
          <cell r="H1419">
            <v>5000</v>
          </cell>
          <cell r="I1419">
            <v>5000</v>
          </cell>
          <cell r="J1419">
            <v>0</v>
          </cell>
          <cell r="K1419">
            <v>5000</v>
          </cell>
          <cell r="L1419" t="str">
            <v>ON RUNNING</v>
          </cell>
          <cell r="M1419" t="str">
            <v>Forecast</v>
          </cell>
          <cell r="N1419" t="str">
            <v>MOLDED</v>
          </cell>
          <cell r="O1419">
            <v>1</v>
          </cell>
          <cell r="P1419">
            <v>46121</v>
          </cell>
          <cell r="Q1419">
            <v>46216</v>
          </cell>
          <cell r="R1419">
            <v>46213</v>
          </cell>
          <cell r="S1419">
            <v>95</v>
          </cell>
          <cell r="T1419">
            <v>4.5</v>
          </cell>
          <cell r="U1419">
            <v>31</v>
          </cell>
          <cell r="V1419">
            <v>162</v>
          </cell>
          <cell r="W1419" t="str">
            <v>0.12D</v>
          </cell>
          <cell r="X1419" t="str">
            <v>7-2026</v>
          </cell>
          <cell r="Y1419" t="str">
            <v>Week 24</v>
          </cell>
          <cell r="Z1419">
            <v>46181</v>
          </cell>
          <cell r="AA1419">
            <v>56</v>
          </cell>
          <cell r="AB1419">
            <v>3.2259999999999997E-2</v>
          </cell>
        </row>
        <row r="1420">
          <cell r="A1420" t="str">
            <v>F-2026-04-128</v>
          </cell>
          <cell r="B1420"/>
          <cell r="C1420" t="str">
            <v>FPRO-260409-0002</v>
          </cell>
          <cell r="D1420" t="str">
            <v>Firm plan 09.04</v>
          </cell>
          <cell r="E1420" t="str">
            <v>BDB-000209</v>
          </cell>
          <cell r="F1420" t="str">
            <v>PVN-003537</v>
          </cell>
          <cell r="G1420" t="str">
            <v>OrthoLite HybridPlus-Recycled MINT GREEN/11-4805TPX Hybrid 0.12D 25+/-4 Asker C 1.1M 2M 4.5mm</v>
          </cell>
          <cell r="H1420">
            <v>5000</v>
          </cell>
          <cell r="I1420">
            <v>5000</v>
          </cell>
          <cell r="J1420">
            <v>0</v>
          </cell>
          <cell r="K1420">
            <v>5000</v>
          </cell>
          <cell r="L1420" t="str">
            <v>ON RUNNING</v>
          </cell>
          <cell r="M1420" t="str">
            <v>Forecast</v>
          </cell>
          <cell r="N1420" t="str">
            <v>MOLDED</v>
          </cell>
          <cell r="O1420">
            <v>1</v>
          </cell>
          <cell r="P1420">
            <v>46121</v>
          </cell>
          <cell r="Q1420">
            <v>46228</v>
          </cell>
          <cell r="R1420">
            <v>46225</v>
          </cell>
          <cell r="S1420">
            <v>107</v>
          </cell>
          <cell r="T1420">
            <v>4.5</v>
          </cell>
          <cell r="U1420">
            <v>31</v>
          </cell>
          <cell r="V1420">
            <v>162</v>
          </cell>
          <cell r="W1420" t="str">
            <v>0.12D</v>
          </cell>
          <cell r="X1420" t="str">
            <v>7-2026</v>
          </cell>
          <cell r="Y1420" t="str">
            <v>Week 24</v>
          </cell>
          <cell r="Z1420">
            <v>46181</v>
          </cell>
          <cell r="AA1420">
            <v>114</v>
          </cell>
          <cell r="AB1420">
            <v>3.2259999999999997E-2</v>
          </cell>
        </row>
        <row r="1421">
          <cell r="A1421" t="str">
            <v>F-2026-04-129-1</v>
          </cell>
          <cell r="B1421"/>
          <cell r="C1421" t="str">
            <v>FPRO-260409-0003</v>
          </cell>
          <cell r="D1421" t="str">
            <v>Firm plan 09.04</v>
          </cell>
          <cell r="E1421" t="str">
            <v>BDB-000332</v>
          </cell>
          <cell r="F1421" t="str">
            <v>PVN-004146</v>
          </cell>
          <cell r="G1421" t="str">
            <v>OrthoLite X-25 CASTLEROCK/18-0201TPX Flat Sheet 0.12D 20+/-4 Asker C 1.1M 2M 5.5mm</v>
          </cell>
          <cell r="H1421">
            <v>500</v>
          </cell>
          <cell r="I1421">
            <v>500</v>
          </cell>
          <cell r="J1421">
            <v>0</v>
          </cell>
          <cell r="K1421">
            <v>500</v>
          </cell>
          <cell r="L1421" t="str">
            <v>ON RUNNING</v>
          </cell>
          <cell r="M1421" t="str">
            <v>Forecast</v>
          </cell>
          <cell r="N1421" t="str">
            <v>MOLDED</v>
          </cell>
          <cell r="O1421">
            <v>1</v>
          </cell>
          <cell r="P1421">
            <v>46121</v>
          </cell>
          <cell r="Q1421">
            <v>46137</v>
          </cell>
          <cell r="R1421">
            <v>46134</v>
          </cell>
          <cell r="S1421">
            <v>16</v>
          </cell>
          <cell r="T1421">
            <v>5.5</v>
          </cell>
          <cell r="U1421">
            <v>25</v>
          </cell>
          <cell r="V1421">
            <v>20</v>
          </cell>
          <cell r="W1421" t="e">
            <v>#N/A</v>
          </cell>
          <cell r="X1421" t="str">
            <v>4-2026</v>
          </cell>
          <cell r="Y1421" t="str">
            <v>Week 17</v>
          </cell>
          <cell r="Z1421">
            <v>46132</v>
          </cell>
          <cell r="AA1421">
            <v>11</v>
          </cell>
          <cell r="AB1421">
            <v>0.04</v>
          </cell>
        </row>
        <row r="1422">
          <cell r="A1422" t="str">
            <v>F-2026-04-129-2</v>
          </cell>
          <cell r="B1422"/>
          <cell r="C1422" t="str">
            <v>FPRO-260416-0002</v>
          </cell>
          <cell r="D1422" t="str">
            <v>Firm plan 09.04</v>
          </cell>
          <cell r="E1422" t="str">
            <v>BDB-000332</v>
          </cell>
          <cell r="F1422" t="str">
            <v>PVN-004146</v>
          </cell>
          <cell r="G1422" t="str">
            <v>OrthoLite X-25 CASTLEROCK/18-0201TPX Flat Sheet 0.12D 20+/-4 Asker C 1.1M 2M 5.5mm</v>
          </cell>
          <cell r="H1422">
            <v>500</v>
          </cell>
          <cell r="I1422">
            <v>500</v>
          </cell>
          <cell r="J1422">
            <v>0</v>
          </cell>
          <cell r="K1422">
            <v>500</v>
          </cell>
          <cell r="L1422" t="str">
            <v>ON RUNNING</v>
          </cell>
          <cell r="M1422" t="str">
            <v>Forecast</v>
          </cell>
          <cell r="N1422" t="str">
            <v>MOLDED</v>
          </cell>
          <cell r="O1422">
            <v>1</v>
          </cell>
          <cell r="P1422">
            <v>46121</v>
          </cell>
          <cell r="Q1422">
            <v>46155</v>
          </cell>
          <cell r="R1422">
            <v>46152</v>
          </cell>
          <cell r="S1422">
            <v>34</v>
          </cell>
          <cell r="T1422">
            <v>5.5</v>
          </cell>
          <cell r="U1422">
            <v>25</v>
          </cell>
          <cell r="V1422">
            <v>20</v>
          </cell>
          <cell r="W1422" t="e">
            <v>#N/A</v>
          </cell>
          <cell r="X1422" t="str">
            <v>5-2026</v>
          </cell>
          <cell r="Y1422" t="str">
            <v>Week 18</v>
          </cell>
          <cell r="Z1422">
            <v>46139</v>
          </cell>
          <cell r="AA1422">
            <v>7</v>
          </cell>
          <cell r="AB1422">
            <v>0.04</v>
          </cell>
        </row>
        <row r="1423">
          <cell r="A1423" t="str">
            <v>F-2026-04-130</v>
          </cell>
          <cell r="B1423"/>
          <cell r="C1423" t="str">
            <v>FPRO-260409-0004</v>
          </cell>
          <cell r="D1423" t="str">
            <v>Firm plan 09.04</v>
          </cell>
          <cell r="E1423" t="str">
            <v>BDB-000332</v>
          </cell>
          <cell r="F1423" t="str">
            <v>PVN-004146</v>
          </cell>
          <cell r="G1423" t="str">
            <v>OrthoLite X-25 CASTLEROCK/18-0201TPX Flat Sheet 0.12D 20+/-4 Asker C 1.1M 2M 5.5mm</v>
          </cell>
          <cell r="H1423">
            <v>700</v>
          </cell>
          <cell r="I1423">
            <v>700</v>
          </cell>
          <cell r="J1423">
            <v>0</v>
          </cell>
          <cell r="K1423">
            <v>700</v>
          </cell>
          <cell r="L1423" t="str">
            <v>ON RUNNING</v>
          </cell>
          <cell r="M1423" t="str">
            <v>Forecast</v>
          </cell>
          <cell r="N1423" t="str">
            <v>MOLDED</v>
          </cell>
          <cell r="O1423">
            <v>1</v>
          </cell>
          <cell r="P1423">
            <v>46121</v>
          </cell>
          <cell r="Q1423">
            <v>46162</v>
          </cell>
          <cell r="R1423">
            <v>46159</v>
          </cell>
          <cell r="S1423">
            <v>41</v>
          </cell>
          <cell r="T1423">
            <v>5.5</v>
          </cell>
          <cell r="U1423">
            <v>25</v>
          </cell>
          <cell r="V1423">
            <v>28</v>
          </cell>
          <cell r="W1423" t="e">
            <v>#N/A</v>
          </cell>
          <cell r="X1423" t="str">
            <v>5-2026</v>
          </cell>
          <cell r="Y1423" t="str">
            <v>Week 20</v>
          </cell>
          <cell r="Z1423">
            <v>46153</v>
          </cell>
          <cell r="AA1423">
            <v>7</v>
          </cell>
          <cell r="AB1423">
            <v>0.04</v>
          </cell>
        </row>
        <row r="1424">
          <cell r="A1424" t="str">
            <v>F-2026-04-131</v>
          </cell>
          <cell r="B1424"/>
          <cell r="C1424" t="str">
            <v>FPRO-260409-0005</v>
          </cell>
          <cell r="D1424" t="str">
            <v>Firm plan 09.04</v>
          </cell>
          <cell r="E1424" t="str">
            <v>BDB-000077</v>
          </cell>
          <cell r="F1424" t="str">
            <v>PVN-004147</v>
          </cell>
          <cell r="G1424" t="str">
            <v>OrthoLite X-25 SEEDPEARL/12-0703TPX Flat Sheet 0.12D 20+/-4 Asker C 1.1M 2M 5.5mm</v>
          </cell>
          <cell r="H1424">
            <v>500</v>
          </cell>
          <cell r="I1424">
            <v>500</v>
          </cell>
          <cell r="J1424">
            <v>0</v>
          </cell>
          <cell r="K1424">
            <v>500</v>
          </cell>
          <cell r="L1424" t="str">
            <v>ON RUNNING</v>
          </cell>
          <cell r="M1424" t="str">
            <v>Forecast</v>
          </cell>
          <cell r="N1424" t="str">
            <v>MOLDED</v>
          </cell>
          <cell r="O1424">
            <v>1</v>
          </cell>
          <cell r="P1424">
            <v>46121</v>
          </cell>
          <cell r="Q1424">
            <v>46148</v>
          </cell>
          <cell r="R1424">
            <v>46145</v>
          </cell>
          <cell r="S1424">
            <v>27</v>
          </cell>
          <cell r="T1424">
            <v>5.5</v>
          </cell>
          <cell r="U1424">
            <v>25</v>
          </cell>
          <cell r="V1424">
            <v>20</v>
          </cell>
          <cell r="W1424" t="str">
            <v>0.12D</v>
          </cell>
          <cell r="X1424" t="str">
            <v>5-2026</v>
          </cell>
          <cell r="Y1424" t="str">
            <v>Week 17</v>
          </cell>
          <cell r="Z1424">
            <v>46132</v>
          </cell>
          <cell r="AA1424">
            <v>3</v>
          </cell>
          <cell r="AB1424">
            <v>0.04</v>
          </cell>
        </row>
        <row r="1425">
          <cell r="A1425" t="str">
            <v>F-2026-04-132</v>
          </cell>
          <cell r="B1425"/>
          <cell r="C1425" t="str">
            <v>FPRO-260409-0006</v>
          </cell>
          <cell r="D1425" t="str">
            <v>Firm plan 09.04</v>
          </cell>
          <cell r="E1425" t="str">
            <v>BDB-000077</v>
          </cell>
          <cell r="F1425" t="str">
            <v>PVN-004147</v>
          </cell>
          <cell r="G1425" t="str">
            <v>OrthoLite X-25 SEEDPEARL/12-0703TPX Flat Sheet 0.12D 20+/-4 Asker C 1.1M 2M 5.5mm</v>
          </cell>
          <cell r="H1425">
            <v>500</v>
          </cell>
          <cell r="I1425">
            <v>500</v>
          </cell>
          <cell r="J1425">
            <v>0</v>
          </cell>
          <cell r="K1425">
            <v>500</v>
          </cell>
          <cell r="L1425" t="str">
            <v>ON RUNNING</v>
          </cell>
          <cell r="M1425" t="str">
            <v>Forecast</v>
          </cell>
          <cell r="N1425" t="str">
            <v>MOLDED</v>
          </cell>
          <cell r="O1425">
            <v>1</v>
          </cell>
          <cell r="P1425">
            <v>46121</v>
          </cell>
          <cell r="Q1425">
            <v>46168</v>
          </cell>
          <cell r="R1425">
            <v>46165</v>
          </cell>
          <cell r="S1425">
            <v>47</v>
          </cell>
          <cell r="T1425">
            <v>5.5</v>
          </cell>
          <cell r="U1425">
            <v>25</v>
          </cell>
          <cell r="V1425">
            <v>20</v>
          </cell>
          <cell r="W1425" t="str">
            <v>0.12D</v>
          </cell>
          <cell r="X1425" t="str">
            <v>5-2026</v>
          </cell>
          <cell r="Y1425" t="str">
            <v>Week 21</v>
          </cell>
          <cell r="Z1425">
            <v>46160</v>
          </cell>
          <cell r="AA1425">
            <v>15</v>
          </cell>
          <cell r="AB1425">
            <v>0.04</v>
          </cell>
        </row>
        <row r="1426">
          <cell r="A1426" t="str">
            <v>F-2026-04-133</v>
          </cell>
          <cell r="B1426"/>
          <cell r="C1426" t="str">
            <v>FPRO-260409-0007</v>
          </cell>
          <cell r="D1426" t="str">
            <v>Firm plan 09.04</v>
          </cell>
          <cell r="E1426" t="str">
            <v>BDB-000077</v>
          </cell>
          <cell r="F1426" t="str">
            <v>PVN-004147</v>
          </cell>
          <cell r="G1426" t="str">
            <v>OrthoLite X-25 SEEDPEARL/12-0703TPX Flat Sheet 0.12D 20+/-4 Asker C 1.1M 2M 5.5mm</v>
          </cell>
          <cell r="H1426">
            <v>500</v>
          </cell>
          <cell r="I1426">
            <v>500</v>
          </cell>
          <cell r="J1426">
            <v>0</v>
          </cell>
          <cell r="K1426">
            <v>500</v>
          </cell>
          <cell r="L1426" t="str">
            <v>ON RUNNING</v>
          </cell>
          <cell r="M1426" t="str">
            <v>Forecast</v>
          </cell>
          <cell r="N1426" t="str">
            <v>MOLDED</v>
          </cell>
          <cell r="O1426">
            <v>1</v>
          </cell>
          <cell r="P1426">
            <v>46121</v>
          </cell>
          <cell r="Q1426">
            <v>46153</v>
          </cell>
          <cell r="R1426">
            <v>46150</v>
          </cell>
          <cell r="S1426">
            <v>32</v>
          </cell>
          <cell r="T1426">
            <v>5.5</v>
          </cell>
          <cell r="U1426">
            <v>25</v>
          </cell>
          <cell r="V1426">
            <v>20</v>
          </cell>
          <cell r="W1426" t="str">
            <v>0.12D</v>
          </cell>
          <cell r="X1426" t="str">
            <v>5-2026</v>
          </cell>
          <cell r="Y1426" t="str">
            <v>Week 19</v>
          </cell>
          <cell r="Z1426">
            <v>46146</v>
          </cell>
          <cell r="AA1426">
            <v>32</v>
          </cell>
          <cell r="AB1426">
            <v>0.04</v>
          </cell>
        </row>
        <row r="1427">
          <cell r="A1427" t="str">
            <v>F-2026-04-134</v>
          </cell>
          <cell r="B1427"/>
          <cell r="C1427" t="str">
            <v>FPRO-260409-0008</v>
          </cell>
          <cell r="D1427" t="str">
            <v>Firm plan 09.04</v>
          </cell>
          <cell r="E1427" t="str">
            <v>BDB-000077</v>
          </cell>
          <cell r="F1427" t="str">
            <v>PVN-004147</v>
          </cell>
          <cell r="G1427" t="str">
            <v>OrthoLite X-25 SEEDPEARL/12-0703TPX Flat Sheet 0.12D 20+/-4 Asker C 1.1M 2M 5.5mm</v>
          </cell>
          <cell r="H1427">
            <v>200</v>
          </cell>
          <cell r="I1427">
            <v>200</v>
          </cell>
          <cell r="J1427">
            <v>0</v>
          </cell>
          <cell r="K1427">
            <v>200</v>
          </cell>
          <cell r="L1427" t="str">
            <v>ON RUNNING</v>
          </cell>
          <cell r="M1427" t="str">
            <v>Forecast</v>
          </cell>
          <cell r="N1427" t="str">
            <v>MOLDED</v>
          </cell>
          <cell r="O1427">
            <v>1</v>
          </cell>
          <cell r="P1427">
            <v>46121</v>
          </cell>
          <cell r="Q1427">
            <v>46160</v>
          </cell>
          <cell r="R1427">
            <v>46157</v>
          </cell>
          <cell r="S1427">
            <v>39</v>
          </cell>
          <cell r="T1427">
            <v>5.5</v>
          </cell>
          <cell r="U1427">
            <v>25</v>
          </cell>
          <cell r="V1427">
            <v>8</v>
          </cell>
          <cell r="W1427" t="str">
            <v>0.12D</v>
          </cell>
          <cell r="X1427" t="str">
            <v>5-2026</v>
          </cell>
          <cell r="Y1427" t="str">
            <v>Week 20</v>
          </cell>
          <cell r="Z1427">
            <v>46153</v>
          </cell>
          <cell r="AA1427">
            <v>3</v>
          </cell>
          <cell r="AB1427">
            <v>0.04</v>
          </cell>
        </row>
        <row r="1428">
          <cell r="A1428" t="str">
            <v>F-2026-04-135</v>
          </cell>
          <cell r="B1428"/>
          <cell r="C1428" t="str">
            <v>FPRO-260410-0003</v>
          </cell>
          <cell r="D1428" t="str">
            <v>Firm plan 10.4</v>
          </cell>
          <cell r="E1428" t="str">
            <v>BDB-000235</v>
          </cell>
          <cell r="F1428" t="str">
            <v>PVN-003576</v>
          </cell>
          <cell r="G1428" t="str">
            <v>OrthoLite X-55-Hybrid FOSSIL/17-0909TPX Hybrid Flat Sheet 0.16D 25+/-4 Asker C 1.1M 1.7M 12mm</v>
          </cell>
          <cell r="H1428">
            <v>2470</v>
          </cell>
          <cell r="I1428">
            <v>2470</v>
          </cell>
          <cell r="J1428">
            <v>0</v>
          </cell>
          <cell r="K1428">
            <v>2470</v>
          </cell>
          <cell r="L1428" t="str">
            <v>ASICS</v>
          </cell>
          <cell r="M1428" t="str">
            <v>Forecast</v>
          </cell>
          <cell r="N1428" t="str">
            <v>MOLDED</v>
          </cell>
          <cell r="O1428">
            <v>1</v>
          </cell>
          <cell r="P1428">
            <v>46122</v>
          </cell>
          <cell r="Q1428">
            <v>46153</v>
          </cell>
          <cell r="R1428">
            <v>46150</v>
          </cell>
          <cell r="S1428">
            <v>31</v>
          </cell>
          <cell r="T1428">
            <v>12</v>
          </cell>
          <cell r="U1428">
            <v>11.5</v>
          </cell>
          <cell r="V1428">
            <v>215</v>
          </cell>
          <cell r="W1428" t="str">
            <v>0.16D</v>
          </cell>
          <cell r="X1428" t="str">
            <v>5-2026</v>
          </cell>
          <cell r="Y1428" t="str">
            <v>Week 19</v>
          </cell>
          <cell r="Z1428">
            <v>46146</v>
          </cell>
          <cell r="AA1428">
            <v>438</v>
          </cell>
          <cell r="AB1428">
            <v>8.6959999999999996E-2</v>
          </cell>
        </row>
        <row r="1429">
          <cell r="A1429" t="str">
            <v>F-2026-04-136</v>
          </cell>
          <cell r="B1429"/>
          <cell r="C1429" t="str">
            <v>FPRO-260410-0006</v>
          </cell>
          <cell r="D1429" t="str">
            <v>Firm plan 10.4</v>
          </cell>
          <cell r="E1429" t="str">
            <v>BDB-000113</v>
          </cell>
          <cell r="F1429" t="str">
            <v>PVN-002501</v>
          </cell>
          <cell r="G1429" t="str">
            <v>OrthoLite Regular-Hybrid SEEDPEARL/12-0703TPX Hybrid Flat Sheet 0.11D 25+/-4 Asker C 1.1M 2M 2mm</v>
          </cell>
          <cell r="H1429">
            <v>1000</v>
          </cell>
          <cell r="I1429">
            <v>1000</v>
          </cell>
          <cell r="J1429">
            <v>0</v>
          </cell>
          <cell r="K1429">
            <v>1000</v>
          </cell>
          <cell r="L1429" t="str">
            <v>ASICS</v>
          </cell>
          <cell r="M1429" t="str">
            <v>Forecast</v>
          </cell>
          <cell r="N1429" t="str">
            <v>SPLITTING</v>
          </cell>
          <cell r="O1429">
            <v>1</v>
          </cell>
          <cell r="P1429">
            <v>46122</v>
          </cell>
          <cell r="Q1429">
            <v>46163</v>
          </cell>
          <cell r="R1429">
            <v>46160</v>
          </cell>
          <cell r="S1429">
            <v>41</v>
          </cell>
          <cell r="T1429">
            <v>2</v>
          </cell>
          <cell r="U1429">
            <v>70</v>
          </cell>
          <cell r="V1429">
            <v>15</v>
          </cell>
          <cell r="W1429" t="str">
            <v>0.11D</v>
          </cell>
          <cell r="X1429" t="str">
            <v>5-2026</v>
          </cell>
          <cell r="Y1429" t="str">
            <v>Week 20</v>
          </cell>
          <cell r="Z1429">
            <v>46153</v>
          </cell>
          <cell r="AA1429">
            <v>78</v>
          </cell>
          <cell r="AB1429">
            <v>1.4290000000000001E-2</v>
          </cell>
        </row>
        <row r="1430">
          <cell r="A1430" t="str">
            <v>F-2026-04-137</v>
          </cell>
          <cell r="B1430"/>
          <cell r="C1430" t="str">
            <v>FPRO-260410-0007</v>
          </cell>
          <cell r="D1430" t="str">
            <v>Firm plan 10.4</v>
          </cell>
          <cell r="E1430" t="str">
            <v>BDB-000113</v>
          </cell>
          <cell r="F1430" t="str">
            <v>PVN-002501</v>
          </cell>
          <cell r="G1430" t="str">
            <v>OrthoLite Regular-Hybrid SEEDPEARL/12-0703TPX Hybrid Flat Sheet 0.11D 25+/-4 Asker C 1.1M 2M 2mm</v>
          </cell>
          <cell r="H1430">
            <v>380</v>
          </cell>
          <cell r="I1430">
            <v>380</v>
          </cell>
          <cell r="J1430">
            <v>0</v>
          </cell>
          <cell r="K1430">
            <v>380</v>
          </cell>
          <cell r="L1430" t="str">
            <v>ASICS</v>
          </cell>
          <cell r="M1430" t="str">
            <v>Forecast</v>
          </cell>
          <cell r="N1430" t="str">
            <v>SPLITTING</v>
          </cell>
          <cell r="O1430">
            <v>1</v>
          </cell>
          <cell r="P1430">
            <v>46122</v>
          </cell>
          <cell r="Q1430">
            <v>46157</v>
          </cell>
          <cell r="R1430">
            <v>46154</v>
          </cell>
          <cell r="S1430">
            <v>35</v>
          </cell>
          <cell r="T1430">
            <v>2</v>
          </cell>
          <cell r="U1430">
            <v>70</v>
          </cell>
          <cell r="V1430">
            <v>6</v>
          </cell>
          <cell r="W1430" t="str">
            <v>0.11D</v>
          </cell>
          <cell r="X1430" t="str">
            <v>5-2026</v>
          </cell>
          <cell r="Y1430" t="str">
            <v>Week 19</v>
          </cell>
          <cell r="Z1430">
            <v>46146</v>
          </cell>
          <cell r="AA1430">
            <v>57</v>
          </cell>
          <cell r="AB1430">
            <v>1.4290000000000001E-2</v>
          </cell>
        </row>
        <row r="1431">
          <cell r="A1431" t="str">
            <v>F-2026-04-138</v>
          </cell>
          <cell r="B1431"/>
          <cell r="C1431" t="str">
            <v>FPRO-260410-0008</v>
          </cell>
          <cell r="D1431" t="str">
            <v>Firm plan 10.4</v>
          </cell>
          <cell r="E1431" t="str">
            <v>BDB-000113</v>
          </cell>
          <cell r="F1431" t="str">
            <v>PVN-002501</v>
          </cell>
          <cell r="G1431" t="str">
            <v>OrthoLite Regular-Hybrid SEEDPEARL/12-0703TPX Hybrid Flat Sheet 0.11D 25+/-4 Asker C 1.1M 2M 2mm</v>
          </cell>
          <cell r="H1431">
            <v>675</v>
          </cell>
          <cell r="I1431">
            <v>675</v>
          </cell>
          <cell r="J1431">
            <v>0</v>
          </cell>
          <cell r="K1431">
            <v>675</v>
          </cell>
          <cell r="L1431" t="str">
            <v>ASICS</v>
          </cell>
          <cell r="M1431" t="str">
            <v>Forecast</v>
          </cell>
          <cell r="N1431" t="str">
            <v>SPLITTING</v>
          </cell>
          <cell r="O1431">
            <v>1</v>
          </cell>
          <cell r="P1431">
            <v>46122</v>
          </cell>
          <cell r="Q1431">
            <v>46156</v>
          </cell>
          <cell r="R1431">
            <v>46153</v>
          </cell>
          <cell r="S1431">
            <v>34</v>
          </cell>
          <cell r="T1431">
            <v>2</v>
          </cell>
          <cell r="U1431">
            <v>70</v>
          </cell>
          <cell r="V1431">
            <v>10</v>
          </cell>
          <cell r="W1431" t="str">
            <v>0.11D</v>
          </cell>
          <cell r="X1431" t="str">
            <v>5-2026</v>
          </cell>
          <cell r="Y1431" t="str">
            <v>Week 19</v>
          </cell>
          <cell r="Z1431">
            <v>46146</v>
          </cell>
          <cell r="AA1431">
            <v>129</v>
          </cell>
          <cell r="AB1431">
            <v>1.4290000000000001E-2</v>
          </cell>
        </row>
        <row r="1432">
          <cell r="A1432" t="str">
            <v>F-2026-04-139</v>
          </cell>
          <cell r="B1432"/>
          <cell r="C1432" t="str">
            <v>FPRO-260410-0009</v>
          </cell>
          <cell r="D1432" t="str">
            <v>Firm plan 10.4</v>
          </cell>
          <cell r="E1432" t="str">
            <v>BDB-000097</v>
          </cell>
          <cell r="F1432" t="str">
            <v>PVN-002478</v>
          </cell>
          <cell r="G1432" t="str">
            <v>OrthoLite Eco LT-Hybrid SEEDPEARL/12-0703TPX Hybrid 0.11D 25+/-4 Asker C 1.1M 2M 4mm</v>
          </cell>
          <cell r="H1432">
            <v>3600</v>
          </cell>
          <cell r="I1432">
            <v>3600</v>
          </cell>
          <cell r="J1432">
            <v>0</v>
          </cell>
          <cell r="K1432">
            <v>3600</v>
          </cell>
          <cell r="L1432" t="str">
            <v>NEW BALANCE</v>
          </cell>
          <cell r="M1432" t="str">
            <v>Forecast</v>
          </cell>
          <cell r="N1432" t="str">
            <v>DIE CUT</v>
          </cell>
          <cell r="O1432">
            <v>1</v>
          </cell>
          <cell r="P1432">
            <v>46122</v>
          </cell>
          <cell r="Q1432">
            <v>46181</v>
          </cell>
          <cell r="R1432">
            <v>46178</v>
          </cell>
          <cell r="S1432">
            <v>59</v>
          </cell>
          <cell r="T1432">
            <v>4</v>
          </cell>
          <cell r="U1432">
            <v>35</v>
          </cell>
          <cell r="V1432">
            <v>103</v>
          </cell>
          <cell r="W1432" t="str">
            <v>0.11D</v>
          </cell>
          <cell r="X1432" t="str">
            <v>6-2026</v>
          </cell>
          <cell r="Y1432" t="str">
            <v>Week 23</v>
          </cell>
          <cell r="Z1432">
            <v>46174</v>
          </cell>
          <cell r="AA1432">
            <v>24</v>
          </cell>
          <cell r="AB1432">
            <v>2.8570000000000002E-2</v>
          </cell>
        </row>
        <row r="1433">
          <cell r="A1433" t="str">
            <v>F-2026-04-140</v>
          </cell>
          <cell r="B1433"/>
          <cell r="C1433" t="str">
            <v>FPRO-260410-0010</v>
          </cell>
          <cell r="D1433" t="str">
            <v>Firm plan 10.4</v>
          </cell>
          <cell r="E1433" t="str">
            <v>BDB-000097</v>
          </cell>
          <cell r="F1433" t="str">
            <v>PVN-002478</v>
          </cell>
          <cell r="G1433" t="str">
            <v>OrthoLite Eco LT-Hybrid SEEDPEARL/12-0703TPX Hybrid 0.11D 25+/-4 Asker C 1.1M 2M 4mm</v>
          </cell>
          <cell r="H1433">
            <v>3500</v>
          </cell>
          <cell r="I1433">
            <v>3500</v>
          </cell>
          <cell r="J1433">
            <v>0</v>
          </cell>
          <cell r="K1433">
            <v>3500</v>
          </cell>
          <cell r="L1433" t="str">
            <v>NEW BALANCE</v>
          </cell>
          <cell r="M1433" t="str">
            <v>Forecast</v>
          </cell>
          <cell r="N1433" t="str">
            <v>DIE CUT</v>
          </cell>
          <cell r="O1433">
            <v>1</v>
          </cell>
          <cell r="P1433">
            <v>46122</v>
          </cell>
          <cell r="Q1433">
            <v>46177</v>
          </cell>
          <cell r="R1433">
            <v>46174</v>
          </cell>
          <cell r="S1433">
            <v>55</v>
          </cell>
          <cell r="T1433">
            <v>4</v>
          </cell>
          <cell r="U1433">
            <v>35</v>
          </cell>
          <cell r="V1433">
            <v>100</v>
          </cell>
          <cell r="W1433" t="str">
            <v>0.11D</v>
          </cell>
          <cell r="X1433" t="str">
            <v>6-2026</v>
          </cell>
          <cell r="Y1433" t="str">
            <v>Week 22</v>
          </cell>
          <cell r="Z1433">
            <v>46167</v>
          </cell>
          <cell r="AA1433">
            <v>23</v>
          </cell>
          <cell r="AB1433">
            <v>2.8570000000000002E-2</v>
          </cell>
        </row>
        <row r="1434">
          <cell r="A1434" t="str">
            <v>F-2026-04-141</v>
          </cell>
          <cell r="B1434"/>
          <cell r="C1434" t="str">
            <v>FPRO-260410-0001</v>
          </cell>
          <cell r="D1434" t="str">
            <v>Firm plan 10.4</v>
          </cell>
          <cell r="E1434" t="str">
            <v>BDB-000385</v>
          </cell>
          <cell r="F1434" t="str">
            <v>PVN-004381</v>
          </cell>
          <cell r="G1434" t="str">
            <v>OrthoLite Impressions-Nike TAWNY PORT/19-1725TPX 0.15D 70-80 Asker F 1.1M 1.7M 3mm</v>
          </cell>
          <cell r="H1434">
            <v>256</v>
          </cell>
          <cell r="I1434">
            <v>256</v>
          </cell>
          <cell r="J1434">
            <v>0</v>
          </cell>
          <cell r="K1434">
            <v>256</v>
          </cell>
          <cell r="L1434" t="str">
            <v>NIKE</v>
          </cell>
          <cell r="M1434" t="str">
            <v>Forecast</v>
          </cell>
          <cell r="N1434" t="str">
            <v>DIE CUT</v>
          </cell>
          <cell r="O1434">
            <v>1</v>
          </cell>
          <cell r="P1434">
            <v>46122</v>
          </cell>
          <cell r="Q1434">
            <v>46133</v>
          </cell>
          <cell r="R1434">
            <v>46130</v>
          </cell>
          <cell r="S1434">
            <v>11</v>
          </cell>
          <cell r="T1434">
            <v>3</v>
          </cell>
          <cell r="U1434">
            <v>46</v>
          </cell>
          <cell r="V1434">
            <v>6</v>
          </cell>
          <cell r="W1434" t="e">
            <v>#N/A</v>
          </cell>
          <cell r="X1434" t="str">
            <v>4-2026</v>
          </cell>
          <cell r="Y1434" t="str">
            <v>Week 16</v>
          </cell>
          <cell r="Z1434">
            <v>46125</v>
          </cell>
          <cell r="AA1434">
            <v>19</v>
          </cell>
          <cell r="AB1434">
            <v>2.1739999999999999E-2</v>
          </cell>
        </row>
        <row r="1435">
          <cell r="A1435" t="str">
            <v>F-2026-04-142</v>
          </cell>
          <cell r="B1435"/>
          <cell r="C1435" t="str">
            <v>FPRO-260410-0002</v>
          </cell>
          <cell r="D1435" t="str">
            <v>Firm plan 10.4</v>
          </cell>
          <cell r="E1435" t="str">
            <v>BDB-000386</v>
          </cell>
          <cell r="F1435" t="str">
            <v>PVN-004384</v>
          </cell>
          <cell r="G1435" t="str">
            <v>OrthoLite Impressions TAWNY PORT/19-1725TPX 0.15D 70-80 Asker F 1.1M 1.7M 3mm</v>
          </cell>
          <cell r="H1435">
            <v>30</v>
          </cell>
          <cell r="I1435">
            <v>30</v>
          </cell>
          <cell r="J1435">
            <v>0</v>
          </cell>
          <cell r="K1435">
            <v>30</v>
          </cell>
          <cell r="L1435" t="str">
            <v>FOOTJOY</v>
          </cell>
          <cell r="M1435" t="str">
            <v>Forecast</v>
          </cell>
          <cell r="N1435" t="str">
            <v>MOLDED</v>
          </cell>
          <cell r="O1435">
            <v>1</v>
          </cell>
          <cell r="P1435">
            <v>46122</v>
          </cell>
          <cell r="Q1435">
            <v>46128</v>
          </cell>
          <cell r="R1435">
            <v>46125</v>
          </cell>
          <cell r="S1435">
            <v>6</v>
          </cell>
          <cell r="T1435">
            <v>3</v>
          </cell>
          <cell r="U1435">
            <v>46</v>
          </cell>
          <cell r="V1435">
            <v>1</v>
          </cell>
          <cell r="W1435" t="e">
            <v>#N/A</v>
          </cell>
          <cell r="X1435" t="str">
            <v>4-2026</v>
          </cell>
          <cell r="Y1435" t="str">
            <v>Week 16</v>
          </cell>
          <cell r="Z1435">
            <v>46125</v>
          </cell>
          <cell r="AA1435">
            <v>0</v>
          </cell>
          <cell r="AB1435">
            <v>2.1739999999999999E-2</v>
          </cell>
        </row>
        <row r="1436">
          <cell r="A1436" t="str">
            <v>F-2026-04-143</v>
          </cell>
          <cell r="B1436"/>
          <cell r="C1436" t="str">
            <v>RPRO-260413-0261</v>
          </cell>
          <cell r="D1436" t="str">
            <v>MPS 10.4+11.04+12.04</v>
          </cell>
          <cell r="E1436" t="str">
            <v>BDB-000010</v>
          </cell>
          <cell r="F1436" t="str">
            <v>PVN-000101</v>
          </cell>
          <cell r="G1436" t="str">
            <v>OrthoLite Regular AIR BLUE/16-4134TPX Flat Sheet 0.11D 25+/-4 Asker C 1.1M 2M 3mm</v>
          </cell>
          <cell r="H1436">
            <v>138</v>
          </cell>
          <cell r="I1436">
            <v>138</v>
          </cell>
          <cell r="J1436">
            <v>0</v>
          </cell>
          <cell r="K1436">
            <v>138</v>
          </cell>
          <cell r="L1436"/>
          <cell r="M1436" t="str">
            <v>MPS</v>
          </cell>
          <cell r="N1436" t="str">
            <v>SPLITTING</v>
          </cell>
          <cell r="O1436">
            <v>2</v>
          </cell>
          <cell r="P1436">
            <v>46125</v>
          </cell>
          <cell r="Q1436">
            <v>46134</v>
          </cell>
          <cell r="R1436">
            <v>46131</v>
          </cell>
          <cell r="S1436">
            <v>9</v>
          </cell>
          <cell r="T1436">
            <v>3</v>
          </cell>
          <cell r="U1436">
            <v>46</v>
          </cell>
          <cell r="V1436">
            <v>4</v>
          </cell>
          <cell r="W1436" t="str">
            <v>0.11D</v>
          </cell>
          <cell r="X1436" t="str">
            <v>4-2026</v>
          </cell>
          <cell r="Y1436" t="str">
            <v>Week 16</v>
          </cell>
          <cell r="Z1436">
            <v>46125</v>
          </cell>
          <cell r="AA1436">
            <v>50</v>
          </cell>
          <cell r="AB1436">
            <v>2.1739999999999999E-2</v>
          </cell>
        </row>
        <row r="1437">
          <cell r="A1437" t="str">
            <v>F-2026-04-144</v>
          </cell>
          <cell r="B1437"/>
          <cell r="C1437" t="str">
            <v>RPRO-260413-0262</v>
          </cell>
          <cell r="D1437" t="str">
            <v>MPS 10.4+11.04+12.04</v>
          </cell>
          <cell r="E1437" t="str">
            <v>BDB-000083</v>
          </cell>
          <cell r="F1437" t="str">
            <v>PVN-000930</v>
          </cell>
          <cell r="G1437" t="str">
            <v>OrthoLite Eco LT 300C(ADIDAS BLUEBIRD) Flat Sheet 0.11D 25+/-4 Asker C 1.1M 2M 3mm</v>
          </cell>
          <cell r="H1437">
            <v>92</v>
          </cell>
          <cell r="I1437">
            <v>92</v>
          </cell>
          <cell r="J1437">
            <v>0</v>
          </cell>
          <cell r="K1437">
            <v>92</v>
          </cell>
          <cell r="L1437"/>
          <cell r="M1437" t="str">
            <v>MPS</v>
          </cell>
          <cell r="N1437" t="str">
            <v>SPLITTING</v>
          </cell>
          <cell r="O1437">
            <v>2</v>
          </cell>
          <cell r="P1437">
            <v>46125</v>
          </cell>
          <cell r="Q1437">
            <v>46134</v>
          </cell>
          <cell r="R1437">
            <v>46131</v>
          </cell>
          <cell r="S1437">
            <v>9</v>
          </cell>
          <cell r="T1437">
            <v>3</v>
          </cell>
          <cell r="U1437">
            <v>46</v>
          </cell>
          <cell r="V1437">
            <v>3</v>
          </cell>
          <cell r="W1437" t="str">
            <v>0.11D</v>
          </cell>
          <cell r="X1437" t="str">
            <v>4-2026</v>
          </cell>
          <cell r="Y1437" t="str">
            <v>Week 16</v>
          </cell>
          <cell r="Z1437">
            <v>46125</v>
          </cell>
          <cell r="AA1437">
            <v>17</v>
          </cell>
          <cell r="AB1437">
            <v>2.1739999999999999E-2</v>
          </cell>
        </row>
        <row r="1438">
          <cell r="A1438" t="str">
            <v>F-2026-04-145</v>
          </cell>
          <cell r="B1438"/>
          <cell r="C1438" t="str">
            <v>RPRO-260413-0263</v>
          </cell>
          <cell r="D1438" t="str">
            <v>MPS 10.4+11.04+12.04</v>
          </cell>
          <cell r="E1438" t="str">
            <v>BDB-000057</v>
          </cell>
          <cell r="F1438" t="str">
            <v>PVN-000981</v>
          </cell>
          <cell r="G1438" t="str">
            <v>OrthoLite Ultra YELLOW/13-0858TPX Flat Sheet 0.085D 25+/-4 Asker C 1.1M 2M 3mm</v>
          </cell>
          <cell r="H1438">
            <v>184</v>
          </cell>
          <cell r="I1438">
            <v>184</v>
          </cell>
          <cell r="J1438">
            <v>0</v>
          </cell>
          <cell r="K1438">
            <v>184</v>
          </cell>
          <cell r="L1438"/>
          <cell r="M1438" t="str">
            <v>MPS</v>
          </cell>
          <cell r="N1438" t="str">
            <v>SPLITTING</v>
          </cell>
          <cell r="O1438">
            <v>2</v>
          </cell>
          <cell r="P1438">
            <v>46125</v>
          </cell>
          <cell r="Q1438">
            <v>46140</v>
          </cell>
          <cell r="R1438">
            <v>46137</v>
          </cell>
          <cell r="S1438">
            <v>15</v>
          </cell>
          <cell r="T1438">
            <v>3</v>
          </cell>
          <cell r="U1438">
            <v>46</v>
          </cell>
          <cell r="V1438">
            <v>5</v>
          </cell>
          <cell r="W1438" t="str">
            <v>0.085D</v>
          </cell>
          <cell r="X1438" t="str">
            <v>4-2026</v>
          </cell>
          <cell r="Y1438" t="str">
            <v>Week 17</v>
          </cell>
          <cell r="Z1438">
            <v>46132</v>
          </cell>
          <cell r="AA1438">
            <v>238</v>
          </cell>
          <cell r="AB1438">
            <v>2.1739999999999999E-2</v>
          </cell>
        </row>
        <row r="1439">
          <cell r="A1439" t="str">
            <v>F-2026-04-146</v>
          </cell>
          <cell r="B1439"/>
          <cell r="C1439" t="str">
            <v>RPRO-260413-0264</v>
          </cell>
          <cell r="D1439" t="str">
            <v>MPS 10.4+11.04+12.04</v>
          </cell>
          <cell r="E1439" t="str">
            <v>BDB-000085</v>
          </cell>
          <cell r="F1439" t="str">
            <v>PVN-001091</v>
          </cell>
          <cell r="G1439" t="str">
            <v>OrthoLite Eco LT GREY/17-1501TPX Flat Sheet 0.11D 25+/-4 Asker C 1.1M 2M 4mm</v>
          </cell>
          <cell r="H1439">
            <v>70</v>
          </cell>
          <cell r="I1439">
            <v>70</v>
          </cell>
          <cell r="J1439">
            <v>0</v>
          </cell>
          <cell r="K1439">
            <v>70</v>
          </cell>
          <cell r="L1439"/>
          <cell r="M1439" t="str">
            <v>MPS</v>
          </cell>
          <cell r="N1439" t="str">
            <v>SPLITTING</v>
          </cell>
          <cell r="O1439">
            <v>2</v>
          </cell>
          <cell r="P1439">
            <v>46125</v>
          </cell>
          <cell r="Q1439">
            <v>46140</v>
          </cell>
          <cell r="R1439">
            <v>46137</v>
          </cell>
          <cell r="S1439">
            <v>15</v>
          </cell>
          <cell r="T1439">
            <v>4</v>
          </cell>
          <cell r="U1439">
            <v>35</v>
          </cell>
          <cell r="V1439">
            <v>2</v>
          </cell>
          <cell r="W1439" t="str">
            <v>0.11D</v>
          </cell>
          <cell r="X1439" t="str">
            <v>4-2026</v>
          </cell>
          <cell r="Y1439" t="str">
            <v>Week 17</v>
          </cell>
          <cell r="Z1439">
            <v>46132</v>
          </cell>
          <cell r="AA1439">
            <v>238</v>
          </cell>
          <cell r="AB1439">
            <v>2.8570000000000002E-2</v>
          </cell>
        </row>
        <row r="1440">
          <cell r="A1440" t="str">
            <v>F-2026-04-147</v>
          </cell>
          <cell r="B1440"/>
          <cell r="C1440" t="str">
            <v>RPRO-260413-0265</v>
          </cell>
          <cell r="D1440" t="str">
            <v>MPS 10.4+11.04+12.04</v>
          </cell>
          <cell r="E1440" t="str">
            <v>BDB-000058</v>
          </cell>
          <cell r="F1440" t="str">
            <v>PVN-001277</v>
          </cell>
          <cell r="G1440" t="str">
            <v>OrthoLite Ultra GREEN/16-5932TPX Flat Sheet 0.085D 25+/-4 Asker C 1.1M 2M 4mm</v>
          </cell>
          <cell r="H1440">
            <v>1645</v>
          </cell>
          <cell r="I1440">
            <v>1645</v>
          </cell>
          <cell r="J1440">
            <v>0</v>
          </cell>
          <cell r="K1440">
            <v>1645</v>
          </cell>
          <cell r="L1440"/>
          <cell r="M1440" t="str">
            <v>MPS</v>
          </cell>
          <cell r="N1440" t="str">
            <v>SPLITTING</v>
          </cell>
          <cell r="O1440">
            <v>2</v>
          </cell>
          <cell r="P1440">
            <v>46125</v>
          </cell>
          <cell r="Q1440">
            <v>46140</v>
          </cell>
          <cell r="R1440">
            <v>46137</v>
          </cell>
          <cell r="S1440">
            <v>15</v>
          </cell>
          <cell r="T1440">
            <v>4</v>
          </cell>
          <cell r="U1440">
            <v>35</v>
          </cell>
          <cell r="V1440">
            <v>47</v>
          </cell>
          <cell r="W1440" t="str">
            <v>0.085D</v>
          </cell>
          <cell r="X1440" t="str">
            <v>4-2026</v>
          </cell>
          <cell r="Y1440" t="str">
            <v>Week 17</v>
          </cell>
          <cell r="Z1440">
            <v>46132</v>
          </cell>
          <cell r="AA1440">
            <v>238</v>
          </cell>
          <cell r="AB1440">
            <v>2.8570000000000002E-2</v>
          </cell>
        </row>
        <row r="1441">
          <cell r="A1441" t="str">
            <v>F-2026-04-148</v>
          </cell>
          <cell r="B1441"/>
          <cell r="C1441" t="str">
            <v>RPRO-260413-0266</v>
          </cell>
          <cell r="D1441" t="str">
            <v>MPS 10.4+11.04+12.04</v>
          </cell>
          <cell r="E1441" t="str">
            <v>BDB-000056</v>
          </cell>
          <cell r="F1441" t="str">
            <v>PVN-001983</v>
          </cell>
          <cell r="G1441" t="str">
            <v>OrthoLite X-40 SEEDPEARL/12-0703TPX Flat Sheet 0.16D 25+/-4 Asker C 1.1M 1.7M 5mm</v>
          </cell>
          <cell r="H1441">
            <v>280</v>
          </cell>
          <cell r="I1441">
            <v>280</v>
          </cell>
          <cell r="J1441">
            <v>0</v>
          </cell>
          <cell r="K1441">
            <v>280</v>
          </cell>
          <cell r="L1441"/>
          <cell r="M1441" t="str">
            <v>MPS</v>
          </cell>
          <cell r="N1441" t="str">
            <v>SPLITTING</v>
          </cell>
          <cell r="O1441">
            <v>2</v>
          </cell>
          <cell r="P1441">
            <v>46125</v>
          </cell>
          <cell r="Q1441">
            <v>46134</v>
          </cell>
          <cell r="R1441">
            <v>46131</v>
          </cell>
          <cell r="S1441">
            <v>9</v>
          </cell>
          <cell r="T1441">
            <v>5</v>
          </cell>
          <cell r="U1441">
            <v>28</v>
          </cell>
          <cell r="V1441">
            <v>10</v>
          </cell>
          <cell r="W1441" t="str">
            <v>0.16D</v>
          </cell>
          <cell r="X1441" t="str">
            <v>4-2026</v>
          </cell>
          <cell r="Y1441" t="str">
            <v>Week 16</v>
          </cell>
          <cell r="Z1441">
            <v>46125</v>
          </cell>
          <cell r="AA1441">
            <v>238</v>
          </cell>
          <cell r="AB1441">
            <v>3.5709999999999999E-2</v>
          </cell>
        </row>
        <row r="1442">
          <cell r="A1442" t="str">
            <v>F-2026-04-149</v>
          </cell>
          <cell r="B1442"/>
          <cell r="C1442" t="str">
            <v>RPRO-260413-0267</v>
          </cell>
          <cell r="D1442" t="str">
            <v>MPS 10.4+11.04+12.04</v>
          </cell>
          <cell r="E1442" t="str">
            <v>BDB-000123</v>
          </cell>
          <cell r="F1442" t="str">
            <v>PVN-003315</v>
          </cell>
          <cell r="G1442" t="str">
            <v>OrthoLite Ultra-Hybrid SEEDPEARL/12-0703TPX Hybrid 0.085D 25+/-4 Asker C 1.1M 2M 3.5mm</v>
          </cell>
          <cell r="H1442">
            <v>40</v>
          </cell>
          <cell r="I1442">
            <v>40</v>
          </cell>
          <cell r="J1442">
            <v>0</v>
          </cell>
          <cell r="K1442">
            <v>40</v>
          </cell>
          <cell r="L1442"/>
          <cell r="M1442" t="str">
            <v>MPS</v>
          </cell>
          <cell r="N1442" t="str">
            <v>SPLITTING</v>
          </cell>
          <cell r="O1442">
            <v>2</v>
          </cell>
          <cell r="P1442">
            <v>46125</v>
          </cell>
          <cell r="Q1442">
            <v>46140</v>
          </cell>
          <cell r="R1442">
            <v>46137</v>
          </cell>
          <cell r="S1442">
            <v>15</v>
          </cell>
          <cell r="T1442">
            <v>3.5</v>
          </cell>
          <cell r="U1442">
            <v>40</v>
          </cell>
          <cell r="V1442">
            <v>1</v>
          </cell>
          <cell r="W1442" t="str">
            <v>0.085D</v>
          </cell>
          <cell r="X1442" t="str">
            <v>4-2026</v>
          </cell>
          <cell r="Y1442" t="str">
            <v>Week 17</v>
          </cell>
          <cell r="Z1442">
            <v>46132</v>
          </cell>
          <cell r="AA1442">
            <v>438</v>
          </cell>
          <cell r="AB1442">
            <v>2.5000000000000001E-2</v>
          </cell>
        </row>
        <row r="1443">
          <cell r="A1443" t="str">
            <v>F-2026-04-150</v>
          </cell>
          <cell r="B1443"/>
          <cell r="C1443" t="str">
            <v>RPRO-260413-0268</v>
          </cell>
          <cell r="D1443" t="str">
            <v>MPS 10.4+11.04+12.04</v>
          </cell>
          <cell r="E1443" t="str">
            <v>BDB-000286</v>
          </cell>
          <cell r="F1443" t="str">
            <v>PVN-003863</v>
          </cell>
          <cell r="G1443" t="str">
            <v>OrthoLite Regular-Hybrid SEEDPEARL/12-0703TPX Hybrid Flat Sheet 0.13D 25+/-4 Asker C 1.1M 1.7M 2mm</v>
          </cell>
          <cell r="H1443">
            <v>70</v>
          </cell>
          <cell r="I1443">
            <v>70</v>
          </cell>
          <cell r="J1443">
            <v>0</v>
          </cell>
          <cell r="K1443">
            <v>70</v>
          </cell>
          <cell r="L1443"/>
          <cell r="M1443" t="str">
            <v>MPS</v>
          </cell>
          <cell r="N1443" t="str">
            <v>SPLITTING</v>
          </cell>
          <cell r="O1443">
            <v>2</v>
          </cell>
          <cell r="P1443">
            <v>46125</v>
          </cell>
          <cell r="Q1443">
            <v>46140</v>
          </cell>
          <cell r="R1443">
            <v>46137</v>
          </cell>
          <cell r="S1443">
            <v>15</v>
          </cell>
          <cell r="T1443">
            <v>2</v>
          </cell>
          <cell r="U1443">
            <v>70</v>
          </cell>
          <cell r="V1443">
            <v>2</v>
          </cell>
          <cell r="W1443" t="str">
            <v>0.13D</v>
          </cell>
          <cell r="X1443" t="str">
            <v>4-2026</v>
          </cell>
          <cell r="Y1443" t="str">
            <v>Week 17</v>
          </cell>
          <cell r="Z1443">
            <v>46132</v>
          </cell>
          <cell r="AA1443">
            <v>438</v>
          </cell>
          <cell r="AB1443">
            <v>1.4290000000000001E-2</v>
          </cell>
        </row>
        <row r="1444">
          <cell r="A1444" t="str">
            <v>F-2026-04-151</v>
          </cell>
          <cell r="B1444"/>
          <cell r="C1444" t="str">
            <v>RPRO-260413-0269</v>
          </cell>
          <cell r="D1444" t="str">
            <v>MPS 10.4+11.04+12.04</v>
          </cell>
          <cell r="E1444" t="str">
            <v>BDB-000348</v>
          </cell>
          <cell r="F1444" t="str">
            <v>PVN-004210</v>
          </cell>
          <cell r="G1444" t="str">
            <v>OrthoLite IMPERIAL SEEDPEARL/12-0703TPX Flat Sheet 0.22D 25+/-4 Asker C 1.1M 1.47M 5mm</v>
          </cell>
          <cell r="H1444">
            <v>112</v>
          </cell>
          <cell r="I1444">
            <v>112</v>
          </cell>
          <cell r="J1444">
            <v>0</v>
          </cell>
          <cell r="K1444">
            <v>112</v>
          </cell>
          <cell r="L1444"/>
          <cell r="M1444" t="str">
            <v>MPS</v>
          </cell>
          <cell r="N1444" t="str">
            <v>SPLITTING</v>
          </cell>
          <cell r="O1444">
            <v>2</v>
          </cell>
          <cell r="P1444">
            <v>46125</v>
          </cell>
          <cell r="Q1444">
            <v>46140</v>
          </cell>
          <cell r="R1444">
            <v>46137</v>
          </cell>
          <cell r="S1444">
            <v>15</v>
          </cell>
          <cell r="T1444">
            <v>5</v>
          </cell>
          <cell r="U1444">
            <v>28</v>
          </cell>
          <cell r="V1444">
            <v>4</v>
          </cell>
          <cell r="W1444" t="e">
            <v>#N/A</v>
          </cell>
          <cell r="X1444" t="str">
            <v>4-2026</v>
          </cell>
          <cell r="Y1444" t="str">
            <v>Week 17</v>
          </cell>
          <cell r="Z1444">
            <v>46132</v>
          </cell>
          <cell r="AA1444">
            <v>14</v>
          </cell>
          <cell r="AB1444">
            <v>3.5709999999999999E-2</v>
          </cell>
        </row>
        <row r="1445">
          <cell r="A1445" t="str">
            <v>F-2026-04-152</v>
          </cell>
          <cell r="B1445"/>
          <cell r="C1445" t="str">
            <v>RPRO-260413-0270</v>
          </cell>
          <cell r="D1445" t="str">
            <v>Pro.sche.report 10.4+11.04+12.04</v>
          </cell>
          <cell r="E1445" t="str">
            <v>BDB-000117</v>
          </cell>
          <cell r="F1445" t="str">
            <v>PVN-003234</v>
          </cell>
          <cell r="G1445" t="str">
            <v>OrthoLite X-35-Hybrid SEEDPEARL/12-0703TPX Hybrid Flat Sheet 0.145D 25+/-4 Asker C 1.1M 2M 5.5mm</v>
          </cell>
          <cell r="H1445">
            <v>25</v>
          </cell>
          <cell r="I1445">
            <v>25</v>
          </cell>
          <cell r="J1445">
            <v>0</v>
          </cell>
          <cell r="K1445">
            <v>25</v>
          </cell>
          <cell r="L1445" t="str">
            <v>PUMA</v>
          </cell>
          <cell r="M1445" t="str">
            <v>Pr.Sch.R</v>
          </cell>
          <cell r="N1445" t="str">
            <v>MOLDED</v>
          </cell>
          <cell r="O1445">
            <v>1</v>
          </cell>
          <cell r="P1445">
            <v>46125</v>
          </cell>
          <cell r="Q1445">
            <v>46134</v>
          </cell>
          <cell r="R1445">
            <v>46131</v>
          </cell>
          <cell r="S1445">
            <v>9</v>
          </cell>
          <cell r="T1445">
            <v>5.5</v>
          </cell>
          <cell r="U1445">
            <v>25</v>
          </cell>
          <cell r="V1445">
            <v>1</v>
          </cell>
          <cell r="W1445" t="str">
            <v>0.145D</v>
          </cell>
          <cell r="X1445" t="str">
            <v>4-2026</v>
          </cell>
          <cell r="Y1445" t="str">
            <v>Week 16</v>
          </cell>
          <cell r="Z1445">
            <v>46125</v>
          </cell>
          <cell r="AA1445">
            <v>57</v>
          </cell>
          <cell r="AB1445">
            <v>0.04</v>
          </cell>
        </row>
        <row r="1446">
          <cell r="A1446" t="str">
            <v>F-2026-04-153</v>
          </cell>
          <cell r="B1446"/>
          <cell r="C1446" t="str">
            <v>RPRO-260413-0271</v>
          </cell>
          <cell r="D1446" t="str">
            <v>Pro.sche.report 10.4+11.04+12.04</v>
          </cell>
          <cell r="E1446" t="str">
            <v>BDB-000123</v>
          </cell>
          <cell r="F1446" t="str">
            <v>PVN-002884</v>
          </cell>
          <cell r="G1446" t="str">
            <v>OrthoLite Ultra-Hybrid SEEDPEARL/12-0703TPX Hybrid Flat Sheet 0.085D 25+/-4 Asker C 1.1M 2M 10mm</v>
          </cell>
          <cell r="H1446">
            <v>13</v>
          </cell>
          <cell r="I1446">
            <v>13</v>
          </cell>
          <cell r="J1446">
            <v>0</v>
          </cell>
          <cell r="K1446">
            <v>13</v>
          </cell>
          <cell r="L1446" t="str">
            <v>ADIDAS</v>
          </cell>
          <cell r="M1446" t="str">
            <v>Pr.Sch.R</v>
          </cell>
          <cell r="N1446" t="str">
            <v>MOLDED</v>
          </cell>
          <cell r="O1446">
            <v>1</v>
          </cell>
          <cell r="P1446">
            <v>46125</v>
          </cell>
          <cell r="Q1446">
            <v>46135</v>
          </cell>
          <cell r="R1446">
            <v>46132</v>
          </cell>
          <cell r="S1446">
            <v>10</v>
          </cell>
          <cell r="T1446">
            <v>10</v>
          </cell>
          <cell r="U1446">
            <v>13</v>
          </cell>
          <cell r="V1446">
            <v>1</v>
          </cell>
          <cell r="W1446" t="str">
            <v>0.085D</v>
          </cell>
          <cell r="X1446" t="str">
            <v>4-2026</v>
          </cell>
          <cell r="Y1446" t="str">
            <v>Week 16</v>
          </cell>
          <cell r="Z1446">
            <v>46125</v>
          </cell>
          <cell r="AA1446">
            <v>15</v>
          </cell>
          <cell r="AB1446">
            <v>7.6920000000000002E-2</v>
          </cell>
        </row>
        <row r="1447">
          <cell r="A1447" t="str">
            <v>F-2026-04-154</v>
          </cell>
          <cell r="B1447"/>
          <cell r="C1447" t="str">
            <v>RPRO-260413-0272</v>
          </cell>
          <cell r="D1447" t="str">
            <v>Pro.sche.report 10.4+11.04+12.04</v>
          </cell>
          <cell r="E1447" t="str">
            <v>BDB-000011</v>
          </cell>
          <cell r="F1447" t="str">
            <v>PVN-000121</v>
          </cell>
          <cell r="G1447" t="str">
            <v>OrthoLite Regular AIR BLUE/16-4134TPX Flat Sheet 0.13D 35+/-4 Asker C 1.1M 2M 12mm</v>
          </cell>
          <cell r="H1447">
            <v>11</v>
          </cell>
          <cell r="I1447">
            <v>11</v>
          </cell>
          <cell r="J1447">
            <v>0</v>
          </cell>
          <cell r="K1447">
            <v>11</v>
          </cell>
          <cell r="L1447" t="str">
            <v>ASICS</v>
          </cell>
          <cell r="M1447" t="str">
            <v>Pr.Sch.R</v>
          </cell>
          <cell r="N1447" t="str">
            <v>MOLDED</v>
          </cell>
          <cell r="O1447">
            <v>1</v>
          </cell>
          <cell r="P1447">
            <v>46125</v>
          </cell>
          <cell r="Q1447">
            <v>46134</v>
          </cell>
          <cell r="R1447">
            <v>46131</v>
          </cell>
          <cell r="S1447">
            <v>9</v>
          </cell>
          <cell r="T1447">
            <v>12</v>
          </cell>
          <cell r="U1447">
            <v>11.5</v>
          </cell>
          <cell r="V1447">
            <v>1</v>
          </cell>
          <cell r="W1447" t="str">
            <v>0.13D</v>
          </cell>
          <cell r="X1447" t="str">
            <v>4-2026</v>
          </cell>
          <cell r="Y1447" t="str">
            <v>Week 16</v>
          </cell>
          <cell r="Z1447">
            <v>46125</v>
          </cell>
          <cell r="AA1447">
            <v>85</v>
          </cell>
          <cell r="AB1447">
            <v>8.6959999999999996E-2</v>
          </cell>
        </row>
        <row r="1448">
          <cell r="A1448" t="str">
            <v>F-2026-04-155</v>
          </cell>
          <cell r="B1448"/>
          <cell r="C1448" t="str">
            <v>RPRO-260413-0273</v>
          </cell>
          <cell r="D1448" t="str">
            <v>Pro.sche.report 10.4+11.04+12.04</v>
          </cell>
          <cell r="E1448" t="str">
            <v>BDB-000149</v>
          </cell>
          <cell r="F1448" t="str">
            <v>PVN-002827</v>
          </cell>
          <cell r="G1448" t="str">
            <v>OrthoLite Regular-Hybrid-Nike SEEDPEARL/12-0703TPX Hybrid Flat Sheet 0.11D 25+/-4 Asker C 1.1M 2M 5mm</v>
          </cell>
          <cell r="H1448">
            <v>28</v>
          </cell>
          <cell r="I1448">
            <v>28</v>
          </cell>
          <cell r="J1448">
            <v>0</v>
          </cell>
          <cell r="K1448">
            <v>28</v>
          </cell>
          <cell r="L1448" t="str">
            <v>NIKE</v>
          </cell>
          <cell r="M1448" t="str">
            <v>Pr.Sch.R</v>
          </cell>
          <cell r="N1448" t="str">
            <v>MOLDED</v>
          </cell>
          <cell r="O1448">
            <v>1</v>
          </cell>
          <cell r="P1448">
            <v>46125</v>
          </cell>
          <cell r="Q1448">
            <v>46134</v>
          </cell>
          <cell r="R1448">
            <v>46131</v>
          </cell>
          <cell r="S1448">
            <v>9</v>
          </cell>
          <cell r="T1448">
            <v>5</v>
          </cell>
          <cell r="U1448">
            <v>28</v>
          </cell>
          <cell r="V1448">
            <v>1</v>
          </cell>
          <cell r="W1448" t="str">
            <v>0.11D</v>
          </cell>
          <cell r="X1448" t="str">
            <v>4-2026</v>
          </cell>
          <cell r="Y1448" t="str">
            <v>Week 16</v>
          </cell>
          <cell r="Z1448">
            <v>46125</v>
          </cell>
          <cell r="AA1448">
            <v>2</v>
          </cell>
          <cell r="AB1448">
            <v>3.5709999999999999E-2</v>
          </cell>
        </row>
        <row r="1449">
          <cell r="A1449" t="str">
            <v>F-2026-04-156</v>
          </cell>
          <cell r="B1449"/>
          <cell r="C1449" t="str">
            <v>RPRO-260413-0274</v>
          </cell>
          <cell r="D1449" t="str">
            <v>Pro.sche.report 10.4+11.04+12.04</v>
          </cell>
          <cell r="E1449" t="str">
            <v>BDB-000339</v>
          </cell>
          <cell r="F1449" t="str">
            <v>PVN-004178</v>
          </cell>
          <cell r="G1449" t="str">
            <v>OrthoLite Float NEUTRAL GRAY/17-4402TPX Flat Sheet 0.12D 21+/-4 Asker C 1.1M 2M 5.5mm</v>
          </cell>
          <cell r="H1449">
            <v>175</v>
          </cell>
          <cell r="I1449">
            <v>175</v>
          </cell>
          <cell r="J1449">
            <v>0</v>
          </cell>
          <cell r="K1449">
            <v>175</v>
          </cell>
          <cell r="L1449" t="str">
            <v>PUMA</v>
          </cell>
          <cell r="M1449" t="str">
            <v>Pr.Sch.R</v>
          </cell>
          <cell r="N1449" t="str">
            <v>MOLDED</v>
          </cell>
          <cell r="O1449">
            <v>1</v>
          </cell>
          <cell r="P1449">
            <v>46125</v>
          </cell>
          <cell r="Q1449">
            <v>46140</v>
          </cell>
          <cell r="R1449">
            <v>46137</v>
          </cell>
          <cell r="S1449">
            <v>15</v>
          </cell>
          <cell r="T1449">
            <v>5.5</v>
          </cell>
          <cell r="U1449">
            <v>25</v>
          </cell>
          <cell r="V1449">
            <v>7</v>
          </cell>
          <cell r="W1449" t="e">
            <v>#N/A</v>
          </cell>
          <cell r="X1449" t="str">
            <v>4-2026</v>
          </cell>
          <cell r="Y1449" t="str">
            <v>Week 17</v>
          </cell>
          <cell r="Z1449">
            <v>46132</v>
          </cell>
          <cell r="AA1449">
            <v>8</v>
          </cell>
          <cell r="AB1449">
            <v>0.04</v>
          </cell>
        </row>
        <row r="1450">
          <cell r="A1450" t="str">
            <v>F-2026-04-157</v>
          </cell>
          <cell r="B1450"/>
          <cell r="C1450" t="str">
            <v>RPRO-260413-0275</v>
          </cell>
          <cell r="D1450" t="str">
            <v>Pro.sche.report 10.4+11.04+12.04</v>
          </cell>
          <cell r="E1450" t="str">
            <v>BDB-000055</v>
          </cell>
          <cell r="F1450" t="str">
            <v>PVN-003326</v>
          </cell>
          <cell r="G1450" t="str">
            <v>OrthoLite X-40 TRUE BLUE/19-4057TPX Flat Sheet 0.16D 35+/-4 Asker C 1.1M 1.7M 14mm</v>
          </cell>
          <cell r="H1450">
            <v>36</v>
          </cell>
          <cell r="I1450">
            <v>36</v>
          </cell>
          <cell r="J1450">
            <v>0</v>
          </cell>
          <cell r="K1450">
            <v>36</v>
          </cell>
          <cell r="L1450" t="str">
            <v>ADIDAS</v>
          </cell>
          <cell r="M1450" t="str">
            <v>Pr.Sch.R</v>
          </cell>
          <cell r="N1450" t="str">
            <v>MOLDED</v>
          </cell>
          <cell r="O1450">
            <v>1</v>
          </cell>
          <cell r="P1450">
            <v>46125</v>
          </cell>
          <cell r="Q1450">
            <v>46134</v>
          </cell>
          <cell r="R1450">
            <v>46131</v>
          </cell>
          <cell r="S1450">
            <v>9</v>
          </cell>
          <cell r="T1450">
            <v>14</v>
          </cell>
          <cell r="U1450">
            <v>9</v>
          </cell>
          <cell r="V1450">
            <v>4</v>
          </cell>
          <cell r="W1450" t="str">
            <v>0.16D</v>
          </cell>
          <cell r="X1450" t="str">
            <v>4-2026</v>
          </cell>
          <cell r="Y1450" t="str">
            <v>Week 16</v>
          </cell>
          <cell r="Z1450">
            <v>46125</v>
          </cell>
          <cell r="AA1450">
            <v>50</v>
          </cell>
          <cell r="AB1450">
            <v>0.11111</v>
          </cell>
        </row>
        <row r="1451">
          <cell r="A1451" t="str">
            <v>F-2026-04-158</v>
          </cell>
          <cell r="B1451"/>
          <cell r="C1451" t="str">
            <v>RPRO-260413-0276</v>
          </cell>
          <cell r="D1451" t="str">
            <v>Pro.sche.report 10.4+11.04+12.04</v>
          </cell>
          <cell r="E1451" t="str">
            <v>BDB-000229</v>
          </cell>
          <cell r="F1451" t="str">
            <v>PVN-003692</v>
          </cell>
          <cell r="G1451" t="str">
            <v>OrthoLite Ultra-Hybrid SEEDPEARL/12-0703TPX Hybrid Flat Sheet 0.095D 33+/-4 Asker C 1.1M 2M 15.5mm</v>
          </cell>
          <cell r="H1451">
            <v>40</v>
          </cell>
          <cell r="I1451">
            <v>40</v>
          </cell>
          <cell r="J1451">
            <v>0</v>
          </cell>
          <cell r="K1451">
            <v>40</v>
          </cell>
          <cell r="L1451" t="str">
            <v>GARMONT</v>
          </cell>
          <cell r="M1451" t="str">
            <v>Pr.Sch.R</v>
          </cell>
          <cell r="N1451" t="str">
            <v>MOLDED</v>
          </cell>
          <cell r="O1451">
            <v>1</v>
          </cell>
          <cell r="P1451">
            <v>46125</v>
          </cell>
          <cell r="Q1451">
            <v>46140</v>
          </cell>
          <cell r="R1451">
            <v>46137</v>
          </cell>
          <cell r="S1451">
            <v>15</v>
          </cell>
          <cell r="T1451">
            <v>15.5</v>
          </cell>
          <cell r="U1451">
            <v>8</v>
          </cell>
          <cell r="V1451">
            <v>5</v>
          </cell>
          <cell r="W1451" t="str">
            <v>0.095D</v>
          </cell>
          <cell r="X1451" t="str">
            <v>4-2026</v>
          </cell>
          <cell r="Y1451" t="str">
            <v>Week 17</v>
          </cell>
          <cell r="Z1451">
            <v>46132</v>
          </cell>
          <cell r="AA1451">
            <v>32</v>
          </cell>
          <cell r="AB1451">
            <v>0.125</v>
          </cell>
        </row>
        <row r="1452">
          <cell r="A1452" t="str">
            <v>F-2026-04-159</v>
          </cell>
          <cell r="B1452"/>
          <cell r="C1452" t="str">
            <v>RPRO-260413-0277</v>
          </cell>
          <cell r="D1452" t="str">
            <v>Pro.sche.report 10.4+11.04+12.04</v>
          </cell>
          <cell r="E1452" t="str">
            <v>BDB-000107</v>
          </cell>
          <cell r="F1452" t="str">
            <v>PVN-003482</v>
          </cell>
          <cell r="G1452" t="str">
            <v>OrthoLite Eco LT-Hybrid SEEDPEARL/12-0703TPX Hybrid Flat Sheet 0.11D 25+/-4 Asker C 1.1M 1.47M 4mm</v>
          </cell>
          <cell r="H1452">
            <v>595</v>
          </cell>
          <cell r="I1452">
            <v>595</v>
          </cell>
          <cell r="J1452">
            <v>0</v>
          </cell>
          <cell r="K1452">
            <v>595</v>
          </cell>
          <cell r="L1452" t="str">
            <v>NEW BALANCE</v>
          </cell>
          <cell r="M1452" t="str">
            <v>Pr.Sch.R</v>
          </cell>
          <cell r="N1452" t="str">
            <v>DIE CUT</v>
          </cell>
          <cell r="O1452">
            <v>1</v>
          </cell>
          <cell r="P1452">
            <v>46125</v>
          </cell>
          <cell r="Q1452">
            <v>46134</v>
          </cell>
          <cell r="R1452">
            <v>46131</v>
          </cell>
          <cell r="S1452">
            <v>9</v>
          </cell>
          <cell r="T1452">
            <v>4</v>
          </cell>
          <cell r="U1452">
            <v>35</v>
          </cell>
          <cell r="V1452">
            <v>17</v>
          </cell>
          <cell r="W1452" t="str">
            <v>0.11D</v>
          </cell>
          <cell r="X1452" t="str">
            <v>4-2026</v>
          </cell>
          <cell r="Y1452" t="str">
            <v>Week 16</v>
          </cell>
          <cell r="Z1452">
            <v>46125</v>
          </cell>
          <cell r="AA1452">
            <v>4</v>
          </cell>
          <cell r="AB1452">
            <v>2.8570000000000002E-2</v>
          </cell>
        </row>
        <row r="1453">
          <cell r="A1453" t="str">
            <v>F-2026-04-160</v>
          </cell>
          <cell r="B1453"/>
          <cell r="C1453" t="str">
            <v>RPRO-260413-0278</v>
          </cell>
          <cell r="D1453" t="str">
            <v>Pro.sche.report 10.4+11.04+12.04</v>
          </cell>
          <cell r="E1453" t="str">
            <v>BDB-000373</v>
          </cell>
          <cell r="F1453" t="str">
            <v>PVN-004315</v>
          </cell>
          <cell r="G1453" t="str">
            <v>OrthoLite X-25-Nike BILLIARD/16-5427TPX Flat Sheet 0.12D 20+/-4 Asker C 1.1M 2M 5mm</v>
          </cell>
          <cell r="H1453">
            <v>112</v>
          </cell>
          <cell r="I1453">
            <v>112</v>
          </cell>
          <cell r="J1453">
            <v>0</v>
          </cell>
          <cell r="K1453">
            <v>112</v>
          </cell>
          <cell r="L1453" t="str">
            <v>NIKE</v>
          </cell>
          <cell r="M1453" t="str">
            <v>Pr.Sch.R</v>
          </cell>
          <cell r="N1453" t="str">
            <v>DIE CUT</v>
          </cell>
          <cell r="O1453">
            <v>1</v>
          </cell>
          <cell r="P1453">
            <v>46125</v>
          </cell>
          <cell r="Q1453">
            <v>46140</v>
          </cell>
          <cell r="R1453">
            <v>46137</v>
          </cell>
          <cell r="S1453">
            <v>15</v>
          </cell>
          <cell r="T1453">
            <v>5</v>
          </cell>
          <cell r="U1453">
            <v>28</v>
          </cell>
          <cell r="V1453">
            <v>4</v>
          </cell>
          <cell r="W1453" t="e">
            <v>#N/A</v>
          </cell>
          <cell r="X1453" t="str">
            <v>4-2026</v>
          </cell>
          <cell r="Y1453" t="str">
            <v>Week 17</v>
          </cell>
          <cell r="Z1453">
            <v>46132</v>
          </cell>
          <cell r="AA1453">
            <v>4</v>
          </cell>
          <cell r="AB1453">
            <v>3.5709999999999999E-2</v>
          </cell>
        </row>
        <row r="1454">
          <cell r="A1454" t="str">
            <v>F-2026-04-161</v>
          </cell>
          <cell r="B1454"/>
          <cell r="C1454" t="str">
            <v>RPRO-260413-0279</v>
          </cell>
          <cell r="D1454" t="str">
            <v>Pro.sche.report 10.4+11.04+12.04</v>
          </cell>
          <cell r="E1454" t="str">
            <v>BDB-000154</v>
          </cell>
          <cell r="F1454" t="str">
            <v>PVN-003347</v>
          </cell>
          <cell r="G1454" t="str">
            <v>OrthoLite X-40-Nike TRUE BLUE/19-4057TPX Flat Sheet 0.16D 35+/-4 Asker C 1.1M 1.7M 4mm</v>
          </cell>
          <cell r="H1454">
            <v>665</v>
          </cell>
          <cell r="I1454">
            <v>665</v>
          </cell>
          <cell r="J1454">
            <v>0</v>
          </cell>
          <cell r="K1454">
            <v>665</v>
          </cell>
          <cell r="L1454" t="str">
            <v>NIKE</v>
          </cell>
          <cell r="M1454" t="str">
            <v>Pr.Sch.R</v>
          </cell>
          <cell r="N1454" t="str">
            <v>LAMINATING</v>
          </cell>
          <cell r="O1454">
            <v>1</v>
          </cell>
          <cell r="P1454">
            <v>46125</v>
          </cell>
          <cell r="Q1454">
            <v>46134</v>
          </cell>
          <cell r="R1454">
            <v>46131</v>
          </cell>
          <cell r="S1454">
            <v>9</v>
          </cell>
          <cell r="T1454">
            <v>4</v>
          </cell>
          <cell r="U1454">
            <v>35</v>
          </cell>
          <cell r="V1454">
            <v>19</v>
          </cell>
          <cell r="W1454" t="str">
            <v>0.16D</v>
          </cell>
          <cell r="X1454" t="str">
            <v>4-2026</v>
          </cell>
          <cell r="Y1454" t="str">
            <v>Week 16</v>
          </cell>
          <cell r="Z1454">
            <v>46125</v>
          </cell>
          <cell r="AA1454">
            <v>11</v>
          </cell>
          <cell r="AB1454">
            <v>2.8570000000000002E-2</v>
          </cell>
        </row>
        <row r="1455">
          <cell r="A1455" t="str">
            <v>F-2026-04-162</v>
          </cell>
          <cell r="B1455"/>
          <cell r="C1455" t="str">
            <v>RPRO-260413-0280</v>
          </cell>
          <cell r="D1455" t="str">
            <v>Pro.sche.report 10.4+11.04+12.04</v>
          </cell>
          <cell r="E1455" t="str">
            <v>BDB-000097</v>
          </cell>
          <cell r="F1455" t="str">
            <v>PVN-003671</v>
          </cell>
          <cell r="G1455" t="str">
            <v>OrthoLite Eco LT-Hybrid SEEDPEARL/12-0703TPX Hybrid Flat Sheet 0.11D 25+/-4 Asker C 1.1M 2M 13mm</v>
          </cell>
          <cell r="H1455">
            <v>50</v>
          </cell>
          <cell r="I1455">
            <v>50</v>
          </cell>
          <cell r="J1455">
            <v>0</v>
          </cell>
          <cell r="K1455">
            <v>50</v>
          </cell>
          <cell r="L1455" t="str">
            <v>NEW BALANCE</v>
          </cell>
          <cell r="M1455" t="str">
            <v>Pr.Sch.R</v>
          </cell>
          <cell r="N1455" t="str">
            <v>MOLDED</v>
          </cell>
          <cell r="O1455">
            <v>1</v>
          </cell>
          <cell r="P1455">
            <v>46125</v>
          </cell>
          <cell r="Q1455">
            <v>46136</v>
          </cell>
          <cell r="R1455">
            <v>46133</v>
          </cell>
          <cell r="S1455">
            <v>11</v>
          </cell>
          <cell r="T1455">
            <v>13</v>
          </cell>
          <cell r="U1455">
            <v>10</v>
          </cell>
          <cell r="V1455">
            <v>5</v>
          </cell>
          <cell r="W1455" t="str">
            <v>0.11D</v>
          </cell>
          <cell r="X1455" t="str">
            <v>4-2026</v>
          </cell>
          <cell r="Y1455" t="str">
            <v>Week 16</v>
          </cell>
          <cell r="Z1455">
            <v>46125</v>
          </cell>
          <cell r="AA1455">
            <v>238</v>
          </cell>
          <cell r="AB1455">
            <v>0.1</v>
          </cell>
        </row>
        <row r="1456">
          <cell r="A1456" t="str">
            <v>F-2026-04-163</v>
          </cell>
          <cell r="B1456"/>
          <cell r="C1456" t="str">
            <v>RPRO-260413-0281</v>
          </cell>
          <cell r="D1456" t="str">
            <v>Pro.sche.report 10.4+11.04+12.04</v>
          </cell>
          <cell r="E1456" t="str">
            <v>BDB-000341</v>
          </cell>
          <cell r="F1456" t="str">
            <v>PVN-004181</v>
          </cell>
          <cell r="G1456" t="str">
            <v>Ortholite X-25 GREY/17-1501TPX Flat Sheet 0.12D 20+/-4 Asker C 1.1M 2M 4mm</v>
          </cell>
          <cell r="H1456">
            <v>105</v>
          </cell>
          <cell r="I1456">
            <v>105</v>
          </cell>
          <cell r="J1456">
            <v>0</v>
          </cell>
          <cell r="K1456">
            <v>105</v>
          </cell>
          <cell r="L1456" t="str">
            <v>SOLEWORKS</v>
          </cell>
          <cell r="M1456" t="str">
            <v>Pr.Sch.R</v>
          </cell>
          <cell r="N1456" t="str">
            <v>DIE CUT</v>
          </cell>
          <cell r="O1456">
            <v>1</v>
          </cell>
          <cell r="P1456">
            <v>46125</v>
          </cell>
          <cell r="Q1456">
            <v>46140</v>
          </cell>
          <cell r="R1456">
            <v>46137</v>
          </cell>
          <cell r="S1456">
            <v>15</v>
          </cell>
          <cell r="T1456">
            <v>4</v>
          </cell>
          <cell r="U1456">
            <v>35</v>
          </cell>
          <cell r="V1456">
            <v>3</v>
          </cell>
          <cell r="W1456" t="e">
            <v>#N/A</v>
          </cell>
          <cell r="X1456" t="str">
            <v>4-2026</v>
          </cell>
          <cell r="Y1456" t="str">
            <v>Week 17</v>
          </cell>
          <cell r="Z1456">
            <v>46132</v>
          </cell>
          <cell r="AA1456">
            <v>238</v>
          </cell>
          <cell r="AB1456">
            <v>2.8570000000000002E-2</v>
          </cell>
        </row>
        <row r="1457">
          <cell r="A1457" t="str">
            <v>F-2026-04-164</v>
          </cell>
          <cell r="B1457"/>
          <cell r="C1457" t="str">
            <v>RPRO-260413-0282</v>
          </cell>
          <cell r="D1457" t="str">
            <v>Pro.sche.report 10.4+11.04+12.04</v>
          </cell>
          <cell r="E1457" t="str">
            <v>BDB-000343</v>
          </cell>
          <cell r="F1457" t="str">
            <v>PVN-004185</v>
          </cell>
          <cell r="G1457" t="str">
            <v>Ortholite X-25 AIR BLUE/16-4134TPX Flat Sheet 0.12D 20+/-4 Asker C 1.1M 2M 4mm</v>
          </cell>
          <cell r="H1457">
            <v>35</v>
          </cell>
          <cell r="I1457">
            <v>35</v>
          </cell>
          <cell r="J1457">
            <v>0</v>
          </cell>
          <cell r="K1457">
            <v>35</v>
          </cell>
          <cell r="L1457" t="str">
            <v>SOLEWORKS</v>
          </cell>
          <cell r="M1457" t="str">
            <v>Pr.Sch.R</v>
          </cell>
          <cell r="N1457" t="str">
            <v>DIE CUT</v>
          </cell>
          <cell r="O1457">
            <v>1</v>
          </cell>
          <cell r="P1457">
            <v>46125</v>
          </cell>
          <cell r="Q1457">
            <v>46140</v>
          </cell>
          <cell r="R1457">
            <v>46137</v>
          </cell>
          <cell r="S1457">
            <v>15</v>
          </cell>
          <cell r="T1457">
            <v>4</v>
          </cell>
          <cell r="U1457">
            <v>35</v>
          </cell>
          <cell r="V1457">
            <v>1</v>
          </cell>
          <cell r="W1457" t="e">
            <v>#N/A</v>
          </cell>
          <cell r="X1457" t="str">
            <v>4-2026</v>
          </cell>
          <cell r="Y1457" t="str">
            <v>Week 17</v>
          </cell>
          <cell r="Z1457">
            <v>46132</v>
          </cell>
          <cell r="AA1457">
            <v>26</v>
          </cell>
          <cell r="AB1457">
            <v>2.8570000000000002E-2</v>
          </cell>
        </row>
        <row r="1458">
          <cell r="A1458" t="str">
            <v>F-2026-04-165</v>
          </cell>
          <cell r="B1458"/>
          <cell r="C1458" t="str">
            <v>RPRO-260413-0283</v>
          </cell>
          <cell r="D1458" t="str">
            <v>Pro.sche.report 10.4+11.04+12.04</v>
          </cell>
          <cell r="E1458" t="str">
            <v>BDB-000077</v>
          </cell>
          <cell r="F1458" t="str">
            <v>PVN-003478</v>
          </cell>
          <cell r="G1458" t="str">
            <v>Ortholite X-25 SEEDPEARL/12-0703TPX Flat Sheet 0.12D 20+/-4 Asker C 1.1M 2M 4mm</v>
          </cell>
          <cell r="H1458">
            <v>175</v>
          </cell>
          <cell r="I1458">
            <v>175</v>
          </cell>
          <cell r="J1458">
            <v>0</v>
          </cell>
          <cell r="K1458">
            <v>175</v>
          </cell>
          <cell r="L1458" t="str">
            <v>SOLEWORKS</v>
          </cell>
          <cell r="M1458" t="str">
            <v>Pr.Sch.R</v>
          </cell>
          <cell r="N1458" t="str">
            <v>DIE CUT</v>
          </cell>
          <cell r="O1458">
            <v>1</v>
          </cell>
          <cell r="P1458">
            <v>46125</v>
          </cell>
          <cell r="Q1458">
            <v>46134</v>
          </cell>
          <cell r="R1458">
            <v>46131</v>
          </cell>
          <cell r="S1458">
            <v>9</v>
          </cell>
          <cell r="T1458">
            <v>4</v>
          </cell>
          <cell r="U1458">
            <v>35</v>
          </cell>
          <cell r="V1458">
            <v>5</v>
          </cell>
          <cell r="W1458" t="str">
            <v>0.12D</v>
          </cell>
          <cell r="X1458" t="str">
            <v>4-2026</v>
          </cell>
          <cell r="Y1458" t="str">
            <v>Week 16</v>
          </cell>
          <cell r="Z1458">
            <v>46125</v>
          </cell>
          <cell r="AA1458">
            <v>26</v>
          </cell>
          <cell r="AB1458">
            <v>2.8570000000000002E-2</v>
          </cell>
        </row>
        <row r="1459">
          <cell r="A1459" t="str">
            <v>SOIN-2026.04.13-01</v>
          </cell>
          <cell r="B1459"/>
          <cell r="C1459" t="str">
            <v>RPRO-260415-0095</v>
          </cell>
          <cell r="D1459" t="str">
            <v>SOIN</v>
          </cell>
          <cell r="E1459" t="str">
            <v>BDB-000300</v>
          </cell>
          <cell r="F1459" t="str">
            <v>PVN-004267</v>
          </cell>
          <cell r="G1459" t="str">
            <v>[116-12954] Ultra Nike 25+/-4 Asker C 0.085D Seedpearl 12-0703 Tpx 1.10M X 1.70M 47mm</v>
          </cell>
          <cell r="H1459">
            <v>1</v>
          </cell>
          <cell r="I1459">
            <v>1</v>
          </cell>
          <cell r="J1459">
            <v>0</v>
          </cell>
          <cell r="K1459">
            <v>1</v>
          </cell>
          <cell r="L1459" t="str">
            <v>NIKE</v>
          </cell>
          <cell r="M1459" t="str">
            <v>PO-6686-SO-260415-0057_supplement</v>
          </cell>
          <cell r="N1459" t="str">
            <v>FLAT SHEET</v>
          </cell>
          <cell r="O1459">
            <v>2</v>
          </cell>
          <cell r="P1459">
            <v>46125</v>
          </cell>
          <cell r="Q1459">
            <v>46129</v>
          </cell>
          <cell r="R1459">
            <v>46126</v>
          </cell>
          <cell r="S1459">
            <v>4</v>
          </cell>
          <cell r="T1459">
            <v>47</v>
          </cell>
          <cell r="U1459">
            <v>3</v>
          </cell>
          <cell r="V1459">
            <v>1</v>
          </cell>
          <cell r="W1459" t="str">
            <v>0.085D</v>
          </cell>
          <cell r="X1459" t="str">
            <v>4-2026</v>
          </cell>
          <cell r="Y1459" t="str">
            <v>Week 16</v>
          </cell>
          <cell r="Z1459">
            <v>46125</v>
          </cell>
          <cell r="AA1459">
            <v>24</v>
          </cell>
          <cell r="AB1459">
            <v>0.33333000000000002</v>
          </cell>
        </row>
        <row r="1460">
          <cell r="A1460" t="str">
            <v>F-2026-04-166</v>
          </cell>
          <cell r="B1460"/>
          <cell r="C1460" t="str">
            <v>RPRO-260414-0213</v>
          </cell>
          <cell r="D1460" t="str">
            <v>MPS 13.04</v>
          </cell>
          <cell r="E1460" t="str">
            <v>BDB-000180</v>
          </cell>
          <cell r="F1460" t="str">
            <v>PVN-003236</v>
          </cell>
          <cell r="G1460" t="str">
            <v>OrthoLite Eco LT-Hybrid-Converse SEEDPEARL/12-0703TPX Hybrid 0.13D 25+/-4 Asker C 1.1M 2M 5mm</v>
          </cell>
          <cell r="H1460">
            <v>1826</v>
          </cell>
          <cell r="I1460">
            <v>1826</v>
          </cell>
          <cell r="J1460">
            <v>0</v>
          </cell>
          <cell r="K1460">
            <v>1826</v>
          </cell>
          <cell r="L1460"/>
          <cell r="M1460" t="str">
            <v>MPS</v>
          </cell>
          <cell r="N1460" t="str">
            <v>SPLITTING</v>
          </cell>
          <cell r="O1460">
            <v>2</v>
          </cell>
          <cell r="P1460">
            <v>46126</v>
          </cell>
          <cell r="Q1460">
            <v>46136</v>
          </cell>
          <cell r="R1460">
            <v>46133</v>
          </cell>
          <cell r="S1460">
            <v>10</v>
          </cell>
          <cell r="T1460">
            <v>5</v>
          </cell>
          <cell r="U1460">
            <v>28</v>
          </cell>
          <cell r="V1460">
            <v>66</v>
          </cell>
          <cell r="W1460" t="str">
            <v>0.13D</v>
          </cell>
          <cell r="X1460" t="str">
            <v>4-2026</v>
          </cell>
          <cell r="Y1460" t="str">
            <v>Week 16</v>
          </cell>
          <cell r="Z1460">
            <v>46125</v>
          </cell>
          <cell r="AA1460">
            <v>24</v>
          </cell>
          <cell r="AB1460">
            <v>3.5709999999999999E-2</v>
          </cell>
        </row>
        <row r="1461">
          <cell r="A1461" t="str">
            <v>F-2026-04-167</v>
          </cell>
          <cell r="B1461"/>
          <cell r="C1461" t="str">
            <v>RPRO-260414-0214</v>
          </cell>
          <cell r="D1461" t="str">
            <v>MPS 13.04</v>
          </cell>
          <cell r="E1461" t="str">
            <v>BDB-000200</v>
          </cell>
          <cell r="F1461" t="str">
            <v>PVN-003425</v>
          </cell>
          <cell r="G1461" t="str">
            <v>OrthoLite Ultra SEEDPEARL/12-0703TPX Flat Sheet 0.085D 78-90 Asker F 1.1M 2M 4mm</v>
          </cell>
          <cell r="H1461">
            <v>70</v>
          </cell>
          <cell r="I1461">
            <v>70</v>
          </cell>
          <cell r="J1461">
            <v>0</v>
          </cell>
          <cell r="K1461">
            <v>70</v>
          </cell>
          <cell r="L1461"/>
          <cell r="M1461" t="str">
            <v>MPS</v>
          </cell>
          <cell r="N1461" t="str">
            <v>SPLITTING</v>
          </cell>
          <cell r="O1461">
            <v>2</v>
          </cell>
          <cell r="P1461">
            <v>46126</v>
          </cell>
          <cell r="Q1461">
            <v>46134</v>
          </cell>
          <cell r="R1461">
            <v>46131</v>
          </cell>
          <cell r="S1461">
            <v>8</v>
          </cell>
          <cell r="T1461">
            <v>4</v>
          </cell>
          <cell r="U1461">
            <v>35</v>
          </cell>
          <cell r="V1461">
            <v>2</v>
          </cell>
          <cell r="W1461" t="str">
            <v>0.085D</v>
          </cell>
          <cell r="X1461" t="str">
            <v>4-2026</v>
          </cell>
          <cell r="Y1461" t="str">
            <v>Week 16</v>
          </cell>
          <cell r="Z1461">
            <v>46125</v>
          </cell>
          <cell r="AA1461">
            <v>24</v>
          </cell>
          <cell r="AB1461">
            <v>2.8570000000000002E-2</v>
          </cell>
        </row>
        <row r="1462">
          <cell r="A1462" t="str">
            <v>F-2026-04-168</v>
          </cell>
          <cell r="B1462"/>
          <cell r="C1462" t="str">
            <v>RPRO-260414-0215</v>
          </cell>
          <cell r="D1462" t="str">
            <v>MPS 13.04</v>
          </cell>
          <cell r="E1462" t="str">
            <v>BDB-000348</v>
          </cell>
          <cell r="F1462" t="str">
            <v>PVN-004210</v>
          </cell>
          <cell r="G1462" t="str">
            <v>OrthoLite IMPERIAL SEEDPEARL/12-0703TPX Flat Sheet 0.22D 25+/-4 Asker C 1.1M 1.47M 5mm</v>
          </cell>
          <cell r="H1462">
            <v>112</v>
          </cell>
          <cell r="I1462">
            <v>112</v>
          </cell>
          <cell r="J1462">
            <v>0</v>
          </cell>
          <cell r="K1462">
            <v>112</v>
          </cell>
          <cell r="L1462"/>
          <cell r="M1462" t="str">
            <v>MPS</v>
          </cell>
          <cell r="N1462" t="str">
            <v>SPLITTING</v>
          </cell>
          <cell r="O1462">
            <v>2</v>
          </cell>
          <cell r="P1462">
            <v>46126</v>
          </cell>
          <cell r="Q1462">
            <v>46141</v>
          </cell>
          <cell r="R1462">
            <v>46138</v>
          </cell>
          <cell r="S1462">
            <v>15</v>
          </cell>
          <cell r="T1462">
            <v>5</v>
          </cell>
          <cell r="U1462">
            <v>28</v>
          </cell>
          <cell r="V1462">
            <v>4</v>
          </cell>
          <cell r="W1462" t="e">
            <v>#N/A</v>
          </cell>
          <cell r="X1462" t="str">
            <v>4-2026</v>
          </cell>
          <cell r="Y1462" t="str">
            <v>Week 17</v>
          </cell>
          <cell r="Z1462">
            <v>46132</v>
          </cell>
          <cell r="AA1462">
            <v>24</v>
          </cell>
          <cell r="AB1462">
            <v>3.5709999999999999E-2</v>
          </cell>
        </row>
        <row r="1463">
          <cell r="A1463" t="str">
            <v>F-2026-04-169</v>
          </cell>
          <cell r="B1463"/>
          <cell r="C1463" t="str">
            <v>RPRO-260414-0216</v>
          </cell>
          <cell r="D1463" t="str">
            <v>Pro.sche.report 13.04</v>
          </cell>
          <cell r="E1463" t="str">
            <v>BDB-000123</v>
          </cell>
          <cell r="F1463" t="str">
            <v>PVN-002884</v>
          </cell>
          <cell r="G1463" t="str">
            <v>OrthoLite Ultra-Hybrid SEEDPEARL/12-0703TPX Hybrid Flat Sheet 0.085D 25+/-4 Asker C 1.1M 2M 10mm</v>
          </cell>
          <cell r="H1463">
            <v>91</v>
          </cell>
          <cell r="I1463">
            <v>91</v>
          </cell>
          <cell r="J1463">
            <v>0</v>
          </cell>
          <cell r="K1463">
            <v>91</v>
          </cell>
          <cell r="L1463" t="str">
            <v>ADIDAS</v>
          </cell>
          <cell r="M1463" t="str">
            <v>Pr.Sch.R</v>
          </cell>
          <cell r="N1463" t="str">
            <v>MOLDED</v>
          </cell>
          <cell r="O1463">
            <v>1</v>
          </cell>
          <cell r="P1463">
            <v>46126</v>
          </cell>
          <cell r="Q1463">
            <v>46135</v>
          </cell>
          <cell r="R1463">
            <v>46132</v>
          </cell>
          <cell r="S1463">
            <v>9</v>
          </cell>
          <cell r="T1463">
            <v>10</v>
          </cell>
          <cell r="U1463">
            <v>13</v>
          </cell>
          <cell r="V1463">
            <v>7</v>
          </cell>
          <cell r="W1463" t="str">
            <v>0.085D</v>
          </cell>
          <cell r="X1463" t="str">
            <v>4-2026</v>
          </cell>
          <cell r="Y1463" t="str">
            <v>Week 16</v>
          </cell>
          <cell r="Z1463">
            <v>46125</v>
          </cell>
          <cell r="AA1463">
            <v>139</v>
          </cell>
          <cell r="AB1463">
            <v>7.6920000000000002E-2</v>
          </cell>
        </row>
        <row r="1464">
          <cell r="A1464" t="str">
            <v>F-2026-04-170</v>
          </cell>
          <cell r="B1464"/>
          <cell r="C1464" t="str">
            <v>RPRO-260414-0217</v>
          </cell>
          <cell r="D1464" t="str">
            <v>Pro.sche.report 13.04</v>
          </cell>
          <cell r="E1464" t="str">
            <v>BDB-000149</v>
          </cell>
          <cell r="F1464" t="str">
            <v>PVN-002827</v>
          </cell>
          <cell r="G1464" t="str">
            <v>OrthoLite Regular-Hybrid-Nike SEEDPEARL/12-0703TPX Hybrid Flat Sheet 0.11D 25+/-4 Asker C 1.1M 2M 5mm</v>
          </cell>
          <cell r="H1464">
            <v>56</v>
          </cell>
          <cell r="I1464">
            <v>56</v>
          </cell>
          <cell r="J1464">
            <v>0</v>
          </cell>
          <cell r="K1464">
            <v>56</v>
          </cell>
          <cell r="L1464" t="str">
            <v>NIKE</v>
          </cell>
          <cell r="M1464" t="str">
            <v>Pr.Sch.R</v>
          </cell>
          <cell r="N1464" t="str">
            <v>MOLDED</v>
          </cell>
          <cell r="O1464">
            <v>1</v>
          </cell>
          <cell r="P1464">
            <v>46126</v>
          </cell>
          <cell r="Q1464">
            <v>46134</v>
          </cell>
          <cell r="R1464">
            <v>46131</v>
          </cell>
          <cell r="S1464">
            <v>8</v>
          </cell>
          <cell r="T1464">
            <v>5</v>
          </cell>
          <cell r="U1464">
            <v>28</v>
          </cell>
          <cell r="V1464">
            <v>2</v>
          </cell>
          <cell r="W1464" t="str">
            <v>0.11D</v>
          </cell>
          <cell r="X1464" t="str">
            <v>4-2026</v>
          </cell>
          <cell r="Y1464" t="str">
            <v>Week 16</v>
          </cell>
          <cell r="Z1464">
            <v>46125</v>
          </cell>
          <cell r="AA1464">
            <v>84</v>
          </cell>
          <cell r="AB1464">
            <v>3.5709999999999999E-2</v>
          </cell>
        </row>
        <row r="1465">
          <cell r="A1465" t="str">
            <v>F-2026-04-171</v>
          </cell>
          <cell r="B1465"/>
          <cell r="C1465" t="str">
            <v>RPRO-260414-0218</v>
          </cell>
          <cell r="D1465" t="str">
            <v>Pro.sche.report 13.04</v>
          </cell>
          <cell r="E1465" t="str">
            <v>BDB-000055</v>
          </cell>
          <cell r="F1465" t="str">
            <v>PVN-003326</v>
          </cell>
          <cell r="G1465" t="str">
            <v>OrthoLite X-40 TRUE BLUE/19-4057TPX Flat Sheet 0.16D 35+/-4 Asker C 1.1M 1.7M 14mm</v>
          </cell>
          <cell r="H1465">
            <v>27</v>
          </cell>
          <cell r="I1465">
            <v>27</v>
          </cell>
          <cell r="J1465">
            <v>0</v>
          </cell>
          <cell r="K1465">
            <v>27</v>
          </cell>
          <cell r="L1465" t="str">
            <v>ADIDAS</v>
          </cell>
          <cell r="M1465" t="str">
            <v>Pr.Sch.R</v>
          </cell>
          <cell r="N1465" t="str">
            <v>MOLDED</v>
          </cell>
          <cell r="O1465">
            <v>1</v>
          </cell>
          <cell r="P1465">
            <v>46126</v>
          </cell>
          <cell r="Q1465">
            <v>46134</v>
          </cell>
          <cell r="R1465">
            <v>46131</v>
          </cell>
          <cell r="S1465">
            <v>8</v>
          </cell>
          <cell r="T1465">
            <v>14</v>
          </cell>
          <cell r="U1465">
            <v>9</v>
          </cell>
          <cell r="V1465">
            <v>3</v>
          </cell>
          <cell r="W1465" t="str">
            <v>0.16D</v>
          </cell>
          <cell r="X1465" t="str">
            <v>4-2026</v>
          </cell>
          <cell r="Y1465" t="str">
            <v>Week 16</v>
          </cell>
          <cell r="Z1465">
            <v>46125</v>
          </cell>
          <cell r="AA1465">
            <v>84</v>
          </cell>
          <cell r="AB1465">
            <v>0.11111</v>
          </cell>
        </row>
        <row r="1466">
          <cell r="A1466" t="str">
            <v>F-2026-04-172</v>
          </cell>
          <cell r="B1466"/>
          <cell r="C1466" t="str">
            <v>RPRO-260414-0219</v>
          </cell>
          <cell r="D1466" t="str">
            <v>Pro.sche.report 13.04</v>
          </cell>
          <cell r="E1466" t="str">
            <v>BDB-000336</v>
          </cell>
          <cell r="F1466" t="str">
            <v>PVN-004168</v>
          </cell>
          <cell r="G1466" t="str">
            <v>OrthoLite X-40-Nike SEEDPEARL/12-0703TPX Flat Sheet 0.16D 35+/-4 Asker C 1.1M 2M 4.5mm</v>
          </cell>
          <cell r="H1466">
            <v>372</v>
          </cell>
          <cell r="I1466">
            <v>372</v>
          </cell>
          <cell r="J1466">
            <v>0</v>
          </cell>
          <cell r="K1466">
            <v>372</v>
          </cell>
          <cell r="L1466" t="str">
            <v>NIKE</v>
          </cell>
          <cell r="M1466" t="str">
            <v>Pr.Sch.R</v>
          </cell>
          <cell r="N1466" t="str">
            <v>MOLDED</v>
          </cell>
          <cell r="O1466">
            <v>1</v>
          </cell>
          <cell r="P1466">
            <v>46126</v>
          </cell>
          <cell r="Q1466">
            <v>46141</v>
          </cell>
          <cell r="R1466">
            <v>46138</v>
          </cell>
          <cell r="S1466">
            <v>15</v>
          </cell>
          <cell r="T1466">
            <v>4.5</v>
          </cell>
          <cell r="U1466">
            <v>31</v>
          </cell>
          <cell r="V1466">
            <v>13</v>
          </cell>
          <cell r="W1466" t="e">
            <v>#N/A</v>
          </cell>
          <cell r="X1466" t="str">
            <v>4-2026</v>
          </cell>
          <cell r="Y1466" t="str">
            <v>Week 17</v>
          </cell>
          <cell r="Z1466">
            <v>46132</v>
          </cell>
          <cell r="AA1466">
            <v>84</v>
          </cell>
          <cell r="AB1466">
            <v>3.3329999999999999E-2</v>
          </cell>
        </row>
        <row r="1467">
          <cell r="A1467" t="str">
            <v>F-2026-04-173</v>
          </cell>
          <cell r="B1467"/>
          <cell r="C1467" t="str">
            <v>RPRO-260414-0220</v>
          </cell>
          <cell r="D1467" t="str">
            <v>Pro.sche.report 13.04</v>
          </cell>
          <cell r="E1467" t="str">
            <v>BDB-000004</v>
          </cell>
          <cell r="F1467" t="str">
            <v>PVN-000445</v>
          </cell>
          <cell r="G1467" t="str">
            <v>OrthoLite Regular GREY/17-1501TPX Flat Sheet 0.11D 25+/-4 Asker C 1.1M 2M 13mm</v>
          </cell>
          <cell r="H1467">
            <v>80</v>
          </cell>
          <cell r="I1467">
            <v>80</v>
          </cell>
          <cell r="J1467">
            <v>0</v>
          </cell>
          <cell r="K1467">
            <v>80</v>
          </cell>
          <cell r="L1467" t="str">
            <v>DANNER</v>
          </cell>
          <cell r="M1467" t="str">
            <v>Pr.Sch.R</v>
          </cell>
          <cell r="N1467" t="str">
            <v>MOLDED</v>
          </cell>
          <cell r="O1467">
            <v>1</v>
          </cell>
          <cell r="P1467">
            <v>46126</v>
          </cell>
          <cell r="Q1467">
            <v>46134</v>
          </cell>
          <cell r="R1467">
            <v>46131</v>
          </cell>
          <cell r="S1467">
            <v>8</v>
          </cell>
          <cell r="T1467">
            <v>13</v>
          </cell>
          <cell r="U1467">
            <v>10</v>
          </cell>
          <cell r="V1467">
            <v>8</v>
          </cell>
          <cell r="W1467" t="str">
            <v>0.11D</v>
          </cell>
          <cell r="X1467" t="str">
            <v>4-2026</v>
          </cell>
          <cell r="Y1467" t="str">
            <v>Week 16</v>
          </cell>
          <cell r="Z1467">
            <v>46125</v>
          </cell>
          <cell r="AA1467">
            <v>151</v>
          </cell>
          <cell r="AB1467">
            <v>0.1</v>
          </cell>
        </row>
        <row r="1468">
          <cell r="A1468" t="str">
            <v>F-2026-04-174</v>
          </cell>
          <cell r="B1468"/>
          <cell r="C1468" t="str">
            <v>RPRO-260415-0099</v>
          </cell>
          <cell r="D1468" t="str">
            <v>MPS 14.04</v>
          </cell>
          <cell r="E1468" t="str">
            <v>BDB-000123</v>
          </cell>
          <cell r="F1468" t="str">
            <v>PVN-003300</v>
          </cell>
          <cell r="G1468" t="str">
            <v>OrthoLite Ultra-Hybrid SEEDPEARL/12-0703TPX Hybrid Flat Sheet 0.085D 25+/-4 Asker C 1.1M 2M 2mm</v>
          </cell>
          <cell r="H1468">
            <v>1540</v>
          </cell>
          <cell r="I1468">
            <v>1540</v>
          </cell>
          <cell r="J1468">
            <v>0</v>
          </cell>
          <cell r="K1468">
            <v>1540</v>
          </cell>
          <cell r="L1468"/>
          <cell r="M1468" t="str">
            <v>MPS</v>
          </cell>
          <cell r="N1468" t="str">
            <v>SPLITTING</v>
          </cell>
          <cell r="O1468">
            <v>2</v>
          </cell>
          <cell r="P1468">
            <v>46127</v>
          </cell>
          <cell r="Q1468">
            <v>46137</v>
          </cell>
          <cell r="R1468">
            <v>46134</v>
          </cell>
          <cell r="S1468">
            <v>10</v>
          </cell>
          <cell r="T1468">
            <v>2</v>
          </cell>
          <cell r="U1468">
            <v>70</v>
          </cell>
          <cell r="V1468">
            <v>23</v>
          </cell>
          <cell r="W1468" t="str">
            <v>0.085D</v>
          </cell>
          <cell r="X1468" t="str">
            <v>4-2026</v>
          </cell>
          <cell r="Y1468" t="str">
            <v>Week 17</v>
          </cell>
          <cell r="Z1468">
            <v>46132</v>
          </cell>
          <cell r="AA1468">
            <v>151</v>
          </cell>
          <cell r="AB1468">
            <v>1.4290000000000001E-2</v>
          </cell>
        </row>
        <row r="1469">
          <cell r="A1469" t="str">
            <v>F-2026-04-175</v>
          </cell>
          <cell r="B1469"/>
          <cell r="C1469" t="str">
            <v>RPRO-260415-0100</v>
          </cell>
          <cell r="D1469" t="str">
            <v>MPS 14.04</v>
          </cell>
          <cell r="E1469" t="str">
            <v>BDB-000188</v>
          </cell>
          <cell r="F1469" t="str">
            <v>PVN-003479</v>
          </cell>
          <cell r="G1469" t="str">
            <v>OrthoLite Ultra-Hybrid SEEDPEARL/12-0703TPX Hybrid Flat Sheet 0.085D 25+/-4 Asker C 1.1M 1.47M 4mm</v>
          </cell>
          <cell r="H1469">
            <v>385</v>
          </cell>
          <cell r="I1469">
            <v>385</v>
          </cell>
          <cell r="J1469">
            <v>0</v>
          </cell>
          <cell r="K1469">
            <v>385</v>
          </cell>
          <cell r="L1469"/>
          <cell r="M1469" t="str">
            <v>MPS</v>
          </cell>
          <cell r="N1469" t="str">
            <v>SPLITTING</v>
          </cell>
          <cell r="O1469">
            <v>2</v>
          </cell>
          <cell r="P1469">
            <v>46127</v>
          </cell>
          <cell r="Q1469">
            <v>46137</v>
          </cell>
          <cell r="R1469">
            <v>46134</v>
          </cell>
          <cell r="S1469">
            <v>10</v>
          </cell>
          <cell r="T1469">
            <v>4</v>
          </cell>
          <cell r="U1469">
            <v>35</v>
          </cell>
          <cell r="V1469">
            <v>11</v>
          </cell>
          <cell r="W1469" t="str">
            <v>0.085D</v>
          </cell>
          <cell r="X1469" t="str">
            <v>4-2026</v>
          </cell>
          <cell r="Y1469" t="str">
            <v>Week 17</v>
          </cell>
          <cell r="Z1469">
            <v>46132</v>
          </cell>
          <cell r="AA1469">
            <v>0</v>
          </cell>
          <cell r="AB1469">
            <v>2.8570000000000002E-2</v>
          </cell>
        </row>
        <row r="1470">
          <cell r="A1470" t="str">
            <v>F-2026-04-176</v>
          </cell>
          <cell r="B1470"/>
          <cell r="C1470" t="str">
            <v>RPRO-260415-0101</v>
          </cell>
          <cell r="D1470" t="str">
            <v>MPS 14.04</v>
          </cell>
          <cell r="E1470" t="str">
            <v>BDB-000051</v>
          </cell>
          <cell r="F1470" t="str">
            <v>PVN-003543</v>
          </cell>
          <cell r="G1470" t="str">
            <v>OrthoLite X-40 TRUE BLUE/19-4057TPX Flat Sheet 0.16D 25+/-4 Asker C 1.1M 1.7M 4mm</v>
          </cell>
          <cell r="H1470">
            <v>35</v>
          </cell>
          <cell r="I1470">
            <v>35</v>
          </cell>
          <cell r="J1470">
            <v>0</v>
          </cell>
          <cell r="K1470">
            <v>35</v>
          </cell>
          <cell r="L1470"/>
          <cell r="M1470" t="str">
            <v>MPS</v>
          </cell>
          <cell r="N1470" t="str">
            <v>SPLITTING</v>
          </cell>
          <cell r="O1470">
            <v>2</v>
          </cell>
          <cell r="P1470">
            <v>46127</v>
          </cell>
          <cell r="Q1470">
            <v>46144</v>
          </cell>
          <cell r="R1470">
            <v>46141</v>
          </cell>
          <cell r="S1470">
            <v>17</v>
          </cell>
          <cell r="T1470">
            <v>4</v>
          </cell>
          <cell r="U1470">
            <v>35</v>
          </cell>
          <cell r="V1470">
            <v>1</v>
          </cell>
          <cell r="W1470" t="str">
            <v>0.16D</v>
          </cell>
          <cell r="X1470" t="str">
            <v>5-2026</v>
          </cell>
          <cell r="Y1470" t="str">
            <v>Week 17</v>
          </cell>
          <cell r="Z1470">
            <v>46132</v>
          </cell>
          <cell r="AA1470">
            <v>0</v>
          </cell>
          <cell r="AB1470">
            <v>2.8570000000000002E-2</v>
          </cell>
        </row>
        <row r="1471">
          <cell r="A1471" t="str">
            <v>F-2026-04-177</v>
          </cell>
          <cell r="B1471"/>
          <cell r="C1471" t="str">
            <v>RPRO-260415-0102</v>
          </cell>
          <cell r="D1471" t="str">
            <v>Pro.sche.report 14.04</v>
          </cell>
          <cell r="E1471" t="str">
            <v>BDB-000076</v>
          </cell>
          <cell r="F1471" t="str">
            <v>PVN-003448</v>
          </cell>
          <cell r="G1471" t="str">
            <v>OrthoLite X-25 BILLIARD/16-5427TPX Flat Sheet 0.12D 20+/-4 Asker C 1.1M 2M 6.2mm</v>
          </cell>
          <cell r="H1471">
            <v>220</v>
          </cell>
          <cell r="I1471">
            <v>220</v>
          </cell>
          <cell r="J1471">
            <v>0</v>
          </cell>
          <cell r="K1471">
            <v>220</v>
          </cell>
          <cell r="L1471" t="str">
            <v>ADIDAS</v>
          </cell>
          <cell r="M1471" t="str">
            <v>Pr.Sch.R</v>
          </cell>
          <cell r="N1471" t="str">
            <v>MOLDED</v>
          </cell>
          <cell r="O1471">
            <v>1</v>
          </cell>
          <cell r="P1471">
            <v>46127</v>
          </cell>
          <cell r="Q1471">
            <v>46144</v>
          </cell>
          <cell r="R1471">
            <v>46141</v>
          </cell>
          <cell r="S1471">
            <v>17</v>
          </cell>
          <cell r="T1471">
            <v>6.2</v>
          </cell>
          <cell r="U1471">
            <v>22</v>
          </cell>
          <cell r="V1471">
            <v>10</v>
          </cell>
          <cell r="W1471" t="str">
            <v>0.12D</v>
          </cell>
          <cell r="X1471" t="str">
            <v>5-2026</v>
          </cell>
          <cell r="Y1471" t="str">
            <v>Week 17</v>
          </cell>
          <cell r="Z1471">
            <v>46132</v>
          </cell>
          <cell r="AA1471">
            <v>116</v>
          </cell>
          <cell r="AB1471">
            <v>4.5449999999999997E-2</v>
          </cell>
        </row>
        <row r="1472">
          <cell r="A1472" t="str">
            <v>F-2026-04-178</v>
          </cell>
          <cell r="B1472"/>
          <cell r="C1472" t="str">
            <v>RPRO-260415-0103</v>
          </cell>
          <cell r="D1472" t="str">
            <v>Pro.sche.report 14.04</v>
          </cell>
          <cell r="E1472" t="str">
            <v>BDB-000346</v>
          </cell>
          <cell r="F1472" t="str">
            <v>PVN-004188</v>
          </cell>
          <cell r="G1472" t="str">
            <v>OrthoLite Float NEUTRAL GRAY/17-4402TPX Flat Sheet 0.12D 21+/-4 Asker C 1.1M 1.47M 5.5mm</v>
          </cell>
          <cell r="H1472">
            <v>575</v>
          </cell>
          <cell r="I1472">
            <v>575</v>
          </cell>
          <cell r="J1472">
            <v>0</v>
          </cell>
          <cell r="K1472">
            <v>575</v>
          </cell>
          <cell r="L1472" t="str">
            <v>PUMA</v>
          </cell>
          <cell r="M1472" t="str">
            <v>Pr.Sch.R</v>
          </cell>
          <cell r="N1472" t="str">
            <v>MOLDED</v>
          </cell>
          <cell r="O1472">
            <v>1</v>
          </cell>
          <cell r="P1472">
            <v>46127</v>
          </cell>
          <cell r="Q1472">
            <v>46144</v>
          </cell>
          <cell r="R1472">
            <v>46141</v>
          </cell>
          <cell r="S1472">
            <v>17</v>
          </cell>
          <cell r="T1472">
            <v>5.5</v>
          </cell>
          <cell r="U1472">
            <v>25</v>
          </cell>
          <cell r="V1472">
            <v>23</v>
          </cell>
          <cell r="W1472" t="e">
            <v>#N/A</v>
          </cell>
          <cell r="X1472" t="str">
            <v>5-2026</v>
          </cell>
          <cell r="Y1472" t="str">
            <v>Week 17</v>
          </cell>
          <cell r="Z1472">
            <v>46132</v>
          </cell>
          <cell r="AA1472">
            <v>284</v>
          </cell>
          <cell r="AB1472">
            <v>0.04</v>
          </cell>
        </row>
        <row r="1473">
          <cell r="A1473" t="str">
            <v>F-2026-04-179</v>
          </cell>
          <cell r="B1473"/>
          <cell r="C1473" t="str">
            <v>RPRO-260415-0104</v>
          </cell>
          <cell r="D1473" t="str">
            <v>Pro.sche.report 14.04</v>
          </cell>
          <cell r="E1473" t="str">
            <v>BDB-000052</v>
          </cell>
          <cell r="F1473" t="str">
            <v>PVN-003603</v>
          </cell>
          <cell r="G1473" t="str">
            <v>OrthoLite X-40 TRUE BLUE/19-4057TPX Flat Sheet 0.16D 25+/-4 Asker C 1.1M 1.47M 12mm</v>
          </cell>
          <cell r="H1473">
            <v>11</v>
          </cell>
          <cell r="I1473">
            <v>11</v>
          </cell>
          <cell r="J1473">
            <v>0</v>
          </cell>
          <cell r="K1473">
            <v>11</v>
          </cell>
          <cell r="L1473" t="str">
            <v>ASICS</v>
          </cell>
          <cell r="M1473" t="str">
            <v>Pr.Sch.R</v>
          </cell>
          <cell r="N1473" t="str">
            <v>MOLDED</v>
          </cell>
          <cell r="O1473">
            <v>1</v>
          </cell>
          <cell r="P1473">
            <v>46127</v>
          </cell>
          <cell r="Q1473">
            <v>46144</v>
          </cell>
          <cell r="R1473">
            <v>46141</v>
          </cell>
          <cell r="S1473">
            <v>17</v>
          </cell>
          <cell r="T1473">
            <v>12</v>
          </cell>
          <cell r="U1473">
            <v>11.5</v>
          </cell>
          <cell r="V1473">
            <v>1</v>
          </cell>
          <cell r="W1473" t="str">
            <v>0.16D</v>
          </cell>
          <cell r="X1473" t="str">
            <v>5-2026</v>
          </cell>
          <cell r="Y1473" t="str">
            <v>Week 17</v>
          </cell>
          <cell r="Z1473">
            <v>46132</v>
          </cell>
          <cell r="AA1473">
            <v>4</v>
          </cell>
          <cell r="AB1473">
            <v>8.6959999999999996E-2</v>
          </cell>
        </row>
        <row r="1474">
          <cell r="A1474" t="str">
            <v>F-2026-04-180</v>
          </cell>
          <cell r="B1474"/>
          <cell r="C1474" t="str">
            <v>RPRO-260415-0105</v>
          </cell>
          <cell r="D1474" t="str">
            <v>Pro.sche.report 14.04</v>
          </cell>
          <cell r="E1474" t="str">
            <v>BDB-000248</v>
          </cell>
          <cell r="F1474" t="str">
            <v>PVN-003931</v>
          </cell>
          <cell r="G1474" t="str">
            <v>OrthoLite X-40-Hybrid RED/19-1764TPX Hybrid Flat Sheet 0.16D 25+/-4 Asker C 1.1M 1.7M 6.5mm</v>
          </cell>
          <cell r="H1474">
            <v>21</v>
          </cell>
          <cell r="I1474">
            <v>21</v>
          </cell>
          <cell r="J1474">
            <v>0</v>
          </cell>
          <cell r="K1474">
            <v>21</v>
          </cell>
          <cell r="L1474" t="str">
            <v>REDWING</v>
          </cell>
          <cell r="M1474" t="str">
            <v>Pr.Sch.R</v>
          </cell>
          <cell r="N1474" t="str">
            <v>MOLDED</v>
          </cell>
          <cell r="O1474">
            <v>1</v>
          </cell>
          <cell r="P1474">
            <v>46127</v>
          </cell>
          <cell r="Q1474">
            <v>46144</v>
          </cell>
          <cell r="R1474">
            <v>46141</v>
          </cell>
          <cell r="S1474">
            <v>17</v>
          </cell>
          <cell r="T1474">
            <v>6.5</v>
          </cell>
          <cell r="U1474">
            <v>21</v>
          </cell>
          <cell r="V1474">
            <v>2</v>
          </cell>
          <cell r="W1474" t="str">
            <v>0.16D</v>
          </cell>
          <cell r="X1474" t="str">
            <v>5-2026</v>
          </cell>
          <cell r="Y1474" t="str">
            <v>Week 17</v>
          </cell>
          <cell r="Z1474">
            <v>46132</v>
          </cell>
          <cell r="AA1474">
            <v>52</v>
          </cell>
          <cell r="AB1474">
            <v>4.7620000000000003E-2</v>
          </cell>
        </row>
        <row r="1475">
          <cell r="A1475" t="str">
            <v>F-2026-04-181</v>
          </cell>
          <cell r="B1475"/>
          <cell r="C1475" t="str">
            <v>RPRO-260415-0106</v>
          </cell>
          <cell r="D1475" t="str">
            <v>Pro.sche.report 14.04</v>
          </cell>
          <cell r="E1475" t="str">
            <v>BDB-000076</v>
          </cell>
          <cell r="F1475" t="str">
            <v>PVN-003342</v>
          </cell>
          <cell r="G1475" t="str">
            <v>OrthoLite X-25 BILLIARD/16-5427TPX Flat Sheet 0.12D 20+/-4 Asker C 1.1M 2M 4.5mm</v>
          </cell>
          <cell r="H1475">
            <v>93</v>
          </cell>
          <cell r="I1475">
            <v>93</v>
          </cell>
          <cell r="J1475">
            <v>0</v>
          </cell>
          <cell r="K1475">
            <v>93</v>
          </cell>
          <cell r="L1475" t="str">
            <v>ADIDAS</v>
          </cell>
          <cell r="M1475" t="str">
            <v>Pr.Sch.R</v>
          </cell>
          <cell r="N1475" t="str">
            <v>MOLDED</v>
          </cell>
          <cell r="O1475">
            <v>1</v>
          </cell>
          <cell r="P1475">
            <v>46127</v>
          </cell>
          <cell r="Q1475">
            <v>46144</v>
          </cell>
          <cell r="R1475">
            <v>46141</v>
          </cell>
          <cell r="S1475">
            <v>17</v>
          </cell>
          <cell r="T1475">
            <v>4.5</v>
          </cell>
          <cell r="U1475">
            <v>31</v>
          </cell>
          <cell r="V1475">
            <v>4</v>
          </cell>
          <cell r="W1475" t="str">
            <v>0.12D</v>
          </cell>
          <cell r="X1475" t="str">
            <v>5-2026</v>
          </cell>
          <cell r="Y1475" t="str">
            <v>Week 17</v>
          </cell>
          <cell r="Z1475">
            <v>46132</v>
          </cell>
          <cell r="AA1475">
            <v>114</v>
          </cell>
          <cell r="AB1475">
            <v>3.2259999999999997E-2</v>
          </cell>
        </row>
        <row r="1476">
          <cell r="A1476" t="str">
            <v>F-2026-04-182</v>
          </cell>
          <cell r="B1476"/>
          <cell r="C1476" t="str">
            <v>RPRO-260415-0107</v>
          </cell>
          <cell r="D1476" t="str">
            <v>Pro.sche.report 14.04</v>
          </cell>
          <cell r="E1476" t="str">
            <v>BDB-000317</v>
          </cell>
          <cell r="F1476" t="str">
            <v>PVN-004076</v>
          </cell>
          <cell r="G1476" t="str">
            <v>OrthoLite Regular NEUTRAL GRAY/17-4402TPX Flat Sheet 0.13D 15+/-4 Asker C 1.1M 2M 24mm</v>
          </cell>
          <cell r="H1476">
            <v>5</v>
          </cell>
          <cell r="I1476">
            <v>5</v>
          </cell>
          <cell r="J1476">
            <v>0</v>
          </cell>
          <cell r="K1476">
            <v>5</v>
          </cell>
          <cell r="L1476" t="str">
            <v>ASICS</v>
          </cell>
          <cell r="M1476" t="str">
            <v>Pr.Sch.R</v>
          </cell>
          <cell r="N1476" t="str">
            <v>MOLDED</v>
          </cell>
          <cell r="O1476">
            <v>1</v>
          </cell>
          <cell r="P1476">
            <v>46127</v>
          </cell>
          <cell r="Q1476">
            <v>46137</v>
          </cell>
          <cell r="R1476">
            <v>46134</v>
          </cell>
          <cell r="S1476">
            <v>10</v>
          </cell>
          <cell r="T1476">
            <v>24</v>
          </cell>
          <cell r="U1476">
            <v>5</v>
          </cell>
          <cell r="V1476">
            <v>1</v>
          </cell>
          <cell r="W1476" t="e">
            <v>#N/A</v>
          </cell>
          <cell r="X1476" t="str">
            <v>4-2026</v>
          </cell>
          <cell r="Y1476" t="str">
            <v>Week 17</v>
          </cell>
          <cell r="Z1476">
            <v>46132</v>
          </cell>
          <cell r="AA1476">
            <v>25</v>
          </cell>
          <cell r="AB1476">
            <v>0.2</v>
          </cell>
        </row>
        <row r="1477">
          <cell r="A1477" t="str">
            <v>F-2026-04-183</v>
          </cell>
          <cell r="B1477"/>
          <cell r="C1477" t="str">
            <v>RPRO-260415-0108</v>
          </cell>
          <cell r="D1477" t="str">
            <v>Pro.sche.report 14.04</v>
          </cell>
          <cell r="E1477" t="str">
            <v>BDB-000212</v>
          </cell>
          <cell r="F1477" t="str">
            <v>PVN-003460</v>
          </cell>
          <cell r="G1477" t="str">
            <v>OrthoLite X-25-Hybrid SEEDPEARL/12-0703TPX Hybrid Flat Sheet 0.12D 20+/-4 Asker C 1.1M 2M 5.5mm</v>
          </cell>
          <cell r="H1477">
            <v>25</v>
          </cell>
          <cell r="I1477">
            <v>25</v>
          </cell>
          <cell r="J1477">
            <v>0</v>
          </cell>
          <cell r="K1477">
            <v>25</v>
          </cell>
          <cell r="L1477" t="str">
            <v>ON RUNNING</v>
          </cell>
          <cell r="M1477" t="str">
            <v>Pr.Sch.R</v>
          </cell>
          <cell r="N1477" t="str">
            <v>MOLDED</v>
          </cell>
          <cell r="O1477">
            <v>1</v>
          </cell>
          <cell r="P1477">
            <v>46127</v>
          </cell>
          <cell r="Q1477" t="str">
            <v>Delete by My zalo 20.04</v>
          </cell>
          <cell r="R1477" t="e">
            <v>#VALUE!</v>
          </cell>
          <cell r="S1477" t="e">
            <v>#VALUE!</v>
          </cell>
          <cell r="T1477">
            <v>5.5</v>
          </cell>
          <cell r="U1477">
            <v>25</v>
          </cell>
          <cell r="V1477">
            <v>1</v>
          </cell>
          <cell r="W1477" t="str">
            <v>0.12D</v>
          </cell>
          <cell r="X1477" t="e">
            <v>#VALUE!</v>
          </cell>
          <cell r="Y1477" t="e">
            <v>#VALUE!</v>
          </cell>
          <cell r="Z1477" t="str">
            <v/>
          </cell>
          <cell r="AA1477">
            <v>60</v>
          </cell>
          <cell r="AB1477">
            <v>0.04</v>
          </cell>
        </row>
        <row r="1478">
          <cell r="A1478" t="str">
            <v>F-2026-04-184</v>
          </cell>
          <cell r="B1478"/>
          <cell r="C1478" t="str">
            <v>RPRO-260415-0109</v>
          </cell>
          <cell r="D1478" t="str">
            <v>Pro.sche.report 14.04</v>
          </cell>
          <cell r="E1478" t="str">
            <v>BDB-000339</v>
          </cell>
          <cell r="F1478" t="str">
            <v>PVN-004223</v>
          </cell>
          <cell r="G1478" t="str">
            <v>OrthoLite Float NEUTRAL GRAY/17-4402TPX Flat Sheet 0.12D 21+/-4 Asker C 1.1M 2M 5mm</v>
          </cell>
          <cell r="H1478">
            <v>28</v>
          </cell>
          <cell r="I1478">
            <v>28</v>
          </cell>
          <cell r="J1478">
            <v>0</v>
          </cell>
          <cell r="K1478">
            <v>28</v>
          </cell>
          <cell r="L1478" t="str">
            <v>PUMA</v>
          </cell>
          <cell r="M1478" t="str">
            <v>Pr.Sch.R</v>
          </cell>
          <cell r="N1478" t="str">
            <v>DIE CUT</v>
          </cell>
          <cell r="O1478">
            <v>1</v>
          </cell>
          <cell r="P1478">
            <v>46127</v>
          </cell>
          <cell r="Q1478">
            <v>46137</v>
          </cell>
          <cell r="R1478">
            <v>46134</v>
          </cell>
          <cell r="S1478">
            <v>10</v>
          </cell>
          <cell r="T1478">
            <v>5</v>
          </cell>
          <cell r="U1478">
            <v>28</v>
          </cell>
          <cell r="V1478">
            <v>1</v>
          </cell>
          <cell r="W1478" t="e">
            <v>#N/A</v>
          </cell>
          <cell r="X1478" t="str">
            <v>4-2026</v>
          </cell>
          <cell r="Y1478" t="str">
            <v>Week 17</v>
          </cell>
          <cell r="Z1478">
            <v>46132</v>
          </cell>
          <cell r="AA1478">
            <v>8</v>
          </cell>
          <cell r="AB1478">
            <v>3.5709999999999999E-2</v>
          </cell>
        </row>
        <row r="1479">
          <cell r="A1479" t="str">
            <v>F-2026-04-185</v>
          </cell>
          <cell r="B1479"/>
          <cell r="C1479" t="str">
            <v>RPRO-260415-0110</v>
          </cell>
          <cell r="D1479" t="str">
            <v>Pro.sche.report 14.04</v>
          </cell>
          <cell r="E1479" t="str">
            <v>BDB-000363</v>
          </cell>
          <cell r="F1479" t="str">
            <v>PVN-004260</v>
          </cell>
          <cell r="G1479" t="str">
            <v>OrthoLite HybridPlus-Recycled MINT GREEN/11-4805TPX Hybrid Flat Sheet 0.12D 35+/-4 Asker C 1.1M 2M 5.5mm</v>
          </cell>
          <cell r="H1479">
            <v>25</v>
          </cell>
          <cell r="I1479">
            <v>25</v>
          </cell>
          <cell r="J1479">
            <v>0</v>
          </cell>
          <cell r="K1479">
            <v>25</v>
          </cell>
          <cell r="L1479" t="str">
            <v>ON RUNNING</v>
          </cell>
          <cell r="M1479" t="str">
            <v>Pr.Sch.R</v>
          </cell>
          <cell r="N1479" t="str">
            <v>MOLDED</v>
          </cell>
          <cell r="O1479">
            <v>1</v>
          </cell>
          <cell r="P1479">
            <v>46127</v>
          </cell>
          <cell r="Q1479">
            <v>46137</v>
          </cell>
          <cell r="R1479">
            <v>46134</v>
          </cell>
          <cell r="S1479">
            <v>10</v>
          </cell>
          <cell r="T1479">
            <v>5.5</v>
          </cell>
          <cell r="U1479">
            <v>25</v>
          </cell>
          <cell r="V1479">
            <v>1</v>
          </cell>
          <cell r="W1479" t="e">
            <v>#N/A</v>
          </cell>
          <cell r="X1479" t="str">
            <v>4-2026</v>
          </cell>
          <cell r="Y1479" t="str">
            <v>Week 17</v>
          </cell>
          <cell r="Z1479">
            <v>46132</v>
          </cell>
          <cell r="AA1479">
            <v>34</v>
          </cell>
          <cell r="AB1479">
            <v>0.04</v>
          </cell>
        </row>
        <row r="1480">
          <cell r="A1480" t="str">
            <v>F-2026-04-186</v>
          </cell>
          <cell r="B1480"/>
          <cell r="C1480" t="str">
            <v>RPRO-260415-0111</v>
          </cell>
          <cell r="D1480" t="str">
            <v>Pro.sche.report 14.04</v>
          </cell>
          <cell r="E1480" t="str">
            <v>BDB-000217</v>
          </cell>
          <cell r="F1480" t="str">
            <v>PVN-003733</v>
          </cell>
          <cell r="G1480" t="str">
            <v>OrthoLite X-40-Hybrid SEEDPEARL/12-0703TPX Hybrid Flat Sheet 0.16D 35+/-4 Asker C 1.1M 1.7M 12.5mm</v>
          </cell>
          <cell r="H1480">
            <v>10</v>
          </cell>
          <cell r="I1480">
            <v>10</v>
          </cell>
          <cell r="J1480">
            <v>0</v>
          </cell>
          <cell r="K1480">
            <v>10</v>
          </cell>
          <cell r="L1480" t="str">
            <v>OBOZ</v>
          </cell>
          <cell r="M1480" t="str">
            <v>Pr.Sch.R</v>
          </cell>
          <cell r="N1480" t="str">
            <v>MOLDED</v>
          </cell>
          <cell r="O1480">
            <v>1</v>
          </cell>
          <cell r="P1480">
            <v>46127</v>
          </cell>
          <cell r="Q1480">
            <v>46141</v>
          </cell>
          <cell r="R1480">
            <v>46138</v>
          </cell>
          <cell r="S1480">
            <v>14</v>
          </cell>
          <cell r="T1480">
            <v>12.5</v>
          </cell>
          <cell r="U1480">
            <v>10</v>
          </cell>
          <cell r="V1480">
            <v>1</v>
          </cell>
          <cell r="W1480" t="str">
            <v>0.16D</v>
          </cell>
          <cell r="X1480" t="str">
            <v>4-2026</v>
          </cell>
          <cell r="Y1480" t="str">
            <v>Week 17</v>
          </cell>
          <cell r="Z1480">
            <v>46132</v>
          </cell>
          <cell r="AA1480">
            <v>115</v>
          </cell>
          <cell r="AB1480">
            <v>0.1</v>
          </cell>
        </row>
        <row r="1481">
          <cell r="A1481" t="str">
            <v>F-2026-04-187</v>
          </cell>
          <cell r="B1481"/>
          <cell r="C1481" t="str">
            <v>RPRO-260415-0112</v>
          </cell>
          <cell r="D1481" t="str">
            <v>Pro.sche.report 14.04</v>
          </cell>
          <cell r="E1481" t="str">
            <v>BDB-000250</v>
          </cell>
          <cell r="F1481" t="str">
            <v>PVN-003653</v>
          </cell>
          <cell r="G1481" t="str">
            <v>OrthoLite X-40 CASTLEROCK/18-0201TPX Flat Sheet 0.16D 25+/-4 Asker C 1.1M 1.7M 11mm</v>
          </cell>
          <cell r="H1481">
            <v>72</v>
          </cell>
          <cell r="I1481">
            <v>72</v>
          </cell>
          <cell r="J1481">
            <v>0</v>
          </cell>
          <cell r="K1481">
            <v>72</v>
          </cell>
          <cell r="L1481" t="str">
            <v>ROA</v>
          </cell>
          <cell r="M1481" t="str">
            <v>Pr.Sch.R</v>
          </cell>
          <cell r="N1481" t="str">
            <v>MOLDED</v>
          </cell>
          <cell r="O1481">
            <v>1</v>
          </cell>
          <cell r="P1481">
            <v>46127</v>
          </cell>
          <cell r="Q1481">
            <v>46144</v>
          </cell>
          <cell r="R1481">
            <v>46141</v>
          </cell>
          <cell r="S1481">
            <v>17</v>
          </cell>
          <cell r="T1481">
            <v>11</v>
          </cell>
          <cell r="U1481">
            <v>12</v>
          </cell>
          <cell r="V1481">
            <v>6</v>
          </cell>
          <cell r="W1481" t="str">
            <v>0.16D</v>
          </cell>
          <cell r="X1481" t="str">
            <v>5-2026</v>
          </cell>
          <cell r="Y1481" t="str">
            <v>Week 17</v>
          </cell>
          <cell r="Z1481">
            <v>46132</v>
          </cell>
          <cell r="AA1481">
            <v>16</v>
          </cell>
          <cell r="AB1481">
            <v>8.3330000000000001E-2</v>
          </cell>
        </row>
        <row r="1482">
          <cell r="A1482" t="str">
            <v>F-2026-04-188</v>
          </cell>
          <cell r="B1482"/>
          <cell r="C1482" t="str">
            <v>RPRO-260415-0113</v>
          </cell>
          <cell r="D1482" t="str">
            <v>Pro.sche.report 14.04</v>
          </cell>
          <cell r="E1482" t="str">
            <v>BDB-000342</v>
          </cell>
          <cell r="F1482" t="str">
            <v>PVN-004184</v>
          </cell>
          <cell r="G1482" t="str">
            <v>Ortholite X-25 NEUTRAL GRAY/17-4402TPX Flat Sheet 0.12D 20+/-4 Asker C 1.1M 2M 4mm</v>
          </cell>
          <cell r="H1482">
            <v>35</v>
          </cell>
          <cell r="I1482">
            <v>35</v>
          </cell>
          <cell r="J1482">
            <v>0</v>
          </cell>
          <cell r="K1482">
            <v>35</v>
          </cell>
          <cell r="L1482" t="str">
            <v>SOLEWORKS</v>
          </cell>
          <cell r="M1482" t="str">
            <v>Pr.Sch.R</v>
          </cell>
          <cell r="N1482" t="str">
            <v>DIE CUT</v>
          </cell>
          <cell r="O1482">
            <v>1</v>
          </cell>
          <cell r="P1482">
            <v>46127</v>
          </cell>
          <cell r="Q1482">
            <v>46144</v>
          </cell>
          <cell r="R1482">
            <v>46141</v>
          </cell>
          <cell r="S1482">
            <v>17</v>
          </cell>
          <cell r="T1482">
            <v>4</v>
          </cell>
          <cell r="U1482">
            <v>35</v>
          </cell>
          <cell r="V1482">
            <v>1</v>
          </cell>
          <cell r="W1482" t="e">
            <v>#N/A</v>
          </cell>
          <cell r="X1482" t="str">
            <v>5-2026</v>
          </cell>
          <cell r="Y1482" t="str">
            <v>Week 17</v>
          </cell>
          <cell r="Z1482">
            <v>46132</v>
          </cell>
          <cell r="AA1482">
            <v>108</v>
          </cell>
          <cell r="AB1482">
            <v>2.8570000000000002E-2</v>
          </cell>
        </row>
        <row r="1483">
          <cell r="A1483" t="str">
            <v>F-2026-04-189</v>
          </cell>
          <cell r="B1483"/>
          <cell r="C1483" t="str">
            <v>RPRO-260415-0114</v>
          </cell>
          <cell r="D1483" t="str">
            <v>Pro.sche.report 14.04</v>
          </cell>
          <cell r="E1483" t="str">
            <v>BDB-000344</v>
          </cell>
          <cell r="F1483" t="str">
            <v>PVN-004186</v>
          </cell>
          <cell r="G1483" t="str">
            <v>Ortholite X-25 LIME GREEN/14-0452TPX Flat Sheet 0.12D 20+/-4 Asker C 1.1M 2M 4mm</v>
          </cell>
          <cell r="H1483">
            <v>35</v>
          </cell>
          <cell r="I1483">
            <v>35</v>
          </cell>
          <cell r="J1483">
            <v>0</v>
          </cell>
          <cell r="K1483">
            <v>35</v>
          </cell>
          <cell r="L1483" t="str">
            <v>SOLEWORKS</v>
          </cell>
          <cell r="M1483" t="str">
            <v>Pr.Sch.R</v>
          </cell>
          <cell r="N1483" t="str">
            <v>DIE CUT</v>
          </cell>
          <cell r="O1483">
            <v>1</v>
          </cell>
          <cell r="P1483">
            <v>46127</v>
          </cell>
          <cell r="Q1483">
            <v>46144</v>
          </cell>
          <cell r="R1483">
            <v>46141</v>
          </cell>
          <cell r="S1483">
            <v>17</v>
          </cell>
          <cell r="T1483">
            <v>4</v>
          </cell>
          <cell r="U1483">
            <v>35</v>
          </cell>
          <cell r="V1483">
            <v>1</v>
          </cell>
          <cell r="W1483" t="e">
            <v>#N/A</v>
          </cell>
          <cell r="X1483" t="str">
            <v>5-2026</v>
          </cell>
          <cell r="Y1483" t="str">
            <v>Week 17</v>
          </cell>
          <cell r="Z1483">
            <v>46132</v>
          </cell>
          <cell r="AA1483">
            <v>237</v>
          </cell>
          <cell r="AB1483">
            <v>2.8570000000000002E-2</v>
          </cell>
        </row>
        <row r="1484">
          <cell r="A1484" t="str">
            <v>OIN-2026.04.13-01</v>
          </cell>
          <cell r="B1484" t="str">
            <v>Urgent/FCL</v>
          </cell>
          <cell r="C1484" t="str">
            <v>RPRO-260416-0026</v>
          </cell>
          <cell r="D1484" t="str">
            <v>OIN</v>
          </cell>
          <cell r="E1484" t="str">
            <v>BDB-000058</v>
          </cell>
          <cell r="F1484" t="str">
            <v>PVN-003780</v>
          </cell>
          <cell r="G1484" t="str">
            <v>[116-361] Ultra 25+/-4 Asker C 0.085D Green 16-5932 Tpx 1.10M X 2.00M 47mm</v>
          </cell>
          <cell r="H1484">
            <v>453</v>
          </cell>
          <cell r="I1484">
            <v>453</v>
          </cell>
          <cell r="J1484">
            <v>0</v>
          </cell>
          <cell r="K1484">
            <v>453</v>
          </cell>
          <cell r="L1484" t="str">
            <v>CLARKS</v>
          </cell>
          <cell r="M1484" t="str">
            <v>PO-7092-SO-260413-0185</v>
          </cell>
          <cell r="N1484" t="str">
            <v>FLAT SHEET</v>
          </cell>
          <cell r="O1484">
            <v>2</v>
          </cell>
          <cell r="P1484">
            <v>46125</v>
          </cell>
          <cell r="Q1484">
            <v>46136</v>
          </cell>
          <cell r="R1484">
            <v>46133</v>
          </cell>
          <cell r="S1484">
            <v>11</v>
          </cell>
          <cell r="T1484">
            <v>47</v>
          </cell>
          <cell r="U1484">
            <v>3</v>
          </cell>
          <cell r="V1484">
            <v>151</v>
          </cell>
          <cell r="W1484" t="str">
            <v>0.085D</v>
          </cell>
          <cell r="X1484" t="str">
            <v>4-2026</v>
          </cell>
          <cell r="Y1484" t="str">
            <v>Week 16</v>
          </cell>
          <cell r="Z1484">
            <v>46125</v>
          </cell>
          <cell r="AA1484">
            <v>27</v>
          </cell>
          <cell r="AB1484">
            <v>0.33333000000000002</v>
          </cell>
        </row>
        <row r="1485">
          <cell r="A1485" t="str">
            <v>F-2026-04-190</v>
          </cell>
          <cell r="B1485"/>
          <cell r="C1485" t="str">
            <v>RPRO-260416-0262</v>
          </cell>
          <cell r="D1485" t="str">
            <v>MPS 14.04</v>
          </cell>
          <cell r="E1485" t="str">
            <v>BDB-000180</v>
          </cell>
          <cell r="F1485" t="str">
            <v>PVN-003236</v>
          </cell>
          <cell r="G1485" t="str">
            <v>OrthoLite Eco LT-Hybrid-Converse SEEDPEARL/12-0703TPX Hybrid 0.13D 25+/-4 Asker C 1.1M 2M 5mm</v>
          </cell>
          <cell r="H1485">
            <v>2069</v>
          </cell>
          <cell r="I1485">
            <v>2069</v>
          </cell>
          <cell r="J1485">
            <v>0</v>
          </cell>
          <cell r="K1485">
            <v>2069</v>
          </cell>
          <cell r="L1485"/>
          <cell r="M1485" t="str">
            <v>MPS</v>
          </cell>
          <cell r="N1485" t="str">
            <v>SPLITTING</v>
          </cell>
          <cell r="O1485">
            <v>2</v>
          </cell>
          <cell r="P1485">
            <v>46128</v>
          </cell>
          <cell r="Q1485">
            <v>46137</v>
          </cell>
          <cell r="R1485">
            <v>46134</v>
          </cell>
          <cell r="S1485">
            <v>9</v>
          </cell>
          <cell r="T1485">
            <v>5</v>
          </cell>
          <cell r="U1485">
            <v>28</v>
          </cell>
          <cell r="V1485">
            <v>74</v>
          </cell>
          <cell r="W1485" t="str">
            <v>0.13D</v>
          </cell>
          <cell r="X1485" t="str">
            <v>4-2026</v>
          </cell>
          <cell r="Y1485" t="str">
            <v>Week 17</v>
          </cell>
          <cell r="Z1485">
            <v>46132</v>
          </cell>
          <cell r="AA1485">
            <v>133</v>
          </cell>
          <cell r="AB1485">
            <v>3.5709999999999999E-2</v>
          </cell>
        </row>
        <row r="1486">
          <cell r="A1486" t="str">
            <v>F-2026-04-191</v>
          </cell>
          <cell r="B1486"/>
          <cell r="C1486" t="str">
            <v>RPRO-260416-0263</v>
          </cell>
          <cell r="D1486" t="str">
            <v>MPS 14.04</v>
          </cell>
          <cell r="E1486" t="str">
            <v>BDB-000010</v>
          </cell>
          <cell r="F1486" t="str">
            <v>PVN-000101</v>
          </cell>
          <cell r="G1486" t="str">
            <v>OrthoLite Regular AIR BLUE/16-4134TPX Flat Sheet 0.11D 25+/-4 Asker C 1.1M 2M 3mm</v>
          </cell>
          <cell r="H1486">
            <v>92</v>
          </cell>
          <cell r="I1486">
            <v>92</v>
          </cell>
          <cell r="J1486">
            <v>0</v>
          </cell>
          <cell r="K1486">
            <v>92</v>
          </cell>
          <cell r="L1486"/>
          <cell r="M1486" t="str">
            <v>MPS</v>
          </cell>
          <cell r="N1486" t="str">
            <v>SPLITTING</v>
          </cell>
          <cell r="O1486">
            <v>2</v>
          </cell>
          <cell r="P1486">
            <v>46128</v>
          </cell>
          <cell r="Q1486">
            <v>46137</v>
          </cell>
          <cell r="R1486">
            <v>46134</v>
          </cell>
          <cell r="S1486">
            <v>9</v>
          </cell>
          <cell r="T1486">
            <v>3</v>
          </cell>
          <cell r="U1486">
            <v>46</v>
          </cell>
          <cell r="V1486">
            <v>3</v>
          </cell>
          <cell r="W1486" t="str">
            <v>0.11D</v>
          </cell>
          <cell r="X1486" t="str">
            <v>4-2026</v>
          </cell>
          <cell r="Y1486" t="str">
            <v>Week 17</v>
          </cell>
          <cell r="Z1486">
            <v>46132</v>
          </cell>
          <cell r="AA1486">
            <v>45</v>
          </cell>
          <cell r="AB1486">
            <v>2.1739999999999999E-2</v>
          </cell>
        </row>
        <row r="1487">
          <cell r="A1487" t="str">
            <v>F-2026-04-192</v>
          </cell>
          <cell r="B1487"/>
          <cell r="C1487" t="str">
            <v>RPRO-260416-0264</v>
          </cell>
          <cell r="D1487" t="str">
            <v>MPS 14.04</v>
          </cell>
          <cell r="E1487" t="str">
            <v>BDB-000058</v>
          </cell>
          <cell r="F1487" t="str">
            <v>PVN-001277</v>
          </cell>
          <cell r="G1487" t="str">
            <v>OrthoLite Ultra GREEN/16-5932TPX Flat Sheet 0.085D 25+/-4 Asker C 1.1M 2M 4mm</v>
          </cell>
          <cell r="H1487">
            <v>1330</v>
          </cell>
          <cell r="I1487">
            <v>1330</v>
          </cell>
          <cell r="J1487">
            <v>0</v>
          </cell>
          <cell r="K1487">
            <v>1330</v>
          </cell>
          <cell r="L1487"/>
          <cell r="M1487" t="str">
            <v>MPS</v>
          </cell>
          <cell r="N1487" t="str">
            <v>SPLITTING</v>
          </cell>
          <cell r="O1487">
            <v>2</v>
          </cell>
          <cell r="P1487">
            <v>46128</v>
          </cell>
          <cell r="Q1487">
            <v>46147</v>
          </cell>
          <cell r="R1487">
            <v>46144</v>
          </cell>
          <cell r="S1487">
            <v>19</v>
          </cell>
          <cell r="T1487">
            <v>4</v>
          </cell>
          <cell r="U1487">
            <v>35</v>
          </cell>
          <cell r="V1487">
            <v>38</v>
          </cell>
          <cell r="W1487" t="str">
            <v>0.085D</v>
          </cell>
          <cell r="X1487" t="str">
            <v>5-2026</v>
          </cell>
          <cell r="Y1487" t="str">
            <v>Week 17</v>
          </cell>
          <cell r="Z1487">
            <v>46132</v>
          </cell>
          <cell r="AA1487">
            <v>85</v>
          </cell>
          <cell r="AB1487">
            <v>2.8570000000000002E-2</v>
          </cell>
        </row>
        <row r="1488">
          <cell r="A1488" t="str">
            <v>F-2026-04-193</v>
          </cell>
          <cell r="B1488"/>
          <cell r="C1488" t="str">
            <v>RPRO-260416-0265</v>
          </cell>
          <cell r="D1488" t="str">
            <v>MPS 14.04</v>
          </cell>
          <cell r="E1488" t="str">
            <v>BDB-000058</v>
          </cell>
          <cell r="F1488" t="str">
            <v>PVN-001319</v>
          </cell>
          <cell r="G1488" t="str">
            <v>OrthoLite Ultra GREEN/16-5932TPX 0.085D 25+/-4 Asker C 1.1M 2M 5mm</v>
          </cell>
          <cell r="H1488">
            <v>224</v>
          </cell>
          <cell r="I1488">
            <v>224</v>
          </cell>
          <cell r="J1488">
            <v>0</v>
          </cell>
          <cell r="K1488">
            <v>224</v>
          </cell>
          <cell r="L1488"/>
          <cell r="M1488" t="str">
            <v>MPS</v>
          </cell>
          <cell r="N1488" t="str">
            <v>SPLITTING</v>
          </cell>
          <cell r="O1488">
            <v>2</v>
          </cell>
          <cell r="P1488">
            <v>46128</v>
          </cell>
          <cell r="Q1488">
            <v>46137</v>
          </cell>
          <cell r="R1488">
            <v>46134</v>
          </cell>
          <cell r="S1488">
            <v>9</v>
          </cell>
          <cell r="T1488">
            <v>5</v>
          </cell>
          <cell r="U1488">
            <v>28</v>
          </cell>
          <cell r="V1488">
            <v>8</v>
          </cell>
          <cell r="W1488" t="str">
            <v>0.085D</v>
          </cell>
          <cell r="X1488" t="str">
            <v>4-2026</v>
          </cell>
          <cell r="Y1488" t="str">
            <v>Week 17</v>
          </cell>
          <cell r="Z1488">
            <v>46132</v>
          </cell>
          <cell r="AA1488">
            <v>3</v>
          </cell>
          <cell r="AB1488">
            <v>3.5709999999999999E-2</v>
          </cell>
        </row>
        <row r="1489">
          <cell r="A1489" t="str">
            <v>F-2026-04-194</v>
          </cell>
          <cell r="B1489"/>
          <cell r="C1489" t="str">
            <v>RPRO-260416-0266</v>
          </cell>
          <cell r="D1489" t="str">
            <v>MPS 14.04</v>
          </cell>
          <cell r="E1489" t="str">
            <v>BDB-000305</v>
          </cell>
          <cell r="F1489" t="str">
            <v>PVN-004000</v>
          </cell>
          <cell r="G1489" t="str">
            <v>OrthoLite X-35-Nike YELLOW/13-0858TPX Flat Sheet 0.145D 25+/-4 Asker C 1.1M 2M 5.5mm</v>
          </cell>
          <cell r="H1489">
            <v>225</v>
          </cell>
          <cell r="I1489">
            <v>225</v>
          </cell>
          <cell r="J1489">
            <v>0</v>
          </cell>
          <cell r="K1489">
            <v>225</v>
          </cell>
          <cell r="L1489"/>
          <cell r="M1489" t="str">
            <v>MPS</v>
          </cell>
          <cell r="N1489" t="str">
            <v>SPLITTING</v>
          </cell>
          <cell r="O1489">
            <v>2</v>
          </cell>
          <cell r="P1489">
            <v>46128</v>
          </cell>
          <cell r="Q1489">
            <v>46137</v>
          </cell>
          <cell r="R1489">
            <v>46134</v>
          </cell>
          <cell r="S1489">
            <v>9</v>
          </cell>
          <cell r="T1489">
            <v>5.5</v>
          </cell>
          <cell r="U1489">
            <v>25</v>
          </cell>
          <cell r="V1489">
            <v>9</v>
          </cell>
          <cell r="W1489" t="str">
            <v>0.145D</v>
          </cell>
          <cell r="X1489" t="str">
            <v>4-2026</v>
          </cell>
          <cell r="Y1489" t="str">
            <v>Week 17</v>
          </cell>
          <cell r="Z1489">
            <v>46132</v>
          </cell>
          <cell r="AA1489">
            <v>93</v>
          </cell>
          <cell r="AB1489">
            <v>0.04</v>
          </cell>
        </row>
        <row r="1490">
          <cell r="A1490" t="str">
            <v>F-2026-04-195</v>
          </cell>
          <cell r="B1490"/>
          <cell r="C1490" t="str">
            <v>RPRO-260416-0267</v>
          </cell>
          <cell r="D1490" t="str">
            <v>Pro.sche.report 14.04</v>
          </cell>
          <cell r="E1490" t="str">
            <v>BDB-000346</v>
          </cell>
          <cell r="F1490" t="str">
            <v>PVN-004188</v>
          </cell>
          <cell r="G1490" t="str">
            <v>OrthoLite Float NEUTRAL GRAY/17-4402TPX Flat Sheet 0.12D 21+/-4 Asker C 1.1M 1.47M 5.5mm</v>
          </cell>
          <cell r="H1490">
            <v>375</v>
          </cell>
          <cell r="I1490">
            <v>375</v>
          </cell>
          <cell r="J1490">
            <v>0</v>
          </cell>
          <cell r="K1490">
            <v>375</v>
          </cell>
          <cell r="L1490" t="str">
            <v>PUMA</v>
          </cell>
          <cell r="M1490" t="str">
            <v>Pr.Sch.R</v>
          </cell>
          <cell r="N1490" t="str">
            <v>MOLDED</v>
          </cell>
          <cell r="O1490">
            <v>1</v>
          </cell>
          <cell r="P1490">
            <v>46128</v>
          </cell>
          <cell r="Q1490">
            <v>46148</v>
          </cell>
          <cell r="R1490">
            <v>46145</v>
          </cell>
          <cell r="S1490">
            <v>20</v>
          </cell>
          <cell r="T1490">
            <v>5.5</v>
          </cell>
          <cell r="U1490">
            <v>25</v>
          </cell>
          <cell r="V1490">
            <v>15</v>
          </cell>
          <cell r="W1490" t="e">
            <v>#N/A</v>
          </cell>
          <cell r="X1490" t="str">
            <v>5-2026</v>
          </cell>
          <cell r="Y1490" t="str">
            <v>Week 17</v>
          </cell>
          <cell r="Z1490">
            <v>46132</v>
          </cell>
          <cell r="AA1490">
            <v>41</v>
          </cell>
          <cell r="AB1490">
            <v>0.04</v>
          </cell>
        </row>
        <row r="1491">
          <cell r="A1491" t="str">
            <v>F-2026-04-196</v>
          </cell>
          <cell r="B1491"/>
          <cell r="C1491" t="str">
            <v>RPRO-260416-0268</v>
          </cell>
          <cell r="D1491" t="str">
            <v>Pro.sche.report 14.04</v>
          </cell>
          <cell r="E1491" t="str">
            <v>BDB-000008</v>
          </cell>
          <cell r="F1491" t="str">
            <v>PVN-000505</v>
          </cell>
          <cell r="G1491" t="str">
            <v>OrthoLite Regular LIME GREEN/14-0452TPX Flat Sheet 0.11D 25+/-4 Asker C 1.1M 2M 12mm</v>
          </cell>
          <cell r="H1491">
            <v>22</v>
          </cell>
          <cell r="I1491">
            <v>22</v>
          </cell>
          <cell r="J1491">
            <v>0</v>
          </cell>
          <cell r="K1491">
            <v>22</v>
          </cell>
          <cell r="L1491" t="str">
            <v>ASICS</v>
          </cell>
          <cell r="M1491" t="str">
            <v>Pr.Sch.R</v>
          </cell>
          <cell r="N1491" t="str">
            <v>MOLDED</v>
          </cell>
          <cell r="O1491">
            <v>1</v>
          </cell>
          <cell r="P1491">
            <v>46128</v>
          </cell>
          <cell r="Q1491">
            <v>46147</v>
          </cell>
          <cell r="R1491">
            <v>46144</v>
          </cell>
          <cell r="S1491">
            <v>19</v>
          </cell>
          <cell r="T1491">
            <v>12</v>
          </cell>
          <cell r="U1491">
            <v>11.5</v>
          </cell>
          <cell r="V1491">
            <v>2</v>
          </cell>
          <cell r="W1491" t="str">
            <v>0.11D</v>
          </cell>
          <cell r="X1491" t="str">
            <v>5-2026</v>
          </cell>
          <cell r="Y1491" t="str">
            <v>Week 17</v>
          </cell>
          <cell r="Z1491">
            <v>46132</v>
          </cell>
          <cell r="AA1491">
            <v>0</v>
          </cell>
          <cell r="AB1491">
            <v>8.6959999999999996E-2</v>
          </cell>
        </row>
        <row r="1492">
          <cell r="A1492" t="str">
            <v>F-2026-04-197</v>
          </cell>
          <cell r="B1492"/>
          <cell r="C1492" t="str">
            <v>RPRO-260416-0269</v>
          </cell>
          <cell r="D1492" t="str">
            <v>Pro.sche.report 14.04</v>
          </cell>
          <cell r="E1492" t="str">
            <v>BDB-000339</v>
          </cell>
          <cell r="F1492" t="str">
            <v>PVN-004178</v>
          </cell>
          <cell r="G1492" t="str">
            <v>OrthoLite Float NEUTRAL GRAY/17-4402TPX Flat Sheet 0.12D 21+/-4 Asker C 1.1M 2M 5.5mm</v>
          </cell>
          <cell r="H1492">
            <v>600</v>
          </cell>
          <cell r="I1492">
            <v>600</v>
          </cell>
          <cell r="J1492">
            <v>0</v>
          </cell>
          <cell r="K1492">
            <v>600</v>
          </cell>
          <cell r="L1492" t="str">
            <v>PUMA</v>
          </cell>
          <cell r="M1492" t="str">
            <v>Pr.Sch.R</v>
          </cell>
          <cell r="N1492" t="str">
            <v>MOLDED</v>
          </cell>
          <cell r="O1492">
            <v>1</v>
          </cell>
          <cell r="P1492">
            <v>46128</v>
          </cell>
          <cell r="Q1492">
            <v>46147</v>
          </cell>
          <cell r="R1492">
            <v>46144</v>
          </cell>
          <cell r="S1492">
            <v>19</v>
          </cell>
          <cell r="T1492">
            <v>5.5</v>
          </cell>
          <cell r="U1492">
            <v>25</v>
          </cell>
          <cell r="V1492">
            <v>24</v>
          </cell>
          <cell r="W1492" t="e">
            <v>#N/A</v>
          </cell>
          <cell r="X1492" t="str">
            <v>5-2026</v>
          </cell>
          <cell r="Y1492" t="str">
            <v>Week 17</v>
          </cell>
          <cell r="Z1492">
            <v>46132</v>
          </cell>
          <cell r="AA1492">
            <v>0</v>
          </cell>
          <cell r="AB1492">
            <v>0.04</v>
          </cell>
        </row>
        <row r="1493">
          <cell r="A1493" t="str">
            <v>F-2026-04-198</v>
          </cell>
          <cell r="B1493"/>
          <cell r="C1493" t="str">
            <v>RPRO-260416-0270</v>
          </cell>
          <cell r="D1493" t="str">
            <v>Pro.sche.report 14.04</v>
          </cell>
          <cell r="E1493" t="str">
            <v>BDB-000154</v>
          </cell>
          <cell r="F1493" t="str">
            <v>PVN-003347</v>
          </cell>
          <cell r="G1493" t="str">
            <v>OrthoLite X-40-Nike TRUE BLUE/19-4057TPX Flat Sheet 0.16D 35+/-4 Asker C 1.1M 1.7M 4mm</v>
          </cell>
          <cell r="H1493">
            <v>105</v>
          </cell>
          <cell r="I1493">
            <v>105</v>
          </cell>
          <cell r="J1493">
            <v>0</v>
          </cell>
          <cell r="K1493">
            <v>105</v>
          </cell>
          <cell r="L1493" t="str">
            <v>NIKE</v>
          </cell>
          <cell r="M1493" t="str">
            <v>Pr.Sch.R</v>
          </cell>
          <cell r="N1493" t="str">
            <v>LAMINATING</v>
          </cell>
          <cell r="O1493">
            <v>1</v>
          </cell>
          <cell r="P1493">
            <v>46128</v>
          </cell>
          <cell r="Q1493">
            <v>46140</v>
          </cell>
          <cell r="R1493">
            <v>46137</v>
          </cell>
          <cell r="S1493">
            <v>12</v>
          </cell>
          <cell r="T1493">
            <v>4</v>
          </cell>
          <cell r="U1493">
            <v>35</v>
          </cell>
          <cell r="V1493">
            <v>3</v>
          </cell>
          <cell r="W1493" t="str">
            <v>0.16D</v>
          </cell>
          <cell r="X1493" t="str">
            <v>4-2026</v>
          </cell>
          <cell r="Y1493" t="str">
            <v>Week 17</v>
          </cell>
          <cell r="Z1493">
            <v>46132</v>
          </cell>
          <cell r="AA1493">
            <v>134</v>
          </cell>
          <cell r="AB1493">
            <v>2.8570000000000002E-2</v>
          </cell>
        </row>
        <row r="1494">
          <cell r="A1494" t="str">
            <v>F-2026-04-199</v>
          </cell>
          <cell r="B1494"/>
          <cell r="C1494" t="str">
            <v>RPRO-260416-0271</v>
          </cell>
          <cell r="D1494" t="str">
            <v>Pro.sche.report 14.04</v>
          </cell>
          <cell r="E1494" t="str">
            <v>BDB-000130</v>
          </cell>
          <cell r="F1494" t="str">
            <v>PVN-001585</v>
          </cell>
          <cell r="G1494" t="str">
            <v>OrthoLite Regular-Nike AIR BLUE/16-4134TPX Flat Sheet 0.13D 35+/-4 Asker C 1.1M 2M 6mm</v>
          </cell>
          <cell r="H1494">
            <v>851</v>
          </cell>
          <cell r="I1494">
            <v>851</v>
          </cell>
          <cell r="J1494">
            <v>0</v>
          </cell>
          <cell r="K1494">
            <v>851</v>
          </cell>
          <cell r="L1494" t="str">
            <v>NIKE</v>
          </cell>
          <cell r="M1494" t="str">
            <v>Pr.Sch.R</v>
          </cell>
          <cell r="N1494" t="str">
            <v>MOLDED</v>
          </cell>
          <cell r="O1494">
            <v>1</v>
          </cell>
          <cell r="P1494">
            <v>46128</v>
          </cell>
          <cell r="Q1494">
            <v>46140</v>
          </cell>
          <cell r="R1494">
            <v>46137</v>
          </cell>
          <cell r="S1494">
            <v>12</v>
          </cell>
          <cell r="T1494">
            <v>6</v>
          </cell>
          <cell r="U1494">
            <v>23</v>
          </cell>
          <cell r="V1494">
            <v>38</v>
          </cell>
          <cell r="W1494" t="str">
            <v>0.13D</v>
          </cell>
          <cell r="X1494" t="str">
            <v>4-2026</v>
          </cell>
          <cell r="Y1494" t="str">
            <v>Week 17</v>
          </cell>
          <cell r="Z1494">
            <v>46132</v>
          </cell>
          <cell r="AA1494">
            <v>5</v>
          </cell>
          <cell r="AB1494">
            <v>4.3479999999999998E-2</v>
          </cell>
        </row>
        <row r="1495">
          <cell r="A1495" t="str">
            <v>F-2026-04-200</v>
          </cell>
          <cell r="B1495"/>
          <cell r="C1495" t="str">
            <v>RPRO-260416-0272</v>
          </cell>
          <cell r="D1495" t="str">
            <v>Pro.sche.report 14.04</v>
          </cell>
          <cell r="E1495" t="str">
            <v>BDB-000097</v>
          </cell>
          <cell r="F1495" t="str">
            <v>PVN-003671</v>
          </cell>
          <cell r="G1495" t="str">
            <v>OrthoLite Eco LT-Hybrid SEEDPEARL/12-0703TPX Hybrid Flat Sheet 0.11D 25+/-4 Asker C 1.1M 2M 13mm</v>
          </cell>
          <cell r="H1495">
            <v>10</v>
          </cell>
          <cell r="I1495">
            <v>10</v>
          </cell>
          <cell r="J1495">
            <v>0</v>
          </cell>
          <cell r="K1495">
            <v>10</v>
          </cell>
          <cell r="L1495" t="str">
            <v>NEW BALANCE</v>
          </cell>
          <cell r="M1495" t="str">
            <v>Pr.Sch.R</v>
          </cell>
          <cell r="N1495" t="str">
            <v>MOLDED</v>
          </cell>
          <cell r="O1495">
            <v>1</v>
          </cell>
          <cell r="P1495">
            <v>46128</v>
          </cell>
          <cell r="Q1495">
            <v>46137</v>
          </cell>
          <cell r="R1495">
            <v>46134</v>
          </cell>
          <cell r="S1495">
            <v>9</v>
          </cell>
          <cell r="T1495">
            <v>13</v>
          </cell>
          <cell r="U1495">
            <v>10</v>
          </cell>
          <cell r="V1495">
            <v>1</v>
          </cell>
          <cell r="W1495" t="str">
            <v>0.11D</v>
          </cell>
          <cell r="X1495" t="str">
            <v>4-2026</v>
          </cell>
          <cell r="Y1495" t="str">
            <v>Week 17</v>
          </cell>
          <cell r="Z1495">
            <v>46132</v>
          </cell>
          <cell r="AA1495">
            <v>270</v>
          </cell>
          <cell r="AB1495">
            <v>0.1</v>
          </cell>
        </row>
        <row r="1496">
          <cell r="A1496" t="str">
            <v>F-2026-04-201</v>
          </cell>
          <cell r="B1496"/>
          <cell r="C1496" t="str">
            <v>RPRO-260416-0273</v>
          </cell>
          <cell r="D1496" t="str">
            <v>Pro.sche.report 14.04</v>
          </cell>
          <cell r="E1496" t="str">
            <v>BDB-000004</v>
          </cell>
          <cell r="F1496" t="str">
            <v>PVN-000060</v>
          </cell>
          <cell r="G1496" t="str">
            <v>OrthoLite Regular GREY/17-1501TPX Flat Sheet 0.11D 25+/-4 Asker C 1.1M 2M 14mm</v>
          </cell>
          <cell r="H1496">
            <v>180</v>
          </cell>
          <cell r="I1496">
            <v>180</v>
          </cell>
          <cell r="J1496">
            <v>0</v>
          </cell>
          <cell r="K1496">
            <v>180</v>
          </cell>
          <cell r="L1496" t="str">
            <v>DANNER</v>
          </cell>
          <cell r="M1496" t="str">
            <v>Pr.Sch.R</v>
          </cell>
          <cell r="N1496" t="str">
            <v>MOLDED</v>
          </cell>
          <cell r="O1496">
            <v>1</v>
          </cell>
          <cell r="P1496">
            <v>46128</v>
          </cell>
          <cell r="Q1496">
            <v>46147</v>
          </cell>
          <cell r="R1496">
            <v>46144</v>
          </cell>
          <cell r="S1496">
            <v>19</v>
          </cell>
          <cell r="T1496">
            <v>14</v>
          </cell>
          <cell r="U1496">
            <v>9</v>
          </cell>
          <cell r="V1496">
            <v>20</v>
          </cell>
          <cell r="W1496" t="str">
            <v>0.11D</v>
          </cell>
          <cell r="X1496" t="str">
            <v>5-2026</v>
          </cell>
          <cell r="Y1496" t="str">
            <v>Week 17</v>
          </cell>
          <cell r="Z1496">
            <v>46132</v>
          </cell>
          <cell r="AA1496">
            <v>136</v>
          </cell>
          <cell r="AB1496">
            <v>0.11111</v>
          </cell>
        </row>
        <row r="1497">
          <cell r="A1497" t="str">
            <v>F-2026-04-202</v>
          </cell>
          <cell r="B1497"/>
          <cell r="C1497" t="str">
            <v>RPRO-260416-0274</v>
          </cell>
          <cell r="D1497" t="str">
            <v>Pro.sche.report 14.04</v>
          </cell>
          <cell r="E1497" t="str">
            <v>BDB-000158</v>
          </cell>
          <cell r="F1497" t="str">
            <v>PVN-001554</v>
          </cell>
          <cell r="G1497" t="str">
            <v>OrthoLite Ultra-Nike YELLOW/13-0858TPX Flat Sheet 0.085D 15+/-4 Asker C 1.1M 2M 3mm</v>
          </cell>
          <cell r="H1497">
            <v>46</v>
          </cell>
          <cell r="I1497">
            <v>46</v>
          </cell>
          <cell r="J1497">
            <v>0</v>
          </cell>
          <cell r="K1497">
            <v>46</v>
          </cell>
          <cell r="L1497" t="str">
            <v>NIKE</v>
          </cell>
          <cell r="M1497" t="str">
            <v>Pr.Sch.R</v>
          </cell>
          <cell r="N1497" t="str">
            <v>DIE CUT</v>
          </cell>
          <cell r="O1497">
            <v>1</v>
          </cell>
          <cell r="P1497">
            <v>46128</v>
          </cell>
          <cell r="Q1497">
            <v>46137</v>
          </cell>
          <cell r="R1497">
            <v>46134</v>
          </cell>
          <cell r="S1497">
            <v>9</v>
          </cell>
          <cell r="T1497">
            <v>3</v>
          </cell>
          <cell r="U1497">
            <v>46</v>
          </cell>
          <cell r="V1497">
            <v>2</v>
          </cell>
          <cell r="W1497" t="str">
            <v>0.085D</v>
          </cell>
          <cell r="X1497" t="str">
            <v>4-2026</v>
          </cell>
          <cell r="Y1497" t="str">
            <v>Week 17</v>
          </cell>
          <cell r="Z1497">
            <v>46132</v>
          </cell>
          <cell r="AA1497">
            <v>34</v>
          </cell>
          <cell r="AB1497">
            <v>2.1739999999999999E-2</v>
          </cell>
        </row>
        <row r="1498">
          <cell r="A1498" t="str">
            <v>F-2026-04-203</v>
          </cell>
          <cell r="B1498"/>
          <cell r="C1498" t="str">
            <v>RPRO-260416-0275</v>
          </cell>
          <cell r="D1498" t="str">
            <v>Pro.sche.report 14.04</v>
          </cell>
          <cell r="E1498" t="str">
            <v>BDB-000174</v>
          </cell>
          <cell r="F1498" t="str">
            <v>PVN-003503</v>
          </cell>
          <cell r="G1498" t="str">
            <v>OrthoLite Ultra-Hybrid-Nike SEEDPEARL/12-0703TPX Hybrid Flat Sheet 0.085D 15+/-4 Asker C 1.1M 2M 3mm</v>
          </cell>
          <cell r="H1498">
            <v>92</v>
          </cell>
          <cell r="I1498">
            <v>92</v>
          </cell>
          <cell r="J1498">
            <v>0</v>
          </cell>
          <cell r="K1498">
            <v>92</v>
          </cell>
          <cell r="L1498" t="str">
            <v>NIKE</v>
          </cell>
          <cell r="M1498" t="str">
            <v>Pr.Sch.R</v>
          </cell>
          <cell r="N1498" t="str">
            <v>DIE CUT</v>
          </cell>
          <cell r="O1498">
            <v>1</v>
          </cell>
          <cell r="P1498">
            <v>46128</v>
          </cell>
          <cell r="Q1498">
            <v>46137</v>
          </cell>
          <cell r="R1498">
            <v>46134</v>
          </cell>
          <cell r="S1498">
            <v>9</v>
          </cell>
          <cell r="T1498">
            <v>3</v>
          </cell>
          <cell r="U1498">
            <v>46</v>
          </cell>
          <cell r="V1498">
            <v>3</v>
          </cell>
          <cell r="W1498" t="str">
            <v>0.085D</v>
          </cell>
          <cell r="X1498" t="str">
            <v>4-2026</v>
          </cell>
          <cell r="Y1498" t="str">
            <v>Week 17</v>
          </cell>
          <cell r="Z1498">
            <v>46132</v>
          </cell>
          <cell r="AA1498">
            <v>16</v>
          </cell>
          <cell r="AB1498">
            <v>2.1739999999999999E-2</v>
          </cell>
        </row>
        <row r="1499">
          <cell r="A1499" t="str">
            <v>F-2026-04-204</v>
          </cell>
          <cell r="B1499"/>
          <cell r="C1499" t="str">
            <v>FPRO-260415-0001</v>
          </cell>
          <cell r="D1499" t="str">
            <v>Firm plan 15.4</v>
          </cell>
          <cell r="E1499" t="str">
            <v>BDB-000339</v>
          </cell>
          <cell r="F1499" t="str">
            <v>PVN-004178</v>
          </cell>
          <cell r="G1499" t="str">
            <v>OrthoLite Float NEUTRAL GRAY/17-4402TPX Flat Sheet 0.12D 21+/-4 Asker C 1.1M 2M 5.5mm</v>
          </cell>
          <cell r="H1499">
            <v>1000</v>
          </cell>
          <cell r="I1499">
            <v>1000</v>
          </cell>
          <cell r="J1499">
            <v>0</v>
          </cell>
          <cell r="K1499">
            <v>1000</v>
          </cell>
          <cell r="L1499" t="str">
            <v>PUMA</v>
          </cell>
          <cell r="M1499" t="str">
            <v>Forecast</v>
          </cell>
          <cell r="N1499" t="str">
            <v>MOLDED</v>
          </cell>
          <cell r="O1499" t="str">
            <v>1-SLT</v>
          </cell>
          <cell r="P1499">
            <v>46127</v>
          </cell>
          <cell r="Q1499">
            <v>46147</v>
          </cell>
          <cell r="R1499">
            <v>46144</v>
          </cell>
          <cell r="S1499">
            <v>20</v>
          </cell>
          <cell r="T1499">
            <v>5.5</v>
          </cell>
          <cell r="U1499">
            <v>25</v>
          </cell>
          <cell r="V1499">
            <v>40</v>
          </cell>
          <cell r="W1499" t="e">
            <v>#N/A</v>
          </cell>
          <cell r="X1499" t="str">
            <v>5-2026</v>
          </cell>
          <cell r="Y1499" t="str">
            <v>Week 17</v>
          </cell>
          <cell r="Z1499">
            <v>46132</v>
          </cell>
          <cell r="AA1499">
            <v>237</v>
          </cell>
          <cell r="AB1499">
            <v>0.04</v>
          </cell>
        </row>
        <row r="1500">
          <cell r="A1500" t="str">
            <v>F-2026-04-205</v>
          </cell>
          <cell r="B1500"/>
          <cell r="C1500" t="str">
            <v>FPRO-260415-0002</v>
          </cell>
          <cell r="D1500" t="str">
            <v>Firm plan 15.4</v>
          </cell>
          <cell r="E1500" t="str">
            <v>BDB-000339</v>
          </cell>
          <cell r="F1500" t="str">
            <v>PVN-004178</v>
          </cell>
          <cell r="G1500" t="str">
            <v>OrthoLite Float NEUTRAL GRAY/17-4402TPX Flat Sheet 0.12D 21+/-4 Asker C 1.1M 2M 5.5mm</v>
          </cell>
          <cell r="H1500">
            <v>1000</v>
          </cell>
          <cell r="I1500">
            <v>1000</v>
          </cell>
          <cell r="J1500">
            <v>0</v>
          </cell>
          <cell r="K1500">
            <v>1000</v>
          </cell>
          <cell r="L1500" t="str">
            <v>PUMA</v>
          </cell>
          <cell r="M1500" t="str">
            <v>Forecast</v>
          </cell>
          <cell r="N1500" t="str">
            <v>MOLDED</v>
          </cell>
          <cell r="O1500" t="str">
            <v>1-SLT</v>
          </cell>
          <cell r="P1500">
            <v>46127</v>
          </cell>
          <cell r="Q1500">
            <v>46193</v>
          </cell>
          <cell r="R1500">
            <v>46190</v>
          </cell>
          <cell r="S1500">
            <v>66</v>
          </cell>
          <cell r="T1500">
            <v>5.5</v>
          </cell>
          <cell r="U1500">
            <v>25</v>
          </cell>
          <cell r="V1500">
            <v>40</v>
          </cell>
          <cell r="W1500" t="e">
            <v>#N/A</v>
          </cell>
          <cell r="X1500" t="str">
            <v>6-2026</v>
          </cell>
          <cell r="Y1500" t="str">
            <v>Week 24</v>
          </cell>
          <cell r="Z1500">
            <v>46181</v>
          </cell>
          <cell r="AA1500">
            <v>133</v>
          </cell>
          <cell r="AB1500">
            <v>0.04</v>
          </cell>
        </row>
        <row r="1501">
          <cell r="A1501" t="str">
            <v>F-2026-04-206</v>
          </cell>
          <cell r="B1501"/>
          <cell r="C1501" t="str">
            <v>FPRO-260415-0003</v>
          </cell>
          <cell r="D1501" t="str">
            <v>Firm plan 15.4</v>
          </cell>
          <cell r="E1501" t="str">
            <v>BDB-000339</v>
          </cell>
          <cell r="F1501" t="str">
            <v>PVN-004178</v>
          </cell>
          <cell r="G1501" t="str">
            <v>OrthoLite Float NEUTRAL GRAY/17-4402TPX Flat Sheet 0.12D 21+/-4 Asker C 1.1M 2M 5.5mm</v>
          </cell>
          <cell r="H1501">
            <v>1000</v>
          </cell>
          <cell r="I1501">
            <v>1000</v>
          </cell>
          <cell r="J1501">
            <v>0</v>
          </cell>
          <cell r="K1501">
            <v>1000</v>
          </cell>
          <cell r="L1501" t="str">
            <v>PUMA</v>
          </cell>
          <cell r="M1501" t="str">
            <v>Forecast</v>
          </cell>
          <cell r="N1501" t="str">
            <v>MOLDED</v>
          </cell>
          <cell r="O1501" t="str">
            <v>1-SLT</v>
          </cell>
          <cell r="P1501">
            <v>46127</v>
          </cell>
          <cell r="Q1501">
            <v>46167</v>
          </cell>
          <cell r="R1501">
            <v>46164</v>
          </cell>
          <cell r="S1501">
            <v>40</v>
          </cell>
          <cell r="T1501">
            <v>5.5</v>
          </cell>
          <cell r="U1501">
            <v>25</v>
          </cell>
          <cell r="V1501">
            <v>40</v>
          </cell>
          <cell r="W1501" t="e">
            <v>#N/A</v>
          </cell>
          <cell r="X1501" t="str">
            <v>5-2026</v>
          </cell>
          <cell r="Y1501" t="str">
            <v>Week 21</v>
          </cell>
          <cell r="Z1501">
            <v>46160</v>
          </cell>
          <cell r="AA1501">
            <v>21</v>
          </cell>
          <cell r="AB1501">
            <v>0.04</v>
          </cell>
        </row>
        <row r="1502">
          <cell r="A1502" t="str">
            <v>F-2026-04-207</v>
          </cell>
          <cell r="B1502"/>
          <cell r="C1502" t="str">
            <v>FPRO-260415-0004</v>
          </cell>
          <cell r="D1502" t="str">
            <v>Firm plan 15.4</v>
          </cell>
          <cell r="E1502" t="str">
            <v>BDB-000339</v>
          </cell>
          <cell r="F1502" t="str">
            <v>PVN-004178</v>
          </cell>
          <cell r="G1502" t="str">
            <v>OrthoLite Float NEUTRAL GRAY/17-4402TPX Flat Sheet 0.12D 21+/-4 Asker C 1.1M 2M 5.5mm</v>
          </cell>
          <cell r="H1502">
            <v>1000</v>
          </cell>
          <cell r="I1502">
            <v>1000</v>
          </cell>
          <cell r="J1502">
            <v>0</v>
          </cell>
          <cell r="K1502">
            <v>1000</v>
          </cell>
          <cell r="L1502" t="str">
            <v>PUMA</v>
          </cell>
          <cell r="M1502" t="str">
            <v>Forecast</v>
          </cell>
          <cell r="N1502" t="str">
            <v>MOLDED</v>
          </cell>
          <cell r="O1502" t="str">
            <v>1-SLT</v>
          </cell>
          <cell r="P1502">
            <v>46127</v>
          </cell>
          <cell r="Q1502">
            <v>46200</v>
          </cell>
          <cell r="R1502">
            <v>46197</v>
          </cell>
          <cell r="S1502">
            <v>73</v>
          </cell>
          <cell r="T1502">
            <v>5.5</v>
          </cell>
          <cell r="U1502">
            <v>25</v>
          </cell>
          <cell r="V1502">
            <v>40</v>
          </cell>
          <cell r="W1502" t="e">
            <v>#N/A</v>
          </cell>
          <cell r="X1502" t="str">
            <v>6-2026</v>
          </cell>
          <cell r="Y1502" t="str">
            <v>Week 24</v>
          </cell>
          <cell r="Z1502">
            <v>46181</v>
          </cell>
          <cell r="AA1502">
            <v>70</v>
          </cell>
          <cell r="AB1502">
            <v>0.04</v>
          </cell>
        </row>
        <row r="1503">
          <cell r="A1503" t="str">
            <v>F-2026-04-208</v>
          </cell>
          <cell r="B1503"/>
          <cell r="C1503" t="str">
            <v>FPRO-260415-0005</v>
          </cell>
          <cell r="D1503" t="str">
            <v>Firm plan 15.4</v>
          </cell>
          <cell r="E1503" t="str">
            <v>BDB-000339</v>
          </cell>
          <cell r="F1503" t="str">
            <v>PVN-004178</v>
          </cell>
          <cell r="G1503" t="str">
            <v>OrthoLite Float NEUTRAL GRAY/17-4402TPX Flat Sheet 0.12D 21+/-4 Asker C 1.1M 2M 5.5mm</v>
          </cell>
          <cell r="H1503">
            <v>1000</v>
          </cell>
          <cell r="I1503">
            <v>1000</v>
          </cell>
          <cell r="J1503">
            <v>0</v>
          </cell>
          <cell r="K1503">
            <v>1000</v>
          </cell>
          <cell r="L1503" t="str">
            <v>PUMA</v>
          </cell>
          <cell r="M1503" t="str">
            <v>Forecast</v>
          </cell>
          <cell r="N1503" t="str">
            <v>MOLDED</v>
          </cell>
          <cell r="O1503" t="str">
            <v>1-SLT</v>
          </cell>
          <cell r="P1503">
            <v>46127</v>
          </cell>
          <cell r="Q1503">
            <v>46172</v>
          </cell>
          <cell r="R1503">
            <v>46169</v>
          </cell>
          <cell r="S1503">
            <v>45</v>
          </cell>
          <cell r="T1503">
            <v>5.5</v>
          </cell>
          <cell r="U1503">
            <v>25</v>
          </cell>
          <cell r="V1503">
            <v>40</v>
          </cell>
          <cell r="W1503" t="e">
            <v>#N/A</v>
          </cell>
          <cell r="X1503" t="str">
            <v>5-2026</v>
          </cell>
          <cell r="Y1503" t="str">
            <v>Week 21</v>
          </cell>
          <cell r="Z1503">
            <v>46160</v>
          </cell>
          <cell r="AA1503">
            <v>89</v>
          </cell>
          <cell r="AB1503">
            <v>0.04</v>
          </cell>
        </row>
        <row r="1504">
          <cell r="A1504" t="str">
            <v>F-2026-04-209</v>
          </cell>
          <cell r="B1504"/>
          <cell r="C1504" t="str">
            <v>FPRO-260415-0006</v>
          </cell>
          <cell r="D1504" t="str">
            <v>Firm plan 15.4</v>
          </cell>
          <cell r="E1504" t="str">
            <v>BDB-000339</v>
          </cell>
          <cell r="F1504" t="str">
            <v>PVN-004178</v>
          </cell>
          <cell r="G1504" t="str">
            <v>OrthoLite Float NEUTRAL GRAY/17-4402TPX Flat Sheet 0.12D 21+/-4 Asker C 1.1M 2M 5.5mm</v>
          </cell>
          <cell r="H1504">
            <v>1000</v>
          </cell>
          <cell r="I1504">
            <v>1000</v>
          </cell>
          <cell r="J1504">
            <v>0</v>
          </cell>
          <cell r="K1504">
            <v>1000</v>
          </cell>
          <cell r="L1504" t="str">
            <v>PUMA</v>
          </cell>
          <cell r="M1504" t="str">
            <v>Forecast</v>
          </cell>
          <cell r="N1504" t="str">
            <v>MOLDED</v>
          </cell>
          <cell r="O1504" t="str">
            <v>1-SLT</v>
          </cell>
          <cell r="P1504">
            <v>46127</v>
          </cell>
          <cell r="Q1504">
            <v>46179</v>
          </cell>
          <cell r="R1504">
            <v>46176</v>
          </cell>
          <cell r="S1504">
            <v>52</v>
          </cell>
          <cell r="T1504">
            <v>5.5</v>
          </cell>
          <cell r="U1504">
            <v>25</v>
          </cell>
          <cell r="V1504">
            <v>40</v>
          </cell>
          <cell r="W1504" t="e">
            <v>#N/A</v>
          </cell>
          <cell r="X1504" t="str">
            <v>6-2026</v>
          </cell>
          <cell r="Y1504" t="str">
            <v>Week 22</v>
          </cell>
          <cell r="Z1504">
            <v>46167</v>
          </cell>
          <cell r="AA1504">
            <v>26</v>
          </cell>
          <cell r="AB1504">
            <v>0.04</v>
          </cell>
        </row>
        <row r="1505">
          <cell r="A1505" t="str">
            <v>F-2026-04-210</v>
          </cell>
          <cell r="B1505"/>
          <cell r="C1505" t="str">
            <v>FPRO-260415-0007</v>
          </cell>
          <cell r="D1505" t="str">
            <v>Firm plan 15.4</v>
          </cell>
          <cell r="E1505" t="str">
            <v>BDB-000339</v>
          </cell>
          <cell r="F1505" t="str">
            <v>PVN-004178</v>
          </cell>
          <cell r="G1505" t="str">
            <v>OrthoLite Float NEUTRAL GRAY/17-4402TPX Flat Sheet 0.12D 21+/-4 Asker C 1.1M 2M 5.5mm</v>
          </cell>
          <cell r="H1505">
            <v>350</v>
          </cell>
          <cell r="I1505">
            <v>350</v>
          </cell>
          <cell r="J1505">
            <v>0</v>
          </cell>
          <cell r="K1505">
            <v>350</v>
          </cell>
          <cell r="L1505" t="str">
            <v>PUMA</v>
          </cell>
          <cell r="M1505" t="str">
            <v>Forecast</v>
          </cell>
          <cell r="N1505" t="str">
            <v>MOLDED</v>
          </cell>
          <cell r="O1505" t="str">
            <v>1-SLT</v>
          </cell>
          <cell r="P1505">
            <v>46127</v>
          </cell>
          <cell r="Q1505">
            <v>46186</v>
          </cell>
          <cell r="R1505">
            <v>46183</v>
          </cell>
          <cell r="S1505">
            <v>59</v>
          </cell>
          <cell r="T1505">
            <v>5.5</v>
          </cell>
          <cell r="U1505">
            <v>25</v>
          </cell>
          <cell r="V1505">
            <v>14</v>
          </cell>
          <cell r="W1505" t="e">
            <v>#N/A</v>
          </cell>
          <cell r="X1505" t="str">
            <v>6-2026</v>
          </cell>
          <cell r="Y1505" t="str">
            <v>Week 23</v>
          </cell>
          <cell r="Z1505">
            <v>46174</v>
          </cell>
          <cell r="AA1505">
            <v>5</v>
          </cell>
          <cell r="AB1505">
            <v>0.04</v>
          </cell>
        </row>
        <row r="1506">
          <cell r="A1506" t="str">
            <v>F-2026-04-211</v>
          </cell>
          <cell r="B1506"/>
          <cell r="C1506" t="str">
            <v>FPRO-260415-0008</v>
          </cell>
          <cell r="D1506" t="str">
            <v>Firm plan 15.4</v>
          </cell>
          <cell r="E1506" t="str">
            <v>BDB-000346</v>
          </cell>
          <cell r="F1506" t="str">
            <v>PVN-004188</v>
          </cell>
          <cell r="G1506" t="str">
            <v>OrthoLite Float NEUTRAL GRAY/17-4402TPX Flat Sheet 0.12D 21+/-4 Asker C 1.1M 1.47M 5.5mm</v>
          </cell>
          <cell r="H1506">
            <v>1000</v>
          </cell>
          <cell r="I1506">
            <v>1000</v>
          </cell>
          <cell r="J1506">
            <v>0</v>
          </cell>
          <cell r="K1506">
            <v>1000</v>
          </cell>
          <cell r="L1506" t="str">
            <v>PUMA</v>
          </cell>
          <cell r="M1506" t="str">
            <v>Forecast</v>
          </cell>
          <cell r="N1506" t="str">
            <v>MOLDED</v>
          </cell>
          <cell r="O1506" t="str">
            <v>1-SLT</v>
          </cell>
          <cell r="P1506">
            <v>46127</v>
          </cell>
          <cell r="Q1506">
            <v>46151</v>
          </cell>
          <cell r="R1506">
            <v>46148</v>
          </cell>
          <cell r="S1506">
            <v>24</v>
          </cell>
          <cell r="T1506">
            <v>5.5</v>
          </cell>
          <cell r="U1506">
            <v>25</v>
          </cell>
          <cell r="V1506">
            <v>40</v>
          </cell>
          <cell r="W1506" t="e">
            <v>#N/A</v>
          </cell>
          <cell r="X1506" t="str">
            <v>5-2026</v>
          </cell>
          <cell r="Y1506" t="str">
            <v>Week 17</v>
          </cell>
          <cell r="Z1506">
            <v>46132</v>
          </cell>
          <cell r="AA1506">
            <v>111</v>
          </cell>
          <cell r="AB1506">
            <v>0.04</v>
          </cell>
        </row>
        <row r="1507">
          <cell r="A1507" t="str">
            <v>F-2026-04-212</v>
          </cell>
          <cell r="B1507"/>
          <cell r="C1507" t="str">
            <v>FPRO-260415-0009</v>
          </cell>
          <cell r="D1507" t="str">
            <v>Firm plan 15.4</v>
          </cell>
          <cell r="E1507" t="str">
            <v>BDB-000346</v>
          </cell>
          <cell r="F1507" t="str">
            <v>PVN-004188</v>
          </cell>
          <cell r="G1507" t="str">
            <v>OrthoLite Float NEUTRAL GRAY/17-4402TPX Flat Sheet 0.12D 21+/-4 Asker C 1.1M 1.47M 5.5mm</v>
          </cell>
          <cell r="H1507">
            <v>1000</v>
          </cell>
          <cell r="I1507">
            <v>1000</v>
          </cell>
          <cell r="J1507">
            <v>0</v>
          </cell>
          <cell r="K1507">
            <v>1000</v>
          </cell>
          <cell r="L1507" t="str">
            <v>PUMA</v>
          </cell>
          <cell r="M1507" t="str">
            <v>Forecast</v>
          </cell>
          <cell r="N1507" t="str">
            <v>MOLDED</v>
          </cell>
          <cell r="O1507" t="str">
            <v>1-SLT</v>
          </cell>
          <cell r="P1507">
            <v>46127</v>
          </cell>
          <cell r="Q1507">
            <v>46175</v>
          </cell>
          <cell r="R1507">
            <v>46172</v>
          </cell>
          <cell r="S1507">
            <v>48</v>
          </cell>
          <cell r="T1507">
            <v>5.5</v>
          </cell>
          <cell r="U1507">
            <v>25</v>
          </cell>
          <cell r="V1507">
            <v>40</v>
          </cell>
          <cell r="W1507" t="e">
            <v>#N/A</v>
          </cell>
          <cell r="X1507" t="str">
            <v>6-2026</v>
          </cell>
          <cell r="Y1507" t="str">
            <v>Week 22</v>
          </cell>
          <cell r="Z1507">
            <v>46167</v>
          </cell>
          <cell r="AA1507">
            <v>16</v>
          </cell>
          <cell r="AB1507">
            <v>0.04</v>
          </cell>
        </row>
        <row r="1508">
          <cell r="A1508" t="str">
            <v>F-2026-04-213</v>
          </cell>
          <cell r="B1508"/>
          <cell r="C1508" t="str">
            <v>FPRO-260415-0010</v>
          </cell>
          <cell r="D1508" t="str">
            <v>Firm plan 15.4</v>
          </cell>
          <cell r="E1508" t="str">
            <v>BDB-000346</v>
          </cell>
          <cell r="F1508" t="str">
            <v>PVN-004188</v>
          </cell>
          <cell r="G1508" t="str">
            <v>OrthoLite Float NEUTRAL GRAY/17-4402TPX Flat Sheet 0.12D 21+/-4 Asker C 1.1M 1.47M 5.5mm</v>
          </cell>
          <cell r="H1508">
            <v>550</v>
          </cell>
          <cell r="I1508">
            <v>550</v>
          </cell>
          <cell r="J1508">
            <v>0</v>
          </cell>
          <cell r="K1508">
            <v>550</v>
          </cell>
          <cell r="L1508" t="str">
            <v>PUMA</v>
          </cell>
          <cell r="M1508" t="str">
            <v>Forecast</v>
          </cell>
          <cell r="N1508" t="str">
            <v>MOLDED</v>
          </cell>
          <cell r="O1508" t="str">
            <v>1-SLT</v>
          </cell>
          <cell r="P1508">
            <v>46127</v>
          </cell>
          <cell r="Q1508">
            <v>46179</v>
          </cell>
          <cell r="R1508">
            <v>46176</v>
          </cell>
          <cell r="S1508">
            <v>52</v>
          </cell>
          <cell r="T1508">
            <v>5.5</v>
          </cell>
          <cell r="U1508">
            <v>25</v>
          </cell>
          <cell r="V1508">
            <v>22</v>
          </cell>
          <cell r="W1508" t="e">
            <v>#N/A</v>
          </cell>
          <cell r="X1508" t="str">
            <v>6-2026</v>
          </cell>
          <cell r="Y1508" t="str">
            <v>Week 22</v>
          </cell>
          <cell r="Z1508">
            <v>46167</v>
          </cell>
          <cell r="AA1508">
            <v>65</v>
          </cell>
          <cell r="AB1508">
            <v>0.04</v>
          </cell>
        </row>
        <row r="1509">
          <cell r="A1509" t="str">
            <v>F-2026-04-214-1</v>
          </cell>
          <cell r="B1509"/>
          <cell r="C1509" t="str">
            <v>FPRO-260415-0011</v>
          </cell>
          <cell r="D1509" t="str">
            <v>Firm plan 15.4</v>
          </cell>
          <cell r="E1509" t="str">
            <v>BDB-000209</v>
          </cell>
          <cell r="F1509" t="str">
            <v>PVN-003550</v>
          </cell>
          <cell r="G1509" t="str">
            <v>OrthoLite HybridPlus-Recycled MINT GREEN/11-4805TPX Hybrid 0.12D 25+/-4 Asker C 1.1M 2M 6mm</v>
          </cell>
          <cell r="H1509">
            <v>2000</v>
          </cell>
          <cell r="I1509">
            <v>1000</v>
          </cell>
          <cell r="J1509">
            <v>0</v>
          </cell>
          <cell r="K1509">
            <v>1000</v>
          </cell>
          <cell r="L1509" t="str">
            <v>ON RUNNING</v>
          </cell>
          <cell r="M1509" t="str">
            <v>Forecast</v>
          </cell>
          <cell r="N1509" t="str">
            <v>MOLDED</v>
          </cell>
          <cell r="O1509">
            <v>1</v>
          </cell>
          <cell r="P1509">
            <v>46127</v>
          </cell>
          <cell r="Q1509">
            <v>46175</v>
          </cell>
          <cell r="R1509">
            <v>46172</v>
          </cell>
          <cell r="S1509">
            <v>48</v>
          </cell>
          <cell r="T1509">
            <v>6</v>
          </cell>
          <cell r="U1509">
            <v>23</v>
          </cell>
          <cell r="V1509">
            <v>44</v>
          </cell>
          <cell r="W1509" t="str">
            <v>0.12D</v>
          </cell>
          <cell r="X1509" t="str">
            <v>6-2026</v>
          </cell>
          <cell r="Y1509" t="str">
            <v>Week 22</v>
          </cell>
          <cell r="Z1509">
            <v>46167</v>
          </cell>
          <cell r="AA1509">
            <v>11</v>
          </cell>
          <cell r="AB1509">
            <v>4.3479999999999998E-2</v>
          </cell>
        </row>
        <row r="1510">
          <cell r="A1510" t="str">
            <v>F-2026-04-214-2</v>
          </cell>
          <cell r="B1510"/>
          <cell r="C1510" t="str">
            <v>FPRO-260415-0011</v>
          </cell>
          <cell r="D1510" t="str">
            <v>Firm plan 15.4</v>
          </cell>
          <cell r="E1510" t="str">
            <v>BDB-000209</v>
          </cell>
          <cell r="F1510" t="str">
            <v>PVN-003550</v>
          </cell>
          <cell r="G1510" t="str">
            <v>OrthoLite HybridPlus-Recycled MINT GREEN/11-4805TPX Hybrid 0.12D 25+/-4 Asker C 1.1M 2M 6mm</v>
          </cell>
          <cell r="H1510">
            <v>2000</v>
          </cell>
          <cell r="I1510">
            <v>1000</v>
          </cell>
          <cell r="J1510">
            <v>0</v>
          </cell>
          <cell r="K1510">
            <v>1000</v>
          </cell>
          <cell r="L1510" t="str">
            <v>ON RUNNING</v>
          </cell>
          <cell r="M1510" t="str">
            <v>Forecast</v>
          </cell>
          <cell r="N1510" t="str">
            <v>MOLDED</v>
          </cell>
          <cell r="O1510">
            <v>1</v>
          </cell>
          <cell r="P1510">
            <v>46127</v>
          </cell>
          <cell r="Q1510">
            <v>46181</v>
          </cell>
          <cell r="R1510">
            <v>46178</v>
          </cell>
          <cell r="S1510">
            <v>54</v>
          </cell>
          <cell r="T1510">
            <v>6</v>
          </cell>
          <cell r="U1510">
            <v>23</v>
          </cell>
          <cell r="V1510">
            <v>44</v>
          </cell>
          <cell r="W1510" t="str">
            <v>0.12D</v>
          </cell>
          <cell r="X1510" t="str">
            <v>6-2026</v>
          </cell>
          <cell r="Y1510" t="str">
            <v>Week 23</v>
          </cell>
          <cell r="Z1510">
            <v>46174</v>
          </cell>
          <cell r="AA1510">
            <v>8</v>
          </cell>
          <cell r="AB1510">
            <v>4.3479999999999998E-2</v>
          </cell>
        </row>
        <row r="1511">
          <cell r="A1511" t="str">
            <v>F-2026-04-215-1</v>
          </cell>
          <cell r="B1511"/>
          <cell r="C1511" t="str">
            <v>FPRO-260415-0012</v>
          </cell>
          <cell r="D1511" t="str">
            <v>Firm plan 15.4</v>
          </cell>
          <cell r="E1511" t="str">
            <v>BDB-000209</v>
          </cell>
          <cell r="F1511" t="str">
            <v>PVN-003550</v>
          </cell>
          <cell r="G1511" t="str">
            <v>OrthoLite HybridPlus-Recycled MINT GREEN/11-4805TPX Hybrid 0.12D 25+/-4 Asker C 1.1M 2M 6mm</v>
          </cell>
          <cell r="H1511">
            <v>500</v>
          </cell>
          <cell r="I1511">
            <v>500</v>
          </cell>
          <cell r="J1511">
            <v>0</v>
          </cell>
          <cell r="K1511">
            <v>500</v>
          </cell>
          <cell r="L1511" t="str">
            <v>ON RUNNING</v>
          </cell>
          <cell r="M1511" t="str">
            <v>Forecast</v>
          </cell>
          <cell r="N1511" t="str">
            <v>MOLDED</v>
          </cell>
          <cell r="O1511">
            <v>1</v>
          </cell>
          <cell r="P1511">
            <v>46127</v>
          </cell>
          <cell r="Q1511">
            <v>46158</v>
          </cell>
          <cell r="R1511">
            <v>46155</v>
          </cell>
          <cell r="S1511">
            <v>31</v>
          </cell>
          <cell r="T1511">
            <v>6</v>
          </cell>
          <cell r="U1511">
            <v>23</v>
          </cell>
          <cell r="V1511">
            <v>22</v>
          </cell>
          <cell r="W1511" t="str">
            <v>0.12D</v>
          </cell>
          <cell r="X1511" t="str">
            <v>5-2026</v>
          </cell>
          <cell r="Y1511" t="str">
            <v>Week 20</v>
          </cell>
          <cell r="Z1511">
            <v>46153</v>
          </cell>
          <cell r="AA1511">
            <v>8</v>
          </cell>
          <cell r="AB1511">
            <v>4.3479999999999998E-2</v>
          </cell>
        </row>
        <row r="1512">
          <cell r="A1512" t="str">
            <v>F-2026-04-215-2</v>
          </cell>
          <cell r="B1512"/>
          <cell r="C1512" t="str">
            <v>FPRO-260507-0006</v>
          </cell>
          <cell r="D1512" t="str">
            <v>Firm plan 15.4</v>
          </cell>
          <cell r="E1512" t="str">
            <v>BDB-000209</v>
          </cell>
          <cell r="F1512" t="str">
            <v>PVN-003550</v>
          </cell>
          <cell r="G1512" t="str">
            <v>OrthoLite HybridPlus-Recycled MINT GREEN/11-4805TPX Hybrid 0.12D 25+/-4 Asker C 1.1M 2M 6mm</v>
          </cell>
          <cell r="H1512">
            <v>1400</v>
          </cell>
          <cell r="I1512">
            <v>1400</v>
          </cell>
          <cell r="J1512">
            <v>0</v>
          </cell>
          <cell r="K1512">
            <v>1400</v>
          </cell>
          <cell r="L1512" t="str">
            <v>ON RUNNING</v>
          </cell>
          <cell r="M1512" t="str">
            <v>Forecast</v>
          </cell>
          <cell r="N1512" t="str">
            <v>MOLDED</v>
          </cell>
          <cell r="O1512">
            <v>1</v>
          </cell>
          <cell r="P1512">
            <v>46127</v>
          </cell>
          <cell r="Q1512">
            <v>46161</v>
          </cell>
          <cell r="R1512">
            <v>46158</v>
          </cell>
          <cell r="S1512">
            <v>34</v>
          </cell>
          <cell r="T1512">
            <v>6</v>
          </cell>
          <cell r="U1512">
            <v>23</v>
          </cell>
          <cell r="V1512">
            <v>61</v>
          </cell>
          <cell r="W1512" t="str">
            <v>0.12D</v>
          </cell>
          <cell r="X1512" t="str">
            <v>5-2026</v>
          </cell>
          <cell r="Y1512" t="str">
            <v>Week 20</v>
          </cell>
          <cell r="Z1512">
            <v>46153</v>
          </cell>
          <cell r="AA1512">
            <v>23</v>
          </cell>
          <cell r="AB1512">
            <v>4.3479999999999998E-2</v>
          </cell>
        </row>
        <row r="1513">
          <cell r="A1513" t="str">
            <v>F-2026-04-216</v>
          </cell>
          <cell r="B1513"/>
          <cell r="C1513" t="str">
            <v>FPRO-260415-0013</v>
          </cell>
          <cell r="D1513" t="str">
            <v>Firm plan 15.4</v>
          </cell>
          <cell r="E1513" t="str">
            <v>BDB-000077</v>
          </cell>
          <cell r="F1513" t="str">
            <v>PVN-004147</v>
          </cell>
          <cell r="G1513" t="str">
            <v>OrthoLite X-25 SEEDPEARL/12-0703TPX Flat Sheet 0.12D 20+/-4 Asker C 1.1M 2M 5.5mm</v>
          </cell>
          <cell r="H1513">
            <v>100</v>
          </cell>
          <cell r="I1513">
            <v>100</v>
          </cell>
          <cell r="J1513">
            <v>0</v>
          </cell>
          <cell r="K1513">
            <v>100</v>
          </cell>
          <cell r="L1513" t="str">
            <v>ON RUNNING</v>
          </cell>
          <cell r="M1513" t="str">
            <v>Forecast</v>
          </cell>
          <cell r="N1513" t="str">
            <v>MOLDED</v>
          </cell>
          <cell r="O1513">
            <v>1</v>
          </cell>
          <cell r="P1513">
            <v>46127</v>
          </cell>
          <cell r="Q1513">
            <v>46162</v>
          </cell>
          <cell r="R1513">
            <v>46159</v>
          </cell>
          <cell r="S1513">
            <v>35</v>
          </cell>
          <cell r="T1513">
            <v>5.5</v>
          </cell>
          <cell r="U1513">
            <v>25</v>
          </cell>
          <cell r="V1513">
            <v>4</v>
          </cell>
          <cell r="W1513" t="str">
            <v>0.12D</v>
          </cell>
          <cell r="X1513" t="str">
            <v>5-2026</v>
          </cell>
          <cell r="Y1513" t="str">
            <v>Week 20</v>
          </cell>
          <cell r="Z1513">
            <v>46153</v>
          </cell>
          <cell r="AA1513">
            <v>23</v>
          </cell>
          <cell r="AB1513">
            <v>0.04</v>
          </cell>
        </row>
        <row r="1514">
          <cell r="A1514" t="str">
            <v>F-2026-04-217</v>
          </cell>
          <cell r="B1514"/>
          <cell r="C1514" t="str">
            <v>FPRO-260415-0014</v>
          </cell>
          <cell r="D1514" t="str">
            <v>Firm plan 15.4</v>
          </cell>
          <cell r="E1514" t="str">
            <v>BDB-000355</v>
          </cell>
          <cell r="F1514" t="str">
            <v>PVN-004231</v>
          </cell>
          <cell r="G1514" t="str">
            <v>OrthoLite HybridPlus-Recycled CASTLEROCK/18-0201TPX Hybrid 0.12D 25+/-4 Asker C 1.1M 2M 4.5mm</v>
          </cell>
          <cell r="H1514">
            <v>1100</v>
          </cell>
          <cell r="I1514">
            <v>1100</v>
          </cell>
          <cell r="J1514">
            <v>0</v>
          </cell>
          <cell r="K1514">
            <v>1100</v>
          </cell>
          <cell r="L1514" t="str">
            <v>ON RUNNING</v>
          </cell>
          <cell r="M1514" t="str">
            <v>Forecast</v>
          </cell>
          <cell r="N1514" t="str">
            <v>MOLDED</v>
          </cell>
          <cell r="O1514">
            <v>1</v>
          </cell>
          <cell r="P1514">
            <v>46127</v>
          </cell>
          <cell r="Q1514">
            <v>46164</v>
          </cell>
          <cell r="R1514">
            <v>46161</v>
          </cell>
          <cell r="S1514">
            <v>37</v>
          </cell>
          <cell r="T1514">
            <v>4.5</v>
          </cell>
          <cell r="U1514">
            <v>31</v>
          </cell>
          <cell r="V1514">
            <v>36</v>
          </cell>
          <cell r="W1514" t="e">
            <v>#N/A</v>
          </cell>
          <cell r="X1514" t="str">
            <v>5-2026</v>
          </cell>
          <cell r="Y1514" t="str">
            <v>Week 21</v>
          </cell>
          <cell r="Z1514">
            <v>46160</v>
          </cell>
          <cell r="AA1514">
            <v>51</v>
          </cell>
          <cell r="AB1514">
            <v>3.2259999999999997E-2</v>
          </cell>
        </row>
        <row r="1515">
          <cell r="A1515" t="str">
            <v>F-2026-04-218</v>
          </cell>
          <cell r="B1515"/>
          <cell r="C1515" t="str">
            <v>FPRO-260416-0003</v>
          </cell>
          <cell r="D1515" t="str">
            <v>Firm plan 16.4</v>
          </cell>
          <cell r="E1515" t="str">
            <v>BDB-000113</v>
          </cell>
          <cell r="F1515" t="str">
            <v>PVN-002501</v>
          </cell>
          <cell r="G1515" t="str">
            <v>OrthoLite Regular-Hybrid SEEDPEARL/12-0703TPX Hybrid Flat Sheet 0.11D 25+/-4 Asker C 1.1M 2M 2mm</v>
          </cell>
          <cell r="H1515">
            <v>1000</v>
          </cell>
          <cell r="I1515">
            <v>1000</v>
          </cell>
          <cell r="J1515">
            <v>0</v>
          </cell>
          <cell r="K1515">
            <v>1000</v>
          </cell>
          <cell r="L1515" t="str">
            <v>ASICS</v>
          </cell>
          <cell r="M1515" t="str">
            <v>Forecast</v>
          </cell>
          <cell r="N1515" t="str">
            <v>SPLITTING</v>
          </cell>
          <cell r="O1515">
            <v>2</v>
          </cell>
          <cell r="P1515">
            <v>46128</v>
          </cell>
          <cell r="Q1515">
            <v>46162</v>
          </cell>
          <cell r="R1515">
            <v>46159</v>
          </cell>
          <cell r="S1515">
            <v>34</v>
          </cell>
          <cell r="T1515">
            <v>2</v>
          </cell>
          <cell r="U1515">
            <v>70</v>
          </cell>
          <cell r="V1515">
            <v>15</v>
          </cell>
          <cell r="W1515" t="str">
            <v>0.11D</v>
          </cell>
          <cell r="X1515" t="str">
            <v>5-2026</v>
          </cell>
          <cell r="Y1515" t="str">
            <v>Week 20</v>
          </cell>
          <cell r="Z1515">
            <v>46153</v>
          </cell>
          <cell r="AA1515">
            <v>9</v>
          </cell>
          <cell r="AB1515">
            <v>1.4290000000000001E-2</v>
          </cell>
        </row>
        <row r="1516">
          <cell r="A1516" t="str">
            <v>F-2026-04-219</v>
          </cell>
          <cell r="B1516"/>
          <cell r="C1516" t="str">
            <v>FPRO-260416-0004</v>
          </cell>
          <cell r="D1516" t="str">
            <v>Firm plan 16.4</v>
          </cell>
          <cell r="E1516" t="str">
            <v>BDB-000113</v>
          </cell>
          <cell r="F1516" t="str">
            <v>PVN-002501</v>
          </cell>
          <cell r="G1516" t="str">
            <v>OrthoLite Regular-Hybrid SEEDPEARL/12-0703TPX Hybrid Flat Sheet 0.11D 25+/-4 Asker C 1.1M 2M 2mm</v>
          </cell>
          <cell r="H1516">
            <v>1000</v>
          </cell>
          <cell r="I1516">
            <v>1000</v>
          </cell>
          <cell r="J1516">
            <v>0</v>
          </cell>
          <cell r="K1516">
            <v>1000</v>
          </cell>
          <cell r="L1516" t="str">
            <v>ASICS</v>
          </cell>
          <cell r="M1516" t="str">
            <v>Forecast</v>
          </cell>
          <cell r="N1516" t="str">
            <v>SPLITTING</v>
          </cell>
          <cell r="O1516">
            <v>2</v>
          </cell>
          <cell r="P1516">
            <v>46128</v>
          </cell>
          <cell r="Q1516">
            <v>46179</v>
          </cell>
          <cell r="R1516">
            <v>46176</v>
          </cell>
          <cell r="S1516">
            <v>51</v>
          </cell>
          <cell r="T1516">
            <v>2</v>
          </cell>
          <cell r="U1516">
            <v>70</v>
          </cell>
          <cell r="V1516">
            <v>15</v>
          </cell>
          <cell r="W1516" t="str">
            <v>0.11D</v>
          </cell>
          <cell r="X1516" t="str">
            <v>6-2026</v>
          </cell>
          <cell r="Y1516" t="str">
            <v>Week 22</v>
          </cell>
          <cell r="Z1516">
            <v>46167</v>
          </cell>
          <cell r="AA1516">
            <v>3</v>
          </cell>
          <cell r="AB1516">
            <v>1.4290000000000001E-2</v>
          </cell>
        </row>
        <row r="1517">
          <cell r="A1517" t="str">
            <v>F-2026-04-220</v>
          </cell>
          <cell r="B1517"/>
          <cell r="C1517" t="str">
            <v>FPRO-260416-0005</v>
          </cell>
          <cell r="D1517" t="str">
            <v>Firm plan 16.4</v>
          </cell>
          <cell r="E1517" t="str">
            <v>BDB-000113</v>
          </cell>
          <cell r="F1517" t="str">
            <v>PVN-002501</v>
          </cell>
          <cell r="G1517" t="str">
            <v>OrthoLite Regular-Hybrid SEEDPEARL/12-0703TPX Hybrid Flat Sheet 0.11D 25+/-4 Asker C 1.1M 2M 2mm</v>
          </cell>
          <cell r="H1517">
            <v>1000</v>
          </cell>
          <cell r="I1517">
            <v>1000</v>
          </cell>
          <cell r="J1517">
            <v>0</v>
          </cell>
          <cell r="K1517">
            <v>1000</v>
          </cell>
          <cell r="L1517" t="str">
            <v>ASICS</v>
          </cell>
          <cell r="M1517" t="str">
            <v>Forecast</v>
          </cell>
          <cell r="N1517" t="str">
            <v>SPLITTING</v>
          </cell>
          <cell r="O1517">
            <v>2</v>
          </cell>
          <cell r="P1517">
            <v>46128</v>
          </cell>
          <cell r="Q1517">
            <v>46186</v>
          </cell>
          <cell r="R1517">
            <v>46183</v>
          </cell>
          <cell r="S1517">
            <v>58</v>
          </cell>
          <cell r="T1517">
            <v>2</v>
          </cell>
          <cell r="U1517">
            <v>70</v>
          </cell>
          <cell r="V1517">
            <v>15</v>
          </cell>
          <cell r="W1517" t="str">
            <v>0.11D</v>
          </cell>
          <cell r="X1517" t="str">
            <v>6-2026</v>
          </cell>
          <cell r="Y1517" t="str">
            <v>Week 23</v>
          </cell>
          <cell r="Z1517">
            <v>46174</v>
          </cell>
          <cell r="AA1517">
            <v>58</v>
          </cell>
          <cell r="AB1517">
            <v>1.4290000000000001E-2</v>
          </cell>
        </row>
        <row r="1518">
          <cell r="A1518" t="str">
            <v>F-2026-04-221</v>
          </cell>
          <cell r="B1518"/>
          <cell r="C1518" t="str">
            <v>FPRO-260416-0006</v>
          </cell>
          <cell r="D1518" t="str">
            <v>Firm plan 16.4</v>
          </cell>
          <cell r="E1518" t="str">
            <v>BDB-000113</v>
          </cell>
          <cell r="F1518" t="str">
            <v>PVN-002501</v>
          </cell>
          <cell r="G1518" t="str">
            <v>OrthoLite Regular-Hybrid SEEDPEARL/12-0703TPX Hybrid Flat Sheet 0.11D 25+/-4 Asker C 1.1M 2M 2mm</v>
          </cell>
          <cell r="H1518">
            <v>1000</v>
          </cell>
          <cell r="I1518">
            <v>1000</v>
          </cell>
          <cell r="J1518">
            <v>0</v>
          </cell>
          <cell r="K1518">
            <v>1000</v>
          </cell>
          <cell r="L1518" t="str">
            <v>ASICS</v>
          </cell>
          <cell r="M1518" t="str">
            <v>Forecast</v>
          </cell>
          <cell r="N1518" t="str">
            <v>SPLITTING</v>
          </cell>
          <cell r="O1518">
            <v>2</v>
          </cell>
          <cell r="P1518">
            <v>46128</v>
          </cell>
          <cell r="Q1518">
            <v>46193</v>
          </cell>
          <cell r="R1518">
            <v>46190</v>
          </cell>
          <cell r="S1518">
            <v>65</v>
          </cell>
          <cell r="T1518">
            <v>2</v>
          </cell>
          <cell r="U1518">
            <v>70</v>
          </cell>
          <cell r="V1518">
            <v>15</v>
          </cell>
          <cell r="W1518" t="str">
            <v>0.11D</v>
          </cell>
          <cell r="X1518" t="str">
            <v>6-2026</v>
          </cell>
          <cell r="Y1518" t="str">
            <v>Week 24</v>
          </cell>
          <cell r="Z1518">
            <v>46181</v>
          </cell>
          <cell r="AA1518">
            <v>6</v>
          </cell>
          <cell r="AB1518">
            <v>1.4290000000000001E-2</v>
          </cell>
        </row>
        <row r="1519">
          <cell r="A1519" t="str">
            <v>F-2026-04-222</v>
          </cell>
          <cell r="B1519"/>
          <cell r="C1519" t="str">
            <v>FPRO-260416-0007</v>
          </cell>
          <cell r="D1519" t="str">
            <v>Firm plan 16.4</v>
          </cell>
          <cell r="E1519" t="str">
            <v>BDB-000113</v>
          </cell>
          <cell r="F1519" t="str">
            <v>PVN-002501</v>
          </cell>
          <cell r="G1519" t="str">
            <v>OrthoLite Regular-Hybrid SEEDPEARL/12-0703TPX Hybrid Flat Sheet 0.11D 25+/-4 Asker C 1.1M 2M 2mm</v>
          </cell>
          <cell r="H1519">
            <v>1000</v>
          </cell>
          <cell r="I1519">
            <v>1000</v>
          </cell>
          <cell r="J1519">
            <v>0</v>
          </cell>
          <cell r="K1519">
            <v>1000</v>
          </cell>
          <cell r="L1519" t="str">
            <v>ASICS</v>
          </cell>
          <cell r="M1519" t="str">
            <v>Forecast</v>
          </cell>
          <cell r="N1519" t="str">
            <v>SPLITTING</v>
          </cell>
          <cell r="O1519">
            <v>2</v>
          </cell>
          <cell r="P1519">
            <v>46128</v>
          </cell>
          <cell r="Q1519">
            <v>46200</v>
          </cell>
          <cell r="R1519">
            <v>46197</v>
          </cell>
          <cell r="S1519">
            <v>72</v>
          </cell>
          <cell r="T1519">
            <v>2</v>
          </cell>
          <cell r="U1519">
            <v>70</v>
          </cell>
          <cell r="V1519">
            <v>15</v>
          </cell>
          <cell r="W1519" t="str">
            <v>0.11D</v>
          </cell>
          <cell r="X1519" t="str">
            <v>6-2026</v>
          </cell>
          <cell r="Y1519" t="str">
            <v>Week 24</v>
          </cell>
          <cell r="Z1519">
            <v>46181</v>
          </cell>
          <cell r="AA1519">
            <v>0</v>
          </cell>
          <cell r="AB1519">
            <v>1.4290000000000001E-2</v>
          </cell>
        </row>
        <row r="1520">
          <cell r="A1520" t="str">
            <v>F-2026-04-223</v>
          </cell>
          <cell r="B1520"/>
          <cell r="C1520" t="str">
            <v>FPRO-260416-0008</v>
          </cell>
          <cell r="D1520" t="str">
            <v>Firm plan 16.4</v>
          </cell>
          <cell r="E1520" t="str">
            <v>BDB-000113</v>
          </cell>
          <cell r="F1520" t="str">
            <v>PVN-002501</v>
          </cell>
          <cell r="G1520" t="str">
            <v>OrthoLite Regular-Hybrid SEEDPEARL/12-0703TPX Hybrid Flat Sheet 0.11D 25+/-4 Asker C 1.1M 2M 2mm</v>
          </cell>
          <cell r="H1520">
            <v>1000</v>
          </cell>
          <cell r="I1520">
            <v>1000</v>
          </cell>
          <cell r="J1520">
            <v>0</v>
          </cell>
          <cell r="K1520">
            <v>1000</v>
          </cell>
          <cell r="L1520" t="str">
            <v>ASICS</v>
          </cell>
          <cell r="M1520" t="str">
            <v>Forecast</v>
          </cell>
          <cell r="N1520" t="str">
            <v>SPLITTING</v>
          </cell>
          <cell r="O1520">
            <v>2</v>
          </cell>
          <cell r="P1520">
            <v>46128</v>
          </cell>
          <cell r="Q1520">
            <v>46175</v>
          </cell>
          <cell r="R1520">
            <v>46172</v>
          </cell>
          <cell r="S1520">
            <v>47</v>
          </cell>
          <cell r="T1520">
            <v>2</v>
          </cell>
          <cell r="U1520">
            <v>70</v>
          </cell>
          <cell r="V1520">
            <v>15</v>
          </cell>
          <cell r="W1520" t="str">
            <v>0.11D</v>
          </cell>
          <cell r="X1520" t="str">
            <v>6-2026</v>
          </cell>
          <cell r="Y1520" t="str">
            <v>Week 22</v>
          </cell>
          <cell r="Z1520">
            <v>46167</v>
          </cell>
          <cell r="AA1520">
            <v>0</v>
          </cell>
          <cell r="AB1520">
            <v>1.4290000000000001E-2</v>
          </cell>
        </row>
        <row r="1521">
          <cell r="A1521" t="str">
            <v>F-2026-04-224</v>
          </cell>
          <cell r="B1521"/>
          <cell r="C1521" t="str">
            <v>FPRO-260416-0009</v>
          </cell>
          <cell r="D1521" t="str">
            <v>Firm plan 16.4</v>
          </cell>
          <cell r="E1521" t="str">
            <v>BDB-000113</v>
          </cell>
          <cell r="F1521" t="str">
            <v>PVN-002501</v>
          </cell>
          <cell r="G1521" t="str">
            <v>OrthoLite Regular-Hybrid SEEDPEARL/12-0703TPX Hybrid Flat Sheet 0.11D 25+/-4 Asker C 1.1M 2M 2mm</v>
          </cell>
          <cell r="H1521">
            <v>1000</v>
          </cell>
          <cell r="I1521">
            <v>1000</v>
          </cell>
          <cell r="J1521">
            <v>0</v>
          </cell>
          <cell r="K1521">
            <v>1000</v>
          </cell>
          <cell r="L1521" t="str">
            <v>ASICS</v>
          </cell>
          <cell r="M1521" t="str">
            <v>Forecast</v>
          </cell>
          <cell r="N1521" t="str">
            <v>SPLITTING</v>
          </cell>
          <cell r="O1521">
            <v>2</v>
          </cell>
          <cell r="P1521">
            <v>46128</v>
          </cell>
          <cell r="Q1521">
            <v>46160</v>
          </cell>
          <cell r="R1521">
            <v>46157</v>
          </cell>
          <cell r="S1521">
            <v>32</v>
          </cell>
          <cell r="T1521">
            <v>2</v>
          </cell>
          <cell r="U1521">
            <v>70</v>
          </cell>
          <cell r="V1521">
            <v>15</v>
          </cell>
          <cell r="W1521" t="str">
            <v>0.11D</v>
          </cell>
          <cell r="X1521" t="str">
            <v>5-2026</v>
          </cell>
          <cell r="Y1521" t="str">
            <v>Week 20</v>
          </cell>
          <cell r="Z1521">
            <v>46153</v>
          </cell>
          <cell r="AA1521">
            <v>11</v>
          </cell>
          <cell r="AB1521">
            <v>1.4290000000000001E-2</v>
          </cell>
        </row>
        <row r="1522">
          <cell r="A1522" t="str">
            <v>F-2026-04-225</v>
          </cell>
          <cell r="B1522"/>
          <cell r="C1522" t="str">
            <v>FPRO-260416-0010</v>
          </cell>
          <cell r="D1522" t="str">
            <v>Firm plan 16.4</v>
          </cell>
          <cell r="E1522" t="str">
            <v>BDB-000113</v>
          </cell>
          <cell r="F1522" t="str">
            <v>PVN-002501</v>
          </cell>
          <cell r="G1522" t="str">
            <v>OrthoLite Regular-Hybrid SEEDPEARL/12-0703TPX Hybrid Flat Sheet 0.11D 25+/-4 Asker C 1.1M 2M 2mm</v>
          </cell>
          <cell r="H1522">
            <v>400</v>
          </cell>
          <cell r="I1522">
            <v>400</v>
          </cell>
          <cell r="J1522">
            <v>0</v>
          </cell>
          <cell r="K1522">
            <v>400</v>
          </cell>
          <cell r="L1522" t="str">
            <v>ASICS</v>
          </cell>
          <cell r="M1522" t="str">
            <v>Forecast</v>
          </cell>
          <cell r="N1522" t="str">
            <v>SPLITTING</v>
          </cell>
          <cell r="O1522">
            <v>2</v>
          </cell>
          <cell r="P1522">
            <v>46128</v>
          </cell>
          <cell r="Q1522">
            <v>46163</v>
          </cell>
          <cell r="R1522">
            <v>46160</v>
          </cell>
          <cell r="S1522">
            <v>35</v>
          </cell>
          <cell r="T1522">
            <v>2</v>
          </cell>
          <cell r="U1522">
            <v>70</v>
          </cell>
          <cell r="V1522">
            <v>6</v>
          </cell>
          <cell r="W1522" t="str">
            <v>0.11D</v>
          </cell>
          <cell r="X1522" t="str">
            <v>5-2026</v>
          </cell>
          <cell r="Y1522" t="str">
            <v>Week 20</v>
          </cell>
          <cell r="Z1522">
            <v>46153</v>
          </cell>
          <cell r="AA1522">
            <v>270</v>
          </cell>
          <cell r="AB1522">
            <v>1.4290000000000001E-2</v>
          </cell>
        </row>
        <row r="1523">
          <cell r="A1523" t="str">
            <v>F-2026-04-226</v>
          </cell>
          <cell r="B1523"/>
          <cell r="C1523" t="str">
            <v>FPRO-260416-0011</v>
          </cell>
          <cell r="D1523" t="str">
            <v>Firm plan 16.4</v>
          </cell>
          <cell r="E1523" t="str">
            <v>BDB-000113</v>
          </cell>
          <cell r="F1523" t="str">
            <v>PVN-003414</v>
          </cell>
          <cell r="G1523" t="str">
            <v>OrthoLite Regular-Hybrid SEEDPEARL/12-0703TPX Hybrid Flat Sheet 0.11D 25+/-4 Asker C 1.1M 2M 12mm</v>
          </cell>
          <cell r="H1523">
            <v>2500</v>
          </cell>
          <cell r="I1523">
            <v>2500</v>
          </cell>
          <cell r="J1523">
            <v>0</v>
          </cell>
          <cell r="K1523">
            <v>2500</v>
          </cell>
          <cell r="L1523" t="str">
            <v>ASICS</v>
          </cell>
          <cell r="M1523" t="str">
            <v>Forecast</v>
          </cell>
          <cell r="N1523" t="str">
            <v>MOLDED</v>
          </cell>
          <cell r="O1523">
            <v>1</v>
          </cell>
          <cell r="P1523">
            <v>46128</v>
          </cell>
          <cell r="Q1523">
            <v>46167</v>
          </cell>
          <cell r="R1523">
            <v>46164</v>
          </cell>
          <cell r="S1523">
            <v>39</v>
          </cell>
          <cell r="T1523">
            <v>12</v>
          </cell>
          <cell r="U1523">
            <v>11.5</v>
          </cell>
          <cell r="V1523">
            <v>218</v>
          </cell>
          <cell r="W1523" t="str">
            <v>0.11D</v>
          </cell>
          <cell r="X1523" t="str">
            <v>5-2026</v>
          </cell>
          <cell r="Y1523" t="str">
            <v>Week 21</v>
          </cell>
          <cell r="Z1523">
            <v>46160</v>
          </cell>
          <cell r="AA1523">
            <v>116</v>
          </cell>
          <cell r="AB1523">
            <v>8.6959999999999996E-2</v>
          </cell>
        </row>
        <row r="1524">
          <cell r="A1524" t="str">
            <v>F-2026-04-227</v>
          </cell>
          <cell r="B1524"/>
          <cell r="C1524" t="str">
            <v>FPRO-260416-0012</v>
          </cell>
          <cell r="D1524" t="str">
            <v>Firm plan 16.4</v>
          </cell>
          <cell r="E1524" t="str">
            <v>BDB-000113</v>
          </cell>
          <cell r="F1524" t="str">
            <v>PVN-003414</v>
          </cell>
          <cell r="G1524" t="str">
            <v>OrthoLite Regular-Hybrid SEEDPEARL/12-0703TPX Hybrid Flat Sheet 0.11D 25+/-4 Asker C 1.1M 2M 12mm</v>
          </cell>
          <cell r="H1524">
            <v>2500</v>
          </cell>
          <cell r="I1524">
            <v>2500</v>
          </cell>
          <cell r="J1524">
            <v>0</v>
          </cell>
          <cell r="K1524">
            <v>2500</v>
          </cell>
          <cell r="L1524" t="str">
            <v>ASICS</v>
          </cell>
          <cell r="M1524" t="str">
            <v>Forecast</v>
          </cell>
          <cell r="N1524" t="str">
            <v>MOLDED</v>
          </cell>
          <cell r="O1524">
            <v>1</v>
          </cell>
          <cell r="P1524">
            <v>46128</v>
          </cell>
          <cell r="Q1524">
            <v>46175</v>
          </cell>
          <cell r="R1524">
            <v>46172</v>
          </cell>
          <cell r="S1524">
            <v>47</v>
          </cell>
          <cell r="T1524">
            <v>12</v>
          </cell>
          <cell r="U1524">
            <v>11.5</v>
          </cell>
          <cell r="V1524">
            <v>218</v>
          </cell>
          <cell r="W1524" t="str">
            <v>0.11D</v>
          </cell>
          <cell r="X1524" t="str">
            <v>6-2026</v>
          </cell>
          <cell r="Y1524" t="str">
            <v>Week 22</v>
          </cell>
          <cell r="Z1524">
            <v>46167</v>
          </cell>
          <cell r="AA1524">
            <v>114</v>
          </cell>
          <cell r="AB1524">
            <v>8.6959999999999996E-2</v>
          </cell>
        </row>
        <row r="1525">
          <cell r="A1525" t="str">
            <v>F-2026-04-228</v>
          </cell>
          <cell r="B1525"/>
          <cell r="C1525" t="str">
            <v>FPRO-260416-0013</v>
          </cell>
          <cell r="D1525" t="str">
            <v>Firm plan 16.4</v>
          </cell>
          <cell r="E1525" t="str">
            <v>BDB-000113</v>
          </cell>
          <cell r="F1525" t="str">
            <v>PVN-003414</v>
          </cell>
          <cell r="G1525" t="str">
            <v>OrthoLite Regular-Hybrid SEEDPEARL/12-0703TPX Hybrid Flat Sheet 0.11D 25+/-4 Asker C 1.1M 2M 12mm</v>
          </cell>
          <cell r="H1525">
            <v>2500</v>
          </cell>
          <cell r="I1525">
            <v>2500</v>
          </cell>
          <cell r="J1525">
            <v>0</v>
          </cell>
          <cell r="K1525">
            <v>2500</v>
          </cell>
          <cell r="L1525" t="str">
            <v>ASICS</v>
          </cell>
          <cell r="M1525" t="str">
            <v>Forecast</v>
          </cell>
          <cell r="N1525" t="str">
            <v>MOLDED</v>
          </cell>
          <cell r="O1525">
            <v>1</v>
          </cell>
          <cell r="P1525">
            <v>46128</v>
          </cell>
          <cell r="Q1525">
            <v>46170</v>
          </cell>
          <cell r="R1525">
            <v>46167</v>
          </cell>
          <cell r="S1525">
            <v>42</v>
          </cell>
          <cell r="T1525">
            <v>12</v>
          </cell>
          <cell r="U1525">
            <v>11.5</v>
          </cell>
          <cell r="V1525">
            <v>218</v>
          </cell>
          <cell r="W1525" t="str">
            <v>0.11D</v>
          </cell>
          <cell r="X1525" t="str">
            <v>5-2026</v>
          </cell>
          <cell r="Y1525" t="str">
            <v>Week 21</v>
          </cell>
          <cell r="Z1525">
            <v>46160</v>
          </cell>
          <cell r="AA1525">
            <v>162</v>
          </cell>
          <cell r="AB1525">
            <v>8.6959999999999996E-2</v>
          </cell>
        </row>
        <row r="1526">
          <cell r="A1526" t="str">
            <v>F-2026-04-229</v>
          </cell>
          <cell r="B1526"/>
          <cell r="C1526" t="str">
            <v>FPRO-260416-0014</v>
          </cell>
          <cell r="D1526" t="str">
            <v>Firm plan 16.4</v>
          </cell>
          <cell r="E1526" t="str">
            <v>BDB-000113</v>
          </cell>
          <cell r="F1526" t="str">
            <v>PVN-003414</v>
          </cell>
          <cell r="G1526" t="str">
            <v>OrthoLite Regular-Hybrid SEEDPEARL/12-0703TPX Hybrid Flat Sheet 0.11D 25+/-4 Asker C 1.1M 2M 12mm</v>
          </cell>
          <cell r="H1526">
            <v>2500</v>
          </cell>
          <cell r="I1526">
            <v>2500</v>
          </cell>
          <cell r="J1526">
            <v>0</v>
          </cell>
          <cell r="K1526">
            <v>2500</v>
          </cell>
          <cell r="L1526" t="str">
            <v>ASICS</v>
          </cell>
          <cell r="M1526" t="str">
            <v>Forecast</v>
          </cell>
          <cell r="N1526" t="str">
            <v>MOLDED</v>
          </cell>
          <cell r="O1526">
            <v>1</v>
          </cell>
          <cell r="P1526">
            <v>46128</v>
          </cell>
          <cell r="Q1526">
            <v>46184</v>
          </cell>
          <cell r="R1526">
            <v>46181</v>
          </cell>
          <cell r="S1526">
            <v>56</v>
          </cell>
          <cell r="T1526">
            <v>12</v>
          </cell>
          <cell r="U1526">
            <v>11.5</v>
          </cell>
          <cell r="V1526">
            <v>218</v>
          </cell>
          <cell r="W1526" t="str">
            <v>0.11D</v>
          </cell>
          <cell r="X1526" t="str">
            <v>6-2026</v>
          </cell>
          <cell r="Y1526" t="str">
            <v>Week 23</v>
          </cell>
          <cell r="Z1526">
            <v>46174</v>
          </cell>
          <cell r="AA1526">
            <v>15</v>
          </cell>
          <cell r="AB1526">
            <v>8.6959999999999996E-2</v>
          </cell>
        </row>
        <row r="1527">
          <cell r="A1527" t="str">
            <v>F-2026-04-230</v>
          </cell>
          <cell r="B1527"/>
          <cell r="C1527" t="str">
            <v>FPRO-260416-0015</v>
          </cell>
          <cell r="D1527" t="str">
            <v>Firm plan 16.4</v>
          </cell>
          <cell r="E1527" t="str">
            <v>BDB-000113</v>
          </cell>
          <cell r="F1527" t="str">
            <v>PVN-003414</v>
          </cell>
          <cell r="G1527" t="str">
            <v>OrthoLite Regular-Hybrid SEEDPEARL/12-0703TPX Hybrid Flat Sheet 0.11D 25+/-4 Asker C 1.1M 2M 12mm</v>
          </cell>
          <cell r="H1527">
            <v>2500</v>
          </cell>
          <cell r="I1527">
            <v>2500</v>
          </cell>
          <cell r="J1527">
            <v>0</v>
          </cell>
          <cell r="K1527">
            <v>2500</v>
          </cell>
          <cell r="L1527" t="str">
            <v>ASICS</v>
          </cell>
          <cell r="M1527" t="str">
            <v>Forecast</v>
          </cell>
          <cell r="N1527" t="str">
            <v>MOLDED</v>
          </cell>
          <cell r="O1527">
            <v>1</v>
          </cell>
          <cell r="P1527">
            <v>46128</v>
          </cell>
          <cell r="Q1527">
            <v>46177</v>
          </cell>
          <cell r="R1527">
            <v>46174</v>
          </cell>
          <cell r="S1527">
            <v>49</v>
          </cell>
          <cell r="T1527">
            <v>12</v>
          </cell>
          <cell r="U1527">
            <v>11.5</v>
          </cell>
          <cell r="V1527">
            <v>218</v>
          </cell>
          <cell r="W1527" t="str">
            <v>0.11D</v>
          </cell>
          <cell r="X1527" t="str">
            <v>6-2026</v>
          </cell>
          <cell r="Y1527" t="str">
            <v>Week 22</v>
          </cell>
          <cell r="Z1527">
            <v>46167</v>
          </cell>
          <cell r="AA1527">
            <v>16</v>
          </cell>
          <cell r="AB1527">
            <v>8.6959999999999996E-2</v>
          </cell>
        </row>
        <row r="1528">
          <cell r="A1528" t="str">
            <v>F-2026-04-231</v>
          </cell>
          <cell r="B1528"/>
          <cell r="C1528" t="str">
            <v>FPRO-260416-0016</v>
          </cell>
          <cell r="D1528" t="str">
            <v>Firm plan 16.4</v>
          </cell>
          <cell r="E1528" t="str">
            <v>BDB-000113</v>
          </cell>
          <cell r="F1528" t="str">
            <v>PVN-003414</v>
          </cell>
          <cell r="G1528" t="str">
            <v>OrthoLite Regular-Hybrid SEEDPEARL/12-0703TPX Hybrid Flat Sheet 0.11D 25+/-4 Asker C 1.1M 2M 12mm</v>
          </cell>
          <cell r="H1528">
            <v>2500</v>
          </cell>
          <cell r="I1528">
            <v>2500</v>
          </cell>
          <cell r="J1528">
            <v>0</v>
          </cell>
          <cell r="K1528">
            <v>2500</v>
          </cell>
          <cell r="L1528" t="str">
            <v>ASICS</v>
          </cell>
          <cell r="M1528" t="str">
            <v>Forecast</v>
          </cell>
          <cell r="N1528" t="str">
            <v>MOLDED</v>
          </cell>
          <cell r="O1528">
            <v>1</v>
          </cell>
          <cell r="P1528">
            <v>46128</v>
          </cell>
          <cell r="Q1528">
            <v>46180</v>
          </cell>
          <cell r="R1528">
            <v>46177</v>
          </cell>
          <cell r="S1528">
            <v>52</v>
          </cell>
          <cell r="T1528">
            <v>12</v>
          </cell>
          <cell r="U1528">
            <v>11.5</v>
          </cell>
          <cell r="V1528">
            <v>218</v>
          </cell>
          <cell r="W1528" t="str">
            <v>0.11D</v>
          </cell>
          <cell r="X1528" t="str">
            <v>6-2026</v>
          </cell>
          <cell r="Y1528" t="str">
            <v>Week 23</v>
          </cell>
          <cell r="Z1528">
            <v>46174</v>
          </cell>
          <cell r="AA1528">
            <v>71</v>
          </cell>
          <cell r="AB1528">
            <v>8.6959999999999996E-2</v>
          </cell>
        </row>
        <row r="1529">
          <cell r="A1529" t="str">
            <v>F-2026-04-232</v>
          </cell>
          <cell r="B1529"/>
          <cell r="C1529" t="str">
            <v>FPRO-260416-0017</v>
          </cell>
          <cell r="D1529" t="str">
            <v>Firm plan 16.4</v>
          </cell>
          <cell r="E1529" t="str">
            <v>BDB-000113</v>
          </cell>
          <cell r="F1529" t="str">
            <v>PVN-003414</v>
          </cell>
          <cell r="G1529" t="str">
            <v>OrthoLite Regular-Hybrid SEEDPEARL/12-0703TPX Hybrid Flat Sheet 0.11D 25+/-4 Asker C 1.1M 2M 12mm</v>
          </cell>
          <cell r="H1529">
            <v>1300</v>
          </cell>
          <cell r="I1529">
            <v>1300</v>
          </cell>
          <cell r="J1529">
            <v>0</v>
          </cell>
          <cell r="K1529">
            <v>1300</v>
          </cell>
          <cell r="L1529" t="str">
            <v>ASICS</v>
          </cell>
          <cell r="M1529" t="str">
            <v>Forecast</v>
          </cell>
          <cell r="N1529" t="str">
            <v>MOLDED</v>
          </cell>
          <cell r="O1529" t="str">
            <v>1-SLT</v>
          </cell>
          <cell r="P1529">
            <v>46128</v>
          </cell>
          <cell r="Q1529">
            <v>46169</v>
          </cell>
          <cell r="R1529">
            <v>46166</v>
          </cell>
          <cell r="S1529">
            <v>41</v>
          </cell>
          <cell r="T1529">
            <v>12</v>
          </cell>
          <cell r="U1529">
            <v>11.5</v>
          </cell>
          <cell r="V1529">
            <v>114</v>
          </cell>
          <cell r="W1529" t="str">
            <v>0.11D</v>
          </cell>
          <cell r="X1529" t="str">
            <v>5-2026</v>
          </cell>
          <cell r="Y1529" t="str">
            <v>Week 21</v>
          </cell>
          <cell r="Z1529">
            <v>46160</v>
          </cell>
          <cell r="AA1529">
            <v>27</v>
          </cell>
          <cell r="AB1529">
            <v>8.6959999999999996E-2</v>
          </cell>
        </row>
        <row r="1530">
          <cell r="A1530" t="str">
            <v>F-2026-04-233</v>
          </cell>
          <cell r="B1530"/>
          <cell r="C1530" t="str">
            <v>FPRO-260416-0018</v>
          </cell>
          <cell r="D1530" t="str">
            <v>Firm plan 16.4</v>
          </cell>
          <cell r="E1530" t="str">
            <v>BDB-000011</v>
          </cell>
          <cell r="F1530" t="str">
            <v>PVN-000258</v>
          </cell>
          <cell r="G1530" t="str">
            <v>OrthoLite Regular AIR BLUE/16-4134TPX Flat Sheet 0.13D 35+/-4 Asker C 1.1M 2M 2.5mm</v>
          </cell>
          <cell r="H1530">
            <v>2000</v>
          </cell>
          <cell r="I1530">
            <v>2000</v>
          </cell>
          <cell r="J1530">
            <v>0</v>
          </cell>
          <cell r="K1530">
            <v>2000</v>
          </cell>
          <cell r="L1530" t="str">
            <v>ASICS</v>
          </cell>
          <cell r="M1530" t="str">
            <v>Forecast</v>
          </cell>
          <cell r="N1530" t="str">
            <v>SPLITTING</v>
          </cell>
          <cell r="O1530">
            <v>2</v>
          </cell>
          <cell r="P1530">
            <v>46128</v>
          </cell>
          <cell r="Q1530">
            <v>46175</v>
          </cell>
          <cell r="R1530">
            <v>46172</v>
          </cell>
          <cell r="S1530">
            <v>47</v>
          </cell>
          <cell r="T1530">
            <v>2.5</v>
          </cell>
          <cell r="U1530">
            <v>56</v>
          </cell>
          <cell r="V1530">
            <v>36</v>
          </cell>
          <cell r="W1530" t="str">
            <v>0.13D</v>
          </cell>
          <cell r="X1530" t="str">
            <v>6-2026</v>
          </cell>
          <cell r="Y1530" t="str">
            <v>Week 22</v>
          </cell>
          <cell r="Z1530">
            <v>46167</v>
          </cell>
          <cell r="AA1530">
            <v>93</v>
          </cell>
          <cell r="AB1530">
            <v>1.7860000000000001E-2</v>
          </cell>
        </row>
        <row r="1531">
          <cell r="A1531" t="str">
            <v>F-2026-04-234</v>
          </cell>
          <cell r="B1531"/>
          <cell r="C1531" t="str">
            <v>FPRO-260416-0019</v>
          </cell>
          <cell r="D1531" t="str">
            <v>Firm plan 16.4</v>
          </cell>
          <cell r="E1531" t="str">
            <v>BDB-000011</v>
          </cell>
          <cell r="F1531" t="str">
            <v>PVN-000258</v>
          </cell>
          <cell r="G1531" t="str">
            <v>OrthoLite Regular AIR BLUE/16-4134TPX Flat Sheet 0.13D 35+/-4 Asker C 1.1M 2M 2.5mm</v>
          </cell>
          <cell r="H1531">
            <v>2000</v>
          </cell>
          <cell r="I1531">
            <v>2000</v>
          </cell>
          <cell r="J1531">
            <v>0</v>
          </cell>
          <cell r="K1531">
            <v>2000</v>
          </cell>
          <cell r="L1531" t="str">
            <v>ASICS</v>
          </cell>
          <cell r="M1531" t="str">
            <v>Forecast</v>
          </cell>
          <cell r="N1531" t="str">
            <v>SPLITTING</v>
          </cell>
          <cell r="O1531">
            <v>2</v>
          </cell>
          <cell r="P1531">
            <v>46128</v>
          </cell>
          <cell r="Q1531">
            <v>46180</v>
          </cell>
          <cell r="R1531">
            <v>46177</v>
          </cell>
          <cell r="S1531">
            <v>52</v>
          </cell>
          <cell r="T1531">
            <v>2.5</v>
          </cell>
          <cell r="U1531">
            <v>56</v>
          </cell>
          <cell r="V1531">
            <v>36</v>
          </cell>
          <cell r="W1531" t="str">
            <v>0.13D</v>
          </cell>
          <cell r="X1531" t="str">
            <v>6-2026</v>
          </cell>
          <cell r="Y1531" t="str">
            <v>Week 23</v>
          </cell>
          <cell r="Z1531">
            <v>46174</v>
          </cell>
          <cell r="AA1531">
            <v>96</v>
          </cell>
          <cell r="AB1531">
            <v>1.7860000000000001E-2</v>
          </cell>
        </row>
        <row r="1532">
          <cell r="A1532" t="str">
            <v>F-2026-04-235</v>
          </cell>
          <cell r="B1532"/>
          <cell r="C1532" t="str">
            <v>FPRO-260416-0020</v>
          </cell>
          <cell r="D1532" t="str">
            <v>Firm plan 16.4</v>
          </cell>
          <cell r="E1532" t="str">
            <v>BDB-000011</v>
          </cell>
          <cell r="F1532" t="str">
            <v>PVN-000258</v>
          </cell>
          <cell r="G1532" t="str">
            <v>OrthoLite Regular AIR BLUE/16-4134TPX Flat Sheet 0.13D 35+/-4 Asker C 1.1M 2M 2.5mm</v>
          </cell>
          <cell r="H1532">
            <v>2000</v>
          </cell>
          <cell r="I1532">
            <v>2000</v>
          </cell>
          <cell r="J1532">
            <v>0</v>
          </cell>
          <cell r="K1532">
            <v>2000</v>
          </cell>
          <cell r="L1532" t="str">
            <v>ASICS</v>
          </cell>
          <cell r="M1532" t="str">
            <v>Forecast</v>
          </cell>
          <cell r="N1532" t="str">
            <v>SPLITTING</v>
          </cell>
          <cell r="O1532">
            <v>2</v>
          </cell>
          <cell r="P1532">
            <v>46128</v>
          </cell>
          <cell r="Q1532">
            <v>46187</v>
          </cell>
          <cell r="R1532">
            <v>46184</v>
          </cell>
          <cell r="S1532">
            <v>59</v>
          </cell>
          <cell r="T1532">
            <v>2.5</v>
          </cell>
          <cell r="U1532">
            <v>56</v>
          </cell>
          <cell r="V1532">
            <v>36</v>
          </cell>
          <cell r="W1532" t="str">
            <v>0.13D</v>
          </cell>
          <cell r="X1532" t="str">
            <v>6-2026</v>
          </cell>
          <cell r="Y1532" t="str">
            <v>Week 24</v>
          </cell>
          <cell r="Z1532">
            <v>46181</v>
          </cell>
          <cell r="AA1532">
            <v>41</v>
          </cell>
          <cell r="AB1532">
            <v>1.7860000000000001E-2</v>
          </cell>
        </row>
        <row r="1533">
          <cell r="A1533" t="str">
            <v>F-2026-04-236</v>
          </cell>
          <cell r="B1533"/>
          <cell r="C1533" t="str">
            <v>FPRO-260416-0021</v>
          </cell>
          <cell r="D1533" t="str">
            <v>Firm plan 16.4</v>
          </cell>
          <cell r="E1533" t="str">
            <v>BDB-000011</v>
          </cell>
          <cell r="F1533" t="str">
            <v>PVN-000258</v>
          </cell>
          <cell r="G1533" t="str">
            <v>OrthoLite Regular AIR BLUE/16-4134TPX Flat Sheet 0.13D 35+/-4 Asker C 1.1M 2M 2.5mm</v>
          </cell>
          <cell r="H1533">
            <v>2000</v>
          </cell>
          <cell r="I1533">
            <v>2000</v>
          </cell>
          <cell r="J1533">
            <v>0</v>
          </cell>
          <cell r="K1533">
            <v>2000</v>
          </cell>
          <cell r="L1533" t="str">
            <v>ASICS</v>
          </cell>
          <cell r="M1533" t="str">
            <v>Forecast</v>
          </cell>
          <cell r="N1533" t="str">
            <v>SPLITTING</v>
          </cell>
          <cell r="O1533">
            <v>2</v>
          </cell>
          <cell r="P1533">
            <v>46128</v>
          </cell>
          <cell r="Q1533">
            <v>46194</v>
          </cell>
          <cell r="R1533">
            <v>46191</v>
          </cell>
          <cell r="S1533">
            <v>66</v>
          </cell>
          <cell r="T1533">
            <v>2.5</v>
          </cell>
          <cell r="U1533">
            <v>56</v>
          </cell>
          <cell r="V1533">
            <v>36</v>
          </cell>
          <cell r="W1533" t="str">
            <v>0.13D</v>
          </cell>
          <cell r="X1533" t="str">
            <v>6-2026</v>
          </cell>
          <cell r="Y1533" t="str">
            <v>Week 24</v>
          </cell>
          <cell r="Z1533">
            <v>46181</v>
          </cell>
          <cell r="AA1533">
            <v>27</v>
          </cell>
          <cell r="AB1533">
            <v>1.7860000000000001E-2</v>
          </cell>
        </row>
        <row r="1534">
          <cell r="A1534" t="str">
            <v>F-2026-04-237</v>
          </cell>
          <cell r="B1534"/>
          <cell r="C1534" t="str">
            <v>FPRO-260416-0022</v>
          </cell>
          <cell r="D1534" t="str">
            <v>Firm plan 16.4</v>
          </cell>
          <cell r="E1534" t="str">
            <v>BDB-000011</v>
          </cell>
          <cell r="F1534" t="str">
            <v>PVN-000258</v>
          </cell>
          <cell r="G1534" t="str">
            <v>OrthoLite Regular AIR BLUE/16-4134TPX Flat Sheet 0.13D 35+/-4 Asker C 1.1M 2M 2.5mm</v>
          </cell>
          <cell r="H1534">
            <v>1500</v>
          </cell>
          <cell r="I1534">
            <v>1500</v>
          </cell>
          <cell r="J1534">
            <v>0</v>
          </cell>
          <cell r="K1534">
            <v>1500</v>
          </cell>
          <cell r="L1534" t="str">
            <v>ASICS</v>
          </cell>
          <cell r="M1534" t="str">
            <v>Forecast</v>
          </cell>
          <cell r="N1534" t="str">
            <v>SPLITTING</v>
          </cell>
          <cell r="O1534">
            <v>2</v>
          </cell>
          <cell r="P1534">
            <v>46128</v>
          </cell>
          <cell r="Q1534">
            <v>46201</v>
          </cell>
          <cell r="R1534">
            <v>46198</v>
          </cell>
          <cell r="S1534">
            <v>73</v>
          </cell>
          <cell r="T1534">
            <v>2.5</v>
          </cell>
          <cell r="U1534">
            <v>56</v>
          </cell>
          <cell r="V1534">
            <v>27</v>
          </cell>
          <cell r="W1534" t="str">
            <v>0.13D</v>
          </cell>
          <cell r="X1534" t="str">
            <v>6-2026</v>
          </cell>
          <cell r="Y1534" t="str">
            <v>Week 24</v>
          </cell>
          <cell r="Z1534">
            <v>46181</v>
          </cell>
          <cell r="AA1534">
            <v>25</v>
          </cell>
          <cell r="AB1534">
            <v>1.7860000000000001E-2</v>
          </cell>
        </row>
        <row r="1535">
          <cell r="A1535" t="str">
            <v>F-2026-04-238</v>
          </cell>
          <cell r="B1535"/>
          <cell r="C1535" t="str">
            <v>FPRO-260416-0023</v>
          </cell>
          <cell r="D1535" t="str">
            <v>Firm plan 16.4</v>
          </cell>
          <cell r="E1535" t="str">
            <v>BDB-000235</v>
          </cell>
          <cell r="F1535" t="str">
            <v>PVN-003576</v>
          </cell>
          <cell r="G1535" t="str">
            <v>OrthoLite X-55-Hybrid FOSSIL/17-0909TPX Hybrid Flat Sheet 0.16D 25+/-4 Asker C 1.1M 1.7M 12mm</v>
          </cell>
          <cell r="H1535">
            <v>2000</v>
          </cell>
          <cell r="I1535">
            <v>2000</v>
          </cell>
          <cell r="J1535">
            <v>0</v>
          </cell>
          <cell r="K1535">
            <v>2000</v>
          </cell>
          <cell r="L1535" t="str">
            <v>ASICS</v>
          </cell>
          <cell r="M1535" t="str">
            <v>Forecast</v>
          </cell>
          <cell r="N1535" t="str">
            <v>MOLDED</v>
          </cell>
          <cell r="O1535">
            <v>1</v>
          </cell>
          <cell r="P1535">
            <v>46128</v>
          </cell>
          <cell r="Q1535">
            <v>46164</v>
          </cell>
          <cell r="R1535">
            <v>46161</v>
          </cell>
          <cell r="S1535">
            <v>36</v>
          </cell>
          <cell r="T1535">
            <v>12</v>
          </cell>
          <cell r="U1535">
            <v>11.5</v>
          </cell>
          <cell r="V1535">
            <v>174</v>
          </cell>
          <cell r="W1535" t="str">
            <v>0.16D</v>
          </cell>
          <cell r="X1535" t="str">
            <v>5-2026</v>
          </cell>
          <cell r="Y1535" t="str">
            <v>Week 21</v>
          </cell>
          <cell r="Z1535">
            <v>46160</v>
          </cell>
          <cell r="AA1535">
            <v>27</v>
          </cell>
          <cell r="AB1535">
            <v>8.6959999999999996E-2</v>
          </cell>
        </row>
        <row r="1536">
          <cell r="A1536" t="str">
            <v>F-2026-04-239</v>
          </cell>
          <cell r="B1536"/>
          <cell r="C1536" t="str">
            <v>FPRO-260416-0024</v>
          </cell>
          <cell r="D1536" t="str">
            <v>Firm plan 16.4</v>
          </cell>
          <cell r="E1536" t="str">
            <v>BDB-000235</v>
          </cell>
          <cell r="F1536" t="str">
            <v>PVN-003576</v>
          </cell>
          <cell r="G1536" t="str">
            <v>OrthoLite X-55-Hybrid FOSSIL/17-0909TPX Hybrid Flat Sheet 0.16D 25+/-4 Asker C 1.1M 1.7M 12mm</v>
          </cell>
          <cell r="H1536">
            <v>2000</v>
          </cell>
          <cell r="I1536">
            <v>2000</v>
          </cell>
          <cell r="J1536">
            <v>0</v>
          </cell>
          <cell r="K1536">
            <v>2000</v>
          </cell>
          <cell r="L1536" t="str">
            <v>ASICS</v>
          </cell>
          <cell r="M1536" t="str">
            <v>Forecast</v>
          </cell>
          <cell r="N1536" t="str">
            <v>MOLDED</v>
          </cell>
          <cell r="O1536">
            <v>1</v>
          </cell>
          <cell r="P1536">
            <v>46128</v>
          </cell>
          <cell r="Q1536">
            <v>46175</v>
          </cell>
          <cell r="R1536">
            <v>46172</v>
          </cell>
          <cell r="S1536">
            <v>47</v>
          </cell>
          <cell r="T1536">
            <v>12</v>
          </cell>
          <cell r="U1536">
            <v>11.5</v>
          </cell>
          <cell r="V1536">
            <v>174</v>
          </cell>
          <cell r="W1536" t="str">
            <v>0.16D</v>
          </cell>
          <cell r="X1536" t="str">
            <v>6-2026</v>
          </cell>
          <cell r="Y1536" t="str">
            <v>Week 22</v>
          </cell>
          <cell r="Z1536">
            <v>46167</v>
          </cell>
          <cell r="AA1536">
            <v>27</v>
          </cell>
          <cell r="AB1536">
            <v>8.6959999999999996E-2</v>
          </cell>
        </row>
        <row r="1537">
          <cell r="A1537" t="str">
            <v>F-2026-04-240</v>
          </cell>
          <cell r="B1537"/>
          <cell r="C1537" t="str">
            <v>FPRO-260416-0025</v>
          </cell>
          <cell r="D1537" t="str">
            <v>Firm plan 16.4</v>
          </cell>
          <cell r="E1537" t="str">
            <v>BDB-000235</v>
          </cell>
          <cell r="F1537" t="str">
            <v>PVN-003576</v>
          </cell>
          <cell r="G1537" t="str">
            <v>OrthoLite X-55-Hybrid FOSSIL/17-0909TPX Hybrid Flat Sheet 0.16D 25+/-4 Asker C 1.1M 1.7M 12mm</v>
          </cell>
          <cell r="H1537">
            <v>2000</v>
          </cell>
          <cell r="I1537">
            <v>2000</v>
          </cell>
          <cell r="J1537">
            <v>0</v>
          </cell>
          <cell r="K1537">
            <v>2000</v>
          </cell>
          <cell r="L1537" t="str">
            <v>ASICS</v>
          </cell>
          <cell r="M1537" t="str">
            <v>Forecast</v>
          </cell>
          <cell r="N1537" t="str">
            <v>MOLDED</v>
          </cell>
          <cell r="O1537">
            <v>1</v>
          </cell>
          <cell r="P1537">
            <v>46128</v>
          </cell>
          <cell r="Q1537">
            <v>46179</v>
          </cell>
          <cell r="R1537">
            <v>46176</v>
          </cell>
          <cell r="S1537">
            <v>51</v>
          </cell>
          <cell r="T1537">
            <v>12</v>
          </cell>
          <cell r="U1537">
            <v>11.5</v>
          </cell>
          <cell r="V1537">
            <v>174</v>
          </cell>
          <cell r="W1537" t="str">
            <v>0.16D</v>
          </cell>
          <cell r="X1537" t="str">
            <v>6-2026</v>
          </cell>
          <cell r="Y1537" t="str">
            <v>Week 22</v>
          </cell>
          <cell r="Z1537">
            <v>46167</v>
          </cell>
          <cell r="AA1537">
            <v>27</v>
          </cell>
          <cell r="AB1537">
            <v>8.6959999999999996E-2</v>
          </cell>
        </row>
        <row r="1538">
          <cell r="A1538" t="str">
            <v>F-2026-04-241</v>
          </cell>
          <cell r="B1538"/>
          <cell r="C1538" t="str">
            <v>FPRO-260416-0026</v>
          </cell>
          <cell r="D1538" t="str">
            <v>Firm plan 16.4</v>
          </cell>
          <cell r="E1538" t="str">
            <v>BDB-000235</v>
          </cell>
          <cell r="F1538" t="str">
            <v>PVN-003576</v>
          </cell>
          <cell r="G1538" t="str">
            <v>OrthoLite X-55-Hybrid FOSSIL/17-0909TPX Hybrid Flat Sheet 0.16D 25+/-4 Asker C 1.1M 1.7M 12mm</v>
          </cell>
          <cell r="H1538">
            <v>2000</v>
          </cell>
          <cell r="I1538">
            <v>2000</v>
          </cell>
          <cell r="J1538">
            <v>0</v>
          </cell>
          <cell r="K1538">
            <v>2000</v>
          </cell>
          <cell r="L1538" t="str">
            <v>ASICS</v>
          </cell>
          <cell r="M1538" t="str">
            <v>Forecast</v>
          </cell>
          <cell r="N1538" t="str">
            <v>MOLDED</v>
          </cell>
          <cell r="O1538">
            <v>1</v>
          </cell>
          <cell r="P1538">
            <v>46128</v>
          </cell>
          <cell r="Q1538">
            <v>46170</v>
          </cell>
          <cell r="R1538">
            <v>46167</v>
          </cell>
          <cell r="S1538">
            <v>42</v>
          </cell>
          <cell r="T1538">
            <v>12</v>
          </cell>
          <cell r="U1538">
            <v>11.5</v>
          </cell>
          <cell r="V1538">
            <v>174</v>
          </cell>
          <cell r="W1538" t="str">
            <v>0.16D</v>
          </cell>
          <cell r="X1538" t="str">
            <v>5-2026</v>
          </cell>
          <cell r="Y1538" t="str">
            <v>Week 21</v>
          </cell>
          <cell r="Z1538">
            <v>46160</v>
          </cell>
          <cell r="AA1538">
            <v>27</v>
          </cell>
          <cell r="AB1538">
            <v>8.6959999999999996E-2</v>
          </cell>
        </row>
        <row r="1539">
          <cell r="A1539" t="str">
            <v>F-2026-04-242</v>
          </cell>
          <cell r="B1539"/>
          <cell r="C1539" t="str">
            <v>FPRO-260416-0027</v>
          </cell>
          <cell r="D1539" t="str">
            <v>Firm plan 16.4</v>
          </cell>
          <cell r="E1539" t="str">
            <v>BDB-000235</v>
          </cell>
          <cell r="F1539" t="str">
            <v>PVN-003576</v>
          </cell>
          <cell r="G1539" t="str">
            <v>OrthoLite X-55-Hybrid FOSSIL/17-0909TPX Hybrid Flat Sheet 0.16D 25+/-4 Asker C 1.1M 1.7M 12mm</v>
          </cell>
          <cell r="H1539">
            <v>500</v>
          </cell>
          <cell r="I1539">
            <v>500</v>
          </cell>
          <cell r="J1539">
            <v>0</v>
          </cell>
          <cell r="K1539">
            <v>500</v>
          </cell>
          <cell r="L1539" t="str">
            <v>ASICS</v>
          </cell>
          <cell r="M1539" t="str">
            <v>Forecast</v>
          </cell>
          <cell r="N1539" t="str">
            <v>MOLDED</v>
          </cell>
          <cell r="O1539">
            <v>1</v>
          </cell>
          <cell r="P1539">
            <v>46128</v>
          </cell>
          <cell r="Q1539">
            <v>46160</v>
          </cell>
          <cell r="R1539">
            <v>46157</v>
          </cell>
          <cell r="S1539">
            <v>32</v>
          </cell>
          <cell r="T1539">
            <v>12</v>
          </cell>
          <cell r="U1539">
            <v>11.5</v>
          </cell>
          <cell r="V1539">
            <v>44</v>
          </cell>
          <cell r="W1539" t="str">
            <v>0.16D</v>
          </cell>
          <cell r="X1539" t="str">
            <v>5-2026</v>
          </cell>
          <cell r="Y1539" t="str">
            <v>Week 20</v>
          </cell>
          <cell r="Z1539">
            <v>46153</v>
          </cell>
          <cell r="AA1539">
            <v>27</v>
          </cell>
          <cell r="AB1539">
            <v>8.6959999999999996E-2</v>
          </cell>
        </row>
        <row r="1540">
          <cell r="A1540" t="str">
            <v>F-2026-04-243</v>
          </cell>
          <cell r="B1540"/>
          <cell r="C1540" t="str">
            <v>FPRO-260416-0028</v>
          </cell>
          <cell r="D1540" t="str">
            <v>Firm plan 16.4</v>
          </cell>
          <cell r="E1540" t="str">
            <v>BDB-000113</v>
          </cell>
          <cell r="F1540" t="str">
            <v>PVN-002465</v>
          </cell>
          <cell r="G1540" t="str">
            <v>OrthoLite Regular-Hybrid SEEDPEARL/12-0703TPX Hybrid Flat Sheet 0.11D 25+/-4 Asker C 1.1M 2M 5mm</v>
          </cell>
          <cell r="H1540">
            <v>2500</v>
          </cell>
          <cell r="I1540">
            <v>2500</v>
          </cell>
          <cell r="J1540">
            <v>0</v>
          </cell>
          <cell r="K1540">
            <v>2500</v>
          </cell>
          <cell r="L1540" t="str">
            <v>ASICS</v>
          </cell>
          <cell r="M1540" t="str">
            <v>Forecast</v>
          </cell>
          <cell r="N1540" t="str">
            <v>DIE CUT</v>
          </cell>
          <cell r="O1540">
            <v>1</v>
          </cell>
          <cell r="P1540">
            <v>46128</v>
          </cell>
          <cell r="Q1540">
            <v>46162</v>
          </cell>
          <cell r="R1540">
            <v>46159</v>
          </cell>
          <cell r="S1540">
            <v>34</v>
          </cell>
          <cell r="T1540">
            <v>5</v>
          </cell>
          <cell r="U1540">
            <v>28</v>
          </cell>
          <cell r="V1540">
            <v>90</v>
          </cell>
          <cell r="W1540" t="str">
            <v>0.11D</v>
          </cell>
          <cell r="X1540" t="str">
            <v>5-2026</v>
          </cell>
          <cell r="Y1540" t="str">
            <v>Week 20</v>
          </cell>
          <cell r="Z1540">
            <v>46153</v>
          </cell>
          <cell r="AA1540">
            <v>27</v>
          </cell>
          <cell r="AB1540">
            <v>3.5709999999999999E-2</v>
          </cell>
        </row>
        <row r="1541">
          <cell r="A1541" t="str">
            <v>F-2026-04-244</v>
          </cell>
          <cell r="B1541"/>
          <cell r="C1541" t="str">
            <v>FPRO-260416-0029</v>
          </cell>
          <cell r="D1541" t="str">
            <v>Firm plan 16.4</v>
          </cell>
          <cell r="E1541" t="str">
            <v>BDB-000113</v>
          </cell>
          <cell r="F1541" t="str">
            <v>PVN-002465</v>
          </cell>
          <cell r="G1541" t="str">
            <v>OrthoLite Regular-Hybrid SEEDPEARL/12-0703TPX Hybrid Flat Sheet 0.11D 25+/-4 Asker C 1.1M 2M 5mm</v>
          </cell>
          <cell r="H1541">
            <v>2500</v>
          </cell>
          <cell r="I1541">
            <v>2500</v>
          </cell>
          <cell r="J1541">
            <v>0</v>
          </cell>
          <cell r="K1541">
            <v>2500</v>
          </cell>
          <cell r="L1541" t="str">
            <v>ASICS</v>
          </cell>
          <cell r="M1541" t="str">
            <v>Forecast</v>
          </cell>
          <cell r="N1541" t="str">
            <v>DIE CUT</v>
          </cell>
          <cell r="O1541">
            <v>1</v>
          </cell>
          <cell r="P1541">
            <v>46128</v>
          </cell>
          <cell r="Q1541">
            <v>46165</v>
          </cell>
          <cell r="R1541">
            <v>46162</v>
          </cell>
          <cell r="S1541">
            <v>37</v>
          </cell>
          <cell r="T1541">
            <v>5</v>
          </cell>
          <cell r="U1541">
            <v>28</v>
          </cell>
          <cell r="V1541">
            <v>90</v>
          </cell>
          <cell r="W1541" t="str">
            <v>0.11D</v>
          </cell>
          <cell r="X1541" t="str">
            <v>5-2026</v>
          </cell>
          <cell r="Y1541" t="str">
            <v>Week 21</v>
          </cell>
          <cell r="Z1541">
            <v>46160</v>
          </cell>
          <cell r="AA1541">
            <v>27</v>
          </cell>
          <cell r="AB1541">
            <v>3.5709999999999999E-2</v>
          </cell>
        </row>
        <row r="1542">
          <cell r="A1542" t="str">
            <v>F-2026-04-245</v>
          </cell>
          <cell r="B1542"/>
          <cell r="C1542" t="str">
            <v>FPRO-260416-0030</v>
          </cell>
          <cell r="D1542" t="str">
            <v>Firm plan 16.4</v>
          </cell>
          <cell r="E1542" t="str">
            <v>BDB-000113</v>
          </cell>
          <cell r="F1542" t="str">
            <v>PVN-002465</v>
          </cell>
          <cell r="G1542" t="str">
            <v>OrthoLite Regular-Hybrid SEEDPEARL/12-0703TPX Hybrid Flat Sheet 0.11D 25+/-4 Asker C 1.1M 2M 5mm</v>
          </cell>
          <cell r="H1542">
            <v>2500</v>
          </cell>
          <cell r="I1542">
            <v>2500</v>
          </cell>
          <cell r="J1542">
            <v>0</v>
          </cell>
          <cell r="K1542">
            <v>2500</v>
          </cell>
          <cell r="L1542" t="str">
            <v>ASICS</v>
          </cell>
          <cell r="M1542" t="str">
            <v>Forecast</v>
          </cell>
          <cell r="N1542" t="str">
            <v>DIE CUT</v>
          </cell>
          <cell r="O1542">
            <v>1</v>
          </cell>
          <cell r="P1542">
            <v>46128</v>
          </cell>
          <cell r="Q1542">
            <v>46169</v>
          </cell>
          <cell r="R1542">
            <v>46166</v>
          </cell>
          <cell r="S1542">
            <v>41</v>
          </cell>
          <cell r="T1542">
            <v>5</v>
          </cell>
          <cell r="U1542">
            <v>28</v>
          </cell>
          <cell r="V1542">
            <v>90</v>
          </cell>
          <cell r="W1542" t="str">
            <v>0.11D</v>
          </cell>
          <cell r="X1542" t="str">
            <v>5-2026</v>
          </cell>
          <cell r="Y1542" t="str">
            <v>Week 21</v>
          </cell>
          <cell r="Z1542">
            <v>46160</v>
          </cell>
          <cell r="AA1542">
            <v>27</v>
          </cell>
          <cell r="AB1542">
            <v>3.5709999999999999E-2</v>
          </cell>
        </row>
        <row r="1543">
          <cell r="A1543" t="str">
            <v>F-2026-04-246</v>
          </cell>
          <cell r="B1543"/>
          <cell r="C1543" t="str">
            <v>FPRO-260416-0031</v>
          </cell>
          <cell r="D1543" t="str">
            <v>Firm plan 16.4</v>
          </cell>
          <cell r="E1543" t="str">
            <v>BDB-000113</v>
          </cell>
          <cell r="F1543" t="str">
            <v>PVN-002465</v>
          </cell>
          <cell r="G1543" t="str">
            <v>OrthoLite Regular-Hybrid SEEDPEARL/12-0703TPX Hybrid Flat Sheet 0.11D 25+/-4 Asker C 1.1M 2M 5mm</v>
          </cell>
          <cell r="H1543">
            <v>2500</v>
          </cell>
          <cell r="I1543">
            <v>2500</v>
          </cell>
          <cell r="J1543">
            <v>0</v>
          </cell>
          <cell r="K1543">
            <v>2500</v>
          </cell>
          <cell r="L1543" t="str">
            <v>ASICS</v>
          </cell>
          <cell r="M1543" t="str">
            <v>Forecast</v>
          </cell>
          <cell r="N1543" t="str">
            <v>DIE CUT</v>
          </cell>
          <cell r="O1543">
            <v>1</v>
          </cell>
          <cell r="P1543">
            <v>46128</v>
          </cell>
          <cell r="Q1543">
            <v>46172</v>
          </cell>
          <cell r="R1543">
            <v>46169</v>
          </cell>
          <cell r="S1543">
            <v>44</v>
          </cell>
          <cell r="T1543">
            <v>5</v>
          </cell>
          <cell r="U1543">
            <v>28</v>
          </cell>
          <cell r="V1543">
            <v>90</v>
          </cell>
          <cell r="W1543" t="str">
            <v>0.11D</v>
          </cell>
          <cell r="X1543" t="str">
            <v>5-2026</v>
          </cell>
          <cell r="Y1543" t="str">
            <v>Week 21</v>
          </cell>
          <cell r="Z1543">
            <v>46160</v>
          </cell>
          <cell r="AA1543">
            <v>16</v>
          </cell>
          <cell r="AB1543">
            <v>3.5709999999999999E-2</v>
          </cell>
        </row>
        <row r="1544">
          <cell r="A1544" t="str">
            <v>F-2026-04-247</v>
          </cell>
          <cell r="B1544"/>
          <cell r="C1544" t="str">
            <v>FPRO-260416-0032</v>
          </cell>
          <cell r="D1544" t="str">
            <v>Firm plan 16.4</v>
          </cell>
          <cell r="E1544" t="str">
            <v>BDB-000113</v>
          </cell>
          <cell r="F1544" t="str">
            <v>PVN-002465</v>
          </cell>
          <cell r="G1544" t="str">
            <v>OrthoLite Regular-Hybrid SEEDPEARL/12-0703TPX Hybrid Flat Sheet 0.11D 25+/-4 Asker C 1.1M 2M 5mm</v>
          </cell>
          <cell r="H1544">
            <v>2500</v>
          </cell>
          <cell r="I1544">
            <v>2500</v>
          </cell>
          <cell r="J1544">
            <v>0</v>
          </cell>
          <cell r="K1544">
            <v>2500</v>
          </cell>
          <cell r="L1544" t="str">
            <v>ASICS</v>
          </cell>
          <cell r="M1544" t="str">
            <v>Forecast</v>
          </cell>
          <cell r="N1544" t="str">
            <v>DIE CUT</v>
          </cell>
          <cell r="O1544">
            <v>1</v>
          </cell>
          <cell r="P1544">
            <v>46128</v>
          </cell>
          <cell r="Q1544">
            <v>46158</v>
          </cell>
          <cell r="R1544">
            <v>46155</v>
          </cell>
          <cell r="S1544">
            <v>30</v>
          </cell>
          <cell r="T1544">
            <v>5</v>
          </cell>
          <cell r="U1544">
            <v>28</v>
          </cell>
          <cell r="V1544">
            <v>90</v>
          </cell>
          <cell r="W1544" t="str">
            <v>0.11D</v>
          </cell>
          <cell r="X1544" t="str">
            <v>5-2026</v>
          </cell>
          <cell r="Y1544" t="str">
            <v>Week 20</v>
          </cell>
          <cell r="Z1544">
            <v>46153</v>
          </cell>
          <cell r="AA1544">
            <v>16</v>
          </cell>
          <cell r="AB1544">
            <v>3.5709999999999999E-2</v>
          </cell>
        </row>
        <row r="1545">
          <cell r="A1545" t="str">
            <v>F-2026-04-248</v>
          </cell>
          <cell r="B1545"/>
          <cell r="C1545" t="str">
            <v>FPRO-260416-0033</v>
          </cell>
          <cell r="D1545" t="str">
            <v>Firm plan 16.4</v>
          </cell>
          <cell r="E1545" t="str">
            <v>BDB-000113</v>
          </cell>
          <cell r="F1545" t="str">
            <v>PVN-002465</v>
          </cell>
          <cell r="G1545" t="str">
            <v>OrthoLite Regular-Hybrid SEEDPEARL/12-0703TPX Hybrid Flat Sheet 0.11D 25+/-4 Asker C 1.1M 2M 5mm</v>
          </cell>
          <cell r="H1545">
            <v>2500</v>
          </cell>
          <cell r="I1545">
            <v>2500</v>
          </cell>
          <cell r="J1545">
            <v>0</v>
          </cell>
          <cell r="K1545">
            <v>2500</v>
          </cell>
          <cell r="L1545" t="str">
            <v>ASICS</v>
          </cell>
          <cell r="M1545" t="str">
            <v>Forecast</v>
          </cell>
          <cell r="N1545" t="str">
            <v>DIE CUT</v>
          </cell>
          <cell r="O1545">
            <v>1</v>
          </cell>
          <cell r="P1545">
            <v>46128</v>
          </cell>
          <cell r="Q1545">
            <v>46184</v>
          </cell>
          <cell r="R1545">
            <v>46181</v>
          </cell>
          <cell r="S1545">
            <v>56</v>
          </cell>
          <cell r="T1545">
            <v>5</v>
          </cell>
          <cell r="U1545">
            <v>28</v>
          </cell>
          <cell r="V1545">
            <v>90</v>
          </cell>
          <cell r="W1545" t="str">
            <v>0.11D</v>
          </cell>
          <cell r="X1545" t="str">
            <v>6-2026</v>
          </cell>
          <cell r="Y1545" t="str">
            <v>Week 23</v>
          </cell>
          <cell r="Z1545">
            <v>46174</v>
          </cell>
          <cell r="AA1545">
            <v>16</v>
          </cell>
          <cell r="AB1545">
            <v>3.5709999999999999E-2</v>
          </cell>
        </row>
        <row r="1546">
          <cell r="A1546" t="str">
            <v>F-2026-04-249</v>
          </cell>
          <cell r="B1546"/>
          <cell r="C1546" t="str">
            <v>FPRO-260416-0034</v>
          </cell>
          <cell r="D1546" t="str">
            <v>Firm plan 16.4</v>
          </cell>
          <cell r="E1546" t="str">
            <v>BDB-000113</v>
          </cell>
          <cell r="F1546" t="str">
            <v>PVN-002465</v>
          </cell>
          <cell r="G1546" t="str">
            <v>OrthoLite Regular-Hybrid SEEDPEARL/12-0703TPX Hybrid Flat Sheet 0.11D 25+/-4 Asker C 1.1M 2M 5mm</v>
          </cell>
          <cell r="H1546">
            <v>2500</v>
          </cell>
          <cell r="I1546">
            <v>2500</v>
          </cell>
          <cell r="J1546">
            <v>0</v>
          </cell>
          <cell r="K1546">
            <v>2500</v>
          </cell>
          <cell r="L1546" t="str">
            <v>ASICS</v>
          </cell>
          <cell r="M1546" t="str">
            <v>Forecast</v>
          </cell>
          <cell r="N1546" t="str">
            <v>DIE CUT</v>
          </cell>
          <cell r="O1546">
            <v>1</v>
          </cell>
          <cell r="P1546">
            <v>46128</v>
          </cell>
          <cell r="Q1546">
            <v>46187</v>
          </cell>
          <cell r="R1546">
            <v>46184</v>
          </cell>
          <cell r="S1546">
            <v>59</v>
          </cell>
          <cell r="T1546">
            <v>5</v>
          </cell>
          <cell r="U1546">
            <v>28</v>
          </cell>
          <cell r="V1546">
            <v>90</v>
          </cell>
          <cell r="W1546" t="str">
            <v>0.11D</v>
          </cell>
          <cell r="X1546" t="str">
            <v>6-2026</v>
          </cell>
          <cell r="Y1546" t="str">
            <v>Week 24</v>
          </cell>
          <cell r="Z1546">
            <v>46181</v>
          </cell>
          <cell r="AA1546">
            <v>2</v>
          </cell>
          <cell r="AB1546">
            <v>3.5709999999999999E-2</v>
          </cell>
        </row>
        <row r="1547">
          <cell r="A1547" t="str">
            <v>F-2026-04-250</v>
          </cell>
          <cell r="B1547"/>
          <cell r="C1547" t="str">
            <v>FPRO-260416-0035</v>
          </cell>
          <cell r="D1547" t="str">
            <v>Firm plan 16.4</v>
          </cell>
          <cell r="E1547" t="str">
            <v>BDB-000113</v>
          </cell>
          <cell r="F1547" t="str">
            <v>PVN-002465</v>
          </cell>
          <cell r="G1547" t="str">
            <v>OrthoLite Regular-Hybrid SEEDPEARL/12-0703TPX Hybrid Flat Sheet 0.11D 25+/-4 Asker C 1.1M 2M 5mm</v>
          </cell>
          <cell r="H1547">
            <v>2500</v>
          </cell>
          <cell r="I1547">
            <v>2500</v>
          </cell>
          <cell r="J1547">
            <v>0</v>
          </cell>
          <cell r="K1547">
            <v>2500</v>
          </cell>
          <cell r="L1547" t="str">
            <v>ASICS</v>
          </cell>
          <cell r="M1547" t="str">
            <v>Forecast</v>
          </cell>
          <cell r="N1547" t="str">
            <v>DIE CUT</v>
          </cell>
          <cell r="O1547">
            <v>1</v>
          </cell>
          <cell r="P1547">
            <v>46128</v>
          </cell>
          <cell r="Q1547">
            <v>46191</v>
          </cell>
          <cell r="R1547">
            <v>46188</v>
          </cell>
          <cell r="S1547">
            <v>63</v>
          </cell>
          <cell r="T1547">
            <v>5</v>
          </cell>
          <cell r="U1547">
            <v>28</v>
          </cell>
          <cell r="V1547">
            <v>90</v>
          </cell>
          <cell r="W1547" t="str">
            <v>0.11D</v>
          </cell>
          <cell r="X1547" t="str">
            <v>6-2026</v>
          </cell>
          <cell r="Y1547" t="str">
            <v>Week 24</v>
          </cell>
          <cell r="Z1547">
            <v>46181</v>
          </cell>
          <cell r="AA1547">
            <v>2</v>
          </cell>
          <cell r="AB1547">
            <v>3.5709999999999999E-2</v>
          </cell>
        </row>
        <row r="1548">
          <cell r="A1548" t="str">
            <v>F-2026-04-251</v>
          </cell>
          <cell r="B1548"/>
          <cell r="C1548" t="str">
            <v>FPRO-260416-0036</v>
          </cell>
          <cell r="D1548" t="str">
            <v>Firm plan 16.4</v>
          </cell>
          <cell r="E1548" t="str">
            <v>BDB-000113</v>
          </cell>
          <cell r="F1548" t="str">
            <v>PVN-002465</v>
          </cell>
          <cell r="G1548" t="str">
            <v>OrthoLite Regular-Hybrid SEEDPEARL/12-0703TPX Hybrid Flat Sheet 0.11D 25+/-4 Asker C 1.1M 2M 5mm</v>
          </cell>
          <cell r="H1548">
            <v>2500</v>
          </cell>
          <cell r="I1548">
            <v>2500</v>
          </cell>
          <cell r="J1548">
            <v>0</v>
          </cell>
          <cell r="K1548">
            <v>2500</v>
          </cell>
          <cell r="L1548" t="str">
            <v>ASICS</v>
          </cell>
          <cell r="M1548" t="str">
            <v>Forecast</v>
          </cell>
          <cell r="N1548" t="str">
            <v>DIE CUT</v>
          </cell>
          <cell r="O1548">
            <v>1</v>
          </cell>
          <cell r="P1548">
            <v>46128</v>
          </cell>
          <cell r="Q1548">
            <v>46194</v>
          </cell>
          <cell r="R1548">
            <v>46191</v>
          </cell>
          <cell r="S1548">
            <v>66</v>
          </cell>
          <cell r="T1548">
            <v>5</v>
          </cell>
          <cell r="U1548">
            <v>28</v>
          </cell>
          <cell r="V1548">
            <v>90</v>
          </cell>
          <cell r="W1548" t="str">
            <v>0.11D</v>
          </cell>
          <cell r="X1548" t="str">
            <v>6-2026</v>
          </cell>
          <cell r="Y1548" t="str">
            <v>Week 24</v>
          </cell>
          <cell r="Z1548">
            <v>46181</v>
          </cell>
          <cell r="AA1548">
            <v>24</v>
          </cell>
          <cell r="AB1548">
            <v>3.5709999999999999E-2</v>
          </cell>
        </row>
        <row r="1549">
          <cell r="A1549" t="str">
            <v>F-2026-04-252</v>
          </cell>
          <cell r="B1549"/>
          <cell r="C1549" t="str">
            <v>FPRO-260416-0037</v>
          </cell>
          <cell r="D1549" t="str">
            <v>Firm plan 16.4</v>
          </cell>
          <cell r="E1549" t="str">
            <v>BDB-000113</v>
          </cell>
          <cell r="F1549" t="str">
            <v>PVN-002465</v>
          </cell>
          <cell r="G1549" t="str">
            <v>OrthoLite Regular-Hybrid SEEDPEARL/12-0703TPX Hybrid Flat Sheet 0.11D 25+/-4 Asker C 1.1M 2M 5mm</v>
          </cell>
          <cell r="H1549">
            <v>2500</v>
          </cell>
          <cell r="I1549">
            <v>2500</v>
          </cell>
          <cell r="J1549">
            <v>0</v>
          </cell>
          <cell r="K1549">
            <v>2500</v>
          </cell>
          <cell r="L1549" t="str">
            <v>ASICS</v>
          </cell>
          <cell r="M1549" t="str">
            <v>Forecast</v>
          </cell>
          <cell r="N1549" t="str">
            <v>DIE CUT</v>
          </cell>
          <cell r="O1549">
            <v>1</v>
          </cell>
          <cell r="P1549">
            <v>46128</v>
          </cell>
          <cell r="Q1549">
            <v>46197</v>
          </cell>
          <cell r="R1549">
            <v>46194</v>
          </cell>
          <cell r="S1549">
            <v>69</v>
          </cell>
          <cell r="T1549">
            <v>5</v>
          </cell>
          <cell r="U1549">
            <v>28</v>
          </cell>
          <cell r="V1549">
            <v>90</v>
          </cell>
          <cell r="W1549" t="str">
            <v>0.11D</v>
          </cell>
          <cell r="X1549" t="str">
            <v>6-2026</v>
          </cell>
          <cell r="Y1549" t="str">
            <v>Week 24</v>
          </cell>
          <cell r="Z1549">
            <v>46181</v>
          </cell>
          <cell r="AA1549">
            <v>7</v>
          </cell>
          <cell r="AB1549">
            <v>3.5709999999999999E-2</v>
          </cell>
        </row>
        <row r="1550">
          <cell r="A1550" t="str">
            <v>F-2026-04-253</v>
          </cell>
          <cell r="B1550"/>
          <cell r="C1550" t="str">
            <v>FPRO-260416-0038</v>
          </cell>
          <cell r="D1550" t="str">
            <v>Firm plan 16.4</v>
          </cell>
          <cell r="E1550" t="str">
            <v>BDB-000113</v>
          </cell>
          <cell r="F1550" t="str">
            <v>PVN-002465</v>
          </cell>
          <cell r="G1550" t="str">
            <v>OrthoLite Regular-Hybrid SEEDPEARL/12-0703TPX Hybrid Flat Sheet 0.11D 25+/-4 Asker C 1.1M 2M 5mm</v>
          </cell>
          <cell r="H1550">
            <v>2500</v>
          </cell>
          <cell r="I1550">
            <v>2500</v>
          </cell>
          <cell r="J1550">
            <v>0</v>
          </cell>
          <cell r="K1550">
            <v>2500</v>
          </cell>
          <cell r="L1550" t="str">
            <v>ASICS</v>
          </cell>
          <cell r="M1550" t="str">
            <v>Forecast</v>
          </cell>
          <cell r="N1550" t="str">
            <v>DIE CUT</v>
          </cell>
          <cell r="O1550">
            <v>1</v>
          </cell>
          <cell r="P1550">
            <v>46128</v>
          </cell>
          <cell r="Q1550">
            <v>46201</v>
          </cell>
          <cell r="R1550">
            <v>46198</v>
          </cell>
          <cell r="S1550">
            <v>73</v>
          </cell>
          <cell r="T1550">
            <v>5</v>
          </cell>
          <cell r="U1550">
            <v>28</v>
          </cell>
          <cell r="V1550">
            <v>90</v>
          </cell>
          <cell r="W1550" t="str">
            <v>0.11D</v>
          </cell>
          <cell r="X1550" t="str">
            <v>6-2026</v>
          </cell>
          <cell r="Y1550" t="str">
            <v>Week 24</v>
          </cell>
          <cell r="Z1550">
            <v>46181</v>
          </cell>
          <cell r="AA1550">
            <v>84</v>
          </cell>
          <cell r="AB1550">
            <v>3.5709999999999999E-2</v>
          </cell>
        </row>
        <row r="1551">
          <cell r="A1551" t="str">
            <v>F-2026-04-254</v>
          </cell>
          <cell r="B1551"/>
          <cell r="C1551" t="str">
            <v>FPRO-260416-0039</v>
          </cell>
          <cell r="D1551" t="str">
            <v>Firm plan 16.4</v>
          </cell>
          <cell r="E1551" t="str">
            <v>BDB-000113</v>
          </cell>
          <cell r="F1551" t="str">
            <v>PVN-002465</v>
          </cell>
          <cell r="G1551" t="str">
            <v>OrthoLite Regular-Hybrid SEEDPEARL/12-0703TPX Hybrid Flat Sheet 0.11D 25+/-4 Asker C 1.1M 2M 5mm</v>
          </cell>
          <cell r="H1551">
            <v>2500</v>
          </cell>
          <cell r="I1551">
            <v>2500</v>
          </cell>
          <cell r="J1551">
            <v>0</v>
          </cell>
          <cell r="K1551">
            <v>2500</v>
          </cell>
          <cell r="L1551" t="str">
            <v>ASICS</v>
          </cell>
          <cell r="M1551" t="str">
            <v>Forecast</v>
          </cell>
          <cell r="N1551" t="str">
            <v>DIE CUT</v>
          </cell>
          <cell r="O1551">
            <v>1</v>
          </cell>
          <cell r="P1551">
            <v>46128</v>
          </cell>
          <cell r="Q1551">
            <v>46164</v>
          </cell>
          <cell r="R1551">
            <v>46161</v>
          </cell>
          <cell r="S1551">
            <v>36</v>
          </cell>
          <cell r="T1551">
            <v>5</v>
          </cell>
          <cell r="U1551">
            <v>28</v>
          </cell>
          <cell r="V1551">
            <v>90</v>
          </cell>
          <cell r="W1551" t="str">
            <v>0.11D</v>
          </cell>
          <cell r="X1551" t="str">
            <v>5-2026</v>
          </cell>
          <cell r="Y1551" t="str">
            <v>Week 21</v>
          </cell>
          <cell r="Z1551">
            <v>46160</v>
          </cell>
          <cell r="AA1551">
            <v>84</v>
          </cell>
          <cell r="AB1551">
            <v>3.5709999999999999E-2</v>
          </cell>
        </row>
        <row r="1552">
          <cell r="A1552" t="str">
            <v>F-2026-04-255</v>
          </cell>
          <cell r="B1552"/>
          <cell r="C1552" t="str">
            <v>FPRO-260416-0040</v>
          </cell>
          <cell r="D1552" t="str">
            <v>Firm plan 16.4</v>
          </cell>
          <cell r="E1552" t="str">
            <v>BDB-000113</v>
          </cell>
          <cell r="F1552" t="str">
            <v>PVN-002465</v>
          </cell>
          <cell r="G1552" t="str">
            <v>OrthoLite Regular-Hybrid SEEDPEARL/12-0703TPX Hybrid Flat Sheet 0.11D 25+/-4 Asker C 1.1M 2M 5mm</v>
          </cell>
          <cell r="H1552">
            <v>2500</v>
          </cell>
          <cell r="I1552">
            <v>2500</v>
          </cell>
          <cell r="J1552">
            <v>0</v>
          </cell>
          <cell r="K1552">
            <v>2500</v>
          </cell>
          <cell r="L1552" t="str">
            <v>ASICS</v>
          </cell>
          <cell r="M1552" t="str">
            <v>Forecast</v>
          </cell>
          <cell r="N1552" t="str">
            <v>DIE CUT</v>
          </cell>
          <cell r="O1552">
            <v>1</v>
          </cell>
          <cell r="P1552">
            <v>46128</v>
          </cell>
          <cell r="Q1552">
            <v>46160</v>
          </cell>
          <cell r="R1552">
            <v>46157</v>
          </cell>
          <cell r="S1552">
            <v>32</v>
          </cell>
          <cell r="T1552">
            <v>5</v>
          </cell>
          <cell r="U1552">
            <v>28</v>
          </cell>
          <cell r="V1552">
            <v>90</v>
          </cell>
          <cell r="W1552" t="str">
            <v>0.11D</v>
          </cell>
          <cell r="X1552" t="str">
            <v>5-2026</v>
          </cell>
          <cell r="Y1552" t="str">
            <v>Week 20</v>
          </cell>
          <cell r="Z1552">
            <v>46153</v>
          </cell>
          <cell r="AA1552">
            <v>84</v>
          </cell>
          <cell r="AB1552">
            <v>3.5709999999999999E-2</v>
          </cell>
        </row>
        <row r="1553">
          <cell r="A1553" t="str">
            <v>F-2026-04-256</v>
          </cell>
          <cell r="B1553"/>
          <cell r="C1553" t="str">
            <v>FPRO-260416-0041</v>
          </cell>
          <cell r="D1553" t="str">
            <v>Firm plan 16.4</v>
          </cell>
          <cell r="E1553" t="str">
            <v>BDB-000113</v>
          </cell>
          <cell r="F1553" t="str">
            <v>PVN-002465</v>
          </cell>
          <cell r="G1553" t="str">
            <v>OrthoLite Regular-Hybrid SEEDPEARL/12-0703TPX Hybrid Flat Sheet 0.11D 25+/-4 Asker C 1.1M 2M 5mm</v>
          </cell>
          <cell r="H1553">
            <v>1500</v>
          </cell>
          <cell r="I1553">
            <v>1500</v>
          </cell>
          <cell r="J1553">
            <v>0</v>
          </cell>
          <cell r="K1553">
            <v>1500</v>
          </cell>
          <cell r="L1553" t="str">
            <v>ASICS</v>
          </cell>
          <cell r="M1553" t="str">
            <v>Forecast</v>
          </cell>
          <cell r="N1553" t="str">
            <v>DIE CUT</v>
          </cell>
          <cell r="O1553">
            <v>1</v>
          </cell>
          <cell r="P1553">
            <v>46128</v>
          </cell>
          <cell r="Q1553">
            <v>46181</v>
          </cell>
          <cell r="R1553">
            <v>46178</v>
          </cell>
          <cell r="S1553">
            <v>53</v>
          </cell>
          <cell r="T1553">
            <v>5</v>
          </cell>
          <cell r="U1553">
            <v>28</v>
          </cell>
          <cell r="V1553">
            <v>54</v>
          </cell>
          <cell r="W1553" t="str">
            <v>0.11D</v>
          </cell>
          <cell r="X1553" t="str">
            <v>6-2026</v>
          </cell>
          <cell r="Y1553" t="str">
            <v>Week 22</v>
          </cell>
          <cell r="Z1553">
            <v>46167</v>
          </cell>
          <cell r="AA1553">
            <v>84</v>
          </cell>
          <cell r="AB1553">
            <v>3.5709999999999999E-2</v>
          </cell>
        </row>
        <row r="1554">
          <cell r="A1554" t="str">
            <v>F-2026-04-257</v>
          </cell>
          <cell r="B1554"/>
          <cell r="C1554" t="str">
            <v>RPRO-260417-0230</v>
          </cell>
          <cell r="D1554" t="str">
            <v>MPS 16.4</v>
          </cell>
          <cell r="E1554" t="str">
            <v>BDB-000056</v>
          </cell>
          <cell r="F1554" t="str">
            <v>PVN-001983</v>
          </cell>
          <cell r="G1554" t="str">
            <v>OrthoLite X-40 SEEDPEARL/12-0703TPX Flat Sheet 0.16D 25+/-4 Asker C 1.1M 1.7M 5mm</v>
          </cell>
          <cell r="H1554">
            <v>700</v>
          </cell>
          <cell r="I1554">
            <v>700</v>
          </cell>
          <cell r="J1554">
            <v>0</v>
          </cell>
          <cell r="K1554">
            <v>700</v>
          </cell>
          <cell r="L1554"/>
          <cell r="M1554" t="str">
            <v>MPS</v>
          </cell>
          <cell r="N1554" t="str">
            <v>SPLITTING</v>
          </cell>
          <cell r="O1554">
            <v>2</v>
          </cell>
          <cell r="P1554">
            <v>46129</v>
          </cell>
          <cell r="Q1554">
            <v>46140</v>
          </cell>
          <cell r="R1554">
            <v>46137</v>
          </cell>
          <cell r="S1554">
            <v>11</v>
          </cell>
          <cell r="T1554">
            <v>5</v>
          </cell>
          <cell r="U1554">
            <v>28</v>
          </cell>
          <cell r="V1554">
            <v>25</v>
          </cell>
          <cell r="W1554" t="str">
            <v>0.16D</v>
          </cell>
          <cell r="X1554" t="str">
            <v>4-2026</v>
          </cell>
          <cell r="Y1554" t="str">
            <v>Week 17</v>
          </cell>
          <cell r="Z1554">
            <v>46132</v>
          </cell>
          <cell r="AA1554">
            <v>84</v>
          </cell>
          <cell r="AB1554">
            <v>3.5709999999999999E-2</v>
          </cell>
        </row>
        <row r="1555">
          <cell r="A1555" t="str">
            <v>F-2026-04-258</v>
          </cell>
          <cell r="B1555"/>
          <cell r="C1555" t="str">
            <v>RPRO-260417-0231</v>
          </cell>
          <cell r="D1555" t="str">
            <v>MPS 16.4</v>
          </cell>
          <cell r="E1555" t="str">
            <v>BDB-000200</v>
          </cell>
          <cell r="F1555" t="str">
            <v>PVN-003418</v>
          </cell>
          <cell r="G1555" t="str">
            <v>OrthoLite Ultra SEEDPEARL/12-0703TPX Flat Sheet 0.085D 78-90 Asker F 1.1M 2M 5mm</v>
          </cell>
          <cell r="H1555">
            <v>140</v>
          </cell>
          <cell r="I1555">
            <v>140</v>
          </cell>
          <cell r="J1555">
            <v>0</v>
          </cell>
          <cell r="K1555">
            <v>140</v>
          </cell>
          <cell r="L1555"/>
          <cell r="M1555" t="str">
            <v>MPS</v>
          </cell>
          <cell r="N1555" t="str">
            <v>SPLITTING</v>
          </cell>
          <cell r="O1555">
            <v>2</v>
          </cell>
          <cell r="P1555">
            <v>46129</v>
          </cell>
          <cell r="Q1555">
            <v>46141</v>
          </cell>
          <cell r="R1555">
            <v>46138</v>
          </cell>
          <cell r="S1555">
            <v>12</v>
          </cell>
          <cell r="T1555">
            <v>5</v>
          </cell>
          <cell r="U1555">
            <v>28</v>
          </cell>
          <cell r="V1555">
            <v>5</v>
          </cell>
          <cell r="W1555" t="str">
            <v>0.085D</v>
          </cell>
          <cell r="X1555" t="str">
            <v>4-2026</v>
          </cell>
          <cell r="Y1555" t="str">
            <v>Week 17</v>
          </cell>
          <cell r="Z1555">
            <v>46132</v>
          </cell>
          <cell r="AA1555">
            <v>84</v>
          </cell>
          <cell r="AB1555">
            <v>3.5709999999999999E-2</v>
          </cell>
        </row>
        <row r="1556">
          <cell r="A1556" t="str">
            <v>F-2026-04-259</v>
          </cell>
          <cell r="B1556"/>
          <cell r="C1556" t="str">
            <v>RPRO-260417-0232</v>
          </cell>
          <cell r="D1556" t="str">
            <v>MPS 16.4</v>
          </cell>
          <cell r="E1556" t="str">
            <v>BDB-000200</v>
          </cell>
          <cell r="F1556" t="str">
            <v>PVN-003425</v>
          </cell>
          <cell r="G1556" t="str">
            <v>OrthoLite Ultra SEEDPEARL/12-0703TPX Flat Sheet 0.085D 78-90 Asker F 1.1M 2M 4mm</v>
          </cell>
          <cell r="H1556">
            <v>1120</v>
          </cell>
          <cell r="I1556">
            <v>1120</v>
          </cell>
          <cell r="J1556">
            <v>0</v>
          </cell>
          <cell r="K1556">
            <v>1120</v>
          </cell>
          <cell r="L1556"/>
          <cell r="M1556" t="str">
            <v>MPS</v>
          </cell>
          <cell r="N1556" t="str">
            <v>SPLITTING</v>
          </cell>
          <cell r="O1556">
            <v>2</v>
          </cell>
          <cell r="P1556">
            <v>46129</v>
          </cell>
          <cell r="Q1556">
            <v>46147</v>
          </cell>
          <cell r="R1556">
            <v>46144</v>
          </cell>
          <cell r="S1556">
            <v>18</v>
          </cell>
          <cell r="T1556">
            <v>4</v>
          </cell>
          <cell r="U1556">
            <v>35</v>
          </cell>
          <cell r="V1556">
            <v>32</v>
          </cell>
          <cell r="W1556" t="str">
            <v>0.085D</v>
          </cell>
          <cell r="X1556" t="str">
            <v>5-2026</v>
          </cell>
          <cell r="Y1556" t="str">
            <v>Week 17</v>
          </cell>
          <cell r="Z1556">
            <v>46132</v>
          </cell>
          <cell r="AA1556">
            <v>84</v>
          </cell>
          <cell r="AB1556">
            <v>2.8570000000000002E-2</v>
          </cell>
        </row>
        <row r="1557">
          <cell r="A1557" t="str">
            <v>F-2026-04-260</v>
          </cell>
          <cell r="B1557"/>
          <cell r="C1557" t="str">
            <v>RPRO-260417-0233</v>
          </cell>
          <cell r="D1557" t="str">
            <v>Pro.sche.report 16.4</v>
          </cell>
          <cell r="E1557" t="str">
            <v>BDB-000346</v>
          </cell>
          <cell r="F1557" t="str">
            <v>PVN-004188</v>
          </cell>
          <cell r="G1557" t="str">
            <v>OrthoLite Float NEUTRAL GRAY/17-4402TPX Flat Sheet 0.12D 21+/-4 Asker C 1.1M 1.47M 5.5mm</v>
          </cell>
          <cell r="H1557">
            <v>50</v>
          </cell>
          <cell r="I1557">
            <v>50</v>
          </cell>
          <cell r="J1557">
            <v>0</v>
          </cell>
          <cell r="K1557">
            <v>50</v>
          </cell>
          <cell r="L1557" t="str">
            <v>PUMA</v>
          </cell>
          <cell r="M1557" t="str">
            <v>Pr.Sch.R</v>
          </cell>
          <cell r="N1557" t="str">
            <v>MOLDED</v>
          </cell>
          <cell r="O1557">
            <v>1</v>
          </cell>
          <cell r="P1557">
            <v>46129</v>
          </cell>
          <cell r="Q1557">
            <v>46148</v>
          </cell>
          <cell r="R1557">
            <v>46145</v>
          </cell>
          <cell r="S1557">
            <v>19</v>
          </cell>
          <cell r="T1557">
            <v>5.5</v>
          </cell>
          <cell r="U1557">
            <v>25</v>
          </cell>
          <cell r="V1557">
            <v>2</v>
          </cell>
          <cell r="W1557" t="e">
            <v>#N/A</v>
          </cell>
          <cell r="X1557" t="str">
            <v>5-2026</v>
          </cell>
          <cell r="Y1557" t="str">
            <v>Week 17</v>
          </cell>
          <cell r="Z1557">
            <v>46132</v>
          </cell>
          <cell r="AA1557">
            <v>84</v>
          </cell>
          <cell r="AB1557">
            <v>0.04</v>
          </cell>
        </row>
        <row r="1558">
          <cell r="A1558" t="str">
            <v>F-2026-04-261</v>
          </cell>
          <cell r="B1558"/>
          <cell r="C1558" t="str">
            <v>RPRO-260417-0234</v>
          </cell>
          <cell r="D1558" t="str">
            <v>Pro.sche.report 16.4</v>
          </cell>
          <cell r="E1558" t="str">
            <v>BDB-000126</v>
          </cell>
          <cell r="F1558" t="str">
            <v>PVN-002325</v>
          </cell>
          <cell r="G1558" t="str">
            <v>OrthoLite Regular-Nike RED/19-1764TPX Flat Sheet 0.11D 25+/-4 Asker C 1.1M 2M 5.2mm</v>
          </cell>
          <cell r="H1558">
            <v>260</v>
          </cell>
          <cell r="I1558">
            <v>260</v>
          </cell>
          <cell r="J1558">
            <v>0</v>
          </cell>
          <cell r="K1558">
            <v>260</v>
          </cell>
          <cell r="L1558" t="str">
            <v>NIKE</v>
          </cell>
          <cell r="M1558" t="str">
            <v>Pr.Sch.R</v>
          </cell>
          <cell r="N1558" t="str">
            <v>MOLDED</v>
          </cell>
          <cell r="O1558">
            <v>1</v>
          </cell>
          <cell r="P1558">
            <v>46129</v>
          </cell>
          <cell r="Q1558">
            <v>46148</v>
          </cell>
          <cell r="R1558">
            <v>46145</v>
          </cell>
          <cell r="S1558">
            <v>19</v>
          </cell>
          <cell r="T1558">
            <v>5.2</v>
          </cell>
          <cell r="U1558">
            <v>26</v>
          </cell>
          <cell r="V1558">
            <v>10</v>
          </cell>
          <cell r="W1558" t="str">
            <v>0.11D</v>
          </cell>
          <cell r="X1558" t="str">
            <v>5-2026</v>
          </cell>
          <cell r="Y1558" t="str">
            <v>Week 17</v>
          </cell>
          <cell r="Z1558">
            <v>46132</v>
          </cell>
          <cell r="AA1558">
            <v>140</v>
          </cell>
          <cell r="AB1558">
            <v>3.8460000000000001E-2</v>
          </cell>
        </row>
        <row r="1559">
          <cell r="A1559" t="str">
            <v>F-2026-04-262</v>
          </cell>
          <cell r="B1559"/>
          <cell r="C1559" t="str">
            <v>RPRO-260417-0235</v>
          </cell>
          <cell r="D1559" t="str">
            <v>Pro.sche.report 16.4</v>
          </cell>
          <cell r="E1559" t="str">
            <v>BDB-000157</v>
          </cell>
          <cell r="F1559" t="str">
            <v>PVN-003642</v>
          </cell>
          <cell r="G1559" t="str">
            <v>OrthoLite X-35-Hybrid-Nike SEEDPEARL/12-0703TPX Hybrid Flat Sheet 0.145D 25+/-4 Asker C 1.1M 2M 6.2mm</v>
          </cell>
          <cell r="H1559">
            <v>242</v>
          </cell>
          <cell r="I1559">
            <v>242</v>
          </cell>
          <cell r="J1559">
            <v>0</v>
          </cell>
          <cell r="K1559">
            <v>242</v>
          </cell>
          <cell r="L1559" t="str">
            <v>NIKE</v>
          </cell>
          <cell r="M1559" t="str">
            <v>Pr.Sch.R</v>
          </cell>
          <cell r="N1559" t="str">
            <v>MOLDED</v>
          </cell>
          <cell r="O1559">
            <v>1</v>
          </cell>
          <cell r="P1559">
            <v>46129</v>
          </cell>
          <cell r="Q1559">
            <v>46140</v>
          </cell>
          <cell r="R1559">
            <v>46137</v>
          </cell>
          <cell r="S1559">
            <v>11</v>
          </cell>
          <cell r="T1559">
            <v>6.2</v>
          </cell>
          <cell r="U1559">
            <v>22</v>
          </cell>
          <cell r="V1559">
            <v>11</v>
          </cell>
          <cell r="W1559" t="str">
            <v>0.145D</v>
          </cell>
          <cell r="X1559" t="str">
            <v>4-2026</v>
          </cell>
          <cell r="Y1559" t="str">
            <v>Week 17</v>
          </cell>
          <cell r="Z1559">
            <v>46132</v>
          </cell>
          <cell r="AA1559">
            <v>140</v>
          </cell>
          <cell r="AB1559">
            <v>4.5449999999999997E-2</v>
          </cell>
        </row>
        <row r="1560">
          <cell r="A1560" t="str">
            <v>F-2026-04-263</v>
          </cell>
          <cell r="B1560"/>
          <cell r="C1560" t="str">
            <v>RPRO-260417-0236</v>
          </cell>
          <cell r="D1560" t="str">
            <v>Pro.sche.report 16.4</v>
          </cell>
          <cell r="E1560" t="str">
            <v>BDB-000319</v>
          </cell>
          <cell r="F1560" t="str">
            <v>PVN-004247</v>
          </cell>
          <cell r="G1560" t="str">
            <v>OrthoLite X-40-Hybrid-Nike SEEDPEARL/12-0703TPX Hybrid Flat Sheet 0.16D 25+/-4 Asker C 1.1M 2M 4.2mm</v>
          </cell>
          <cell r="H1560">
            <v>165</v>
          </cell>
          <cell r="I1560">
            <v>165</v>
          </cell>
          <cell r="J1560">
            <v>0</v>
          </cell>
          <cell r="K1560">
            <v>165</v>
          </cell>
          <cell r="L1560" t="str">
            <v>NIKE</v>
          </cell>
          <cell r="M1560" t="str">
            <v>Pr.Sch.R</v>
          </cell>
          <cell r="N1560" t="str">
            <v>MOLDED</v>
          </cell>
          <cell r="O1560">
            <v>1</v>
          </cell>
          <cell r="P1560">
            <v>46129</v>
          </cell>
          <cell r="Q1560">
            <v>46137</v>
          </cell>
          <cell r="R1560">
            <v>46134</v>
          </cell>
          <cell r="S1560">
            <v>8</v>
          </cell>
          <cell r="T1560">
            <v>4.2</v>
          </cell>
          <cell r="U1560">
            <v>33</v>
          </cell>
          <cell r="V1560">
            <v>5</v>
          </cell>
          <cell r="W1560" t="e">
            <v>#N/A</v>
          </cell>
          <cell r="X1560" t="str">
            <v>4-2026</v>
          </cell>
          <cell r="Y1560" t="str">
            <v>Week 17</v>
          </cell>
          <cell r="Z1560">
            <v>46132</v>
          </cell>
          <cell r="AA1560">
            <v>140</v>
          </cell>
          <cell r="AB1560">
            <v>3.0300000000000001E-2</v>
          </cell>
        </row>
        <row r="1561">
          <cell r="A1561" t="str">
            <v>F-2026-04-264</v>
          </cell>
          <cell r="B1561"/>
          <cell r="C1561" t="str">
            <v>RPRO-260417-0237</v>
          </cell>
          <cell r="D1561" t="str">
            <v>Pro.sche.report 16.4</v>
          </cell>
          <cell r="E1561" t="str">
            <v>BDB-000339</v>
          </cell>
          <cell r="F1561" t="str">
            <v>PVN-004178</v>
          </cell>
          <cell r="G1561" t="str">
            <v>OrthoLite Float NEUTRAL GRAY/17-4402TPX Flat Sheet 0.12D 21+/-4 Asker C 1.1M 2M 5.5mm</v>
          </cell>
          <cell r="H1561">
            <v>300</v>
          </cell>
          <cell r="I1561">
            <v>300</v>
          </cell>
          <cell r="J1561">
            <v>0</v>
          </cell>
          <cell r="K1561">
            <v>300</v>
          </cell>
          <cell r="L1561" t="str">
            <v>PUMA</v>
          </cell>
          <cell r="M1561" t="str">
            <v>Pr.Sch.R</v>
          </cell>
          <cell r="N1561" t="str">
            <v>MOLDED</v>
          </cell>
          <cell r="O1561">
            <v>1</v>
          </cell>
          <cell r="P1561">
            <v>46129</v>
          </cell>
          <cell r="Q1561">
            <v>46148</v>
          </cell>
          <cell r="R1561">
            <v>46145</v>
          </cell>
          <cell r="S1561">
            <v>19</v>
          </cell>
          <cell r="T1561">
            <v>5.5</v>
          </cell>
          <cell r="U1561">
            <v>25</v>
          </cell>
          <cell r="V1561">
            <v>12</v>
          </cell>
          <cell r="W1561" t="e">
            <v>#N/A</v>
          </cell>
          <cell r="X1561" t="str">
            <v>5-2026</v>
          </cell>
          <cell r="Y1561" t="str">
            <v>Week 17</v>
          </cell>
          <cell r="Z1561">
            <v>46132</v>
          </cell>
          <cell r="AA1561">
            <v>140</v>
          </cell>
          <cell r="AB1561">
            <v>0.04</v>
          </cell>
        </row>
        <row r="1562">
          <cell r="A1562" t="str">
            <v>F-2026-04-265</v>
          </cell>
          <cell r="B1562"/>
          <cell r="C1562" t="str">
            <v>RPRO-260417-0238</v>
          </cell>
          <cell r="D1562" t="str">
            <v>Pro.sche.report 16.4</v>
          </cell>
          <cell r="E1562" t="str">
            <v>BDB-000154</v>
          </cell>
          <cell r="F1562" t="str">
            <v>PVN-003347</v>
          </cell>
          <cell r="G1562" t="str">
            <v>OrthoLite X-40-Nike TRUE BLUE/19-4057TPX Flat Sheet 0.16D 35+/-4 Asker C 1.1M 1.7M 4mm</v>
          </cell>
          <cell r="H1562">
            <v>175</v>
          </cell>
          <cell r="I1562">
            <v>175</v>
          </cell>
          <cell r="J1562">
            <v>0</v>
          </cell>
          <cell r="K1562">
            <v>175</v>
          </cell>
          <cell r="L1562" t="str">
            <v>NIKE</v>
          </cell>
          <cell r="M1562" t="str">
            <v>Pr.Sch.R</v>
          </cell>
          <cell r="N1562" t="str">
            <v>LAMINATING</v>
          </cell>
          <cell r="O1562">
            <v>1</v>
          </cell>
          <cell r="P1562">
            <v>46129</v>
          </cell>
          <cell r="Q1562">
            <v>46140</v>
          </cell>
          <cell r="R1562">
            <v>46137</v>
          </cell>
          <cell r="S1562">
            <v>11</v>
          </cell>
          <cell r="T1562">
            <v>4</v>
          </cell>
          <cell r="U1562">
            <v>35</v>
          </cell>
          <cell r="V1562">
            <v>5</v>
          </cell>
          <cell r="W1562" t="str">
            <v>0.16D</v>
          </cell>
          <cell r="X1562" t="str">
            <v>4-2026</v>
          </cell>
          <cell r="Y1562" t="str">
            <v>Week 17</v>
          </cell>
          <cell r="Z1562">
            <v>46132</v>
          </cell>
          <cell r="AA1562">
            <v>140</v>
          </cell>
          <cell r="AB1562">
            <v>2.8570000000000002E-2</v>
          </cell>
        </row>
        <row r="1563">
          <cell r="A1563" t="str">
            <v>F-2026-04-266</v>
          </cell>
          <cell r="B1563"/>
          <cell r="C1563" t="str">
            <v>RPRO-260417-0239</v>
          </cell>
          <cell r="D1563" t="str">
            <v>Pro.sche.report 16.4</v>
          </cell>
          <cell r="E1563" t="str">
            <v>BDB-000334</v>
          </cell>
          <cell r="F1563" t="str">
            <v>PVN-004327</v>
          </cell>
          <cell r="G1563" t="str">
            <v>OrthoLite X-55-Hybrid FOSSIL/17-0909TPX Hybrid Flat Sheet 0.16D 25+/-4 Asker C 1.1M 2M 6mm</v>
          </cell>
          <cell r="H1563">
            <v>161</v>
          </cell>
          <cell r="I1563">
            <v>161</v>
          </cell>
          <cell r="J1563">
            <v>0</v>
          </cell>
          <cell r="K1563">
            <v>161</v>
          </cell>
          <cell r="L1563" t="str">
            <v>ASICS</v>
          </cell>
          <cell r="M1563" t="str">
            <v>Pr.Sch.R</v>
          </cell>
          <cell r="N1563" t="str">
            <v>MOLDED</v>
          </cell>
          <cell r="O1563">
            <v>1</v>
          </cell>
          <cell r="P1563">
            <v>46129</v>
          </cell>
          <cell r="Q1563">
            <v>46137</v>
          </cell>
          <cell r="R1563">
            <v>46134</v>
          </cell>
          <cell r="S1563">
            <v>8</v>
          </cell>
          <cell r="T1563">
            <v>6</v>
          </cell>
          <cell r="U1563">
            <v>23</v>
          </cell>
          <cell r="V1563">
            <v>8</v>
          </cell>
          <cell r="W1563" t="e">
            <v>#N/A</v>
          </cell>
          <cell r="X1563" t="str">
            <v>4-2026</v>
          </cell>
          <cell r="Y1563" t="str">
            <v>Week 17</v>
          </cell>
          <cell r="Z1563">
            <v>46132</v>
          </cell>
          <cell r="AA1563">
            <v>140</v>
          </cell>
          <cell r="AB1563">
            <v>4.1669999999999999E-2</v>
          </cell>
        </row>
        <row r="1564">
          <cell r="A1564" t="str">
            <v>F-2026-04-267</v>
          </cell>
          <cell r="B1564"/>
          <cell r="C1564" t="str">
            <v>RPRO-260417-0240</v>
          </cell>
          <cell r="D1564" t="str">
            <v>Pro.sche.report 16.4</v>
          </cell>
          <cell r="E1564" t="str">
            <v>BDB-000217</v>
          </cell>
          <cell r="F1564" t="str">
            <v>PVN-003733</v>
          </cell>
          <cell r="G1564" t="str">
            <v>OrthoLite X-40-Hybrid SEEDPEARL/12-0703TPX Hybrid Flat Sheet 0.16D 35+/-4 Asker C 1.1M 1.7M 12.5mm</v>
          </cell>
          <cell r="H1564">
            <v>20</v>
          </cell>
          <cell r="I1564">
            <v>20</v>
          </cell>
          <cell r="J1564">
            <v>0</v>
          </cell>
          <cell r="K1564">
            <v>20</v>
          </cell>
          <cell r="L1564" t="str">
            <v>OBOZ</v>
          </cell>
          <cell r="M1564" t="str">
            <v>Pr.Sch.R</v>
          </cell>
          <cell r="N1564" t="str">
            <v>MOLDED</v>
          </cell>
          <cell r="O1564">
            <v>1</v>
          </cell>
          <cell r="P1564">
            <v>46129</v>
          </cell>
          <cell r="Q1564">
            <v>46141</v>
          </cell>
          <cell r="R1564">
            <v>46138</v>
          </cell>
          <cell r="S1564">
            <v>12</v>
          </cell>
          <cell r="T1564">
            <v>12.5</v>
          </cell>
          <cell r="U1564">
            <v>10</v>
          </cell>
          <cell r="V1564">
            <v>2</v>
          </cell>
          <cell r="W1564" t="str">
            <v>0.16D</v>
          </cell>
          <cell r="X1564" t="str">
            <v>4-2026</v>
          </cell>
          <cell r="Y1564" t="str">
            <v>Week 17</v>
          </cell>
          <cell r="Z1564">
            <v>46132</v>
          </cell>
          <cell r="AA1564">
            <v>140</v>
          </cell>
          <cell r="AB1564">
            <v>0.1</v>
          </cell>
        </row>
        <row r="1565">
          <cell r="A1565" t="str">
            <v>F-2026-04-268</v>
          </cell>
          <cell r="B1565"/>
          <cell r="C1565" t="str">
            <v>RPRO-260417-0241</v>
          </cell>
          <cell r="D1565" t="str">
            <v>Pro.sche.report 16.4</v>
          </cell>
          <cell r="E1565" t="str">
            <v>BDB-000349</v>
          </cell>
          <cell r="F1565" t="str">
            <v>PVN-004352</v>
          </cell>
          <cell r="G1565" t="str">
            <v>OrthoLite Ultra GREEN/16-5932TPX Flat Sheet 0.085D 15+/-4 Asker C 1.1M 2M 11mm</v>
          </cell>
          <cell r="H1565">
            <v>168</v>
          </cell>
          <cell r="I1565">
            <v>168</v>
          </cell>
          <cell r="J1565">
            <v>0</v>
          </cell>
          <cell r="K1565">
            <v>168</v>
          </cell>
          <cell r="L1565" t="str">
            <v>BLACKYAK</v>
          </cell>
          <cell r="M1565" t="str">
            <v>Pr.Sch.R</v>
          </cell>
          <cell r="N1565" t="str">
            <v>MOLDED</v>
          </cell>
          <cell r="O1565">
            <v>1</v>
          </cell>
          <cell r="P1565">
            <v>46129</v>
          </cell>
          <cell r="Q1565">
            <v>46148</v>
          </cell>
          <cell r="R1565">
            <v>46145</v>
          </cell>
          <cell r="S1565">
            <v>19</v>
          </cell>
          <cell r="T1565">
            <v>11</v>
          </cell>
          <cell r="U1565">
            <v>12</v>
          </cell>
          <cell r="V1565">
            <v>14</v>
          </cell>
          <cell r="W1565" t="e">
            <v>#N/A</v>
          </cell>
          <cell r="X1565" t="str">
            <v>5-2026</v>
          </cell>
          <cell r="Y1565" t="str">
            <v>Week 17</v>
          </cell>
          <cell r="Z1565">
            <v>46132</v>
          </cell>
          <cell r="AA1565">
            <v>85</v>
          </cell>
          <cell r="AB1565">
            <v>8.3330000000000001E-2</v>
          </cell>
        </row>
        <row r="1566">
          <cell r="A1566" t="str">
            <v>F-2026-04-269</v>
          </cell>
          <cell r="B1566"/>
          <cell r="C1566" t="str">
            <v>RPRO-260417-0242</v>
          </cell>
          <cell r="D1566" t="str">
            <v>Pro.sche.report 16.4</v>
          </cell>
          <cell r="E1566" t="str">
            <v>BDB-000004</v>
          </cell>
          <cell r="F1566" t="str">
            <v>PVN-004003</v>
          </cell>
          <cell r="G1566" t="str">
            <v>OrthoLite Regular GREY/17-1501TPX Flat Sheet 0.11D 25+/-4 Asker C 1.1M 2M 11mm</v>
          </cell>
          <cell r="H1566">
            <v>12</v>
          </cell>
          <cell r="I1566">
            <v>12</v>
          </cell>
          <cell r="J1566">
            <v>0</v>
          </cell>
          <cell r="K1566">
            <v>12</v>
          </cell>
          <cell r="L1566" t="str">
            <v>DANNER</v>
          </cell>
          <cell r="M1566" t="str">
            <v>Pr.Sch.R</v>
          </cell>
          <cell r="N1566" t="str">
            <v>MOLDED</v>
          </cell>
          <cell r="O1566">
            <v>1</v>
          </cell>
          <cell r="P1566">
            <v>46129</v>
          </cell>
          <cell r="Q1566">
            <v>46141</v>
          </cell>
          <cell r="R1566">
            <v>46138</v>
          </cell>
          <cell r="S1566">
            <v>12</v>
          </cell>
          <cell r="T1566">
            <v>11</v>
          </cell>
          <cell r="U1566">
            <v>12</v>
          </cell>
          <cell r="V1566">
            <v>1</v>
          </cell>
          <cell r="W1566" t="str">
            <v>0.11D</v>
          </cell>
          <cell r="X1566" t="str">
            <v>4-2026</v>
          </cell>
          <cell r="Y1566" t="str">
            <v>Week 17</v>
          </cell>
          <cell r="Z1566">
            <v>46132</v>
          </cell>
          <cell r="AA1566">
            <v>85</v>
          </cell>
          <cell r="AB1566">
            <v>8.3330000000000001E-2</v>
          </cell>
        </row>
        <row r="1567">
          <cell r="A1567" t="str">
            <v>F-2026-04-270</v>
          </cell>
          <cell r="B1567"/>
          <cell r="C1567" t="str">
            <v>RPRO-260418-0031</v>
          </cell>
          <cell r="D1567" t="str">
            <v>Pro.sche.report 16.4</v>
          </cell>
          <cell r="E1567" t="str">
            <v>BDB-000157</v>
          </cell>
          <cell r="F1567" t="str">
            <v>PVN-003244</v>
          </cell>
          <cell r="G1567" t="str">
            <v>OrthoLite X-35-Hybrid-Nike SEEDPEARL/12-0703TPX Hybrid Flat Sheet 0.145D 25+/-4 Asker C 1.1M 2M 5.2mm (SLT)</v>
          </cell>
          <cell r="H1567">
            <v>100</v>
          </cell>
          <cell r="I1567">
            <v>100</v>
          </cell>
          <cell r="J1567">
            <v>0</v>
          </cell>
          <cell r="K1567">
            <v>100</v>
          </cell>
          <cell r="L1567" t="str">
            <v>NIKE</v>
          </cell>
          <cell r="M1567" t="str">
            <v>Pr.Sch.R</v>
          </cell>
          <cell r="N1567" t="str">
            <v>MOLDED</v>
          </cell>
          <cell r="O1567" t="str">
            <v>1-SLT</v>
          </cell>
          <cell r="P1567">
            <v>46129</v>
          </cell>
          <cell r="Q1567">
            <v>46148</v>
          </cell>
          <cell r="R1567">
            <v>46145</v>
          </cell>
          <cell r="S1567">
            <v>19</v>
          </cell>
          <cell r="T1567">
            <v>5.2</v>
          </cell>
          <cell r="U1567">
            <v>26</v>
          </cell>
          <cell r="V1567">
            <v>4</v>
          </cell>
          <cell r="W1567" t="str">
            <v>0.145D</v>
          </cell>
          <cell r="X1567" t="str">
            <v>5-2026</v>
          </cell>
          <cell r="Y1567" t="str">
            <v>Week 17</v>
          </cell>
          <cell r="Z1567">
            <v>46132</v>
          </cell>
          <cell r="AA1567">
            <v>85</v>
          </cell>
          <cell r="AB1567">
            <v>3.8460000000000001E-2</v>
          </cell>
        </row>
        <row r="1568">
          <cell r="A1568" t="str">
            <v>F-2026-04-271</v>
          </cell>
          <cell r="B1568"/>
          <cell r="C1568" t="str">
            <v>RPRO-260418-0032</v>
          </cell>
          <cell r="D1568" t="str">
            <v>Pro.sche.report 16.4</v>
          </cell>
          <cell r="E1568" t="str">
            <v>BDB-000157</v>
          </cell>
          <cell r="F1568" t="str">
            <v>PVN-003244</v>
          </cell>
          <cell r="G1568" t="str">
            <v>OrthoLite X-35-Hybrid-Nike SEEDPEARL/12-0703TPX Hybrid Flat Sheet 0.145D 25+/-4 Asker C 1.1M 2M 5.2mm</v>
          </cell>
          <cell r="H1568">
            <v>118</v>
          </cell>
          <cell r="I1568">
            <v>118</v>
          </cell>
          <cell r="J1568">
            <v>0</v>
          </cell>
          <cell r="K1568">
            <v>118</v>
          </cell>
          <cell r="L1568" t="str">
            <v>NIKE</v>
          </cell>
          <cell r="M1568" t="str">
            <v>Pr.Sch.R</v>
          </cell>
          <cell r="N1568" t="str">
            <v>MOLDED</v>
          </cell>
          <cell r="O1568" t="str">
            <v>1-SLT</v>
          </cell>
          <cell r="P1568">
            <v>46129</v>
          </cell>
          <cell r="Q1568">
            <v>46148</v>
          </cell>
          <cell r="R1568">
            <v>46145</v>
          </cell>
          <cell r="S1568">
            <v>19</v>
          </cell>
          <cell r="T1568">
            <v>5.2</v>
          </cell>
          <cell r="U1568">
            <v>26</v>
          </cell>
          <cell r="V1568">
            <v>5</v>
          </cell>
          <cell r="W1568" t="str">
            <v>0.145D</v>
          </cell>
          <cell r="X1568" t="str">
            <v>5-2026</v>
          </cell>
          <cell r="Y1568" t="str">
            <v>Week 17</v>
          </cell>
          <cell r="Z1568">
            <v>46132</v>
          </cell>
          <cell r="AA1568">
            <v>85</v>
          </cell>
          <cell r="AB1568">
            <v>3.8460000000000001E-2</v>
          </cell>
        </row>
        <row r="1569">
          <cell r="A1569" t="str">
            <v>F-2026-04-272</v>
          </cell>
          <cell r="B1569" t="str">
            <v>pending mail MY 20.04</v>
          </cell>
          <cell r="C1569" t="str">
            <v>FPRO-260418-0002</v>
          </cell>
          <cell r="D1569" t="str">
            <v>Firm plan 20.04</v>
          </cell>
          <cell r="E1569" t="str">
            <v>BDB-000180</v>
          </cell>
          <cell r="F1569" t="str">
            <v>PVN-003236</v>
          </cell>
          <cell r="G1569" t="str">
            <v>OrthoLite Eco LT-Hybrid-Converse SEEDPEARL/12-0703TPX Hybrid 0.13D 25+/-4 Asker C 1.1M 2M 5mm</v>
          </cell>
          <cell r="H1569">
            <v>855</v>
          </cell>
          <cell r="I1569">
            <v>855</v>
          </cell>
          <cell r="J1569">
            <v>0</v>
          </cell>
          <cell r="K1569">
            <v>855</v>
          </cell>
          <cell r="L1569" t="str">
            <v>CONVERSE</v>
          </cell>
          <cell r="M1569" t="str">
            <v>Forecast</v>
          </cell>
          <cell r="N1569" t="str">
            <v>DIE CUT</v>
          </cell>
          <cell r="O1569">
            <v>1</v>
          </cell>
          <cell r="P1569">
            <v>46132</v>
          </cell>
          <cell r="Q1569">
            <v>46141</v>
          </cell>
          <cell r="R1569">
            <v>46138</v>
          </cell>
          <cell r="S1569">
            <v>9</v>
          </cell>
          <cell r="T1569">
            <v>5</v>
          </cell>
          <cell r="U1569">
            <v>28</v>
          </cell>
          <cell r="V1569">
            <v>31</v>
          </cell>
          <cell r="W1569" t="str">
            <v>0.13D</v>
          </cell>
          <cell r="X1569" t="str">
            <v>4-2026</v>
          </cell>
          <cell r="Y1569" t="str">
            <v>Week 17</v>
          </cell>
          <cell r="Z1569">
            <v>46132</v>
          </cell>
          <cell r="AA1569">
            <v>85</v>
          </cell>
          <cell r="AB1569">
            <v>3.5709999999999999E-2</v>
          </cell>
        </row>
        <row r="1570">
          <cell r="A1570" t="str">
            <v>F-2026-04-273</v>
          </cell>
          <cell r="B1570" t="str">
            <v>pending mail MY 20.04</v>
          </cell>
          <cell r="C1570" t="str">
            <v>FPRO-260418-0003</v>
          </cell>
          <cell r="D1570" t="str">
            <v>Firm plan 20.04</v>
          </cell>
          <cell r="E1570" t="str">
            <v>BDB-000181</v>
          </cell>
          <cell r="F1570" t="str">
            <v>PVN-003238</v>
          </cell>
          <cell r="G1570" t="str">
            <v>OrthoLite Eco LT-Hybrid-Converse SEEDPEARL/12-0703TPX Hybrid 0.11D 25+/-4 Asker C 1.1M 2M 5mm</v>
          </cell>
          <cell r="H1570">
            <v>2000</v>
          </cell>
          <cell r="I1570">
            <v>2000</v>
          </cell>
          <cell r="J1570">
            <v>0</v>
          </cell>
          <cell r="K1570">
            <v>2000</v>
          </cell>
          <cell r="L1570" t="str">
            <v>CONVERSE</v>
          </cell>
          <cell r="M1570" t="str">
            <v>Forecast</v>
          </cell>
          <cell r="N1570" t="str">
            <v>DIE CUT</v>
          </cell>
          <cell r="O1570">
            <v>1</v>
          </cell>
          <cell r="P1570">
            <v>46132</v>
          </cell>
          <cell r="Q1570">
            <v>46148</v>
          </cell>
          <cell r="R1570">
            <v>46145</v>
          </cell>
          <cell r="S1570">
            <v>16</v>
          </cell>
          <cell r="T1570">
            <v>5</v>
          </cell>
          <cell r="U1570">
            <v>28</v>
          </cell>
          <cell r="V1570">
            <v>72</v>
          </cell>
          <cell r="W1570" t="str">
            <v>0.11D</v>
          </cell>
          <cell r="X1570" t="str">
            <v>5-2026</v>
          </cell>
          <cell r="Y1570" t="str">
            <v>Week 17</v>
          </cell>
          <cell r="Z1570">
            <v>46132</v>
          </cell>
          <cell r="AA1570">
            <v>139</v>
          </cell>
          <cell r="AB1570">
            <v>3.5709999999999999E-2</v>
          </cell>
        </row>
        <row r="1571">
          <cell r="A1571" t="str">
            <v>F-2026-04-274</v>
          </cell>
          <cell r="B1571"/>
          <cell r="C1571" t="str">
            <v>FPRO-260418-0004</v>
          </cell>
          <cell r="D1571" t="str">
            <v>Firm plan 20.04</v>
          </cell>
          <cell r="E1571" t="str">
            <v>BDB-000181</v>
          </cell>
          <cell r="F1571" t="str">
            <v>PVN-003238</v>
          </cell>
          <cell r="G1571" t="str">
            <v>OrthoLite Eco LT-Hybrid-Converse SEEDPEARL/12-0703TPX Hybrid 0.11D 25+/-4 Asker C 1.1M 2M 5mm</v>
          </cell>
          <cell r="H1571">
            <v>2209</v>
          </cell>
          <cell r="I1571">
            <v>2209</v>
          </cell>
          <cell r="J1571">
            <v>0</v>
          </cell>
          <cell r="K1571">
            <v>2209</v>
          </cell>
          <cell r="L1571" t="str">
            <v>CONVERSE</v>
          </cell>
          <cell r="M1571" t="str">
            <v>Forecast</v>
          </cell>
          <cell r="N1571" t="str">
            <v>SPLITTING</v>
          </cell>
          <cell r="O1571">
            <v>2</v>
          </cell>
          <cell r="P1571">
            <v>46132</v>
          </cell>
          <cell r="Q1571">
            <v>46160</v>
          </cell>
          <cell r="R1571">
            <v>46157</v>
          </cell>
          <cell r="S1571">
            <v>28</v>
          </cell>
          <cell r="T1571">
            <v>5</v>
          </cell>
          <cell r="U1571">
            <v>28</v>
          </cell>
          <cell r="V1571">
            <v>79</v>
          </cell>
          <cell r="W1571" t="str">
            <v>0.11D</v>
          </cell>
          <cell r="X1571" t="str">
            <v>5-2026</v>
          </cell>
          <cell r="Y1571" t="str">
            <v>Week 20</v>
          </cell>
          <cell r="Z1571">
            <v>46153</v>
          </cell>
          <cell r="AA1571">
            <v>139</v>
          </cell>
          <cell r="AB1571">
            <v>3.5709999999999999E-2</v>
          </cell>
        </row>
        <row r="1572">
          <cell r="A1572" t="str">
            <v>F-2026-04-275</v>
          </cell>
          <cell r="B1572"/>
          <cell r="C1572" t="str">
            <v>RPRO-260420-0504</v>
          </cell>
          <cell r="D1572" t="str">
            <v>MPS 17.04+18.04+19.04</v>
          </cell>
          <cell r="E1572" t="str">
            <v>BDB-000058</v>
          </cell>
          <cell r="F1572" t="str">
            <v>PVN-001277</v>
          </cell>
          <cell r="G1572" t="str">
            <v>OrthoLite Ultra GREEN/16-5932TPX Flat Sheet 0.085D 25+/-4 Asker C 1.1M 2M 4mm</v>
          </cell>
          <cell r="H1572">
            <v>70</v>
          </cell>
          <cell r="I1572">
            <v>70</v>
          </cell>
          <cell r="J1572">
            <v>0</v>
          </cell>
          <cell r="K1572">
            <v>70</v>
          </cell>
          <cell r="L1572"/>
          <cell r="M1572" t="str">
            <v>MPS</v>
          </cell>
          <cell r="N1572" t="str">
            <v>SPLITTING</v>
          </cell>
          <cell r="O1572">
            <v>2</v>
          </cell>
          <cell r="P1572">
            <v>46132</v>
          </cell>
          <cell r="Q1572">
            <v>46151</v>
          </cell>
          <cell r="R1572">
            <v>46148</v>
          </cell>
          <cell r="S1572">
            <v>19</v>
          </cell>
          <cell r="T1572">
            <v>4</v>
          </cell>
          <cell r="U1572">
            <v>35</v>
          </cell>
          <cell r="V1572">
            <v>2</v>
          </cell>
          <cell r="W1572" t="str">
            <v>0.085D</v>
          </cell>
          <cell r="X1572" t="str">
            <v>5-2026</v>
          </cell>
          <cell r="Y1572" t="str">
            <v>Week 18</v>
          </cell>
          <cell r="Z1572">
            <v>46139</v>
          </cell>
          <cell r="AA1572">
            <v>139</v>
          </cell>
          <cell r="AB1572">
            <v>2.8570000000000002E-2</v>
          </cell>
        </row>
        <row r="1573">
          <cell r="A1573" t="str">
            <v>F-2026-04-276</v>
          </cell>
          <cell r="B1573"/>
          <cell r="C1573" t="str">
            <v>RPRO-260420-0505</v>
          </cell>
          <cell r="D1573" t="str">
            <v>MPS 17.04+18.04+19.04</v>
          </cell>
          <cell r="E1573" t="str">
            <v>BDB-000016</v>
          </cell>
          <cell r="F1573" t="str">
            <v>PVN-001814</v>
          </cell>
          <cell r="G1573" t="str">
            <v>OrthoLite Regular GREEN/16-5932TPX Flat Sheet 0.13D 35+/-4 Asker C 1.1M 2M 3.5mm</v>
          </cell>
          <cell r="H1573">
            <v>320</v>
          </cell>
          <cell r="I1573">
            <v>320</v>
          </cell>
          <cell r="J1573">
            <v>0</v>
          </cell>
          <cell r="K1573">
            <v>320</v>
          </cell>
          <cell r="L1573"/>
          <cell r="M1573" t="str">
            <v>MPS</v>
          </cell>
          <cell r="N1573" t="str">
            <v>SPLITTING</v>
          </cell>
          <cell r="O1573">
            <v>2</v>
          </cell>
          <cell r="P1573">
            <v>46132</v>
          </cell>
          <cell r="Q1573">
            <v>46148</v>
          </cell>
          <cell r="R1573">
            <v>46145</v>
          </cell>
          <cell r="S1573">
            <v>16</v>
          </cell>
          <cell r="T1573">
            <v>3.5</v>
          </cell>
          <cell r="U1573">
            <v>40</v>
          </cell>
          <cell r="V1573">
            <v>8</v>
          </cell>
          <cell r="W1573" t="str">
            <v>0.13D</v>
          </cell>
          <cell r="X1573" t="str">
            <v>5-2026</v>
          </cell>
          <cell r="Y1573" t="str">
            <v>Week 18</v>
          </cell>
          <cell r="Z1573">
            <v>46139</v>
          </cell>
          <cell r="AA1573">
            <v>139</v>
          </cell>
          <cell r="AB1573">
            <v>2.5000000000000001E-2</v>
          </cell>
        </row>
        <row r="1574">
          <cell r="A1574" t="str">
            <v>F-2026-04-277</v>
          </cell>
          <cell r="B1574"/>
          <cell r="C1574" t="str">
            <v>RPRO-260420-0506</v>
          </cell>
          <cell r="D1574" t="str">
            <v>Pro.sche.report 17.04+18.04+19.04</v>
          </cell>
          <cell r="E1574" t="str">
            <v>BDB-000346</v>
          </cell>
          <cell r="F1574" t="str">
            <v>PVN-004188</v>
          </cell>
          <cell r="G1574" t="str">
            <v>OrthoLite Float NEUTRAL GRAY/17-4402TPX Flat Sheet 0.12D 21+/-4 Asker C 1.1M 1.47M 5.5mm</v>
          </cell>
          <cell r="H1574">
            <v>25</v>
          </cell>
          <cell r="I1574">
            <v>25</v>
          </cell>
          <cell r="J1574">
            <v>0</v>
          </cell>
          <cell r="K1574">
            <v>25</v>
          </cell>
          <cell r="L1574" t="str">
            <v>PUMA</v>
          </cell>
          <cell r="M1574" t="str">
            <v>Pr.Sch.R</v>
          </cell>
          <cell r="N1574" t="str">
            <v>MOLDED</v>
          </cell>
          <cell r="O1574">
            <v>1</v>
          </cell>
          <cell r="P1574">
            <v>46132</v>
          </cell>
          <cell r="Q1574">
            <v>46151</v>
          </cell>
          <cell r="R1574">
            <v>46148</v>
          </cell>
          <cell r="S1574">
            <v>19</v>
          </cell>
          <cell r="T1574">
            <v>5.5</v>
          </cell>
          <cell r="U1574">
            <v>25</v>
          </cell>
          <cell r="V1574">
            <v>1</v>
          </cell>
          <cell r="W1574" t="e">
            <v>#N/A</v>
          </cell>
          <cell r="X1574" t="str">
            <v>5-2026</v>
          </cell>
          <cell r="Y1574" t="str">
            <v>Week 18</v>
          </cell>
          <cell r="Z1574">
            <v>46139</v>
          </cell>
          <cell r="AA1574">
            <v>139</v>
          </cell>
          <cell r="AB1574">
            <v>0.04</v>
          </cell>
        </row>
        <row r="1575">
          <cell r="A1575" t="str">
            <v>F-2026-04-278</v>
          </cell>
          <cell r="B1575"/>
          <cell r="C1575" t="str">
            <v>RPRO-260420-0507</v>
          </cell>
          <cell r="D1575" t="str">
            <v>Pro.sche.report 17.04+18.04+19.04</v>
          </cell>
          <cell r="E1575" t="str">
            <v>BDB-000052</v>
          </cell>
          <cell r="F1575" t="str">
            <v>PVN-003603</v>
          </cell>
          <cell r="G1575" t="str">
            <v>OrthoLite X-40 TRUE BLUE/19-4057TPX Flat Sheet 0.16D 25+/-4 Asker C 1.1M 1.47M 12mm (SLT)</v>
          </cell>
          <cell r="H1575">
            <v>44</v>
          </cell>
          <cell r="I1575">
            <v>44</v>
          </cell>
          <cell r="J1575">
            <v>0</v>
          </cell>
          <cell r="K1575">
            <v>44</v>
          </cell>
          <cell r="L1575" t="str">
            <v>ASICS</v>
          </cell>
          <cell r="M1575" t="str">
            <v>Pr.Sch.R</v>
          </cell>
          <cell r="N1575" t="str">
            <v>MOLDED</v>
          </cell>
          <cell r="O1575" t="str">
            <v>1-SLT</v>
          </cell>
          <cell r="P1575">
            <v>46132</v>
          </cell>
          <cell r="Q1575">
            <v>46148</v>
          </cell>
          <cell r="R1575">
            <v>46145</v>
          </cell>
          <cell r="S1575">
            <v>16</v>
          </cell>
          <cell r="T1575">
            <v>12</v>
          </cell>
          <cell r="U1575">
            <v>11.5</v>
          </cell>
          <cell r="V1575">
            <v>4</v>
          </cell>
          <cell r="W1575" t="str">
            <v>0.16D</v>
          </cell>
          <cell r="X1575" t="str">
            <v>5-2026</v>
          </cell>
          <cell r="Y1575" t="str">
            <v>Week 18</v>
          </cell>
          <cell r="Z1575">
            <v>46139</v>
          </cell>
          <cell r="AA1575">
            <v>136</v>
          </cell>
          <cell r="AB1575">
            <v>8.6959999999999996E-2</v>
          </cell>
        </row>
        <row r="1576">
          <cell r="A1576" t="str">
            <v>F-2026-04-279</v>
          </cell>
          <cell r="B1576"/>
          <cell r="C1576" t="str">
            <v>RPRO-260420-0508-đã xóa</v>
          </cell>
          <cell r="D1576" t="str">
            <v>Pro.sche.report 17.04+18.04+19.04</v>
          </cell>
          <cell r="E1576" t="str">
            <v>BDB-000125</v>
          </cell>
          <cell r="F1576" t="str">
            <v>PVN-002413</v>
          </cell>
          <cell r="G1576" t="str">
            <v>OrthoLite Regular-Nike AIR BLUE/16-4134TPX Flat Sheet 0.11D 25+/-4 Asker C 1.1M 2M 4.2mm (SLT)</v>
          </cell>
          <cell r="H1576">
            <v>528</v>
          </cell>
          <cell r="I1576">
            <v>528</v>
          </cell>
          <cell r="J1576">
            <v>0</v>
          </cell>
          <cell r="K1576">
            <v>528</v>
          </cell>
          <cell r="L1576" t="str">
            <v>NIKE</v>
          </cell>
          <cell r="M1576" t="str">
            <v>Pr.Sch.R</v>
          </cell>
          <cell r="N1576" t="str">
            <v>MOLDED</v>
          </cell>
          <cell r="O1576" t="str">
            <v>1-SLT</v>
          </cell>
          <cell r="P1576">
            <v>46132</v>
          </cell>
          <cell r="Q1576" t="str">
            <v>delete (SLT check use FC 21.04)</v>
          </cell>
          <cell r="R1576" t="e">
            <v>#VALUE!</v>
          </cell>
          <cell r="S1576" t="e">
            <v>#VALUE!</v>
          </cell>
          <cell r="T1576">
            <v>4.2</v>
          </cell>
          <cell r="U1576">
            <v>33</v>
          </cell>
          <cell r="V1576">
            <v>16</v>
          </cell>
          <cell r="W1576" t="str">
            <v>0.11D</v>
          </cell>
          <cell r="X1576" t="e">
            <v>#VALUE!</v>
          </cell>
          <cell r="Y1576" t="e">
            <v>#VALUE!</v>
          </cell>
          <cell r="Z1576" t="str">
            <v/>
          </cell>
          <cell r="AA1576">
            <v>136</v>
          </cell>
          <cell r="AB1576">
            <v>3.0300000000000001E-2</v>
          </cell>
        </row>
        <row r="1577">
          <cell r="A1577" t="str">
            <v>F-2026-04-280</v>
          </cell>
          <cell r="B1577"/>
          <cell r="C1577" t="str">
            <v>RPRO-260420-0509</v>
          </cell>
          <cell r="D1577" t="str">
            <v>Pro.sche.report 17.04+18.04+19.04</v>
          </cell>
          <cell r="E1577" t="str">
            <v>BDB-000339</v>
          </cell>
          <cell r="F1577" t="str">
            <v>PVN-004178</v>
          </cell>
          <cell r="G1577" t="str">
            <v>OrthoLite Float NEUTRAL GRAY/17-4402TPX Flat Sheet 0.12D 21+/-4 Asker C 1.1M 2M 5.5mm</v>
          </cell>
          <cell r="H1577">
            <v>50</v>
          </cell>
          <cell r="I1577">
            <v>50</v>
          </cell>
          <cell r="J1577">
            <v>0</v>
          </cell>
          <cell r="K1577">
            <v>50</v>
          </cell>
          <cell r="L1577" t="str">
            <v>PUMA</v>
          </cell>
          <cell r="M1577" t="str">
            <v>Pr.Sch.R</v>
          </cell>
          <cell r="N1577" t="str">
            <v>MOLDED</v>
          </cell>
          <cell r="O1577">
            <v>1</v>
          </cell>
          <cell r="P1577">
            <v>46132</v>
          </cell>
          <cell r="Q1577">
            <v>46151</v>
          </cell>
          <cell r="R1577">
            <v>46148</v>
          </cell>
          <cell r="S1577">
            <v>19</v>
          </cell>
          <cell r="T1577">
            <v>5.5</v>
          </cell>
          <cell r="U1577">
            <v>25</v>
          </cell>
          <cell r="V1577">
            <v>2</v>
          </cell>
          <cell r="W1577" t="e">
            <v>#N/A</v>
          </cell>
          <cell r="X1577" t="str">
            <v>5-2026</v>
          </cell>
          <cell r="Y1577" t="str">
            <v>Week 18</v>
          </cell>
          <cell r="Z1577">
            <v>46139</v>
          </cell>
          <cell r="AA1577">
            <v>136</v>
          </cell>
          <cell r="AB1577">
            <v>0.04</v>
          </cell>
        </row>
        <row r="1578">
          <cell r="A1578" t="str">
            <v>F-2026-04-281</v>
          </cell>
          <cell r="B1578"/>
          <cell r="C1578" t="str">
            <v>RPRO-260420-0510</v>
          </cell>
          <cell r="D1578" t="str">
            <v>Pro.sche.report 17.04+18.04+19.04</v>
          </cell>
          <cell r="E1578" t="str">
            <v>BDB-000055</v>
          </cell>
          <cell r="F1578" t="str">
            <v>PVN-003387</v>
          </cell>
          <cell r="G1578" t="str">
            <v>OrthoLite X-40 TRUE BLUE/19-4057TPX Flat Sheet 0.16D 35+/-4 Asker C 1.1M 1.7M 13.5mm</v>
          </cell>
          <cell r="H1578">
            <v>18</v>
          </cell>
          <cell r="I1578">
            <v>18</v>
          </cell>
          <cell r="J1578">
            <v>0</v>
          </cell>
          <cell r="K1578">
            <v>18</v>
          </cell>
          <cell r="L1578" t="str">
            <v>ADIDAS</v>
          </cell>
          <cell r="M1578" t="str">
            <v>Pr.Sch.R</v>
          </cell>
          <cell r="N1578" t="str">
            <v>MOLDED</v>
          </cell>
          <cell r="O1578">
            <v>1</v>
          </cell>
          <cell r="P1578">
            <v>46132</v>
          </cell>
          <cell r="Q1578">
            <v>46146</v>
          </cell>
          <cell r="R1578">
            <v>46143</v>
          </cell>
          <cell r="S1578">
            <v>14</v>
          </cell>
          <cell r="T1578">
            <v>13.5</v>
          </cell>
          <cell r="U1578">
            <v>9</v>
          </cell>
          <cell r="V1578">
            <v>2</v>
          </cell>
          <cell r="W1578" t="str">
            <v>0.16D</v>
          </cell>
          <cell r="X1578" t="str">
            <v>5-2026</v>
          </cell>
          <cell r="Y1578" t="str">
            <v>Week 17</v>
          </cell>
          <cell r="Z1578">
            <v>46132</v>
          </cell>
          <cell r="AA1578">
            <v>136</v>
          </cell>
          <cell r="AB1578">
            <v>0.11111</v>
          </cell>
        </row>
        <row r="1579">
          <cell r="A1579" t="str">
            <v>F-2026-04-282</v>
          </cell>
          <cell r="B1579"/>
          <cell r="C1579" t="str">
            <v>RPRO-260420-0511</v>
          </cell>
          <cell r="D1579" t="str">
            <v>Pro.sche.report 17.04+18.04+19.04</v>
          </cell>
          <cell r="E1579" t="str">
            <v>BDB-000157</v>
          </cell>
          <cell r="F1579" t="str">
            <v>PVN-003244</v>
          </cell>
          <cell r="G1579" t="str">
            <v>OrthoLite X-35-Hybrid-Nike SEEDPEARL/12-0703TPX Hybrid Flat Sheet 0.145D 25+/-4 Asker C 1.1M 2M 5.2mm (SLT)</v>
          </cell>
          <cell r="H1579">
            <v>286</v>
          </cell>
          <cell r="I1579">
            <v>286</v>
          </cell>
          <cell r="J1579">
            <v>0</v>
          </cell>
          <cell r="K1579">
            <v>286</v>
          </cell>
          <cell r="L1579" t="str">
            <v>NIKE</v>
          </cell>
          <cell r="M1579" t="str">
            <v>Pr.Sch.R</v>
          </cell>
          <cell r="N1579" t="str">
            <v>MOLDED</v>
          </cell>
          <cell r="O1579" t="str">
            <v>1-SLT</v>
          </cell>
          <cell r="P1579">
            <v>46132</v>
          </cell>
          <cell r="Q1579">
            <v>46387</v>
          </cell>
          <cell r="R1579">
            <v>46384</v>
          </cell>
          <cell r="S1579">
            <v>255</v>
          </cell>
          <cell r="T1579">
            <v>5.2</v>
          </cell>
          <cell r="U1579">
            <v>26</v>
          </cell>
          <cell r="V1579">
            <v>11</v>
          </cell>
          <cell r="W1579" t="str">
            <v>0.145D</v>
          </cell>
          <cell r="X1579" t="str">
            <v>12-2026</v>
          </cell>
          <cell r="Y1579" t="str">
            <v>Week 24</v>
          </cell>
          <cell r="Z1579">
            <v>46181</v>
          </cell>
          <cell r="AA1579">
            <v>136</v>
          </cell>
          <cell r="AB1579">
            <v>3.8460000000000001E-2</v>
          </cell>
        </row>
        <row r="1580">
          <cell r="A1580" t="str">
            <v>F-2026-04-283</v>
          </cell>
          <cell r="B1580"/>
          <cell r="C1580" t="str">
            <v>RPRO-260420-0512</v>
          </cell>
          <cell r="D1580" t="str">
            <v>Pro.sche.report 17.04+18.04+19.04</v>
          </cell>
          <cell r="E1580" t="str">
            <v>BDB-000154</v>
          </cell>
          <cell r="F1580" t="str">
            <v>PVN-003347</v>
          </cell>
          <cell r="G1580" t="str">
            <v>OrthoLite X-40-Nike TRUE BLUE/19-4057TPX Flat Sheet 0.16D 35+/-4 Asker C 1.1M 1.7M 4mm</v>
          </cell>
          <cell r="H1580">
            <v>140</v>
          </cell>
          <cell r="I1580">
            <v>140</v>
          </cell>
          <cell r="J1580">
            <v>0</v>
          </cell>
          <cell r="K1580">
            <v>140</v>
          </cell>
          <cell r="L1580" t="str">
            <v>NIKE</v>
          </cell>
          <cell r="M1580" t="str">
            <v>Pr.Sch.R</v>
          </cell>
          <cell r="N1580" t="str">
            <v>LAMINATING</v>
          </cell>
          <cell r="O1580">
            <v>1</v>
          </cell>
          <cell r="P1580">
            <v>46132</v>
          </cell>
          <cell r="Q1580">
            <v>46151</v>
          </cell>
          <cell r="R1580">
            <v>46148</v>
          </cell>
          <cell r="S1580">
            <v>19</v>
          </cell>
          <cell r="T1580">
            <v>4</v>
          </cell>
          <cell r="U1580">
            <v>35</v>
          </cell>
          <cell r="V1580">
            <v>4</v>
          </cell>
          <cell r="W1580" t="str">
            <v>0.16D</v>
          </cell>
          <cell r="X1580" t="str">
            <v>5-2026</v>
          </cell>
          <cell r="Y1580" t="str">
            <v>Week 18</v>
          </cell>
          <cell r="Z1580">
            <v>46139</v>
          </cell>
          <cell r="AA1580">
            <v>136</v>
          </cell>
          <cell r="AB1580">
            <v>2.8570000000000002E-2</v>
          </cell>
        </row>
        <row r="1581">
          <cell r="A1581" t="str">
            <v>F-2026-04-284</v>
          </cell>
          <cell r="B1581"/>
          <cell r="C1581" t="str">
            <v>RPRO-260420-0513</v>
          </cell>
          <cell r="D1581" t="str">
            <v>Pro.sche.report 17.04+18.04+19.04</v>
          </cell>
          <cell r="E1581" t="str">
            <v>BDB-000076</v>
          </cell>
          <cell r="F1581" t="str">
            <v>PVN-004072</v>
          </cell>
          <cell r="G1581" t="str">
            <v>OrthoLite X-25 BILLIARD/16-5427TPX Flat Sheet 0.12D 20+/-4 Asker C 1.1M 2M 20mm</v>
          </cell>
          <cell r="H1581">
            <v>6</v>
          </cell>
          <cell r="I1581">
            <v>6</v>
          </cell>
          <cell r="J1581">
            <v>0</v>
          </cell>
          <cell r="K1581">
            <v>6</v>
          </cell>
          <cell r="L1581" t="str">
            <v>FOOTJOY</v>
          </cell>
          <cell r="M1581" t="str">
            <v>Pr.Sch.R</v>
          </cell>
          <cell r="N1581" t="str">
            <v>MOLDED</v>
          </cell>
          <cell r="O1581">
            <v>1</v>
          </cell>
          <cell r="P1581">
            <v>46132</v>
          </cell>
          <cell r="Q1581">
            <v>46144</v>
          </cell>
          <cell r="R1581">
            <v>46141</v>
          </cell>
          <cell r="S1581">
            <v>12</v>
          </cell>
          <cell r="T1581">
            <v>20</v>
          </cell>
          <cell r="U1581">
            <v>6</v>
          </cell>
          <cell r="V1581">
            <v>2</v>
          </cell>
          <cell r="W1581" t="str">
            <v>0.12D</v>
          </cell>
          <cell r="X1581" t="str">
            <v>5-2026</v>
          </cell>
          <cell r="Y1581" t="str">
            <v>Week 17</v>
          </cell>
          <cell r="Z1581">
            <v>46132</v>
          </cell>
          <cell r="AA1581">
            <v>136</v>
          </cell>
          <cell r="AB1581">
            <v>0.16667000000000001</v>
          </cell>
        </row>
        <row r="1582">
          <cell r="A1582" t="str">
            <v>F-2026-04-285</v>
          </cell>
          <cell r="B1582"/>
          <cell r="C1582" t="str">
            <v>RPRO-260420-0514</v>
          </cell>
          <cell r="D1582" t="str">
            <v>Pro.sche.report 17.04+18.04+19.04</v>
          </cell>
          <cell r="E1582" t="str">
            <v>BDB-000212</v>
          </cell>
          <cell r="F1582" t="str">
            <v>PVN-003764</v>
          </cell>
          <cell r="G1582" t="str">
            <v>OrthoLite X-25-Hybrid SEEDPEARL/12-0703TPX Hybrid Flat Sheet 0.12D 20+/-4 Asker C 1.1M 2M 5mm</v>
          </cell>
          <cell r="H1582">
            <v>56</v>
          </cell>
          <cell r="I1582">
            <v>56</v>
          </cell>
          <cell r="J1582">
            <v>0</v>
          </cell>
          <cell r="K1582">
            <v>56</v>
          </cell>
          <cell r="L1582" t="str">
            <v>FOOTJOY</v>
          </cell>
          <cell r="M1582" t="str">
            <v>Pr.Sch.R</v>
          </cell>
          <cell r="N1582" t="str">
            <v>OTHERS</v>
          </cell>
          <cell r="O1582">
            <v>1</v>
          </cell>
          <cell r="P1582">
            <v>46132</v>
          </cell>
          <cell r="Q1582">
            <v>46151</v>
          </cell>
          <cell r="R1582">
            <v>46148</v>
          </cell>
          <cell r="S1582">
            <v>19</v>
          </cell>
          <cell r="T1582">
            <v>5</v>
          </cell>
          <cell r="U1582">
            <v>28</v>
          </cell>
          <cell r="V1582">
            <v>2</v>
          </cell>
          <cell r="W1582" t="str">
            <v>0.12D</v>
          </cell>
          <cell r="X1582" t="str">
            <v>5-2026</v>
          </cell>
          <cell r="Y1582" t="str">
            <v>Week 18</v>
          </cell>
          <cell r="Z1582">
            <v>46139</v>
          </cell>
          <cell r="AA1582">
            <v>136</v>
          </cell>
          <cell r="AB1582">
            <v>3.5709999999999999E-2</v>
          </cell>
        </row>
        <row r="1583">
          <cell r="A1583" t="str">
            <v>F-2026-04-286</v>
          </cell>
          <cell r="B1583"/>
          <cell r="C1583" t="str">
            <v>RPRO-260420-0515</v>
          </cell>
          <cell r="D1583" t="str">
            <v>Pro.sche.report 17.04+18.04+19.04</v>
          </cell>
          <cell r="E1583" t="str">
            <v>BDB-000349</v>
          </cell>
          <cell r="F1583" t="str">
            <v>PVN-004352</v>
          </cell>
          <cell r="G1583" t="str">
            <v>OrthoLite Ultra GREEN/16-5932TPX Flat Sheet 0.085D 15+/-4 Asker C 1.1M 2M 11mm</v>
          </cell>
          <cell r="H1583">
            <v>120</v>
          </cell>
          <cell r="I1583">
            <v>120</v>
          </cell>
          <cell r="J1583">
            <v>0</v>
          </cell>
          <cell r="K1583">
            <v>120</v>
          </cell>
          <cell r="L1583" t="str">
            <v>BLACKYAK</v>
          </cell>
          <cell r="M1583" t="str">
            <v>Pr.Sch.R</v>
          </cell>
          <cell r="N1583" t="str">
            <v>MOLDED</v>
          </cell>
          <cell r="O1583">
            <v>1</v>
          </cell>
          <cell r="P1583">
            <v>46132</v>
          </cell>
          <cell r="Q1583">
            <v>46151</v>
          </cell>
          <cell r="R1583">
            <v>46148</v>
          </cell>
          <cell r="S1583">
            <v>19</v>
          </cell>
          <cell r="T1583">
            <v>11</v>
          </cell>
          <cell r="U1583">
            <v>12</v>
          </cell>
          <cell r="V1583">
            <v>10</v>
          </cell>
          <cell r="W1583" t="e">
            <v>#N/A</v>
          </cell>
          <cell r="X1583" t="str">
            <v>5-2026</v>
          </cell>
          <cell r="Y1583" t="str">
            <v>Week 18</v>
          </cell>
          <cell r="Z1583">
            <v>46139</v>
          </cell>
          <cell r="AA1583">
            <v>136</v>
          </cell>
          <cell r="AB1583">
            <v>8.3330000000000001E-2</v>
          </cell>
        </row>
        <row r="1584">
          <cell r="A1584" t="str">
            <v>F-2026-04-287</v>
          </cell>
          <cell r="B1584"/>
          <cell r="C1584" t="str">
            <v>RPRO-260420-0516</v>
          </cell>
          <cell r="D1584" t="str">
            <v>Pro.sche.report 17.04+18.04+19.04</v>
          </cell>
          <cell r="E1584" t="str">
            <v>BDB-000123</v>
          </cell>
          <cell r="F1584" t="str">
            <v>PVN-003011</v>
          </cell>
          <cell r="G1584" t="str">
            <v>OrthoLite Ultra-Hybrid SEEDPEARL/12-0703TPX Hybrid Flat Sheet 0.085D 25+/-4 Asker C 1.1M 2M 16mm</v>
          </cell>
          <cell r="H1584">
            <v>8</v>
          </cell>
          <cell r="I1584">
            <v>8</v>
          </cell>
          <cell r="J1584">
            <v>0</v>
          </cell>
          <cell r="K1584">
            <v>8</v>
          </cell>
          <cell r="L1584" t="str">
            <v>CLARKS</v>
          </cell>
          <cell r="M1584" t="str">
            <v>Pr.Sch.R</v>
          </cell>
          <cell r="N1584" t="str">
            <v>MOLDED</v>
          </cell>
          <cell r="O1584">
            <v>1</v>
          </cell>
          <cell r="P1584">
            <v>46132</v>
          </cell>
          <cell r="Q1584">
            <v>46146</v>
          </cell>
          <cell r="R1584">
            <v>46143</v>
          </cell>
          <cell r="S1584">
            <v>14</v>
          </cell>
          <cell r="T1584">
            <v>16</v>
          </cell>
          <cell r="U1584">
            <v>8</v>
          </cell>
          <cell r="V1584">
            <v>1</v>
          </cell>
          <cell r="W1584" t="str">
            <v>0.085D</v>
          </cell>
          <cell r="X1584" t="str">
            <v>5-2026</v>
          </cell>
          <cell r="Y1584" t="str">
            <v>Week 17</v>
          </cell>
          <cell r="Z1584">
            <v>46132</v>
          </cell>
          <cell r="AA1584">
            <v>136</v>
          </cell>
          <cell r="AB1584">
            <v>0.125</v>
          </cell>
        </row>
        <row r="1585">
          <cell r="A1585" t="str">
            <v>OIN-2026.04.16-01</v>
          </cell>
          <cell r="B1585" t="str">
            <v>Urgent/FCL</v>
          </cell>
          <cell r="C1585" t="str">
            <v>RPRO-260421-0643</v>
          </cell>
          <cell r="D1585" t="str">
            <v>OIN</v>
          </cell>
          <cell r="E1585" t="str">
            <v>BDB-000058</v>
          </cell>
          <cell r="F1585" t="str">
            <v>PVN-003780</v>
          </cell>
          <cell r="G1585" t="str">
            <v>[116-361] Ultra 25+/-4 Asker C 0.085D Green 16-5932 Tpx 1.10M X 2.00M 47mm</v>
          </cell>
          <cell r="H1585">
            <v>532</v>
          </cell>
          <cell r="I1585">
            <v>532</v>
          </cell>
          <cell r="J1585">
            <v>0</v>
          </cell>
          <cell r="K1585">
            <v>532</v>
          </cell>
          <cell r="L1585" t="str">
            <v>ADIDAS</v>
          </cell>
          <cell r="M1585" t="str">
            <v>PO-7115-SO-260417-0049</v>
          </cell>
          <cell r="N1585" t="str">
            <v>FLAT SHEET</v>
          </cell>
          <cell r="O1585">
            <v>2</v>
          </cell>
          <cell r="P1585">
            <v>46128</v>
          </cell>
          <cell r="Q1585">
            <v>46151</v>
          </cell>
          <cell r="R1585">
            <v>46148</v>
          </cell>
          <cell r="S1585">
            <v>23</v>
          </cell>
          <cell r="T1585">
            <v>47</v>
          </cell>
          <cell r="U1585">
            <v>3</v>
          </cell>
          <cell r="V1585">
            <v>178</v>
          </cell>
          <cell r="W1585" t="str">
            <v>0.085D</v>
          </cell>
          <cell r="X1585" t="str">
            <v>5-2026</v>
          </cell>
          <cell r="Y1585" t="str">
            <v>Week 17</v>
          </cell>
          <cell r="Z1585">
            <v>46132</v>
          </cell>
          <cell r="AA1585">
            <v>136</v>
          </cell>
          <cell r="AB1585">
            <v>0.33333000000000002</v>
          </cell>
        </row>
        <row r="1586">
          <cell r="A1586" t="str">
            <v>OIN-2026.04.16-02</v>
          </cell>
          <cell r="B1586" t="str">
            <v>Urgent/FCL</v>
          </cell>
          <cell r="C1586" t="str">
            <v>RPRO-260421-0644</v>
          </cell>
          <cell r="D1586" t="str">
            <v>OIN</v>
          </cell>
          <cell r="E1586" t="str">
            <v>BDB-000010</v>
          </cell>
          <cell r="F1586" t="str">
            <v>PVN-004394</v>
          </cell>
          <cell r="G1586" t="str">
            <v>[116-17888] Regular 25+/-4 Asker C 0.11D Air Blue 16-4134 Tpx 1.10M X 2.00M 47mm</v>
          </cell>
          <cell r="H1586">
            <v>532</v>
          </cell>
          <cell r="I1586">
            <v>532</v>
          </cell>
          <cell r="J1586">
            <v>0</v>
          </cell>
          <cell r="K1586">
            <v>532</v>
          </cell>
          <cell r="L1586" t="str">
            <v>GAS</v>
          </cell>
          <cell r="M1586" t="str">
            <v>PO-7115-SO-260417-0050</v>
          </cell>
          <cell r="N1586" t="str">
            <v>FLAT SHEET</v>
          </cell>
          <cell r="O1586">
            <v>2</v>
          </cell>
          <cell r="P1586">
            <v>46128</v>
          </cell>
          <cell r="Q1586">
            <v>46151</v>
          </cell>
          <cell r="R1586">
            <v>46148</v>
          </cell>
          <cell r="S1586">
            <v>23</v>
          </cell>
          <cell r="T1586">
            <v>47</v>
          </cell>
          <cell r="U1586">
            <v>3</v>
          </cell>
          <cell r="V1586">
            <v>178</v>
          </cell>
          <cell r="W1586" t="str">
            <v>0.11D</v>
          </cell>
          <cell r="X1586" t="str">
            <v>5-2026</v>
          </cell>
          <cell r="Y1586" t="str">
            <v>Week 17</v>
          </cell>
          <cell r="Z1586">
            <v>46132</v>
          </cell>
          <cell r="AA1586">
            <v>136</v>
          </cell>
          <cell r="AB1586">
            <v>0.33333000000000002</v>
          </cell>
        </row>
        <row r="1587">
          <cell r="A1587" t="str">
            <v>OIN-2026.04.16-03</v>
          </cell>
          <cell r="B1587" t="str">
            <v>Urgent/FCL</v>
          </cell>
          <cell r="C1587" t="str">
            <v>RPRO-260421-0645</v>
          </cell>
          <cell r="D1587" t="str">
            <v>OIN</v>
          </cell>
          <cell r="E1587" t="str">
            <v>BDB-000102</v>
          </cell>
          <cell r="F1587" t="str">
            <v>PVN-003821</v>
          </cell>
          <cell r="G1587" t="str">
            <v>[118-467] Eco Lite Hybrid 35+/-4 Asker C 0.13D Lime Green 14-0452 Tpx 1.10M X 2.00M 47mm</v>
          </cell>
          <cell r="H1587">
            <v>21</v>
          </cell>
          <cell r="I1587">
            <v>21</v>
          </cell>
          <cell r="J1587">
            <v>0</v>
          </cell>
          <cell r="K1587">
            <v>21</v>
          </cell>
          <cell r="L1587" t="str">
            <v>GEOX</v>
          </cell>
          <cell r="M1587" t="str">
            <v>PO-7115-SO-260417-0051</v>
          </cell>
          <cell r="N1587" t="str">
            <v>FLAT SHEET</v>
          </cell>
          <cell r="O1587">
            <v>2</v>
          </cell>
          <cell r="P1587">
            <v>46128</v>
          </cell>
          <cell r="Q1587">
            <v>46151</v>
          </cell>
          <cell r="R1587">
            <v>46148</v>
          </cell>
          <cell r="S1587">
            <v>23</v>
          </cell>
          <cell r="T1587">
            <v>47</v>
          </cell>
          <cell r="U1587">
            <v>3</v>
          </cell>
          <cell r="V1587">
            <v>7</v>
          </cell>
          <cell r="W1587" t="str">
            <v>0.13D</v>
          </cell>
          <cell r="X1587" t="str">
            <v>5-2026</v>
          </cell>
          <cell r="Y1587" t="str">
            <v>Week 17</v>
          </cell>
          <cell r="Z1587">
            <v>46132</v>
          </cell>
          <cell r="AA1587">
            <v>136</v>
          </cell>
          <cell r="AB1587">
            <v>0.33333000000000002</v>
          </cell>
        </row>
        <row r="1588">
          <cell r="A1588" t="str">
            <v>OIN-2026.04.16-04</v>
          </cell>
          <cell r="B1588" t="str">
            <v>Urgent/FCL</v>
          </cell>
          <cell r="C1588" t="str">
            <v>RPRO-260421-0646</v>
          </cell>
          <cell r="D1588" t="str">
            <v>OIN</v>
          </cell>
          <cell r="E1588" t="str">
            <v>BDB-000101</v>
          </cell>
          <cell r="F1588" t="str">
            <v>PVN-004395</v>
          </cell>
          <cell r="G1588" t="str">
            <v>[116-17889] Eco Lite Hybrid 35+/-4 Asker C 0.13D Fossil 17-0909 Tpx 1.10M X 2.00M 47mm</v>
          </cell>
          <cell r="H1588">
            <v>11</v>
          </cell>
          <cell r="I1588">
            <v>11</v>
          </cell>
          <cell r="J1588">
            <v>0</v>
          </cell>
          <cell r="K1588">
            <v>11</v>
          </cell>
          <cell r="L1588" t="str">
            <v>GEOX</v>
          </cell>
          <cell r="M1588" t="str">
            <v>PO-7115-SO-260417-0052</v>
          </cell>
          <cell r="N1588" t="str">
            <v>FLAT SHEET</v>
          </cell>
          <cell r="O1588">
            <v>2</v>
          </cell>
          <cell r="P1588">
            <v>46128</v>
          </cell>
          <cell r="Q1588">
            <v>46151</v>
          </cell>
          <cell r="R1588">
            <v>46148</v>
          </cell>
          <cell r="S1588">
            <v>23</v>
          </cell>
          <cell r="T1588">
            <v>47</v>
          </cell>
          <cell r="U1588">
            <v>3</v>
          </cell>
          <cell r="V1588">
            <v>4</v>
          </cell>
          <cell r="W1588" t="str">
            <v>0.13D</v>
          </cell>
          <cell r="X1588" t="str">
            <v>5-2026</v>
          </cell>
          <cell r="Y1588" t="str">
            <v>Week 17</v>
          </cell>
          <cell r="Z1588">
            <v>46132</v>
          </cell>
          <cell r="AA1588">
            <v>25</v>
          </cell>
          <cell r="AB1588">
            <v>0.33333000000000002</v>
          </cell>
        </row>
        <row r="1589">
          <cell r="A1589" t="str">
            <v>OIN-2026.04.17-01</v>
          </cell>
          <cell r="B1589" t="str">
            <v>Urgent/LCL</v>
          </cell>
          <cell r="C1589" t="str">
            <v>RPRO-260421-0647</v>
          </cell>
          <cell r="D1589" t="str">
            <v>OIN</v>
          </cell>
          <cell r="E1589" t="str">
            <v>BDB-000060</v>
          </cell>
          <cell r="F1589" t="str">
            <v>PVN-003782</v>
          </cell>
          <cell r="G1589" t="str">
            <v>[116-446] Ultra 25+/-4 Asker C 0.085D Burnt Sienna 17-1544 Tpx 1.10M X 2.00M 47mm</v>
          </cell>
          <cell r="H1589">
            <v>21</v>
          </cell>
          <cell r="I1589">
            <v>21</v>
          </cell>
          <cell r="J1589">
            <v>0</v>
          </cell>
          <cell r="K1589">
            <v>21</v>
          </cell>
          <cell r="L1589" t="str">
            <v>CLARKS</v>
          </cell>
          <cell r="M1589" t="str">
            <v>PO-7121-SO-260421-0004</v>
          </cell>
          <cell r="N1589" t="str">
            <v>FLAT SHEET</v>
          </cell>
          <cell r="O1589">
            <v>2</v>
          </cell>
          <cell r="P1589">
            <v>46129</v>
          </cell>
          <cell r="Q1589">
            <v>46151</v>
          </cell>
          <cell r="R1589">
            <v>46148</v>
          </cell>
          <cell r="S1589">
            <v>22</v>
          </cell>
          <cell r="T1589">
            <v>47</v>
          </cell>
          <cell r="U1589">
            <v>3</v>
          </cell>
          <cell r="V1589">
            <v>7</v>
          </cell>
          <cell r="W1589" t="str">
            <v>0.085D</v>
          </cell>
          <cell r="X1589" t="str">
            <v>5-2026</v>
          </cell>
          <cell r="Y1589" t="str">
            <v>Week 18</v>
          </cell>
          <cell r="Z1589">
            <v>46139</v>
          </cell>
          <cell r="AA1589">
            <v>78</v>
          </cell>
          <cell r="AB1589">
            <v>0.33333000000000002</v>
          </cell>
        </row>
        <row r="1590">
          <cell r="A1590" t="str">
            <v>F-2026-04-288</v>
          </cell>
          <cell r="B1590"/>
          <cell r="C1590" t="str">
            <v>RPRO-260421-0635</v>
          </cell>
          <cell r="D1590" t="str">
            <v>MPS 20.04</v>
          </cell>
          <cell r="E1590" t="str">
            <v>BDB-000154</v>
          </cell>
          <cell r="F1590" t="str">
            <v>PVN-003347</v>
          </cell>
          <cell r="G1590" t="str">
            <v>OrthoLite X-40-Nike TRUE BLUE/19-4057TPX Flat Sheet 0.16D 35+/-4 Asker C 1.1M 1.7M 4mm</v>
          </cell>
          <cell r="H1590">
            <v>105</v>
          </cell>
          <cell r="I1590">
            <v>105</v>
          </cell>
          <cell r="J1590">
            <v>0</v>
          </cell>
          <cell r="K1590">
            <v>105</v>
          </cell>
          <cell r="L1590"/>
          <cell r="M1590" t="str">
            <v>MPS</v>
          </cell>
          <cell r="N1590" t="str">
            <v>SPLITTING</v>
          </cell>
          <cell r="O1590">
            <v>2</v>
          </cell>
          <cell r="P1590">
            <v>46133</v>
          </cell>
          <cell r="Q1590">
            <v>46151</v>
          </cell>
          <cell r="R1590">
            <v>46148</v>
          </cell>
          <cell r="S1590">
            <v>18</v>
          </cell>
          <cell r="T1590">
            <v>4</v>
          </cell>
          <cell r="U1590">
            <v>35</v>
          </cell>
          <cell r="V1590">
            <v>3</v>
          </cell>
          <cell r="W1590" t="str">
            <v>0.16D</v>
          </cell>
          <cell r="X1590" t="str">
            <v>5-2026</v>
          </cell>
          <cell r="Y1590" t="str">
            <v>Week 18</v>
          </cell>
          <cell r="Z1590">
            <v>46139</v>
          </cell>
          <cell r="AA1590">
            <v>136</v>
          </cell>
          <cell r="AB1590">
            <v>2.8570000000000002E-2</v>
          </cell>
        </row>
        <row r="1591">
          <cell r="A1591" t="str">
            <v>F-2026-04-289</v>
          </cell>
          <cell r="B1591"/>
          <cell r="C1591" t="str">
            <v>RPRO-260421-0636</v>
          </cell>
          <cell r="D1591" t="str">
            <v>Pro.sche.report 20.04</v>
          </cell>
          <cell r="E1591" t="str">
            <v>BDB-000209</v>
          </cell>
          <cell r="F1591" t="str">
            <v>PVN-003461</v>
          </cell>
          <cell r="G1591" t="str">
            <v>OrthoLite HybridPlus-Recycled MINT GREEN/11-4805TPX Hybrid Flat Sheet 0.12D 25+/-4 Asker C 1.1M 2M 11mm</v>
          </cell>
          <cell r="H1591">
            <v>36</v>
          </cell>
          <cell r="I1591">
            <v>36</v>
          </cell>
          <cell r="J1591">
            <v>0</v>
          </cell>
          <cell r="K1591">
            <v>36</v>
          </cell>
          <cell r="L1591" t="str">
            <v>AKU</v>
          </cell>
          <cell r="M1591" t="str">
            <v>Pr.Sch.R</v>
          </cell>
          <cell r="N1591" t="str">
            <v>MOLDED</v>
          </cell>
          <cell r="O1591">
            <v>1</v>
          </cell>
          <cell r="P1591">
            <v>46133</v>
          </cell>
          <cell r="Q1591">
            <v>46153</v>
          </cell>
          <cell r="R1591">
            <v>46150</v>
          </cell>
          <cell r="S1591">
            <v>20</v>
          </cell>
          <cell r="T1591">
            <v>11</v>
          </cell>
          <cell r="U1591">
            <v>12</v>
          </cell>
          <cell r="V1591">
            <v>3</v>
          </cell>
          <cell r="W1591" t="str">
            <v>0.12D</v>
          </cell>
          <cell r="X1591" t="str">
            <v>5-2026</v>
          </cell>
          <cell r="Y1591" t="str">
            <v>Week 19</v>
          </cell>
          <cell r="Z1591">
            <v>46146</v>
          </cell>
          <cell r="AA1591">
            <v>16</v>
          </cell>
          <cell r="AB1591">
            <v>8.3330000000000001E-2</v>
          </cell>
        </row>
        <row r="1592">
          <cell r="A1592" t="str">
            <v>F-2026-04-290</v>
          </cell>
          <cell r="B1592"/>
          <cell r="C1592" t="str">
            <v>RPRO-260421-0637</v>
          </cell>
          <cell r="D1592" t="str">
            <v>Pro.sche.report 20.04</v>
          </cell>
          <cell r="E1592" t="str">
            <v>BDB-000076</v>
          </cell>
          <cell r="F1592" t="str">
            <v>PVN-003745</v>
          </cell>
          <cell r="G1592" t="str">
            <v>OrthoLite X-25 BILLIARD/16-5427TPX Flat Sheet 0.12D 20+/-4 Asker C 1.1M 2M 16mm</v>
          </cell>
          <cell r="H1592">
            <v>368</v>
          </cell>
          <cell r="I1592">
            <v>368</v>
          </cell>
          <cell r="J1592">
            <v>0</v>
          </cell>
          <cell r="K1592">
            <v>368</v>
          </cell>
          <cell r="L1592" t="str">
            <v>FOOTJOY</v>
          </cell>
          <cell r="M1592" t="str">
            <v>Pr.Sch.R</v>
          </cell>
          <cell r="N1592" t="str">
            <v>MOLDED</v>
          </cell>
          <cell r="O1592">
            <v>1</v>
          </cell>
          <cell r="P1592">
            <v>46133</v>
          </cell>
          <cell r="Q1592">
            <v>46153</v>
          </cell>
          <cell r="R1592">
            <v>46150</v>
          </cell>
          <cell r="S1592">
            <v>20</v>
          </cell>
          <cell r="T1592">
            <v>16</v>
          </cell>
          <cell r="U1592">
            <v>8</v>
          </cell>
          <cell r="V1592">
            <v>46</v>
          </cell>
          <cell r="W1592" t="str">
            <v>0.12D</v>
          </cell>
          <cell r="X1592" t="str">
            <v>5-2026</v>
          </cell>
          <cell r="Y1592" t="str">
            <v>Week 19</v>
          </cell>
          <cell r="Z1592">
            <v>46146</v>
          </cell>
          <cell r="AA1592">
            <v>100</v>
          </cell>
          <cell r="AB1592">
            <v>0.125</v>
          </cell>
        </row>
        <row r="1593">
          <cell r="A1593" t="str">
            <v>F-2026-04-291</v>
          </cell>
          <cell r="B1593"/>
          <cell r="C1593" t="str">
            <v>RPRO-260421-0638</v>
          </cell>
          <cell r="D1593" t="str">
            <v>Pro.sche.report 20.04</v>
          </cell>
          <cell r="E1593" t="str">
            <v>BDB-000212</v>
          </cell>
          <cell r="F1593" t="str">
            <v>PVN-004002</v>
          </cell>
          <cell r="G1593" t="str">
            <v>OrthoLite X-25-Hybrid SEEDPEARL/12-0703TPX Hybrid Flat Sheet 0.12D 20+/-4 Asker C 1.1M 2M 14mm</v>
          </cell>
          <cell r="H1593">
            <v>36</v>
          </cell>
          <cell r="I1593">
            <v>36</v>
          </cell>
          <cell r="J1593">
            <v>0</v>
          </cell>
          <cell r="K1593">
            <v>36</v>
          </cell>
          <cell r="L1593" t="str">
            <v>FOOTJOY</v>
          </cell>
          <cell r="M1593" t="str">
            <v>Pr.Sch.R</v>
          </cell>
          <cell r="N1593" t="str">
            <v>MOLDED</v>
          </cell>
          <cell r="O1593">
            <v>1</v>
          </cell>
          <cell r="P1593">
            <v>46133</v>
          </cell>
          <cell r="Q1593">
            <v>46151</v>
          </cell>
          <cell r="R1593">
            <v>46148</v>
          </cell>
          <cell r="S1593">
            <v>18</v>
          </cell>
          <cell r="T1593">
            <v>14</v>
          </cell>
          <cell r="U1593">
            <v>9</v>
          </cell>
          <cell r="V1593">
            <v>4</v>
          </cell>
          <cell r="W1593" t="str">
            <v>0.12D</v>
          </cell>
          <cell r="X1593" t="str">
            <v>5-2026</v>
          </cell>
          <cell r="Y1593" t="str">
            <v>Week 19</v>
          </cell>
          <cell r="Z1593">
            <v>46146</v>
          </cell>
          <cell r="AA1593">
            <v>70</v>
          </cell>
          <cell r="AB1593">
            <v>0.11111</v>
          </cell>
        </row>
        <row r="1594">
          <cell r="A1594" t="str">
            <v>F-2026-04-292</v>
          </cell>
          <cell r="B1594"/>
          <cell r="C1594" t="str">
            <v>RPRO-260421-0639</v>
          </cell>
          <cell r="D1594" t="str">
            <v>Pro.sche.report 20.04</v>
          </cell>
          <cell r="E1594" t="str">
            <v>BDB-000262</v>
          </cell>
          <cell r="F1594" t="str">
            <v>PVN-003816</v>
          </cell>
          <cell r="G1594" t="str">
            <v>OrthoLite Ultra-Hybrid SEEDPEARL/12-0703TPX Hybrid Flat Sheet 0.085D 78-90 Asker F 1.1M 2M 2.5mm</v>
          </cell>
          <cell r="H1594">
            <v>112</v>
          </cell>
          <cell r="I1594">
            <v>112</v>
          </cell>
          <cell r="J1594">
            <v>0</v>
          </cell>
          <cell r="K1594">
            <v>112</v>
          </cell>
          <cell r="L1594" t="str">
            <v>FOOTJOY</v>
          </cell>
          <cell r="M1594" t="str">
            <v>Pr.Sch.R</v>
          </cell>
          <cell r="N1594" t="str">
            <v>DIE CUT</v>
          </cell>
          <cell r="O1594">
            <v>1</v>
          </cell>
          <cell r="P1594">
            <v>46133</v>
          </cell>
          <cell r="Q1594">
            <v>46153</v>
          </cell>
          <cell r="R1594">
            <v>46150</v>
          </cell>
          <cell r="S1594">
            <v>20</v>
          </cell>
          <cell r="T1594">
            <v>2.5</v>
          </cell>
          <cell r="U1594">
            <v>56</v>
          </cell>
          <cell r="V1594">
            <v>3</v>
          </cell>
          <cell r="W1594" t="str">
            <v>0.085D</v>
          </cell>
          <cell r="X1594" t="str">
            <v>5-2026</v>
          </cell>
          <cell r="Y1594" t="str">
            <v>Week 19</v>
          </cell>
          <cell r="Z1594">
            <v>46146</v>
          </cell>
          <cell r="AA1594">
            <v>15</v>
          </cell>
          <cell r="AB1594">
            <v>1.7860000000000001E-2</v>
          </cell>
        </row>
        <row r="1595">
          <cell r="A1595" t="str">
            <v>F-2026-04-293</v>
          </cell>
          <cell r="B1595"/>
          <cell r="C1595" t="str">
            <v>RPRO-260421-0640</v>
          </cell>
          <cell r="D1595" t="str">
            <v>Pro.sche.report 20.04</v>
          </cell>
          <cell r="E1595" t="str">
            <v>BDB-000212</v>
          </cell>
          <cell r="F1595" t="str">
            <v>PVN-003460</v>
          </cell>
          <cell r="G1595" t="str">
            <v>OrthoLite X-25-Hybrid SEEDPEARL/12-0703TPX Hybrid Flat Sheet 0.12D 20+/-4 Asker C 1.1M 2M 5.5mm</v>
          </cell>
          <cell r="H1595">
            <v>75</v>
          </cell>
          <cell r="I1595">
            <v>75</v>
          </cell>
          <cell r="J1595">
            <v>0</v>
          </cell>
          <cell r="K1595">
            <v>75</v>
          </cell>
          <cell r="L1595" t="str">
            <v>ON RUNNING</v>
          </cell>
          <cell r="M1595" t="str">
            <v>Pr.Sch.R</v>
          </cell>
          <cell r="N1595" t="str">
            <v>MOLDED</v>
          </cell>
          <cell r="O1595">
            <v>1</v>
          </cell>
          <cell r="P1595">
            <v>46133</v>
          </cell>
          <cell r="Q1595">
            <v>46148</v>
          </cell>
          <cell r="R1595">
            <v>46145</v>
          </cell>
          <cell r="S1595">
            <v>15</v>
          </cell>
          <cell r="T1595">
            <v>5.5</v>
          </cell>
          <cell r="U1595">
            <v>25</v>
          </cell>
          <cell r="V1595">
            <v>3</v>
          </cell>
          <cell r="W1595" t="str">
            <v>0.12D</v>
          </cell>
          <cell r="X1595" t="str">
            <v>5-2026</v>
          </cell>
          <cell r="Y1595" t="str">
            <v>Week 18</v>
          </cell>
          <cell r="Z1595">
            <v>46139</v>
          </cell>
          <cell r="AA1595">
            <v>27</v>
          </cell>
          <cell r="AB1595">
            <v>0.04</v>
          </cell>
        </row>
        <row r="1596">
          <cell r="A1596" t="str">
            <v>F-2026-04-294</v>
          </cell>
          <cell r="B1596"/>
          <cell r="C1596" t="str">
            <v>RPRO-260421-0641</v>
          </cell>
          <cell r="D1596" t="str">
            <v>Pro.sche.report 20.04</v>
          </cell>
          <cell r="E1596" t="str">
            <v>BDB-000363</v>
          </cell>
          <cell r="F1596" t="str">
            <v>PVN-004260</v>
          </cell>
          <cell r="G1596" t="str">
            <v>OrthoLite HybridPlus-Recycled MINT GREEN/11-4805TPX Hybrid Flat Sheet 0.12D 35+/-4 Asker C 1.1M 2M 5.5mm</v>
          </cell>
          <cell r="H1596">
            <v>175</v>
          </cell>
          <cell r="I1596">
            <v>175</v>
          </cell>
          <cell r="J1596">
            <v>0</v>
          </cell>
          <cell r="K1596">
            <v>175</v>
          </cell>
          <cell r="L1596" t="str">
            <v>ON RUNNING</v>
          </cell>
          <cell r="M1596" t="str">
            <v>Pr.Sch.R</v>
          </cell>
          <cell r="N1596" t="str">
            <v>MOLDED</v>
          </cell>
          <cell r="O1596">
            <v>1</v>
          </cell>
          <cell r="P1596">
            <v>46133</v>
          </cell>
          <cell r="Q1596">
            <v>46146</v>
          </cell>
          <cell r="R1596">
            <v>46143</v>
          </cell>
          <cell r="S1596">
            <v>13</v>
          </cell>
          <cell r="T1596">
            <v>5.5</v>
          </cell>
          <cell r="U1596">
            <v>25</v>
          </cell>
          <cell r="V1596">
            <v>7</v>
          </cell>
          <cell r="W1596" t="e">
            <v>#N/A</v>
          </cell>
          <cell r="X1596" t="str">
            <v>5-2026</v>
          </cell>
          <cell r="Y1596" t="str">
            <v>Week 17</v>
          </cell>
          <cell r="Z1596">
            <v>46132</v>
          </cell>
          <cell r="AA1596">
            <v>93</v>
          </cell>
          <cell r="AB1596">
            <v>0.04</v>
          </cell>
        </row>
        <row r="1597">
          <cell r="A1597" t="str">
            <v>F-2026-04-295</v>
          </cell>
          <cell r="B1597"/>
          <cell r="C1597" t="str">
            <v>RPRO-260421-0642</v>
          </cell>
          <cell r="D1597" t="str">
            <v>Pro.sche.report 20.04</v>
          </cell>
          <cell r="E1597" t="str">
            <v>BDB-000314</v>
          </cell>
          <cell r="F1597" t="str">
            <v>PVN-004066</v>
          </cell>
          <cell r="G1597" t="str">
            <v>OrthoLite Regular NEUTRAL GRAY/17-4402TPX Flat Sheet 0.16D 51+/-4 Asker C 1.1M 1.7M 9.5mm</v>
          </cell>
          <cell r="H1597">
            <v>28</v>
          </cell>
          <cell r="I1597">
            <v>28</v>
          </cell>
          <cell r="J1597">
            <v>0</v>
          </cell>
          <cell r="K1597">
            <v>28</v>
          </cell>
          <cell r="L1597" t="str">
            <v>FOOTJOY</v>
          </cell>
          <cell r="M1597" t="str">
            <v>Pr.Sch.R</v>
          </cell>
          <cell r="N1597" t="str">
            <v>MOLDED</v>
          </cell>
          <cell r="O1597">
            <v>1</v>
          </cell>
          <cell r="P1597">
            <v>46133</v>
          </cell>
          <cell r="Q1597">
            <v>46153</v>
          </cell>
          <cell r="R1597">
            <v>46150</v>
          </cell>
          <cell r="S1597">
            <v>20</v>
          </cell>
          <cell r="T1597">
            <v>9.5</v>
          </cell>
          <cell r="U1597">
            <v>14</v>
          </cell>
          <cell r="V1597">
            <v>3</v>
          </cell>
          <cell r="W1597" t="e">
            <v>#N/A</v>
          </cell>
          <cell r="X1597" t="str">
            <v>5-2026</v>
          </cell>
          <cell r="Y1597" t="str">
            <v>Week 19</v>
          </cell>
          <cell r="Z1597">
            <v>46146</v>
          </cell>
          <cell r="AA1597">
            <v>0</v>
          </cell>
          <cell r="AB1597">
            <v>7.1429999999999993E-2</v>
          </cell>
        </row>
        <row r="1598">
          <cell r="A1598" t="str">
            <v>F-2026-04-296</v>
          </cell>
          <cell r="B1598"/>
          <cell r="C1598" t="str">
            <v>FPRO-260418-0001</v>
          </cell>
          <cell r="D1598" t="str">
            <v>Firm plan 20.04</v>
          </cell>
          <cell r="E1598" t="str">
            <v>BDB-000226</v>
          </cell>
          <cell r="F1598" t="str">
            <v>PVN-003517</v>
          </cell>
          <cell r="G1598" t="str">
            <v>OrthoLite Regular GREY/17-1501TPX Flat Sheet 0.16D 51+/-4 Asker C 1.1M 1.7M 12mm</v>
          </cell>
          <cell r="H1598">
            <v>804</v>
          </cell>
          <cell r="I1598">
            <v>804</v>
          </cell>
          <cell r="J1598">
            <v>0</v>
          </cell>
          <cell r="K1598">
            <v>804</v>
          </cell>
          <cell r="L1598" t="str">
            <v>CONVERSE</v>
          </cell>
          <cell r="M1598" t="str">
            <v>Pr.Sch.R</v>
          </cell>
          <cell r="N1598" t="str">
            <v>DIE CUT</v>
          </cell>
          <cell r="O1598">
            <v>1</v>
          </cell>
          <cell r="P1598">
            <v>46132</v>
          </cell>
          <cell r="Q1598">
            <v>46146</v>
          </cell>
          <cell r="R1598">
            <v>46143</v>
          </cell>
          <cell r="S1598">
            <v>14</v>
          </cell>
          <cell r="T1598">
            <v>12</v>
          </cell>
          <cell r="U1598">
            <v>11</v>
          </cell>
          <cell r="V1598">
            <v>74</v>
          </cell>
          <cell r="W1598" t="str">
            <v>0.16D</v>
          </cell>
          <cell r="X1598" t="str">
            <v>5-2026</v>
          </cell>
          <cell r="Y1598" t="str">
            <v>Week 17</v>
          </cell>
          <cell r="Z1598">
            <v>46132</v>
          </cell>
          <cell r="AA1598">
            <v>58</v>
          </cell>
          <cell r="AB1598">
            <v>9.0910000000000005E-2</v>
          </cell>
        </row>
        <row r="1599">
          <cell r="A1599" t="str">
            <v>F-2026-04-297</v>
          </cell>
          <cell r="B1599"/>
          <cell r="C1599" t="str">
            <v>RPRO-260421-0698</v>
          </cell>
          <cell r="D1599" t="str">
            <v>MPS 20.04</v>
          </cell>
          <cell r="E1599" t="str">
            <v>BDB-000180</v>
          </cell>
          <cell r="F1599" t="str">
            <v>PVN-003236</v>
          </cell>
          <cell r="G1599" t="str">
            <v>OrthoLite Eco LT-Hybrid-Converse SEEDPEARL/12-0703TPX Hybrid 0.13D 25+/-4 Asker C 1.1M 2M 5mm</v>
          </cell>
          <cell r="H1599">
            <v>584</v>
          </cell>
          <cell r="I1599">
            <v>584</v>
          </cell>
          <cell r="J1599">
            <v>0</v>
          </cell>
          <cell r="K1599">
            <v>584</v>
          </cell>
          <cell r="L1599"/>
          <cell r="M1599" t="str">
            <v>MPS</v>
          </cell>
          <cell r="N1599" t="str">
            <v>SPLITTING</v>
          </cell>
          <cell r="O1599">
            <v>2</v>
          </cell>
          <cell r="P1599">
            <v>46133</v>
          </cell>
          <cell r="Q1599">
            <v>46148</v>
          </cell>
          <cell r="R1599">
            <v>46145</v>
          </cell>
          <cell r="S1599">
            <v>15</v>
          </cell>
          <cell r="T1599">
            <v>5</v>
          </cell>
          <cell r="U1599">
            <v>28</v>
          </cell>
          <cell r="V1599">
            <v>21</v>
          </cell>
          <cell r="W1599" t="str">
            <v>0.13D</v>
          </cell>
          <cell r="X1599" t="str">
            <v>5-2026</v>
          </cell>
          <cell r="Y1599" t="str">
            <v>Week 18</v>
          </cell>
          <cell r="Z1599">
            <v>46139</v>
          </cell>
          <cell r="AA1599">
            <v>0</v>
          </cell>
          <cell r="AB1599">
            <v>3.5709999999999999E-2</v>
          </cell>
        </row>
        <row r="1600">
          <cell r="A1600" t="str">
            <v>F-2026-04-298</v>
          </cell>
          <cell r="B1600"/>
          <cell r="C1600" t="str">
            <v>RPRO-260422-0090</v>
          </cell>
          <cell r="D1600" t="str">
            <v>Pro.sche.report 21.04</v>
          </cell>
          <cell r="E1600" t="str">
            <v>BDB-000129</v>
          </cell>
          <cell r="F1600" t="str">
            <v>PVN-001550</v>
          </cell>
          <cell r="G1600" t="str">
            <v>OrthoLite Regular-Nike AIR BLUE/16-4134TPX Flat Sheet 0.11D 25+/-4 Asker C 1.1M 1.7M 2mm</v>
          </cell>
          <cell r="H1600">
            <v>1190</v>
          </cell>
          <cell r="I1600">
            <v>1190</v>
          </cell>
          <cell r="J1600">
            <v>0</v>
          </cell>
          <cell r="K1600">
            <v>1190</v>
          </cell>
          <cell r="L1600" t="str">
            <v>NIKE</v>
          </cell>
          <cell r="M1600" t="str">
            <v>Pr.Sch.R</v>
          </cell>
          <cell r="N1600" t="str">
            <v>LAMINATING</v>
          </cell>
          <cell r="O1600">
            <v>1</v>
          </cell>
          <cell r="P1600">
            <v>46134</v>
          </cell>
          <cell r="Q1600">
            <v>46156</v>
          </cell>
          <cell r="R1600">
            <v>46153</v>
          </cell>
          <cell r="S1600">
            <v>22</v>
          </cell>
          <cell r="T1600">
            <v>2</v>
          </cell>
          <cell r="U1600">
            <v>70</v>
          </cell>
          <cell r="V1600">
            <v>18</v>
          </cell>
          <cell r="W1600" t="str">
            <v>0.11D</v>
          </cell>
          <cell r="X1600" t="str">
            <v>5-2026</v>
          </cell>
          <cell r="Y1600" t="str">
            <v>Week 19</v>
          </cell>
          <cell r="Z1600">
            <v>46146</v>
          </cell>
          <cell r="AA1600">
            <v>1</v>
          </cell>
          <cell r="AB1600">
            <v>1.4290000000000001E-2</v>
          </cell>
        </row>
        <row r="1601">
          <cell r="A1601" t="str">
            <v>F-2026-04-299</v>
          </cell>
          <cell r="B1601"/>
          <cell r="C1601" t="str">
            <v>RPRO-260422-0091</v>
          </cell>
          <cell r="D1601" t="str">
            <v>Pro.sche.report 21.04</v>
          </cell>
          <cell r="E1601" t="str">
            <v>BDB-000076</v>
          </cell>
          <cell r="F1601" t="str">
            <v>PVN-003448</v>
          </cell>
          <cell r="G1601" t="str">
            <v>OrthoLite X-25 BILLIARD/16-5427TPX Flat Sheet 0.12D 20+/-4 Asker C 1.1M 2M 6.2mm</v>
          </cell>
          <cell r="H1601">
            <v>44</v>
          </cell>
          <cell r="I1601">
            <v>44</v>
          </cell>
          <cell r="J1601">
            <v>0</v>
          </cell>
          <cell r="K1601">
            <v>44</v>
          </cell>
          <cell r="L1601" t="str">
            <v>ADIDAS</v>
          </cell>
          <cell r="M1601" t="str">
            <v>Pr.Sch.R</v>
          </cell>
          <cell r="N1601" t="str">
            <v>MOLDED</v>
          </cell>
          <cell r="O1601">
            <v>1</v>
          </cell>
          <cell r="P1601">
            <v>46134</v>
          </cell>
          <cell r="Q1601">
            <v>46150</v>
          </cell>
          <cell r="R1601">
            <v>46147</v>
          </cell>
          <cell r="S1601">
            <v>16</v>
          </cell>
          <cell r="T1601">
            <v>6.2</v>
          </cell>
          <cell r="U1601">
            <v>22</v>
          </cell>
          <cell r="V1601">
            <v>2</v>
          </cell>
          <cell r="W1601" t="str">
            <v>0.12D</v>
          </cell>
          <cell r="X1601" t="str">
            <v>5-2026</v>
          </cell>
          <cell r="Y1601" t="str">
            <v>Week 18</v>
          </cell>
          <cell r="Z1601">
            <v>46139</v>
          </cell>
          <cell r="AA1601">
            <v>122</v>
          </cell>
          <cell r="AB1601">
            <v>4.5449999999999997E-2</v>
          </cell>
        </row>
        <row r="1602">
          <cell r="A1602" t="str">
            <v>F-2026-04-300</v>
          </cell>
          <cell r="B1602"/>
          <cell r="C1602" t="str">
            <v>RPRO-260422-0092</v>
          </cell>
          <cell r="D1602" t="str">
            <v>Pro.sche.report 21.04</v>
          </cell>
          <cell r="E1602" t="str">
            <v>BDB-000011</v>
          </cell>
          <cell r="F1602" t="str">
            <v>PVN-000121</v>
          </cell>
          <cell r="G1602" t="str">
            <v>OrthoLite Regular AIR BLUE/16-4134TPX Flat Sheet 0.13D 35+/-4 Asker C 1.1M 2M 12mm</v>
          </cell>
          <cell r="H1602">
            <v>11</v>
          </cell>
          <cell r="I1602">
            <v>11</v>
          </cell>
          <cell r="J1602">
            <v>0</v>
          </cell>
          <cell r="K1602">
            <v>11</v>
          </cell>
          <cell r="L1602" t="str">
            <v>ASICS</v>
          </cell>
          <cell r="M1602" t="str">
            <v>Pr.Sch.R</v>
          </cell>
          <cell r="N1602" t="str">
            <v>MOLDED</v>
          </cell>
          <cell r="O1602">
            <v>1</v>
          </cell>
          <cell r="P1602">
            <v>46134</v>
          </cell>
          <cell r="Q1602">
            <v>46154</v>
          </cell>
          <cell r="R1602">
            <v>46151</v>
          </cell>
          <cell r="S1602">
            <v>20</v>
          </cell>
          <cell r="T1602">
            <v>12</v>
          </cell>
          <cell r="U1602">
            <v>11.5</v>
          </cell>
          <cell r="V1602">
            <v>1</v>
          </cell>
          <cell r="W1602" t="str">
            <v>0.13D</v>
          </cell>
          <cell r="X1602" t="str">
            <v>5-2026</v>
          </cell>
          <cell r="Y1602" t="str">
            <v>Week 19</v>
          </cell>
          <cell r="Z1602">
            <v>46146</v>
          </cell>
          <cell r="AA1602">
            <v>122</v>
          </cell>
          <cell r="AB1602">
            <v>8.6959999999999996E-2</v>
          </cell>
        </row>
        <row r="1603">
          <cell r="A1603" t="str">
            <v>F-2026-04-301</v>
          </cell>
          <cell r="B1603"/>
          <cell r="C1603" t="str">
            <v>RPRO-260422-0093</v>
          </cell>
          <cell r="D1603" t="str">
            <v>Pro.sche.report 21.04</v>
          </cell>
          <cell r="E1603" t="str">
            <v>BDB-000149</v>
          </cell>
          <cell r="F1603" t="str">
            <v>PVN-002827</v>
          </cell>
          <cell r="G1603" t="str">
            <v>OrthoLite Regular-Hybrid-Nike SEEDPEARL/12-0703TPX Hybrid Flat Sheet 0.11D 25+/-4 Asker C 1.1M 2M 5mm</v>
          </cell>
          <cell r="H1603">
            <v>28</v>
          </cell>
          <cell r="I1603">
            <v>28</v>
          </cell>
          <cell r="J1603">
            <v>0</v>
          </cell>
          <cell r="K1603">
            <v>28</v>
          </cell>
          <cell r="L1603" t="str">
            <v>NIKE</v>
          </cell>
          <cell r="M1603" t="str">
            <v>Pr.Sch.R</v>
          </cell>
          <cell r="N1603" t="str">
            <v>MOLDED</v>
          </cell>
          <cell r="O1603">
            <v>1</v>
          </cell>
          <cell r="P1603">
            <v>46134</v>
          </cell>
          <cell r="Q1603">
            <v>46154</v>
          </cell>
          <cell r="R1603">
            <v>46151</v>
          </cell>
          <cell r="S1603">
            <v>20</v>
          </cell>
          <cell r="T1603">
            <v>5</v>
          </cell>
          <cell r="U1603">
            <v>28</v>
          </cell>
          <cell r="V1603">
            <v>1</v>
          </cell>
          <cell r="W1603" t="str">
            <v>0.11D</v>
          </cell>
          <cell r="X1603" t="str">
            <v>5-2026</v>
          </cell>
          <cell r="Y1603" t="str">
            <v>Week 19</v>
          </cell>
          <cell r="Z1603">
            <v>46146</v>
          </cell>
          <cell r="AA1603">
            <v>270</v>
          </cell>
          <cell r="AB1603">
            <v>3.5709999999999999E-2</v>
          </cell>
        </row>
        <row r="1604">
          <cell r="A1604" t="str">
            <v>F-2026-04-302</v>
          </cell>
          <cell r="B1604"/>
          <cell r="C1604" t="str">
            <v>RPRO-260422-0094</v>
          </cell>
          <cell r="D1604" t="str">
            <v>Pro.sche.report 21.04</v>
          </cell>
          <cell r="E1604" t="str">
            <v>BDB-000157</v>
          </cell>
          <cell r="F1604" t="str">
            <v>PVN-003642</v>
          </cell>
          <cell r="G1604" t="str">
            <v>OrthoLite X-35-Hybrid-Nike SEEDPEARL/12-0703TPX Hybrid Flat Sheet 0.145D 25+/-4 Asker C 1.1M 2M 6.2mm</v>
          </cell>
          <cell r="H1604">
            <v>22</v>
          </cell>
          <cell r="I1604">
            <v>22</v>
          </cell>
          <cell r="J1604">
            <v>0</v>
          </cell>
          <cell r="K1604">
            <v>22</v>
          </cell>
          <cell r="L1604" t="str">
            <v>NIKE</v>
          </cell>
          <cell r="M1604" t="str">
            <v>Pr.Sch.R</v>
          </cell>
          <cell r="N1604" t="str">
            <v>MOLDED</v>
          </cell>
          <cell r="O1604">
            <v>1</v>
          </cell>
          <cell r="P1604">
            <v>46134</v>
          </cell>
          <cell r="Q1604">
            <v>46148</v>
          </cell>
          <cell r="R1604">
            <v>46145</v>
          </cell>
          <cell r="S1604">
            <v>14</v>
          </cell>
          <cell r="T1604">
            <v>6.2</v>
          </cell>
          <cell r="U1604">
            <v>22</v>
          </cell>
          <cell r="V1604">
            <v>1</v>
          </cell>
          <cell r="W1604" t="str">
            <v>0.145D</v>
          </cell>
          <cell r="X1604" t="str">
            <v>5-2026</v>
          </cell>
          <cell r="Y1604" t="str">
            <v>Week 18</v>
          </cell>
          <cell r="Z1604">
            <v>46139</v>
          </cell>
          <cell r="AA1604">
            <v>167</v>
          </cell>
          <cell r="AB1604">
            <v>4.5449999999999997E-2</v>
          </cell>
        </row>
        <row r="1605">
          <cell r="A1605" t="str">
            <v>F-2026-04-303</v>
          </cell>
          <cell r="B1605"/>
          <cell r="C1605" t="str">
            <v>RPRO-260422-0095</v>
          </cell>
          <cell r="D1605" t="str">
            <v>Pro.sche.report 21.04</v>
          </cell>
          <cell r="E1605" t="str">
            <v>BDB-000058</v>
          </cell>
          <cell r="F1605" t="str">
            <v>PVN-001319</v>
          </cell>
          <cell r="G1605" t="str">
            <v>OrthoLite Ultra GREEN/16-5932TPX Flat Sheet 0.085D 25+/-4 Asker C 1.1M 2M 5mm</v>
          </cell>
          <cell r="H1605">
            <v>28</v>
          </cell>
          <cell r="I1605">
            <v>28</v>
          </cell>
          <cell r="J1605">
            <v>0</v>
          </cell>
          <cell r="K1605">
            <v>28</v>
          </cell>
          <cell r="L1605" t="str">
            <v>NEW BALANCE</v>
          </cell>
          <cell r="M1605" t="str">
            <v>Pr.Sch.R</v>
          </cell>
          <cell r="N1605" t="str">
            <v>DIE CUT</v>
          </cell>
          <cell r="O1605">
            <v>1</v>
          </cell>
          <cell r="P1605">
            <v>46134</v>
          </cell>
          <cell r="Q1605">
            <v>46154</v>
          </cell>
          <cell r="R1605">
            <v>46151</v>
          </cell>
          <cell r="S1605">
            <v>20</v>
          </cell>
          <cell r="T1605">
            <v>5</v>
          </cell>
          <cell r="U1605">
            <v>28</v>
          </cell>
          <cell r="V1605">
            <v>1</v>
          </cell>
          <cell r="W1605" t="str">
            <v>0.085D</v>
          </cell>
          <cell r="X1605" t="str">
            <v>5-2026</v>
          </cell>
          <cell r="Y1605" t="str">
            <v>Week 19</v>
          </cell>
          <cell r="Z1605">
            <v>46146</v>
          </cell>
          <cell r="AA1605">
            <v>167</v>
          </cell>
          <cell r="AB1605">
            <v>3.5709999999999999E-2</v>
          </cell>
        </row>
        <row r="1606">
          <cell r="A1606" t="str">
            <v>F-2026-04-304</v>
          </cell>
          <cell r="B1606"/>
          <cell r="C1606" t="str">
            <v>RPRO-260422-0096</v>
          </cell>
          <cell r="D1606" t="str">
            <v>Pro.sche.report 21.04</v>
          </cell>
          <cell r="E1606" t="str">
            <v>BDB-000373</v>
          </cell>
          <cell r="F1606" t="str">
            <v>PVN-004315</v>
          </cell>
          <cell r="G1606" t="str">
            <v>OrthoLite X-25-Nike BILLIARD/16-5427TPX Flat Sheet 0.12D 20+/-4 Asker C 1.1M 2M 5mm</v>
          </cell>
          <cell r="H1606">
            <v>196</v>
          </cell>
          <cell r="I1606">
            <v>196</v>
          </cell>
          <cell r="J1606">
            <v>0</v>
          </cell>
          <cell r="K1606">
            <v>196</v>
          </cell>
          <cell r="L1606" t="str">
            <v>NIKE</v>
          </cell>
          <cell r="M1606" t="str">
            <v>Pr.Sch.R</v>
          </cell>
          <cell r="N1606" t="str">
            <v>DIE CUT</v>
          </cell>
          <cell r="O1606">
            <v>1</v>
          </cell>
          <cell r="P1606">
            <v>46134</v>
          </cell>
          <cell r="Q1606">
            <v>46148</v>
          </cell>
          <cell r="R1606">
            <v>46145</v>
          </cell>
          <cell r="S1606">
            <v>14</v>
          </cell>
          <cell r="T1606">
            <v>5</v>
          </cell>
          <cell r="U1606">
            <v>28</v>
          </cell>
          <cell r="V1606">
            <v>7</v>
          </cell>
          <cell r="W1606" t="e">
            <v>#N/A</v>
          </cell>
          <cell r="X1606" t="str">
            <v>5-2026</v>
          </cell>
          <cell r="Y1606" t="str">
            <v>Week 18</v>
          </cell>
          <cell r="Z1606">
            <v>46139</v>
          </cell>
          <cell r="AA1606">
            <v>114</v>
          </cell>
          <cell r="AB1606">
            <v>3.5709999999999999E-2</v>
          </cell>
        </row>
        <row r="1607">
          <cell r="A1607" t="str">
            <v>F-2026-04-305</v>
          </cell>
          <cell r="B1607"/>
          <cell r="C1607" t="str">
            <v>RPRO-260422-0097</v>
          </cell>
          <cell r="D1607" t="str">
            <v>Pro.sche.report 21.04</v>
          </cell>
          <cell r="E1607" t="str">
            <v>BDB-000313</v>
          </cell>
          <cell r="F1607" t="str">
            <v>PVN-004061</v>
          </cell>
          <cell r="G1607" t="str">
            <v>OrthoLite X-55 RED/19-1764TPX Flat Sheet 0.16D 25+/-4 Asker C 1.1M 1.47M 18mm</v>
          </cell>
          <cell r="H1607">
            <v>7</v>
          </cell>
          <cell r="I1607">
            <v>7</v>
          </cell>
          <cell r="J1607">
            <v>0</v>
          </cell>
          <cell r="K1607">
            <v>7</v>
          </cell>
          <cell r="L1607" t="str">
            <v>WILSON</v>
          </cell>
          <cell r="M1607" t="str">
            <v>Pr.Sch.R</v>
          </cell>
          <cell r="N1607" t="str">
            <v>MOLDED</v>
          </cell>
          <cell r="O1607">
            <v>1</v>
          </cell>
          <cell r="P1607">
            <v>46134</v>
          </cell>
          <cell r="Q1607">
            <v>46154</v>
          </cell>
          <cell r="R1607">
            <v>46151</v>
          </cell>
          <cell r="S1607">
            <v>20</v>
          </cell>
          <cell r="T1607">
            <v>18</v>
          </cell>
          <cell r="U1607">
            <v>7</v>
          </cell>
          <cell r="V1607">
            <v>2</v>
          </cell>
          <cell r="W1607" t="e">
            <v>#N/A</v>
          </cell>
          <cell r="X1607" t="str">
            <v>5-2026</v>
          </cell>
          <cell r="Y1607" t="str">
            <v>Week 19</v>
          </cell>
          <cell r="Z1607">
            <v>46146</v>
          </cell>
          <cell r="AA1607">
            <v>50</v>
          </cell>
          <cell r="AB1607">
            <v>0.14285999999999999</v>
          </cell>
        </row>
        <row r="1608">
          <cell r="A1608" t="str">
            <v>F-2026-04-306</v>
          </cell>
          <cell r="B1608"/>
          <cell r="C1608" t="str">
            <v>RPRO-260422-0098</v>
          </cell>
          <cell r="D1608" t="str">
            <v>Pro.sche.report 21.04</v>
          </cell>
          <cell r="E1608" t="str">
            <v>BDB-000076</v>
          </cell>
          <cell r="F1608" t="str">
            <v>PVN-003745</v>
          </cell>
          <cell r="G1608" t="str">
            <v>OrthoLite X-25 BILLIARD/16-5427TPX Flat Sheet 0.12D 20+/-4 Asker C 1.1M 2M 16mm</v>
          </cell>
          <cell r="H1608">
            <v>16</v>
          </cell>
          <cell r="I1608">
            <v>16</v>
          </cell>
          <cell r="J1608">
            <v>0</v>
          </cell>
          <cell r="K1608">
            <v>16</v>
          </cell>
          <cell r="L1608" t="str">
            <v>FOOTJOY</v>
          </cell>
          <cell r="M1608" t="str">
            <v>Pr.Sch.R</v>
          </cell>
          <cell r="N1608" t="str">
            <v>MOLDED</v>
          </cell>
          <cell r="O1608">
            <v>1</v>
          </cell>
          <cell r="P1608">
            <v>46134</v>
          </cell>
          <cell r="Q1608">
            <v>46153</v>
          </cell>
          <cell r="R1608">
            <v>46150</v>
          </cell>
          <cell r="S1608">
            <v>19</v>
          </cell>
          <cell r="T1608">
            <v>16</v>
          </cell>
          <cell r="U1608">
            <v>8</v>
          </cell>
          <cell r="V1608">
            <v>2</v>
          </cell>
          <cell r="W1608" t="str">
            <v>0.12D</v>
          </cell>
          <cell r="X1608" t="str">
            <v>5-2026</v>
          </cell>
          <cell r="Y1608" t="str">
            <v>Week 19</v>
          </cell>
          <cell r="Z1608">
            <v>46146</v>
          </cell>
          <cell r="AA1608">
            <v>16</v>
          </cell>
          <cell r="AB1608">
            <v>0.125</v>
          </cell>
        </row>
        <row r="1609">
          <cell r="A1609" t="str">
            <v>F-2026-04-307</v>
          </cell>
          <cell r="B1609"/>
          <cell r="C1609" t="str">
            <v>RPRO-260422-0099</v>
          </cell>
          <cell r="D1609" t="str">
            <v>Pro.sche.report 21.04</v>
          </cell>
          <cell r="E1609" t="str">
            <v>BDB-000076</v>
          </cell>
          <cell r="F1609" t="str">
            <v>PVN-003494</v>
          </cell>
          <cell r="G1609" t="str">
            <v>OrthoLite X-25 BILLIARD/16-5427TPX Flat Sheet 0.12D 20+/-4 Asker C 1.1M 2M 5.5mm</v>
          </cell>
          <cell r="H1609">
            <v>25</v>
          </cell>
          <cell r="I1609">
            <v>25</v>
          </cell>
          <cell r="J1609">
            <v>0</v>
          </cell>
          <cell r="K1609">
            <v>25</v>
          </cell>
          <cell r="L1609" t="str">
            <v>LOTTO</v>
          </cell>
          <cell r="M1609" t="str">
            <v>Pr.Sch.R</v>
          </cell>
          <cell r="N1609" t="str">
            <v>MOLDED</v>
          </cell>
          <cell r="O1609">
            <v>1</v>
          </cell>
          <cell r="P1609">
            <v>46134</v>
          </cell>
          <cell r="Q1609">
            <v>46154</v>
          </cell>
          <cell r="R1609">
            <v>46151</v>
          </cell>
          <cell r="S1609">
            <v>20</v>
          </cell>
          <cell r="T1609">
            <v>5.5</v>
          </cell>
          <cell r="U1609">
            <v>25</v>
          </cell>
          <cell r="V1609">
            <v>1</v>
          </cell>
          <cell r="W1609" t="str">
            <v>0.12D</v>
          </cell>
          <cell r="X1609" t="str">
            <v>5-2026</v>
          </cell>
          <cell r="Y1609" t="str">
            <v>Week 19</v>
          </cell>
          <cell r="Z1609">
            <v>46146</v>
          </cell>
          <cell r="AA1609">
            <v>65</v>
          </cell>
          <cell r="AB1609">
            <v>0.04</v>
          </cell>
        </row>
        <row r="1610">
          <cell r="A1610" t="str">
            <v>F-2026-04-308</v>
          </cell>
          <cell r="B1610"/>
          <cell r="C1610" t="str">
            <v>RPRO-260422-0100</v>
          </cell>
          <cell r="D1610" t="str">
            <v>Pro.sche.report 21.04</v>
          </cell>
          <cell r="E1610" t="str">
            <v>BDB-000149</v>
          </cell>
          <cell r="F1610" t="str">
            <v>PVN-002773</v>
          </cell>
          <cell r="G1610" t="str">
            <v>OrthoLite Regular-Hybrid-Nike SEEDPEARL/12-0703TPX Hybrid Flat Sheet 0.11D 25+/-4 Asker C 1.1M 2M 4mm</v>
          </cell>
          <cell r="H1610">
            <v>490</v>
          </cell>
          <cell r="I1610">
            <v>490</v>
          </cell>
          <cell r="J1610">
            <v>0</v>
          </cell>
          <cell r="K1610">
            <v>490</v>
          </cell>
          <cell r="L1610" t="str">
            <v>NIKE</v>
          </cell>
          <cell r="M1610" t="str">
            <v>Pr.Sch.R</v>
          </cell>
          <cell r="N1610" t="str">
            <v>DIE CUT</v>
          </cell>
          <cell r="O1610">
            <v>1</v>
          </cell>
          <cell r="P1610">
            <v>46134</v>
          </cell>
          <cell r="Q1610">
            <v>46154</v>
          </cell>
          <cell r="R1610">
            <v>46151</v>
          </cell>
          <cell r="S1610">
            <v>20</v>
          </cell>
          <cell r="T1610">
            <v>4</v>
          </cell>
          <cell r="U1610">
            <v>35</v>
          </cell>
          <cell r="V1610">
            <v>14</v>
          </cell>
          <cell r="W1610" t="str">
            <v>0.11D</v>
          </cell>
          <cell r="X1610" t="str">
            <v>5-2026</v>
          </cell>
          <cell r="Y1610" t="str">
            <v>Week 19</v>
          </cell>
          <cell r="Z1610">
            <v>46146</v>
          </cell>
          <cell r="AA1610">
            <v>215</v>
          </cell>
          <cell r="AB1610">
            <v>2.8570000000000002E-2</v>
          </cell>
        </row>
        <row r="1611">
          <cell r="A1611" t="str">
            <v>F-2026-04-309</v>
          </cell>
          <cell r="B1611"/>
          <cell r="C1611" t="str">
            <v>RPRO-260423-0480</v>
          </cell>
          <cell r="D1611" t="str">
            <v>MPS 22.04</v>
          </cell>
          <cell r="E1611" t="str">
            <v>BDB-000016</v>
          </cell>
          <cell r="F1611" t="str">
            <v>PVN-000458</v>
          </cell>
          <cell r="G1611" t="str">
            <v>OrthoLite Regular GREEN/16-5932TPX Flat Sheet 0.13D 35+/-4 Asker C 1.1M 2M 3mm</v>
          </cell>
          <cell r="H1611">
            <v>1196</v>
          </cell>
          <cell r="I1611">
            <v>1196</v>
          </cell>
          <cell r="J1611">
            <v>0</v>
          </cell>
          <cell r="K1611">
            <v>1196</v>
          </cell>
          <cell r="L1611"/>
          <cell r="M1611" t="str">
            <v>MPS</v>
          </cell>
          <cell r="N1611" t="str">
            <v>SPLITTING</v>
          </cell>
          <cell r="O1611">
            <v>2</v>
          </cell>
          <cell r="P1611">
            <v>46135</v>
          </cell>
          <cell r="Q1611">
            <v>46148</v>
          </cell>
          <cell r="R1611">
            <v>46145</v>
          </cell>
          <cell r="S1611">
            <v>13</v>
          </cell>
          <cell r="T1611">
            <v>3</v>
          </cell>
          <cell r="U1611">
            <v>46</v>
          </cell>
          <cell r="V1611">
            <v>27</v>
          </cell>
          <cell r="W1611" t="str">
            <v>0.13D</v>
          </cell>
          <cell r="X1611" t="str">
            <v>5-2026</v>
          </cell>
          <cell r="Y1611" t="str">
            <v>Week 18</v>
          </cell>
          <cell r="Z1611">
            <v>46139</v>
          </cell>
          <cell r="AA1611">
            <v>27</v>
          </cell>
          <cell r="AB1611">
            <v>2.1739999999999999E-2</v>
          </cell>
        </row>
        <row r="1612">
          <cell r="A1612" t="str">
            <v>F-2026-04-310</v>
          </cell>
          <cell r="B1612"/>
          <cell r="C1612" t="str">
            <v>RPRO-260423-0481</v>
          </cell>
          <cell r="D1612" t="str">
            <v>Pro.sche.report 22.04</v>
          </cell>
          <cell r="E1612" t="str">
            <v>BDB-000129</v>
          </cell>
          <cell r="F1612" t="str">
            <v>PVN-001550</v>
          </cell>
          <cell r="G1612" t="str">
            <v>OrthoLite Regular-Nike AIR BLUE/16-4134TPX Flat Sheet 0.11D 25+/-4 Asker C 1.1M 1.7M 2mm</v>
          </cell>
          <cell r="H1612">
            <v>1960</v>
          </cell>
          <cell r="I1612">
            <v>1960</v>
          </cell>
          <cell r="J1612">
            <v>0</v>
          </cell>
          <cell r="K1612">
            <v>1960</v>
          </cell>
          <cell r="L1612" t="str">
            <v>NIKE</v>
          </cell>
          <cell r="M1612" t="str">
            <v>Pr.Sch.R</v>
          </cell>
          <cell r="N1612" t="str">
            <v>LAMINATING</v>
          </cell>
          <cell r="O1612">
            <v>1</v>
          </cell>
          <cell r="P1612">
            <v>46135</v>
          </cell>
          <cell r="Q1612">
            <v>46155</v>
          </cell>
          <cell r="R1612">
            <v>46152</v>
          </cell>
          <cell r="S1612">
            <v>20</v>
          </cell>
          <cell r="T1612">
            <v>2</v>
          </cell>
          <cell r="U1612">
            <v>70</v>
          </cell>
          <cell r="V1612">
            <v>29</v>
          </cell>
          <cell r="W1612" t="str">
            <v>0.11D</v>
          </cell>
          <cell r="X1612" t="str">
            <v>5-2026</v>
          </cell>
          <cell r="Y1612" t="str">
            <v>Week 19</v>
          </cell>
          <cell r="Z1612">
            <v>46146</v>
          </cell>
          <cell r="AA1612">
            <v>87</v>
          </cell>
          <cell r="AB1612">
            <v>1.4290000000000001E-2</v>
          </cell>
        </row>
        <row r="1613">
          <cell r="A1613" t="str">
            <v>F-2026-04-311</v>
          </cell>
          <cell r="B1613"/>
          <cell r="C1613" t="str">
            <v>RPRO-260423-0482</v>
          </cell>
          <cell r="D1613" t="str">
            <v>Pro.sche.report 22.04</v>
          </cell>
          <cell r="E1613" t="str">
            <v>BDB-000336</v>
          </cell>
          <cell r="F1613" t="str">
            <v>PVN-004168</v>
          </cell>
          <cell r="G1613" t="str">
            <v>OrthoLite X-40-Nike SEEDPEARL/12-0703TPX Flat Sheet 0.16D 35+/-4 Asker C 1.1M 2M 4.5mm</v>
          </cell>
          <cell r="H1613">
            <v>31</v>
          </cell>
          <cell r="I1613">
            <v>31</v>
          </cell>
          <cell r="J1613">
            <v>0</v>
          </cell>
          <cell r="K1613">
            <v>31</v>
          </cell>
          <cell r="L1613" t="str">
            <v>NIKE</v>
          </cell>
          <cell r="M1613" t="str">
            <v>Pr.Sch.R</v>
          </cell>
          <cell r="N1613" t="str">
            <v>MOLDED</v>
          </cell>
          <cell r="O1613">
            <v>1</v>
          </cell>
          <cell r="P1613">
            <v>46135</v>
          </cell>
          <cell r="Q1613">
            <v>46148</v>
          </cell>
          <cell r="R1613">
            <v>46145</v>
          </cell>
          <cell r="S1613">
            <v>13</v>
          </cell>
          <cell r="T1613">
            <v>4.5</v>
          </cell>
          <cell r="U1613">
            <v>31</v>
          </cell>
          <cell r="V1613">
            <v>2</v>
          </cell>
          <cell r="W1613" t="e">
            <v>#N/A</v>
          </cell>
          <cell r="X1613" t="str">
            <v>5-2026</v>
          </cell>
          <cell r="Y1613" t="str">
            <v>Week 18</v>
          </cell>
          <cell r="Z1613">
            <v>46139</v>
          </cell>
          <cell r="AA1613">
            <v>122</v>
          </cell>
          <cell r="AB1613">
            <v>3.3329999999999999E-2</v>
          </cell>
        </row>
        <row r="1614">
          <cell r="A1614" t="str">
            <v>F-2026-04-312</v>
          </cell>
          <cell r="B1614"/>
          <cell r="C1614" t="str">
            <v>RPRO-260423-0483</v>
          </cell>
          <cell r="D1614" t="str">
            <v>Pro.sche.report 22.04</v>
          </cell>
          <cell r="E1614" t="str">
            <v>BDB-000339</v>
          </cell>
          <cell r="F1614" t="str">
            <v>PVN-004223</v>
          </cell>
          <cell r="G1614" t="str">
            <v>OrthoLite Float NEUTRAL GRAY/17-4402TPX Flat Sheet 0.12D 21+/-4 Asker C 1.1M 2M 5mm</v>
          </cell>
          <cell r="H1614">
            <v>28</v>
          </cell>
          <cell r="I1614">
            <v>28</v>
          </cell>
          <cell r="J1614">
            <v>0</v>
          </cell>
          <cell r="K1614">
            <v>28</v>
          </cell>
          <cell r="L1614" t="str">
            <v>PUMA</v>
          </cell>
          <cell r="M1614" t="str">
            <v>Pr.Sch.R</v>
          </cell>
          <cell r="N1614" t="str">
            <v>DIE CUT</v>
          </cell>
          <cell r="O1614">
            <v>1</v>
          </cell>
          <cell r="P1614">
            <v>46135</v>
          </cell>
          <cell r="Q1614">
            <v>46151</v>
          </cell>
          <cell r="R1614">
            <v>46148</v>
          </cell>
          <cell r="S1614">
            <v>16</v>
          </cell>
          <cell r="T1614">
            <v>5</v>
          </cell>
          <cell r="U1614">
            <v>28</v>
          </cell>
          <cell r="V1614">
            <v>1</v>
          </cell>
          <cell r="W1614" t="e">
            <v>#N/A</v>
          </cell>
          <cell r="X1614" t="str">
            <v>5-2026</v>
          </cell>
          <cell r="Y1614" t="str">
            <v>Week 18</v>
          </cell>
          <cell r="Z1614">
            <v>46139</v>
          </cell>
          <cell r="AA1614">
            <v>93</v>
          </cell>
          <cell r="AB1614">
            <v>3.5709999999999999E-2</v>
          </cell>
        </row>
        <row r="1615">
          <cell r="A1615" t="str">
            <v>F-2026-04-313</v>
          </cell>
          <cell r="B1615"/>
          <cell r="C1615" t="str">
            <v>RPRO-260423-0484</v>
          </cell>
          <cell r="D1615" t="str">
            <v>Pro.sche.report 22.04</v>
          </cell>
          <cell r="E1615" t="str">
            <v>BDB-000213</v>
          </cell>
          <cell r="F1615" t="str">
            <v>PVN-003752</v>
          </cell>
          <cell r="G1615" t="str">
            <v>OrthoLite X-25-Hybrid SEEDPEARL/12-0703TPX Hybrid Flat Sheet 0.12D 20+/-4 Asker C 1.1M 1.47M 4.5mm</v>
          </cell>
          <cell r="H1615">
            <v>31</v>
          </cell>
          <cell r="I1615">
            <v>31</v>
          </cell>
          <cell r="J1615">
            <v>0</v>
          </cell>
          <cell r="K1615">
            <v>31</v>
          </cell>
          <cell r="L1615" t="str">
            <v>ON RUNNING</v>
          </cell>
          <cell r="M1615" t="str">
            <v>Pr.Sch.R</v>
          </cell>
          <cell r="N1615" t="str">
            <v>MOLDED</v>
          </cell>
          <cell r="O1615">
            <v>1</v>
          </cell>
          <cell r="P1615">
            <v>46135</v>
          </cell>
          <cell r="Q1615">
            <v>46148</v>
          </cell>
          <cell r="R1615">
            <v>46145</v>
          </cell>
          <cell r="S1615">
            <v>13</v>
          </cell>
          <cell r="T1615">
            <v>4.5</v>
          </cell>
          <cell r="U1615">
            <v>31</v>
          </cell>
          <cell r="V1615">
            <v>2</v>
          </cell>
          <cell r="W1615" t="str">
            <v>0.12D</v>
          </cell>
          <cell r="X1615" t="str">
            <v>5-2026</v>
          </cell>
          <cell r="Y1615" t="str">
            <v>Week 18</v>
          </cell>
          <cell r="Z1615">
            <v>46139</v>
          </cell>
          <cell r="AA1615">
            <v>8</v>
          </cell>
          <cell r="AB1615">
            <v>3.2259999999999997E-2</v>
          </cell>
        </row>
        <row r="1616">
          <cell r="A1616" t="str">
            <v>F-2026-04-314</v>
          </cell>
          <cell r="B1616"/>
          <cell r="C1616" t="str">
            <v>RPRO-260423-0485</v>
          </cell>
          <cell r="D1616" t="str">
            <v>Pro.sche.report 22.04</v>
          </cell>
          <cell r="E1616" t="str">
            <v>BDB-000229</v>
          </cell>
          <cell r="F1616" t="str">
            <v>PVN-003878</v>
          </cell>
          <cell r="G1616" t="str">
            <v>OrthoLite Ultra-Hybrid SEEDPEARL/12-0703TPX Hybrid Flat Sheet 0.095D 33+/-4 Asker C 1.1M 2M 4mm</v>
          </cell>
          <cell r="H1616">
            <v>140</v>
          </cell>
          <cell r="I1616">
            <v>140</v>
          </cell>
          <cell r="J1616">
            <v>0</v>
          </cell>
          <cell r="K1616">
            <v>140</v>
          </cell>
          <cell r="L1616" t="str">
            <v>ON RUNNING</v>
          </cell>
          <cell r="M1616" t="str">
            <v>Pr.Sch.R</v>
          </cell>
          <cell r="N1616" t="str">
            <v>DIE CUT</v>
          </cell>
          <cell r="O1616">
            <v>1</v>
          </cell>
          <cell r="P1616">
            <v>46135</v>
          </cell>
          <cell r="Q1616">
            <v>46154</v>
          </cell>
          <cell r="R1616">
            <v>46151</v>
          </cell>
          <cell r="S1616">
            <v>19</v>
          </cell>
          <cell r="T1616">
            <v>4</v>
          </cell>
          <cell r="U1616">
            <v>35</v>
          </cell>
          <cell r="V1616">
            <v>4</v>
          </cell>
          <cell r="W1616" t="str">
            <v>0.095D</v>
          </cell>
          <cell r="X1616" t="str">
            <v>5-2026</v>
          </cell>
          <cell r="Y1616" t="str">
            <v>Week 19</v>
          </cell>
          <cell r="Z1616">
            <v>46146</v>
          </cell>
          <cell r="AA1616">
            <v>8</v>
          </cell>
          <cell r="AB1616">
            <v>2.8570000000000002E-2</v>
          </cell>
        </row>
        <row r="1617">
          <cell r="A1617" t="str">
            <v>F-2026-04-315</v>
          </cell>
          <cell r="B1617"/>
          <cell r="C1617" t="str">
            <v>RPRO-260424-1161</v>
          </cell>
          <cell r="D1617" t="str">
            <v>MPS 23.04</v>
          </cell>
          <cell r="E1617" t="str">
            <v>BDB-000286</v>
          </cell>
          <cell r="F1617" t="str">
            <v>PVN-003924</v>
          </cell>
          <cell r="G1617" t="str">
            <v>OrthoLite Regular-Hybrid SEEDPEARL/12-0703TPX Hybrid Flat Sheet 0.13D 25+/-4 Asker C 1.1M 1.7M 5mm</v>
          </cell>
          <cell r="H1617">
            <v>56</v>
          </cell>
          <cell r="I1617">
            <v>56</v>
          </cell>
          <cell r="J1617">
            <v>0</v>
          </cell>
          <cell r="K1617">
            <v>56</v>
          </cell>
          <cell r="L1617"/>
          <cell r="M1617" t="str">
            <v>Pr.Sch.R</v>
          </cell>
          <cell r="N1617"/>
          <cell r="O1617">
            <v>1</v>
          </cell>
          <cell r="P1617">
            <v>46136</v>
          </cell>
          <cell r="Q1617">
            <v>46156</v>
          </cell>
          <cell r="R1617">
            <v>46153</v>
          </cell>
          <cell r="S1617">
            <v>20</v>
          </cell>
          <cell r="T1617">
            <v>5</v>
          </cell>
          <cell r="U1617">
            <v>28</v>
          </cell>
          <cell r="V1617">
            <v>2</v>
          </cell>
          <cell r="W1617" t="str">
            <v>0.13D</v>
          </cell>
          <cell r="X1617" t="str">
            <v>5-2026</v>
          </cell>
          <cell r="Y1617" t="str">
            <v>Week 19</v>
          </cell>
          <cell r="Z1617">
            <v>46146</v>
          </cell>
          <cell r="AA1617">
            <v>0</v>
          </cell>
          <cell r="AB1617">
            <v>3.5709999999999999E-2</v>
          </cell>
        </row>
        <row r="1618">
          <cell r="A1618" t="str">
            <v>F-2026-04-316</v>
          </cell>
          <cell r="B1618"/>
          <cell r="C1618" t="str">
            <v>RPRO-260424-1162</v>
          </cell>
          <cell r="D1618" t="str">
            <v>MPS 23.04</v>
          </cell>
          <cell r="E1618" t="str">
            <v>BDB-000058</v>
          </cell>
          <cell r="F1618" t="str">
            <v>PVN-001277</v>
          </cell>
          <cell r="G1618" t="str">
            <v>OrthoLite Ultra GREEN/16-5932TPX Flat Sheet 0.085D 25+/-4 Asker C 1.1M 2M 4mm</v>
          </cell>
          <cell r="H1618">
            <v>385</v>
          </cell>
          <cell r="I1618">
            <v>385</v>
          </cell>
          <cell r="J1618">
            <v>0</v>
          </cell>
          <cell r="K1618">
            <v>385</v>
          </cell>
          <cell r="L1618"/>
          <cell r="M1618" t="str">
            <v>Pr.Sch.R</v>
          </cell>
          <cell r="N1618"/>
          <cell r="O1618">
            <v>1</v>
          </cell>
          <cell r="P1618">
            <v>46136</v>
          </cell>
          <cell r="Q1618">
            <v>46156</v>
          </cell>
          <cell r="R1618">
            <v>46153</v>
          </cell>
          <cell r="S1618">
            <v>20</v>
          </cell>
          <cell r="T1618">
            <v>4</v>
          </cell>
          <cell r="U1618">
            <v>35</v>
          </cell>
          <cell r="V1618">
            <v>11</v>
          </cell>
          <cell r="W1618" t="str">
            <v>0.085D</v>
          </cell>
          <cell r="X1618" t="str">
            <v>5-2026</v>
          </cell>
          <cell r="Y1618" t="str">
            <v>Week 19</v>
          </cell>
          <cell r="Z1618">
            <v>46146</v>
          </cell>
          <cell r="AA1618">
            <v>69</v>
          </cell>
          <cell r="AB1618">
            <v>2.8570000000000002E-2</v>
          </cell>
        </row>
        <row r="1619">
          <cell r="A1619" t="str">
            <v>F-2026-04-317</v>
          </cell>
          <cell r="B1619"/>
          <cell r="C1619" t="str">
            <v>RPRO-260424-1163</v>
          </cell>
          <cell r="D1619" t="str">
            <v>MPS 23.04</v>
          </cell>
          <cell r="E1619" t="str">
            <v>BDB-000123</v>
          </cell>
          <cell r="F1619" t="str">
            <v>PVN-003300</v>
          </cell>
          <cell r="G1619" t="str">
            <v>OrthoLite Ultra-Hybrid SEEDPEARL/12-0703TPX Hybrid Flat Sheet 0.085D 25+/-4 Asker C 1.1M 2M 2mm</v>
          </cell>
          <cell r="H1619">
            <v>420</v>
          </cell>
          <cell r="I1619">
            <v>420</v>
          </cell>
          <cell r="J1619">
            <v>0</v>
          </cell>
          <cell r="K1619">
            <v>420</v>
          </cell>
          <cell r="L1619"/>
          <cell r="M1619" t="str">
            <v>Pr.Sch.R</v>
          </cell>
          <cell r="N1619"/>
          <cell r="O1619">
            <v>1</v>
          </cell>
          <cell r="P1619">
            <v>46136</v>
          </cell>
          <cell r="Q1619">
            <v>46149</v>
          </cell>
          <cell r="R1619">
            <v>46146</v>
          </cell>
          <cell r="S1619">
            <v>13</v>
          </cell>
          <cell r="T1619">
            <v>2</v>
          </cell>
          <cell r="U1619">
            <v>70</v>
          </cell>
          <cell r="V1619">
            <v>7</v>
          </cell>
          <cell r="W1619" t="str">
            <v>0.085D</v>
          </cell>
          <cell r="X1619" t="str">
            <v>5-2026</v>
          </cell>
          <cell r="Y1619" t="str">
            <v>Week 18</v>
          </cell>
          <cell r="Z1619">
            <v>46139</v>
          </cell>
          <cell r="AA1619">
            <v>11</v>
          </cell>
          <cell r="AB1619">
            <v>1.4290000000000001E-2</v>
          </cell>
        </row>
        <row r="1620">
          <cell r="A1620" t="str">
            <v>F-2026-04-318</v>
          </cell>
          <cell r="B1620"/>
          <cell r="C1620" t="str">
            <v>RPRO-260424-1164</v>
          </cell>
          <cell r="D1620" t="str">
            <v>Pro.sche.report 23.04</v>
          </cell>
          <cell r="E1620" t="str">
            <v>BDB-000129</v>
          </cell>
          <cell r="F1620" t="str">
            <v>PVN-001550</v>
          </cell>
          <cell r="G1620" t="str">
            <v>OrthoLite Regular-Nike AIR BLUE/16-4134TPX Flat Sheet 0.11D 25+/-4 Asker C 1.1M 1.7M 2mm</v>
          </cell>
          <cell r="H1620">
            <v>3430</v>
          </cell>
          <cell r="I1620">
            <v>3430</v>
          </cell>
          <cell r="J1620">
            <v>0</v>
          </cell>
          <cell r="K1620">
            <v>3430</v>
          </cell>
          <cell r="L1620" t="str">
            <v>NIKE</v>
          </cell>
          <cell r="M1620" t="str">
            <v>Pr.Sch.R</v>
          </cell>
          <cell r="N1620" t="str">
            <v>LAMINATING</v>
          </cell>
          <cell r="O1620">
            <v>1</v>
          </cell>
          <cell r="P1620">
            <v>46136</v>
          </cell>
          <cell r="Q1620">
            <v>46158</v>
          </cell>
          <cell r="R1620">
            <v>46155</v>
          </cell>
          <cell r="S1620">
            <v>22</v>
          </cell>
          <cell r="T1620">
            <v>2</v>
          </cell>
          <cell r="U1620">
            <v>70</v>
          </cell>
          <cell r="V1620">
            <v>50</v>
          </cell>
          <cell r="W1620" t="str">
            <v>0.11D</v>
          </cell>
          <cell r="X1620" t="str">
            <v>5-2026</v>
          </cell>
          <cell r="Y1620" t="str">
            <v>Week 19</v>
          </cell>
          <cell r="Z1620">
            <v>46146</v>
          </cell>
          <cell r="AA1620">
            <v>0</v>
          </cell>
          <cell r="AB1620">
            <v>1.4290000000000001E-2</v>
          </cell>
        </row>
        <row r="1621">
          <cell r="A1621" t="str">
            <v>F-2026-04-319</v>
          </cell>
          <cell r="B1621"/>
          <cell r="C1621" t="str">
            <v>RPRO-260424-1165</v>
          </cell>
          <cell r="D1621" t="str">
            <v>Pro.sche.report 23.04</v>
          </cell>
          <cell r="E1621" t="str">
            <v>BDB-000346</v>
          </cell>
          <cell r="F1621" t="str">
            <v>PVN-004188</v>
          </cell>
          <cell r="G1621" t="str">
            <v>OrthoLite Float NEUTRAL GRAY/17-4402TPX Flat Sheet 0.12D 21+/-4 Asker C 1.1M 1.47M 5.5mm</v>
          </cell>
          <cell r="H1621">
            <v>100</v>
          </cell>
          <cell r="I1621">
            <v>100</v>
          </cell>
          <cell r="J1621">
            <v>0</v>
          </cell>
          <cell r="K1621">
            <v>100</v>
          </cell>
          <cell r="L1621" t="str">
            <v>PUMA</v>
          </cell>
          <cell r="M1621" t="str">
            <v>Pr.Sch.R</v>
          </cell>
          <cell r="N1621" t="str">
            <v>MOLDED</v>
          </cell>
          <cell r="O1621">
            <v>1</v>
          </cell>
          <cell r="P1621">
            <v>46136</v>
          </cell>
          <cell r="Q1621">
            <v>46156</v>
          </cell>
          <cell r="R1621">
            <v>46153</v>
          </cell>
          <cell r="S1621">
            <v>20</v>
          </cell>
          <cell r="T1621">
            <v>5.5</v>
          </cell>
          <cell r="U1621">
            <v>25</v>
          </cell>
          <cell r="V1621">
            <v>4</v>
          </cell>
          <cell r="W1621" t="e">
            <v>#N/A</v>
          </cell>
          <cell r="X1621" t="str">
            <v>5-2026</v>
          </cell>
          <cell r="Y1621" t="str">
            <v>Week 19</v>
          </cell>
          <cell r="Z1621">
            <v>46146</v>
          </cell>
          <cell r="AA1621">
            <v>8</v>
          </cell>
          <cell r="AB1621">
            <v>0.04</v>
          </cell>
        </row>
        <row r="1622">
          <cell r="A1622" t="str">
            <v>F-2026-04-320</v>
          </cell>
          <cell r="B1622"/>
          <cell r="C1622" t="str">
            <v>RPRO-260424-1166</v>
          </cell>
          <cell r="D1622" t="str">
            <v>Pro.sche.report 23.04</v>
          </cell>
          <cell r="E1622" t="str">
            <v>BDB-000339</v>
          </cell>
          <cell r="F1622" t="str">
            <v>PVN-004178</v>
          </cell>
          <cell r="G1622" t="str">
            <v>OrthoLite Float NEUTRAL GRAY/17-4402TPX Flat Sheet 0.12D 21+/-4 Asker C 1.1M 2M 5.5mm</v>
          </cell>
          <cell r="H1622">
            <v>650</v>
          </cell>
          <cell r="I1622">
            <v>650</v>
          </cell>
          <cell r="J1622">
            <v>0</v>
          </cell>
          <cell r="K1622">
            <v>650</v>
          </cell>
          <cell r="L1622" t="str">
            <v>PUMA</v>
          </cell>
          <cell r="M1622" t="str">
            <v>Pr.Sch.R</v>
          </cell>
          <cell r="N1622" t="str">
            <v>MOLDED</v>
          </cell>
          <cell r="O1622">
            <v>1</v>
          </cell>
          <cell r="P1622">
            <v>46136</v>
          </cell>
          <cell r="Q1622">
            <v>46156</v>
          </cell>
          <cell r="R1622">
            <v>46153</v>
          </cell>
          <cell r="S1622">
            <v>20</v>
          </cell>
          <cell r="T1622">
            <v>5.5</v>
          </cell>
          <cell r="U1622">
            <v>25</v>
          </cell>
          <cell r="V1622">
            <v>26</v>
          </cell>
          <cell r="W1622" t="e">
            <v>#N/A</v>
          </cell>
          <cell r="X1622" t="str">
            <v>5-2026</v>
          </cell>
          <cell r="Y1622" t="str">
            <v>Week 19</v>
          </cell>
          <cell r="Z1622">
            <v>46146</v>
          </cell>
          <cell r="AA1622">
            <v>0</v>
          </cell>
          <cell r="AB1622">
            <v>0.04</v>
          </cell>
        </row>
        <row r="1623">
          <cell r="A1623" t="str">
            <v>F-2026-04-321</v>
          </cell>
          <cell r="B1623"/>
          <cell r="C1623" t="str">
            <v>RPRO-260424-1167</v>
          </cell>
          <cell r="D1623" t="str">
            <v>Pro.sche.report 23.04</v>
          </cell>
          <cell r="E1623" t="str">
            <v>BDB-000373</v>
          </cell>
          <cell r="F1623" t="str">
            <v>PVN-004315</v>
          </cell>
          <cell r="G1623" t="str">
            <v>OrthoLite X-25-Nike BILLIARD/16-5427TPX Flat Sheet 0.12D 20+/-4 Asker C 1.1M 2M 5mm</v>
          </cell>
          <cell r="H1623">
            <v>504</v>
          </cell>
          <cell r="I1623">
            <v>504</v>
          </cell>
          <cell r="J1623">
            <v>0</v>
          </cell>
          <cell r="K1623">
            <v>504</v>
          </cell>
          <cell r="L1623" t="str">
            <v>NIKE</v>
          </cell>
          <cell r="M1623" t="str">
            <v>Pr.Sch.R</v>
          </cell>
          <cell r="N1623" t="str">
            <v>DIE CUT</v>
          </cell>
          <cell r="O1623">
            <v>1</v>
          </cell>
          <cell r="P1623">
            <v>46136</v>
          </cell>
          <cell r="Q1623">
            <v>46154</v>
          </cell>
          <cell r="R1623">
            <v>46151</v>
          </cell>
          <cell r="S1623">
            <v>18</v>
          </cell>
          <cell r="T1623">
            <v>5</v>
          </cell>
          <cell r="U1623">
            <v>28</v>
          </cell>
          <cell r="V1623">
            <v>18</v>
          </cell>
          <cell r="W1623" t="e">
            <v>#N/A</v>
          </cell>
          <cell r="X1623" t="str">
            <v>5-2026</v>
          </cell>
          <cell r="Y1623" t="str">
            <v>Week 19</v>
          </cell>
          <cell r="Z1623">
            <v>46146</v>
          </cell>
          <cell r="AA1623">
            <v>1</v>
          </cell>
          <cell r="AB1623">
            <v>3.5709999999999999E-2</v>
          </cell>
        </row>
        <row r="1624">
          <cell r="A1624" t="str">
            <v>F-2026-04-322</v>
          </cell>
          <cell r="B1624"/>
          <cell r="C1624" t="str">
            <v>RPRO-260424-1168</v>
          </cell>
          <cell r="D1624" t="str">
            <v>Pro.sche.report 23.04</v>
          </cell>
          <cell r="E1624" t="str">
            <v>BDB-000175</v>
          </cell>
          <cell r="F1624" t="str">
            <v>PVN-002875</v>
          </cell>
          <cell r="G1624" t="str">
            <v>OrthoLite Ultra-Hybrid-Nike SEEDPEARL/12-0703TPX Hybrid Flat Sheet 0.085D 25+/-4 Asker C 1.1M 2M 3mm</v>
          </cell>
          <cell r="H1624">
            <v>414</v>
          </cell>
          <cell r="I1624">
            <v>414</v>
          </cell>
          <cell r="J1624">
            <v>0</v>
          </cell>
          <cell r="K1624">
            <v>414</v>
          </cell>
          <cell r="L1624" t="str">
            <v>NIKE</v>
          </cell>
          <cell r="M1624" t="str">
            <v>Pr.Sch.R</v>
          </cell>
          <cell r="N1624" t="str">
            <v>DIE CUT</v>
          </cell>
          <cell r="O1624">
            <v>1</v>
          </cell>
          <cell r="P1624">
            <v>46136</v>
          </cell>
          <cell r="Q1624">
            <v>46156</v>
          </cell>
          <cell r="R1624">
            <v>46153</v>
          </cell>
          <cell r="S1624">
            <v>20</v>
          </cell>
          <cell r="T1624">
            <v>3</v>
          </cell>
          <cell r="U1624">
            <v>46</v>
          </cell>
          <cell r="V1624">
            <v>10</v>
          </cell>
          <cell r="W1624" t="str">
            <v>0.085D</v>
          </cell>
          <cell r="X1624" t="str">
            <v>5-2026</v>
          </cell>
          <cell r="Y1624" t="str">
            <v>Week 19</v>
          </cell>
          <cell r="Z1624">
            <v>46146</v>
          </cell>
          <cell r="AA1624">
            <v>93</v>
          </cell>
          <cell r="AB1624">
            <v>2.1739999999999999E-2</v>
          </cell>
        </row>
        <row r="1625">
          <cell r="A1625" t="str">
            <v>F-2026-04-323</v>
          </cell>
          <cell r="B1625"/>
          <cell r="C1625" t="str">
            <v>RPRO-260424-1169</v>
          </cell>
          <cell r="D1625" t="str">
            <v>Pro.sche.report 23.04</v>
          </cell>
          <cell r="E1625" t="str">
            <v>BDB-000076</v>
          </cell>
          <cell r="F1625" t="str">
            <v>PVN-003494</v>
          </cell>
          <cell r="G1625" t="str">
            <v>OrthoLite X-25 BILLIARD/16-5427TPX Flat Sheet 0.12D 20+/-4 Asker C 1.1M 2M 5.5mm</v>
          </cell>
          <cell r="H1625">
            <v>175</v>
          </cell>
          <cell r="I1625">
            <v>175</v>
          </cell>
          <cell r="J1625">
            <v>0</v>
          </cell>
          <cell r="K1625">
            <v>175</v>
          </cell>
          <cell r="L1625" t="str">
            <v>LOTTO</v>
          </cell>
          <cell r="M1625" t="str">
            <v>Pr.Sch.R</v>
          </cell>
          <cell r="N1625" t="str">
            <v>MOLDED</v>
          </cell>
          <cell r="O1625">
            <v>1</v>
          </cell>
          <cell r="P1625">
            <v>46136</v>
          </cell>
          <cell r="Q1625">
            <v>46156</v>
          </cell>
          <cell r="R1625">
            <v>46153</v>
          </cell>
          <cell r="S1625">
            <v>20</v>
          </cell>
          <cell r="T1625">
            <v>5.5</v>
          </cell>
          <cell r="U1625">
            <v>25</v>
          </cell>
          <cell r="V1625">
            <v>7</v>
          </cell>
          <cell r="W1625" t="str">
            <v>0.12D</v>
          </cell>
          <cell r="X1625" t="str">
            <v>5-2026</v>
          </cell>
          <cell r="Y1625" t="str">
            <v>Week 19</v>
          </cell>
          <cell r="Z1625">
            <v>46146</v>
          </cell>
          <cell r="AA1625">
            <v>50</v>
          </cell>
          <cell r="AB1625">
            <v>0.04</v>
          </cell>
        </row>
        <row r="1626">
          <cell r="A1626" t="str">
            <v>F-2026-04-324</v>
          </cell>
          <cell r="B1626"/>
          <cell r="C1626" t="str">
            <v>RPRO-260424-1170</v>
          </cell>
          <cell r="D1626" t="str">
            <v>Pro.sche.report 23.04</v>
          </cell>
          <cell r="E1626" t="str">
            <v>BDB-000340</v>
          </cell>
          <cell r="F1626" t="str">
            <v>PVN-004177</v>
          </cell>
          <cell r="G1626" t="str">
            <v>OrthoLite Float SEEDPEARL/12-0703TPX Flat Sheet 0.12D 21+/-4 Asker C 1.1M 2M 5.5mm</v>
          </cell>
          <cell r="H1626">
            <v>50</v>
          </cell>
          <cell r="I1626">
            <v>50</v>
          </cell>
          <cell r="J1626">
            <v>0</v>
          </cell>
          <cell r="K1626">
            <v>50</v>
          </cell>
          <cell r="L1626" t="str">
            <v>ON RUNNING</v>
          </cell>
          <cell r="M1626" t="str">
            <v>Pr.Sch.R</v>
          </cell>
          <cell r="N1626" t="str">
            <v>MOLDED</v>
          </cell>
          <cell r="O1626">
            <v>1</v>
          </cell>
          <cell r="P1626">
            <v>46136</v>
          </cell>
          <cell r="Q1626">
            <v>46156</v>
          </cell>
          <cell r="R1626">
            <v>46153</v>
          </cell>
          <cell r="S1626">
            <v>20</v>
          </cell>
          <cell r="T1626">
            <v>5.5</v>
          </cell>
          <cell r="U1626">
            <v>25</v>
          </cell>
          <cell r="V1626">
            <v>2</v>
          </cell>
          <cell r="W1626" t="e">
            <v>#N/A</v>
          </cell>
          <cell r="X1626" t="str">
            <v>5-2026</v>
          </cell>
          <cell r="Y1626" t="str">
            <v>Week 19</v>
          </cell>
          <cell r="Z1626">
            <v>46146</v>
          </cell>
          <cell r="AA1626">
            <v>18</v>
          </cell>
          <cell r="AB1626">
            <v>0.04</v>
          </cell>
        </row>
        <row r="1627">
          <cell r="A1627" t="str">
            <v>F-2026-04-325</v>
          </cell>
          <cell r="B1627"/>
          <cell r="C1627" t="str">
            <v>RPRO-260424-1171</v>
          </cell>
          <cell r="D1627" t="str">
            <v>Pro.sche.report 23.04</v>
          </cell>
          <cell r="E1627" t="str">
            <v>BDB-000213</v>
          </cell>
          <cell r="F1627" t="str">
            <v>PVN-003752</v>
          </cell>
          <cell r="G1627" t="str">
            <v>OrthoLite X-25-Hybrid SEEDPEARL/12-0703TPX Hybrid Flat Sheet 0.12D 20+/-4 Asker C 1.1M 1.47M 4.5mm</v>
          </cell>
          <cell r="H1627">
            <v>62</v>
          </cell>
          <cell r="I1627">
            <v>62</v>
          </cell>
          <cell r="J1627">
            <v>0</v>
          </cell>
          <cell r="K1627">
            <v>62</v>
          </cell>
          <cell r="L1627" t="str">
            <v>ON RUNNING</v>
          </cell>
          <cell r="M1627" t="str">
            <v>Pr.Sch.R</v>
          </cell>
          <cell r="N1627" t="str">
            <v>MOLDED</v>
          </cell>
          <cell r="O1627">
            <v>1</v>
          </cell>
          <cell r="P1627">
            <v>46136</v>
          </cell>
          <cell r="Q1627">
            <v>46148</v>
          </cell>
          <cell r="R1627">
            <v>46145</v>
          </cell>
          <cell r="S1627">
            <v>12</v>
          </cell>
          <cell r="T1627">
            <v>4.5</v>
          </cell>
          <cell r="U1627">
            <v>31</v>
          </cell>
          <cell r="V1627">
            <v>3</v>
          </cell>
          <cell r="W1627" t="str">
            <v>0.12D</v>
          </cell>
          <cell r="X1627" t="str">
            <v>5-2026</v>
          </cell>
          <cell r="Y1627" t="str">
            <v>Week 18</v>
          </cell>
          <cell r="Z1627">
            <v>46139</v>
          </cell>
          <cell r="AA1627">
            <v>1</v>
          </cell>
          <cell r="AB1627">
            <v>3.2259999999999997E-2</v>
          </cell>
        </row>
        <row r="1628">
          <cell r="A1628" t="str">
            <v>F-2026-04-326</v>
          </cell>
          <cell r="B1628"/>
          <cell r="C1628" t="str">
            <v>RPRO-260424-1172</v>
          </cell>
          <cell r="D1628" t="str">
            <v>Pro.sche.report 23.04</v>
          </cell>
          <cell r="E1628" t="str">
            <v>BDB-000113</v>
          </cell>
          <cell r="F1628" t="str">
            <v>PVN-003796</v>
          </cell>
          <cell r="G1628" t="str">
            <v>OrthoLite Regular-Hybrid SEEDPEARL/12-0703TPX Hybrid Flat Sheet 0.11D 25+/-4 Asker C 1.1M 2M 3.5mm</v>
          </cell>
          <cell r="H1628">
            <v>320</v>
          </cell>
          <cell r="I1628">
            <v>320</v>
          </cell>
          <cell r="J1628">
            <v>0</v>
          </cell>
          <cell r="K1628">
            <v>320</v>
          </cell>
          <cell r="L1628" t="str">
            <v>ASICS</v>
          </cell>
          <cell r="M1628" t="str">
            <v>Pr.Sch.R</v>
          </cell>
          <cell r="N1628" t="str">
            <v>DIE CUT</v>
          </cell>
          <cell r="O1628">
            <v>1</v>
          </cell>
          <cell r="P1628">
            <v>46136</v>
          </cell>
          <cell r="Q1628">
            <v>46148</v>
          </cell>
          <cell r="R1628">
            <v>46145</v>
          </cell>
          <cell r="S1628">
            <v>12</v>
          </cell>
          <cell r="T1628">
            <v>3.5</v>
          </cell>
          <cell r="U1628">
            <v>40</v>
          </cell>
          <cell r="V1628">
            <v>8</v>
          </cell>
          <cell r="W1628" t="str">
            <v>0.11D</v>
          </cell>
          <cell r="X1628" t="str">
            <v>5-2026</v>
          </cell>
          <cell r="Y1628" t="str">
            <v>Week 18</v>
          </cell>
          <cell r="Z1628">
            <v>46139</v>
          </cell>
          <cell r="AA1628">
            <v>10</v>
          </cell>
          <cell r="AB1628">
            <v>2.5000000000000001E-2</v>
          </cell>
        </row>
        <row r="1629">
          <cell r="A1629" t="str">
            <v>F-2026-04-327</v>
          </cell>
          <cell r="B1629"/>
          <cell r="C1629" t="str">
            <v>RPRO-260424-1173</v>
          </cell>
          <cell r="D1629" t="str">
            <v>Pro.sche.report 23.04</v>
          </cell>
          <cell r="E1629" t="str">
            <v>BDB-000321</v>
          </cell>
          <cell r="F1629" t="str">
            <v>PVN-004104</v>
          </cell>
          <cell r="G1629" t="str">
            <v>OrthoLite Float BLUE ATOLL/16-4535TPX Flat Sheet 0.12D 21+/-4 Asker C 1.1M 2M 5mm</v>
          </cell>
          <cell r="H1629">
            <v>168</v>
          </cell>
          <cell r="I1629">
            <v>168</v>
          </cell>
          <cell r="J1629">
            <v>0</v>
          </cell>
          <cell r="K1629">
            <v>168</v>
          </cell>
          <cell r="L1629" t="str">
            <v>DESCENTE</v>
          </cell>
          <cell r="M1629" t="str">
            <v>Pr.Sch.R</v>
          </cell>
          <cell r="N1629" t="str">
            <v>DIE CUT</v>
          </cell>
          <cell r="O1629">
            <v>1</v>
          </cell>
          <cell r="P1629">
            <v>46136</v>
          </cell>
          <cell r="Q1629">
            <v>46156</v>
          </cell>
          <cell r="R1629">
            <v>46153</v>
          </cell>
          <cell r="S1629">
            <v>20</v>
          </cell>
          <cell r="T1629">
            <v>5</v>
          </cell>
          <cell r="U1629">
            <v>28</v>
          </cell>
          <cell r="V1629">
            <v>6</v>
          </cell>
          <cell r="W1629" t="e">
            <v>#N/A</v>
          </cell>
          <cell r="X1629" t="str">
            <v>5-2026</v>
          </cell>
          <cell r="Y1629" t="str">
            <v>Week 19</v>
          </cell>
          <cell r="Z1629">
            <v>46146</v>
          </cell>
          <cell r="AA1629">
            <v>51</v>
          </cell>
          <cell r="AB1629">
            <v>3.5709999999999999E-2</v>
          </cell>
        </row>
        <row r="1630">
          <cell r="A1630" t="str">
            <v>F-2026-04-328</v>
          </cell>
          <cell r="B1630"/>
          <cell r="C1630" t="str">
            <v>RPRO-260424-1174</v>
          </cell>
          <cell r="D1630" t="str">
            <v>Pro.sche.report 23.04</v>
          </cell>
          <cell r="E1630" t="str">
            <v>BDB-000321</v>
          </cell>
          <cell r="F1630" t="str">
            <v>PVN-004092</v>
          </cell>
          <cell r="G1630" t="str">
            <v>OrthoLite Float BLUE ATOLL/16-4535TPX Flat Sheet 0.12D 21+/-4 Asker C 1.1M 2M 14.5mm</v>
          </cell>
          <cell r="H1630">
            <v>99</v>
          </cell>
          <cell r="I1630">
            <v>99</v>
          </cell>
          <cell r="J1630">
            <v>0</v>
          </cell>
          <cell r="K1630">
            <v>99</v>
          </cell>
          <cell r="L1630" t="str">
            <v>LOWA</v>
          </cell>
          <cell r="M1630" t="str">
            <v>Pr.Sch.R</v>
          </cell>
          <cell r="N1630" t="str">
            <v>MOLDED</v>
          </cell>
          <cell r="O1630">
            <v>1</v>
          </cell>
          <cell r="P1630">
            <v>46136</v>
          </cell>
          <cell r="Q1630">
            <v>46150</v>
          </cell>
          <cell r="R1630">
            <v>46147</v>
          </cell>
          <cell r="S1630">
            <v>14</v>
          </cell>
          <cell r="T1630">
            <v>14.5</v>
          </cell>
          <cell r="U1630">
            <v>9</v>
          </cell>
          <cell r="V1630">
            <v>11</v>
          </cell>
          <cell r="W1630" t="e">
            <v>#N/A</v>
          </cell>
          <cell r="X1630" t="str">
            <v>5-2026</v>
          </cell>
          <cell r="Y1630" t="str">
            <v>Week 18</v>
          </cell>
          <cell r="Z1630">
            <v>46139</v>
          </cell>
          <cell r="AA1630">
            <v>3</v>
          </cell>
          <cell r="AB1630">
            <v>0.11111</v>
          </cell>
        </row>
        <row r="1631">
          <cell r="A1631" t="str">
            <v>F-2026-04-329</v>
          </cell>
          <cell r="B1631"/>
          <cell r="C1631" t="str">
            <v>RPRO-260424-1175</v>
          </cell>
          <cell r="D1631" t="str">
            <v>Pro.sche.report 23.04</v>
          </cell>
          <cell r="E1631" t="str">
            <v>BDB-000123</v>
          </cell>
          <cell r="F1631" t="str">
            <v>PVN-003743</v>
          </cell>
          <cell r="G1631" t="str">
            <v>OrthoLite Ultra-Hybrid SEEDPEARL/12-0703TPX Hybrid Flat Sheet 0.085D 25+/-4 Asker C 1.1M 2M 5.5mm</v>
          </cell>
          <cell r="H1631">
            <v>50</v>
          </cell>
          <cell r="I1631">
            <v>50</v>
          </cell>
          <cell r="J1631">
            <v>0</v>
          </cell>
          <cell r="K1631">
            <v>50</v>
          </cell>
          <cell r="L1631" t="str">
            <v>LOWA</v>
          </cell>
          <cell r="M1631" t="str">
            <v>Pr.Sch.R</v>
          </cell>
          <cell r="N1631" t="str">
            <v>MOLDED</v>
          </cell>
          <cell r="O1631">
            <v>1</v>
          </cell>
          <cell r="P1631">
            <v>46136</v>
          </cell>
          <cell r="Q1631">
            <v>46156</v>
          </cell>
          <cell r="R1631">
            <v>46153</v>
          </cell>
          <cell r="S1631">
            <v>20</v>
          </cell>
          <cell r="T1631">
            <v>5.5</v>
          </cell>
          <cell r="U1631">
            <v>25</v>
          </cell>
          <cell r="V1631">
            <v>2</v>
          </cell>
          <cell r="W1631" t="str">
            <v>0.085D</v>
          </cell>
          <cell r="X1631" t="str">
            <v>5-2026</v>
          </cell>
          <cell r="Y1631" t="str">
            <v>Week 19</v>
          </cell>
          <cell r="Z1631">
            <v>46146</v>
          </cell>
          <cell r="AA1631">
            <v>16</v>
          </cell>
          <cell r="AB1631">
            <v>0.04</v>
          </cell>
        </row>
        <row r="1632">
          <cell r="A1632" t="str">
            <v>F-2026-04-330</v>
          </cell>
          <cell r="B1632"/>
          <cell r="C1632" t="str">
            <v>RPRO-260424-1176</v>
          </cell>
          <cell r="D1632" t="str">
            <v>Pro.sche.report 23.04</v>
          </cell>
          <cell r="E1632" t="str">
            <v>BDB-000189</v>
          </cell>
          <cell r="F1632" t="str">
            <v>PVN-003240</v>
          </cell>
          <cell r="G1632" t="str">
            <v>OrthoLite Eco LT-Hybrid-Converse SEEDPEARL/12-0703TPX Hybrid Flat Sheet 0.13D 25+/-4 Asker C 1.1M 1.47M 5mm (SLT)</v>
          </cell>
          <cell r="H1632">
            <v>112</v>
          </cell>
          <cell r="I1632">
            <v>112</v>
          </cell>
          <cell r="J1632">
            <v>0</v>
          </cell>
          <cell r="K1632">
            <v>112</v>
          </cell>
          <cell r="L1632" t="str">
            <v>CONVERSE</v>
          </cell>
          <cell r="M1632" t="str">
            <v>Pr.Sch.R</v>
          </cell>
          <cell r="N1632" t="str">
            <v>DIE CUT</v>
          </cell>
          <cell r="O1632" t="str">
            <v>1-SLT</v>
          </cell>
          <cell r="P1632">
            <v>46136</v>
          </cell>
          <cell r="Q1632">
            <v>46154</v>
          </cell>
          <cell r="R1632">
            <v>46151</v>
          </cell>
          <cell r="S1632">
            <v>18</v>
          </cell>
          <cell r="T1632">
            <v>5</v>
          </cell>
          <cell r="U1632">
            <v>28</v>
          </cell>
          <cell r="V1632">
            <v>4</v>
          </cell>
          <cell r="W1632" t="str">
            <v>0.13D</v>
          </cell>
          <cell r="X1632" t="str">
            <v>5-2026</v>
          </cell>
          <cell r="Y1632" t="str">
            <v>Week 19</v>
          </cell>
          <cell r="Z1632">
            <v>46146</v>
          </cell>
          <cell r="AA1632">
            <v>42</v>
          </cell>
          <cell r="AB1632">
            <v>3.5709999999999999E-2</v>
          </cell>
        </row>
        <row r="1633">
          <cell r="A1633" t="str">
            <v>F-2026-04-331</v>
          </cell>
          <cell r="B1633"/>
          <cell r="C1633" t="str">
            <v>RPRO-260424-1177</v>
          </cell>
          <cell r="D1633" t="str">
            <v>Pro.sche.report 23.04</v>
          </cell>
          <cell r="E1633" t="str">
            <v>BDB-000175</v>
          </cell>
          <cell r="F1633" t="str">
            <v>PVN-002876</v>
          </cell>
          <cell r="G1633" t="str">
            <v>OrthoLite Ultra-Hybrid-Nike SEEDPEARL/12-0703TPX Hybrid Flat Sheet 0.085D 25+/-4 Asker C 1.1M 2M 5mm</v>
          </cell>
          <cell r="H1633">
            <v>168</v>
          </cell>
          <cell r="I1633">
            <v>168</v>
          </cell>
          <cell r="J1633">
            <v>0</v>
          </cell>
          <cell r="K1633">
            <v>168</v>
          </cell>
          <cell r="L1633" t="str">
            <v>NIKE</v>
          </cell>
          <cell r="M1633" t="str">
            <v>Pr.Sch.R</v>
          </cell>
          <cell r="N1633" t="str">
            <v>MOLDED</v>
          </cell>
          <cell r="O1633">
            <v>1</v>
          </cell>
          <cell r="P1633">
            <v>46136</v>
          </cell>
          <cell r="Q1633">
            <v>46156</v>
          </cell>
          <cell r="R1633">
            <v>46153</v>
          </cell>
          <cell r="S1633">
            <v>20</v>
          </cell>
          <cell r="T1633">
            <v>5</v>
          </cell>
          <cell r="U1633">
            <v>28</v>
          </cell>
          <cell r="V1633">
            <v>6</v>
          </cell>
          <cell r="W1633" t="str">
            <v>0.085D</v>
          </cell>
          <cell r="X1633" t="str">
            <v>5-2026</v>
          </cell>
          <cell r="Y1633" t="str">
            <v>Week 19</v>
          </cell>
          <cell r="Z1633">
            <v>46146</v>
          </cell>
          <cell r="AA1633">
            <v>270</v>
          </cell>
          <cell r="AB1633">
            <v>3.5709999999999999E-2</v>
          </cell>
        </row>
        <row r="1634">
          <cell r="A1634" t="str">
            <v>F-2026-04-332</v>
          </cell>
          <cell r="B1634"/>
          <cell r="C1634" t="str">
            <v>RPRO-260424-1178</v>
          </cell>
          <cell r="D1634" t="str">
            <v>Pro.sche.report 23.04</v>
          </cell>
          <cell r="E1634" t="str">
            <v>BDB-000275</v>
          </cell>
          <cell r="F1634" t="str">
            <v>PVN-004362</v>
          </cell>
          <cell r="G1634" t="str">
            <v>OrthoLite Regular RED/19-1764TPX Flat Sheet 0.15D 45+/-4 Asker C 1.1M 1.7M 2mm</v>
          </cell>
          <cell r="H1634">
            <v>140</v>
          </cell>
          <cell r="I1634">
            <v>140</v>
          </cell>
          <cell r="J1634">
            <v>0</v>
          </cell>
          <cell r="K1634">
            <v>140</v>
          </cell>
          <cell r="L1634" t="str">
            <v>SALOMON</v>
          </cell>
          <cell r="M1634" t="str">
            <v>Pr.Sch.R</v>
          </cell>
          <cell r="N1634" t="str">
            <v>MOLDED</v>
          </cell>
          <cell r="O1634">
            <v>1</v>
          </cell>
          <cell r="P1634">
            <v>46136</v>
          </cell>
          <cell r="Q1634">
            <v>46156</v>
          </cell>
          <cell r="R1634">
            <v>46153</v>
          </cell>
          <cell r="S1634">
            <v>20</v>
          </cell>
          <cell r="T1634">
            <v>2</v>
          </cell>
          <cell r="U1634">
            <v>70</v>
          </cell>
          <cell r="V1634">
            <v>3</v>
          </cell>
          <cell r="W1634" t="str">
            <v>0.15D</v>
          </cell>
          <cell r="X1634" t="str">
            <v>5-2026</v>
          </cell>
          <cell r="Y1634" t="str">
            <v>Week 19</v>
          </cell>
          <cell r="Z1634">
            <v>46146</v>
          </cell>
          <cell r="AA1634">
            <v>339</v>
          </cell>
          <cell r="AB1634">
            <v>1.4290000000000001E-2</v>
          </cell>
        </row>
        <row r="1635">
          <cell r="A1635" t="str">
            <v>F-2026-04-333</v>
          </cell>
          <cell r="B1635"/>
          <cell r="C1635" t="str">
            <v>RPRO-260424-1179</v>
          </cell>
          <cell r="D1635" t="str">
            <v>Pro.sche.report 23.04</v>
          </cell>
          <cell r="E1635" t="str">
            <v>BDB-000229</v>
          </cell>
          <cell r="F1635" t="str">
            <v>PVN-004373</v>
          </cell>
          <cell r="G1635" t="str">
            <v>OrthoLite Ultra-Hybrid SEEDPEARL/12-0703TPX Hybrid Flat Sheet 0.095D 33+/-4 Asker C 1.1M 2M 5.2mm</v>
          </cell>
          <cell r="H1635">
            <v>156</v>
          </cell>
          <cell r="I1635">
            <v>156</v>
          </cell>
          <cell r="J1635">
            <v>0</v>
          </cell>
          <cell r="K1635">
            <v>156</v>
          </cell>
          <cell r="L1635" t="str">
            <v>SALOMON</v>
          </cell>
          <cell r="M1635" t="str">
            <v>Pr.Sch.R</v>
          </cell>
          <cell r="N1635" t="str">
            <v>MOLDED</v>
          </cell>
          <cell r="O1635">
            <v>1</v>
          </cell>
          <cell r="P1635">
            <v>46136</v>
          </cell>
          <cell r="Q1635">
            <v>46156</v>
          </cell>
          <cell r="R1635">
            <v>46153</v>
          </cell>
          <cell r="S1635">
            <v>20</v>
          </cell>
          <cell r="T1635">
            <v>5.2</v>
          </cell>
          <cell r="U1635">
            <v>26</v>
          </cell>
          <cell r="V1635">
            <v>6</v>
          </cell>
          <cell r="W1635" t="str">
            <v>0.095D</v>
          </cell>
          <cell r="X1635" t="str">
            <v>5-2026</v>
          </cell>
          <cell r="Y1635" t="str">
            <v>Week 19</v>
          </cell>
          <cell r="Z1635">
            <v>46146</v>
          </cell>
          <cell r="AA1635">
            <v>111</v>
          </cell>
          <cell r="AB1635">
            <v>3.8460000000000001E-2</v>
          </cell>
        </row>
        <row r="1636">
          <cell r="A1636" t="str">
            <v>F-2026-04-334</v>
          </cell>
          <cell r="B1636"/>
          <cell r="C1636" t="str">
            <v>RPRO-260428-1290</v>
          </cell>
          <cell r="D1636" t="str">
            <v>MPS 24.4+25.4</v>
          </cell>
          <cell r="E1636" t="str">
            <v>BDB-000348</v>
          </cell>
          <cell r="F1636" t="str">
            <v>PVN-004210</v>
          </cell>
          <cell r="G1636" t="str">
            <v>OrthoLite IMPERIAL SEEDPEARL/12-0703TPX Flat Sheet 0.22D 25+/-4 Asker C 1.1M 1.47M 5mm</v>
          </cell>
          <cell r="H1636">
            <v>28</v>
          </cell>
          <cell r="I1636">
            <v>28</v>
          </cell>
          <cell r="J1636">
            <v>0</v>
          </cell>
          <cell r="K1636">
            <v>28</v>
          </cell>
          <cell r="L1636"/>
          <cell r="M1636" t="str">
            <v>MPS</v>
          </cell>
          <cell r="N1636" t="str">
            <v>SPLITTING</v>
          </cell>
          <cell r="O1636">
            <v>2</v>
          </cell>
          <cell r="P1636">
            <v>46140</v>
          </cell>
          <cell r="Q1636">
            <v>46160</v>
          </cell>
          <cell r="R1636">
            <v>46157</v>
          </cell>
          <cell r="S1636">
            <v>20</v>
          </cell>
          <cell r="T1636">
            <v>5</v>
          </cell>
          <cell r="U1636">
            <v>28</v>
          </cell>
          <cell r="V1636">
            <v>1</v>
          </cell>
          <cell r="W1636" t="e">
            <v>#N/A</v>
          </cell>
          <cell r="X1636" t="str">
            <v>5-2026</v>
          </cell>
          <cell r="Y1636" t="str">
            <v>Week 20</v>
          </cell>
          <cell r="Z1636">
            <v>46153</v>
          </cell>
          <cell r="AA1636">
            <v>108</v>
          </cell>
          <cell r="AB1636">
            <v>3.5709999999999999E-2</v>
          </cell>
        </row>
        <row r="1637">
          <cell r="A1637" t="str">
            <v>F-2026-04-335</v>
          </cell>
          <cell r="B1637"/>
          <cell r="C1637" t="str">
            <v>RPRO-260428-1291</v>
          </cell>
          <cell r="D1637" t="str">
            <v>Pro.sche.report 24.4+25.4</v>
          </cell>
          <cell r="E1637" t="str">
            <v>BDB-000129</v>
          </cell>
          <cell r="F1637" t="str">
            <v>PVN-001550</v>
          </cell>
          <cell r="G1637" t="str">
            <v>OrthoLite Regular-Nike AIR BLUE/16-4134TPX Flat Sheet 0.11D 25+/-4 Asker C 1.1M 1.7M 2mm</v>
          </cell>
          <cell r="H1637">
            <v>1470</v>
          </cell>
          <cell r="I1637">
            <v>1470</v>
          </cell>
          <cell r="J1637">
            <v>0</v>
          </cell>
          <cell r="K1637">
            <v>1470</v>
          </cell>
          <cell r="L1637" t="str">
            <v>NIKE</v>
          </cell>
          <cell r="M1637" t="str">
            <v>Pr.Sch.R</v>
          </cell>
          <cell r="N1637" t="str">
            <v>LAMINATING</v>
          </cell>
          <cell r="O1637">
            <v>1</v>
          </cell>
          <cell r="P1637">
            <v>46140</v>
          </cell>
          <cell r="Q1637">
            <v>46175</v>
          </cell>
          <cell r="R1637">
            <v>46172</v>
          </cell>
          <cell r="S1637">
            <v>35</v>
          </cell>
          <cell r="T1637">
            <v>2</v>
          </cell>
          <cell r="U1637">
            <v>70</v>
          </cell>
          <cell r="V1637">
            <v>22</v>
          </cell>
          <cell r="W1637" t="str">
            <v>0.11D</v>
          </cell>
          <cell r="X1637" t="str">
            <v>6-2026</v>
          </cell>
          <cell r="Y1637" t="str">
            <v>Week 22</v>
          </cell>
          <cell r="Z1637">
            <v>46167</v>
          </cell>
          <cell r="AA1637">
            <v>237</v>
          </cell>
          <cell r="AB1637">
            <v>1.4290000000000001E-2</v>
          </cell>
        </row>
        <row r="1638">
          <cell r="A1638" t="str">
            <v>F-2026-04-336</v>
          </cell>
          <cell r="B1638"/>
          <cell r="C1638" t="str">
            <v>RPRO-260428-1292</v>
          </cell>
          <cell r="D1638" t="str">
            <v>Pro.sche.report 24.4+25.4</v>
          </cell>
          <cell r="E1638" t="str">
            <v>BDB-000346</v>
          </cell>
          <cell r="F1638" t="str">
            <v>PVN-004188</v>
          </cell>
          <cell r="G1638" t="str">
            <v>OrthoLite Float NEUTRAL GRAY/17-4402TPX Flat Sheet 0.12D 21+/-4 Asker C 1.1M 1.47M 5.5mm</v>
          </cell>
          <cell r="H1638">
            <v>825</v>
          </cell>
          <cell r="I1638">
            <v>825</v>
          </cell>
          <cell r="J1638">
            <v>0</v>
          </cell>
          <cell r="K1638">
            <v>825</v>
          </cell>
          <cell r="L1638" t="str">
            <v>PUMA</v>
          </cell>
          <cell r="M1638" t="str">
            <v>Pr.Sch.R</v>
          </cell>
          <cell r="N1638" t="str">
            <v>MOLDED</v>
          </cell>
          <cell r="O1638">
            <v>1</v>
          </cell>
          <cell r="P1638">
            <v>46140</v>
          </cell>
          <cell r="Q1638">
            <v>46158</v>
          </cell>
          <cell r="R1638">
            <v>46155</v>
          </cell>
          <cell r="S1638">
            <v>18</v>
          </cell>
          <cell r="T1638">
            <v>5.5</v>
          </cell>
          <cell r="U1638">
            <v>25</v>
          </cell>
          <cell r="V1638">
            <v>33</v>
          </cell>
          <cell r="W1638" t="e">
            <v>#N/A</v>
          </cell>
          <cell r="X1638" t="str">
            <v>5-2026</v>
          </cell>
          <cell r="Y1638" t="str">
            <v>Week 19</v>
          </cell>
          <cell r="Z1638">
            <v>46146</v>
          </cell>
          <cell r="AA1638">
            <v>70</v>
          </cell>
          <cell r="AB1638">
            <v>0.04</v>
          </cell>
        </row>
        <row r="1639">
          <cell r="A1639" t="str">
            <v>F-2026-04-337</v>
          </cell>
          <cell r="B1639"/>
          <cell r="C1639" t="str">
            <v>RPRO-260428-1293</v>
          </cell>
          <cell r="D1639" t="str">
            <v>Pro.sche.report 24.4+25.4</v>
          </cell>
          <cell r="E1639" t="str">
            <v>BDB-000011</v>
          </cell>
          <cell r="F1639" t="str">
            <v>PVN-000121</v>
          </cell>
          <cell r="G1639" t="str">
            <v>OrthoLite Regular AIR BLUE/16-4134TPX Flat Sheet 0.13D 35+/-4 Asker C 1.1M 2M 12mm</v>
          </cell>
          <cell r="H1639">
            <v>214</v>
          </cell>
          <cell r="I1639">
            <v>214</v>
          </cell>
          <cell r="J1639">
            <v>0</v>
          </cell>
          <cell r="K1639">
            <v>214</v>
          </cell>
          <cell r="L1639" t="str">
            <v>ASICS</v>
          </cell>
          <cell r="M1639" t="str">
            <v>Pr.Sch.R</v>
          </cell>
          <cell r="N1639" t="str">
            <v>MOLDED</v>
          </cell>
          <cell r="O1639">
            <v>1</v>
          </cell>
          <cell r="P1639">
            <v>46140</v>
          </cell>
          <cell r="Q1639">
            <v>46157</v>
          </cell>
          <cell r="R1639">
            <v>46154</v>
          </cell>
          <cell r="S1639">
            <v>17</v>
          </cell>
          <cell r="T1639">
            <v>12</v>
          </cell>
          <cell r="U1639">
            <v>11.5</v>
          </cell>
          <cell r="V1639">
            <v>19</v>
          </cell>
          <cell r="W1639" t="str">
            <v>0.13D</v>
          </cell>
          <cell r="X1639" t="str">
            <v>5-2026</v>
          </cell>
          <cell r="Y1639" t="str">
            <v>Week 20</v>
          </cell>
          <cell r="Z1639">
            <v>46153</v>
          </cell>
          <cell r="AA1639">
            <v>162</v>
          </cell>
          <cell r="AB1639">
            <v>8.6959999999999996E-2</v>
          </cell>
        </row>
        <row r="1640">
          <cell r="A1640" t="str">
            <v>F-2026-04-338</v>
          </cell>
          <cell r="B1640"/>
          <cell r="C1640" t="str">
            <v>RPRO-260428-1294</v>
          </cell>
          <cell r="D1640" t="str">
            <v>Pro.sche.report 24.4+25.4</v>
          </cell>
          <cell r="E1640" t="str">
            <v>BDB-000008</v>
          </cell>
          <cell r="F1640" t="str">
            <v>PVN-000505</v>
          </cell>
          <cell r="G1640" t="str">
            <v>OrthoLite Regular LIME GREEN/14-0452TPX Flat Sheet 0.11D 25+/-4 Asker C 1.1M 2M 12mm</v>
          </cell>
          <cell r="H1640">
            <v>242</v>
          </cell>
          <cell r="I1640">
            <v>242</v>
          </cell>
          <cell r="J1640">
            <v>0</v>
          </cell>
          <cell r="K1640">
            <v>242</v>
          </cell>
          <cell r="L1640" t="str">
            <v>ASICS</v>
          </cell>
          <cell r="M1640" t="str">
            <v>Pr.Sch.R</v>
          </cell>
          <cell r="N1640" t="str">
            <v>MOLDED</v>
          </cell>
          <cell r="O1640">
            <v>1</v>
          </cell>
          <cell r="P1640">
            <v>46140</v>
          </cell>
          <cell r="Q1640">
            <v>46156</v>
          </cell>
          <cell r="R1640">
            <v>46153</v>
          </cell>
          <cell r="S1640">
            <v>16</v>
          </cell>
          <cell r="T1640">
            <v>12</v>
          </cell>
          <cell r="U1640">
            <v>11.5</v>
          </cell>
          <cell r="V1640">
            <v>22</v>
          </cell>
          <cell r="W1640" t="str">
            <v>0.11D</v>
          </cell>
          <cell r="X1640" t="str">
            <v>5-2026</v>
          </cell>
          <cell r="Y1640" t="str">
            <v>Week 19</v>
          </cell>
          <cell r="Z1640">
            <v>46146</v>
          </cell>
          <cell r="AA1640">
            <v>3</v>
          </cell>
          <cell r="AB1640">
            <v>8.6959999999999996E-2</v>
          </cell>
        </row>
        <row r="1641">
          <cell r="A1641" t="str">
            <v>F-2026-04-339</v>
          </cell>
          <cell r="B1641"/>
          <cell r="C1641" t="str">
            <v>RPRO-260428-1295</v>
          </cell>
          <cell r="D1641" t="str">
            <v>Pro.sche.report 24.4+25.4</v>
          </cell>
          <cell r="E1641" t="str">
            <v>BDB-000113</v>
          </cell>
          <cell r="F1641" t="str">
            <v>PVN-003601</v>
          </cell>
          <cell r="G1641" t="str">
            <v>OrthoLite Regular-Hybrid SEEDPEARL/12-0703TPX Hybrid Flat Sheet 0.11D 25+/-4 Asker C 1.1M 2M 20mm</v>
          </cell>
          <cell r="H1641">
            <v>42</v>
          </cell>
          <cell r="I1641">
            <v>42</v>
          </cell>
          <cell r="J1641">
            <v>0</v>
          </cell>
          <cell r="K1641">
            <v>42</v>
          </cell>
          <cell r="L1641" t="str">
            <v>ASICS</v>
          </cell>
          <cell r="M1641" t="str">
            <v>Pr.Sch.R</v>
          </cell>
          <cell r="N1641" t="str">
            <v>MOLDED</v>
          </cell>
          <cell r="O1641">
            <v>1</v>
          </cell>
          <cell r="P1641">
            <v>46140</v>
          </cell>
          <cell r="Q1641">
            <v>46160</v>
          </cell>
          <cell r="R1641">
            <v>46157</v>
          </cell>
          <cell r="S1641">
            <v>20</v>
          </cell>
          <cell r="T1641">
            <v>20</v>
          </cell>
          <cell r="U1641">
            <v>6</v>
          </cell>
          <cell r="V1641">
            <v>8</v>
          </cell>
          <cell r="W1641" t="str">
            <v>0.11D</v>
          </cell>
          <cell r="X1641" t="str">
            <v>5-2026</v>
          </cell>
          <cell r="Y1641" t="str">
            <v>Week 20</v>
          </cell>
          <cell r="Z1641">
            <v>46153</v>
          </cell>
          <cell r="AA1641">
            <v>20</v>
          </cell>
          <cell r="AB1641">
            <v>0.16667000000000001</v>
          </cell>
        </row>
        <row r="1642">
          <cell r="A1642" t="str">
            <v>F-2026-04-340</v>
          </cell>
          <cell r="B1642"/>
          <cell r="C1642" t="str">
            <v>RPRO-260428-1296</v>
          </cell>
          <cell r="D1642" t="str">
            <v>Pro.sche.report 24.4+25.4</v>
          </cell>
          <cell r="E1642" t="str">
            <v>BDB-000076</v>
          </cell>
          <cell r="F1642" t="str">
            <v>PVN-004091</v>
          </cell>
          <cell r="G1642" t="str">
            <v>OrthoLite X-25 BILLIARD/16-5427TPX Flat Sheet 0.12D 20+/-4 Asker C 1.1M 2M 3.5mm</v>
          </cell>
          <cell r="H1642">
            <v>40</v>
          </cell>
          <cell r="I1642">
            <v>40</v>
          </cell>
          <cell r="J1642">
            <v>0</v>
          </cell>
          <cell r="K1642">
            <v>40</v>
          </cell>
          <cell r="L1642" t="str">
            <v>BROOKS</v>
          </cell>
          <cell r="M1642" t="str">
            <v>Pr.Sch.R</v>
          </cell>
          <cell r="N1642" t="str">
            <v>MOLDED</v>
          </cell>
          <cell r="O1642">
            <v>1</v>
          </cell>
          <cell r="P1642">
            <v>46140</v>
          </cell>
          <cell r="Q1642">
            <v>46160</v>
          </cell>
          <cell r="R1642">
            <v>46157</v>
          </cell>
          <cell r="S1642">
            <v>20</v>
          </cell>
          <cell r="T1642">
            <v>3.5</v>
          </cell>
          <cell r="U1642">
            <v>40</v>
          </cell>
          <cell r="V1642">
            <v>1</v>
          </cell>
          <cell r="W1642" t="str">
            <v>0.12D</v>
          </cell>
          <cell r="X1642" t="str">
            <v>5-2026</v>
          </cell>
          <cell r="Y1642" t="str">
            <v>Week 20</v>
          </cell>
          <cell r="Z1642">
            <v>46153</v>
          </cell>
          <cell r="AA1642">
            <v>18</v>
          </cell>
          <cell r="AB1642">
            <v>2.5000000000000001E-2</v>
          </cell>
        </row>
        <row r="1643">
          <cell r="A1643" t="str">
            <v>F-2026-04-341</v>
          </cell>
          <cell r="B1643"/>
          <cell r="C1643" t="str">
            <v>RPRO-260428-1297</v>
          </cell>
          <cell r="D1643" t="str">
            <v>Pro.sche.report 24.4+25.4</v>
          </cell>
          <cell r="E1643" t="str">
            <v>BDB-000156</v>
          </cell>
          <cell r="F1643" t="str">
            <v>PVN-003243</v>
          </cell>
          <cell r="G1643" t="str">
            <v>OrthoLite X-35-Hybrid-Nike AMAZON/18-6024TPX Hybrid Flat Sheet 0.145D 25+/-4 Asker C 1.1M 2M 5.2mm</v>
          </cell>
          <cell r="H1643">
            <v>910</v>
          </cell>
          <cell r="I1643">
            <v>910</v>
          </cell>
          <cell r="J1643">
            <v>0</v>
          </cell>
          <cell r="K1643">
            <v>910</v>
          </cell>
          <cell r="L1643" t="str">
            <v>NIKE</v>
          </cell>
          <cell r="M1643" t="str">
            <v>Pr.Sch.R</v>
          </cell>
          <cell r="N1643" t="str">
            <v>MOLDED</v>
          </cell>
          <cell r="O1643">
            <v>1</v>
          </cell>
          <cell r="P1643">
            <v>46140</v>
          </cell>
          <cell r="Q1643">
            <v>46156</v>
          </cell>
          <cell r="R1643">
            <v>46153</v>
          </cell>
          <cell r="S1643">
            <v>16</v>
          </cell>
          <cell r="T1643">
            <v>5.2</v>
          </cell>
          <cell r="U1643">
            <v>26</v>
          </cell>
          <cell r="V1643">
            <v>35</v>
          </cell>
          <cell r="W1643" t="str">
            <v>0.145D</v>
          </cell>
          <cell r="X1643" t="str">
            <v>5-2026</v>
          </cell>
          <cell r="Y1643" t="str">
            <v>Week 19</v>
          </cell>
          <cell r="Z1643">
            <v>46146</v>
          </cell>
          <cell r="AA1643">
            <v>50</v>
          </cell>
          <cell r="AB1643">
            <v>3.8460000000000001E-2</v>
          </cell>
        </row>
        <row r="1644">
          <cell r="A1644" t="str">
            <v>F-2026-04-342-1</v>
          </cell>
          <cell r="B1644"/>
          <cell r="C1644" t="str">
            <v>RPRO-260428-1298</v>
          </cell>
          <cell r="D1644" t="str">
            <v>Pro.sche.report 24.4+25.4</v>
          </cell>
          <cell r="E1644" t="str">
            <v>BDB-000339</v>
          </cell>
          <cell r="F1644" t="str">
            <v>PVN-004178</v>
          </cell>
          <cell r="G1644" t="str">
            <v>OrthoLite Float NEUTRAL GRAY/17-4402TPX Flat Sheet 0.12D 21+/-4 Asker C 1.1M 2M 5.5mm</v>
          </cell>
          <cell r="H1644">
            <v>500</v>
          </cell>
          <cell r="I1644">
            <v>500</v>
          </cell>
          <cell r="J1644">
            <v>0</v>
          </cell>
          <cell r="K1644">
            <v>500</v>
          </cell>
          <cell r="L1644" t="str">
            <v>PUMA</v>
          </cell>
          <cell r="M1644" t="str">
            <v>Pr.Sch.R</v>
          </cell>
          <cell r="N1644" t="str">
            <v>MOLDED</v>
          </cell>
          <cell r="O1644" t="str">
            <v>1-SLT</v>
          </cell>
          <cell r="P1644">
            <v>46140</v>
          </cell>
          <cell r="Q1644">
            <v>46158</v>
          </cell>
          <cell r="R1644">
            <v>46155</v>
          </cell>
          <cell r="S1644">
            <v>18</v>
          </cell>
          <cell r="T1644">
            <v>5.5</v>
          </cell>
          <cell r="U1644">
            <v>25</v>
          </cell>
          <cell r="V1644">
            <v>20</v>
          </cell>
          <cell r="W1644" t="e">
            <v>#N/A</v>
          </cell>
          <cell r="X1644" t="str">
            <v>5-2026</v>
          </cell>
          <cell r="Y1644" t="str">
            <v>Week 20</v>
          </cell>
          <cell r="Z1644">
            <v>46153</v>
          </cell>
          <cell r="AA1644">
            <v>127</v>
          </cell>
          <cell r="AB1644">
            <v>0.04</v>
          </cell>
        </row>
        <row r="1645">
          <cell r="A1645" t="str">
            <v>F-2026-04-342-2</v>
          </cell>
          <cell r="B1645"/>
          <cell r="C1645" t="str">
            <v>RPRO-260509-0212</v>
          </cell>
          <cell r="D1645" t="str">
            <v>Pro.sche.report 24.4+25.4</v>
          </cell>
          <cell r="E1645" t="str">
            <v>BDB-000339</v>
          </cell>
          <cell r="F1645" t="str">
            <v>PVN-004178</v>
          </cell>
          <cell r="G1645" t="str">
            <v>OrthoLite Float NEUTRAL GRAY/17-4402TPX Flat Sheet 0.12D 21+/-4 Asker C 1.1M 2M 5.5mm</v>
          </cell>
          <cell r="H1645">
            <v>675</v>
          </cell>
          <cell r="I1645">
            <v>675</v>
          </cell>
          <cell r="J1645">
            <v>0</v>
          </cell>
          <cell r="K1645">
            <v>675</v>
          </cell>
          <cell r="L1645" t="str">
            <v>PUMA</v>
          </cell>
          <cell r="M1645" t="str">
            <v>Pr.Sch.R</v>
          </cell>
          <cell r="N1645" t="str">
            <v>MOLDED</v>
          </cell>
          <cell r="O1645">
            <v>1</v>
          </cell>
          <cell r="P1645">
            <v>46140</v>
          </cell>
          <cell r="Q1645">
            <v>46158</v>
          </cell>
          <cell r="R1645">
            <v>46155</v>
          </cell>
          <cell r="S1645">
            <v>18</v>
          </cell>
          <cell r="T1645">
            <v>5.5</v>
          </cell>
          <cell r="U1645">
            <v>25</v>
          </cell>
          <cell r="V1645">
            <v>27</v>
          </cell>
          <cell r="W1645" t="e">
            <v>#N/A</v>
          </cell>
          <cell r="X1645" t="str">
            <v>5-2026</v>
          </cell>
          <cell r="Y1645" t="str">
            <v>Week 20</v>
          </cell>
          <cell r="Z1645">
            <v>46153</v>
          </cell>
          <cell r="AA1645">
            <v>13</v>
          </cell>
          <cell r="AB1645">
            <v>0.04</v>
          </cell>
        </row>
        <row r="1646">
          <cell r="A1646" t="str">
            <v>F-2026-04-343</v>
          </cell>
          <cell r="B1646"/>
          <cell r="C1646" t="str">
            <v>RPRO-260428-1299</v>
          </cell>
          <cell r="D1646" t="str">
            <v>Pro.sche.report 24.4+25.4</v>
          </cell>
          <cell r="E1646" t="str">
            <v>BDB-000113</v>
          </cell>
          <cell r="F1646" t="str">
            <v>PVN-002699</v>
          </cell>
          <cell r="G1646" t="str">
            <v>OrthoLite Regular-Hybrid SEEDPEARL/12-0703TPX Hybrid Flat Sheet 0.11D 25+/-4 Asker C 1.1M 2M 4.5mm</v>
          </cell>
          <cell r="H1646">
            <v>248</v>
          </cell>
          <cell r="I1646">
            <v>248</v>
          </cell>
          <cell r="J1646">
            <v>0</v>
          </cell>
          <cell r="K1646">
            <v>248</v>
          </cell>
          <cell r="L1646" t="str">
            <v>ASICS</v>
          </cell>
          <cell r="M1646" t="str">
            <v>Pr.Sch.R</v>
          </cell>
          <cell r="N1646" t="str">
            <v>DIE CUT</v>
          </cell>
          <cell r="O1646">
            <v>1</v>
          </cell>
          <cell r="P1646">
            <v>46140</v>
          </cell>
          <cell r="Q1646">
            <v>46154</v>
          </cell>
          <cell r="R1646">
            <v>46151</v>
          </cell>
          <cell r="S1646">
            <v>14</v>
          </cell>
          <cell r="T1646">
            <v>4.5</v>
          </cell>
          <cell r="U1646">
            <v>31</v>
          </cell>
          <cell r="V1646">
            <v>9</v>
          </cell>
          <cell r="W1646" t="str">
            <v>0.11D</v>
          </cell>
          <cell r="X1646" t="str">
            <v>5-2026</v>
          </cell>
          <cell r="Y1646" t="str">
            <v>Week 19</v>
          </cell>
          <cell r="Z1646">
            <v>46146</v>
          </cell>
          <cell r="AA1646">
            <v>13</v>
          </cell>
          <cell r="AB1646">
            <v>3.2259999999999997E-2</v>
          </cell>
        </row>
        <row r="1647">
          <cell r="A1647" t="str">
            <v>F-2026-04-344</v>
          </cell>
          <cell r="B1647"/>
          <cell r="C1647" t="str">
            <v>RPRO-260428-1300</v>
          </cell>
          <cell r="D1647" t="str">
            <v>Pro.sche.report 24.4+25.4</v>
          </cell>
          <cell r="E1647" t="str">
            <v>BDB-000008</v>
          </cell>
          <cell r="F1647" t="str">
            <v>PVN-000412</v>
          </cell>
          <cell r="G1647" t="str">
            <v>OrthoLite Regular LIME GREEN/14-0452TPX Flat Sheet 0.11D 25+/-4 Asker C 1.1M 2M 5mm</v>
          </cell>
          <cell r="H1647">
            <v>84</v>
          </cell>
          <cell r="I1647">
            <v>84</v>
          </cell>
          <cell r="J1647">
            <v>0</v>
          </cell>
          <cell r="K1647">
            <v>84</v>
          </cell>
          <cell r="L1647" t="str">
            <v>ASICS</v>
          </cell>
          <cell r="M1647" t="str">
            <v>Pr.Sch.R</v>
          </cell>
          <cell r="N1647" t="str">
            <v>DIE CUT</v>
          </cell>
          <cell r="O1647">
            <v>1</v>
          </cell>
          <cell r="P1647">
            <v>46140</v>
          </cell>
          <cell r="Q1647">
            <v>46160</v>
          </cell>
          <cell r="R1647">
            <v>46157</v>
          </cell>
          <cell r="S1647">
            <v>20</v>
          </cell>
          <cell r="T1647">
            <v>5</v>
          </cell>
          <cell r="U1647">
            <v>28</v>
          </cell>
          <cell r="V1647">
            <v>3</v>
          </cell>
          <cell r="W1647" t="str">
            <v>0.11D</v>
          </cell>
          <cell r="X1647" t="str">
            <v>5-2026</v>
          </cell>
          <cell r="Y1647" t="str">
            <v>Week 20</v>
          </cell>
          <cell r="Z1647">
            <v>46153</v>
          </cell>
          <cell r="AA1647">
            <v>339</v>
          </cell>
          <cell r="AB1647">
            <v>3.5709999999999999E-2</v>
          </cell>
        </row>
        <row r="1648">
          <cell r="A1648" t="str">
            <v>F-2026-04-345</v>
          </cell>
          <cell r="B1648"/>
          <cell r="C1648" t="str">
            <v>RPRO-260428-1301</v>
          </cell>
          <cell r="D1648" t="str">
            <v>Pro.sche.report 24.4+25.4</v>
          </cell>
          <cell r="E1648" t="str">
            <v>BDB-000334</v>
          </cell>
          <cell r="F1648" t="str">
            <v>PVN-004327</v>
          </cell>
          <cell r="G1648" t="str">
            <v>OrthoLite X-55-Hybrid FOSSIL/17-0909TPX Hybrid Flat Sheet 0.16D 25+/-4 Asker C 1.1M 2M 6mm</v>
          </cell>
          <cell r="H1648">
            <v>46</v>
          </cell>
          <cell r="I1648">
            <v>46</v>
          </cell>
          <cell r="J1648">
            <v>0</v>
          </cell>
          <cell r="K1648">
            <v>46</v>
          </cell>
          <cell r="L1648" t="str">
            <v>ASICS</v>
          </cell>
          <cell r="M1648" t="str">
            <v>Pr.Sch.R</v>
          </cell>
          <cell r="N1648" t="str">
            <v>MOLDED</v>
          </cell>
          <cell r="O1648">
            <v>1</v>
          </cell>
          <cell r="P1648">
            <v>46140</v>
          </cell>
          <cell r="Q1648">
            <v>46160</v>
          </cell>
          <cell r="R1648">
            <v>46157</v>
          </cell>
          <cell r="S1648">
            <v>20</v>
          </cell>
          <cell r="T1648">
            <v>6</v>
          </cell>
          <cell r="U1648">
            <v>23</v>
          </cell>
          <cell r="V1648">
            <v>2</v>
          </cell>
          <cell r="W1648" t="e">
            <v>#N/A</v>
          </cell>
          <cell r="X1648" t="str">
            <v>5-2026</v>
          </cell>
          <cell r="Y1648" t="str">
            <v>Week 20</v>
          </cell>
          <cell r="Z1648">
            <v>46153</v>
          </cell>
          <cell r="AA1648">
            <v>21</v>
          </cell>
          <cell r="AB1648">
            <v>4.1669999999999999E-2</v>
          </cell>
        </row>
        <row r="1649">
          <cell r="A1649" t="str">
            <v>F-2026-04-346</v>
          </cell>
          <cell r="B1649"/>
          <cell r="C1649" t="str">
            <v>RPRO-260428-1302</v>
          </cell>
          <cell r="D1649" t="str">
            <v>Pro.sche.report 24.4+25.4</v>
          </cell>
          <cell r="E1649" t="str">
            <v>BDB-000157</v>
          </cell>
          <cell r="F1649" t="str">
            <v>PVN-003244</v>
          </cell>
          <cell r="G1649" t="str">
            <v>OrthoLite X-35-Hybrid-Nike SEEDPEARL/12-0703TPX Hybrid Flat Sheet 0.145D 25+/-4 Asker C 1.1M 2M 5.2mm</v>
          </cell>
          <cell r="H1649">
            <v>234</v>
          </cell>
          <cell r="I1649">
            <v>234</v>
          </cell>
          <cell r="J1649">
            <v>0</v>
          </cell>
          <cell r="K1649">
            <v>234</v>
          </cell>
          <cell r="L1649" t="str">
            <v>NIKE</v>
          </cell>
          <cell r="M1649" t="str">
            <v>Pr.Sch.R</v>
          </cell>
          <cell r="N1649" t="str">
            <v>MOLDED</v>
          </cell>
          <cell r="O1649">
            <v>1</v>
          </cell>
          <cell r="P1649">
            <v>46140</v>
          </cell>
          <cell r="Q1649">
            <v>46151</v>
          </cell>
          <cell r="R1649">
            <v>46148</v>
          </cell>
          <cell r="S1649">
            <v>11</v>
          </cell>
          <cell r="T1649">
            <v>5.2</v>
          </cell>
          <cell r="U1649">
            <v>26</v>
          </cell>
          <cell r="V1649">
            <v>9</v>
          </cell>
          <cell r="W1649" t="str">
            <v>0.145D</v>
          </cell>
          <cell r="X1649" t="str">
            <v>5-2026</v>
          </cell>
          <cell r="Y1649" t="str">
            <v>Week 19</v>
          </cell>
          <cell r="Z1649">
            <v>46146</v>
          </cell>
          <cell r="AA1649">
            <v>9</v>
          </cell>
          <cell r="AB1649">
            <v>3.8460000000000001E-2</v>
          </cell>
        </row>
        <row r="1650">
          <cell r="A1650" t="str">
            <v>F-2026-04-347</v>
          </cell>
          <cell r="B1650"/>
          <cell r="C1650" t="str">
            <v>RPRO-260428-1303</v>
          </cell>
          <cell r="D1650" t="str">
            <v>Pro.sche.report 24.4+25.4</v>
          </cell>
          <cell r="E1650" t="str">
            <v>BDB-000313</v>
          </cell>
          <cell r="F1650" t="str">
            <v>PVN-004061</v>
          </cell>
          <cell r="G1650" t="str">
            <v>OrthoLite X-55 RED/19-1764TPX Flat Sheet 0.16D 25+/-4 Asker C 1.1M 1.47M 18mm</v>
          </cell>
          <cell r="H1650">
            <v>112</v>
          </cell>
          <cell r="I1650">
            <v>112</v>
          </cell>
          <cell r="J1650">
            <v>0</v>
          </cell>
          <cell r="K1650">
            <v>112</v>
          </cell>
          <cell r="L1650" t="str">
            <v>WILSON</v>
          </cell>
          <cell r="M1650" t="str">
            <v>Pr.Sch.R</v>
          </cell>
          <cell r="N1650" t="str">
            <v>MOLDED</v>
          </cell>
          <cell r="O1650">
            <v>1</v>
          </cell>
          <cell r="P1650">
            <v>46140</v>
          </cell>
          <cell r="Q1650">
            <v>46158</v>
          </cell>
          <cell r="R1650">
            <v>46155</v>
          </cell>
          <cell r="S1650">
            <v>18</v>
          </cell>
          <cell r="T1650">
            <v>18</v>
          </cell>
          <cell r="U1650">
            <v>7</v>
          </cell>
          <cell r="V1650">
            <v>17</v>
          </cell>
          <cell r="W1650" t="e">
            <v>#N/A</v>
          </cell>
          <cell r="X1650" t="str">
            <v>5-2026</v>
          </cell>
          <cell r="Y1650" t="str">
            <v>Week 20</v>
          </cell>
          <cell r="Z1650">
            <v>46153</v>
          </cell>
          <cell r="AA1650">
            <v>32</v>
          </cell>
          <cell r="AB1650">
            <v>0.14285999999999999</v>
          </cell>
        </row>
        <row r="1651">
          <cell r="A1651" t="str">
            <v>F-2026-04-348</v>
          </cell>
          <cell r="B1651"/>
          <cell r="C1651" t="str">
            <v>RPRO-260428-1304</v>
          </cell>
          <cell r="D1651" t="str">
            <v>Pro.sche.report 24.4+25.4</v>
          </cell>
          <cell r="E1651" t="str">
            <v>BDB-000188</v>
          </cell>
          <cell r="F1651" t="str">
            <v>PVN-003479</v>
          </cell>
          <cell r="G1651" t="str">
            <v>OrthoLite Ultra-Hybrid SEEDPEARL/12-0703TPX Hybrid Flat Sheet 0.085D 25+/-4 Asker C 1.1M 1.47M 4mm</v>
          </cell>
          <cell r="H1651">
            <v>595</v>
          </cell>
          <cell r="I1651">
            <v>595</v>
          </cell>
          <cell r="J1651">
            <v>0</v>
          </cell>
          <cell r="K1651">
            <v>595</v>
          </cell>
          <cell r="L1651" t="str">
            <v>SALOMON</v>
          </cell>
          <cell r="M1651" t="str">
            <v>Pr.Sch.R</v>
          </cell>
          <cell r="N1651" t="str">
            <v>LAMINATING</v>
          </cell>
          <cell r="O1651">
            <v>1</v>
          </cell>
          <cell r="P1651">
            <v>46140</v>
          </cell>
          <cell r="Q1651">
            <v>46156</v>
          </cell>
          <cell r="R1651">
            <v>46153</v>
          </cell>
          <cell r="S1651">
            <v>16</v>
          </cell>
          <cell r="T1651">
            <v>4</v>
          </cell>
          <cell r="U1651">
            <v>35</v>
          </cell>
          <cell r="V1651">
            <v>17</v>
          </cell>
          <cell r="W1651" t="str">
            <v>0.085D</v>
          </cell>
          <cell r="X1651" t="str">
            <v>5-2026</v>
          </cell>
          <cell r="Y1651" t="str">
            <v>Week 19</v>
          </cell>
          <cell r="Z1651">
            <v>46146</v>
          </cell>
          <cell r="AA1651">
            <v>33</v>
          </cell>
          <cell r="AB1651">
            <v>2.8570000000000002E-2</v>
          </cell>
        </row>
        <row r="1652">
          <cell r="A1652" t="str">
            <v>F-2026-04-349</v>
          </cell>
          <cell r="B1652"/>
          <cell r="C1652" t="str">
            <v>RPRO-260428-1305</v>
          </cell>
          <cell r="D1652" t="str">
            <v>Pro.sche.report 24.4+25.4</v>
          </cell>
          <cell r="E1652" t="str">
            <v>BDB-000076</v>
          </cell>
          <cell r="F1652" t="str">
            <v>PVN-003494</v>
          </cell>
          <cell r="G1652" t="str">
            <v>OrthoLite X-25 BILLIARD/16-5427TPX Flat Sheet 0.12D 20+/-4 Asker C 1.1M 2M 5.5mm</v>
          </cell>
          <cell r="H1652">
            <v>25</v>
          </cell>
          <cell r="I1652">
            <v>25</v>
          </cell>
          <cell r="J1652">
            <v>0</v>
          </cell>
          <cell r="K1652">
            <v>25</v>
          </cell>
          <cell r="L1652" t="str">
            <v>LOTTO</v>
          </cell>
          <cell r="M1652" t="str">
            <v>Pr.Sch.R</v>
          </cell>
          <cell r="N1652" t="str">
            <v>MOLDED</v>
          </cell>
          <cell r="O1652">
            <v>1</v>
          </cell>
          <cell r="P1652">
            <v>46140</v>
          </cell>
          <cell r="Q1652">
            <v>46157</v>
          </cell>
          <cell r="R1652">
            <v>46154</v>
          </cell>
          <cell r="S1652">
            <v>17</v>
          </cell>
          <cell r="T1652">
            <v>5.5</v>
          </cell>
          <cell r="U1652">
            <v>25</v>
          </cell>
          <cell r="V1652">
            <v>1</v>
          </cell>
          <cell r="W1652" t="str">
            <v>0.12D</v>
          </cell>
          <cell r="X1652" t="str">
            <v>5-2026</v>
          </cell>
          <cell r="Y1652" t="str">
            <v>Week 20</v>
          </cell>
          <cell r="Z1652">
            <v>46153</v>
          </cell>
          <cell r="AA1652">
            <v>4</v>
          </cell>
          <cell r="AB1652">
            <v>0.04</v>
          </cell>
        </row>
        <row r="1653">
          <cell r="A1653" t="str">
            <v>F-2026-04-350</v>
          </cell>
          <cell r="B1653"/>
          <cell r="C1653" t="str">
            <v>RPRO-260428-1306</v>
          </cell>
          <cell r="D1653" t="str">
            <v>Pro.sche.report 24.4+25.4</v>
          </cell>
          <cell r="E1653" t="str">
            <v>BDB-000117</v>
          </cell>
          <cell r="F1653" t="str">
            <v>PVN-003148</v>
          </cell>
          <cell r="G1653" t="str">
            <v>OrthoLite X-35-Hybrid SEEDPEARL/12-0703TPX Hybrid Flat Sheet 0.145D 25+/-4 Asker C 1.1M 2M 4.5mm</v>
          </cell>
          <cell r="H1653">
            <v>31</v>
          </cell>
          <cell r="I1653">
            <v>31</v>
          </cell>
          <cell r="J1653">
            <v>0</v>
          </cell>
          <cell r="K1653">
            <v>31</v>
          </cell>
          <cell r="L1653" t="str">
            <v>WILSON</v>
          </cell>
          <cell r="M1653" t="str">
            <v>Pr.Sch.R</v>
          </cell>
          <cell r="N1653" t="str">
            <v>MOLDED</v>
          </cell>
          <cell r="O1653">
            <v>1</v>
          </cell>
          <cell r="P1653">
            <v>46140</v>
          </cell>
          <cell r="Q1653">
            <v>46160</v>
          </cell>
          <cell r="R1653">
            <v>46157</v>
          </cell>
          <cell r="S1653">
            <v>20</v>
          </cell>
          <cell r="T1653">
            <v>4.5</v>
          </cell>
          <cell r="U1653">
            <v>31</v>
          </cell>
          <cell r="V1653">
            <v>2</v>
          </cell>
          <cell r="W1653" t="str">
            <v>0.145D</v>
          </cell>
          <cell r="X1653" t="str">
            <v>5-2026</v>
          </cell>
          <cell r="Y1653" t="str">
            <v>Week 20</v>
          </cell>
          <cell r="Z1653">
            <v>46153</v>
          </cell>
          <cell r="AA1653">
            <v>114</v>
          </cell>
          <cell r="AB1653">
            <v>3.2259999999999997E-2</v>
          </cell>
        </row>
        <row r="1654">
          <cell r="A1654" t="str">
            <v>F-2026-04-351</v>
          </cell>
          <cell r="B1654"/>
          <cell r="C1654" t="str">
            <v>RPRO-260428-1307</v>
          </cell>
          <cell r="D1654" t="str">
            <v>Pro.sche.report 24.4+25.4</v>
          </cell>
          <cell r="E1654" t="str">
            <v>BDB-000181</v>
          </cell>
          <cell r="F1654" t="str">
            <v>PVN-003238</v>
          </cell>
          <cell r="G1654" t="str">
            <v>OrthoLite Eco LT-Hybrid-Converse SEEDPEARL/12-0703TPX Hybrid Flat Sheet 0.11D 25+/-4 Asker C 1.1M 2M 5mm</v>
          </cell>
          <cell r="H1654">
            <v>140</v>
          </cell>
          <cell r="I1654">
            <v>140</v>
          </cell>
          <cell r="J1654">
            <v>0</v>
          </cell>
          <cell r="K1654">
            <v>140</v>
          </cell>
          <cell r="L1654" t="str">
            <v>CONVERSE</v>
          </cell>
          <cell r="M1654" t="str">
            <v>Pr.Sch.R</v>
          </cell>
          <cell r="N1654" t="str">
            <v>DIE CUT</v>
          </cell>
          <cell r="O1654">
            <v>1</v>
          </cell>
          <cell r="P1654">
            <v>46140</v>
          </cell>
          <cell r="Q1654">
            <v>46160</v>
          </cell>
          <cell r="R1654">
            <v>46157</v>
          </cell>
          <cell r="S1654">
            <v>20</v>
          </cell>
          <cell r="T1654">
            <v>5</v>
          </cell>
          <cell r="U1654">
            <v>28</v>
          </cell>
          <cell r="V1654">
            <v>5</v>
          </cell>
          <cell r="W1654" t="str">
            <v>0.11D</v>
          </cell>
          <cell r="X1654" t="str">
            <v>5-2026</v>
          </cell>
          <cell r="Y1654" t="str">
            <v>Week 20</v>
          </cell>
          <cell r="Z1654">
            <v>46153</v>
          </cell>
          <cell r="AA1654">
            <v>89</v>
          </cell>
          <cell r="AB1654">
            <v>3.5709999999999999E-2</v>
          </cell>
        </row>
        <row r="1655">
          <cell r="A1655" t="str">
            <v>F-2026-04-352</v>
          </cell>
          <cell r="B1655"/>
          <cell r="C1655" t="str">
            <v>RPRO-260428-1308</v>
          </cell>
          <cell r="D1655" t="str">
            <v>Pro.sche.report 24.4+25.4</v>
          </cell>
          <cell r="E1655" t="str">
            <v>BDB-000123</v>
          </cell>
          <cell r="F1655" t="str">
            <v>PVN-003011</v>
          </cell>
          <cell r="G1655" t="str">
            <v>OrthoLite Ultra-Hybrid SEEDPEARL/12-0703TPX Hybrid Flat Sheet 0.085D 25+/-4 Asker C 1.1M 2M 16mm</v>
          </cell>
          <cell r="H1655">
            <v>8</v>
          </cell>
          <cell r="I1655">
            <v>8</v>
          </cell>
          <cell r="J1655">
            <v>0</v>
          </cell>
          <cell r="K1655">
            <v>8</v>
          </cell>
          <cell r="L1655" t="str">
            <v>CLARKS</v>
          </cell>
          <cell r="M1655" t="str">
            <v>Pr.Sch.R</v>
          </cell>
          <cell r="N1655" t="str">
            <v>MOLDED</v>
          </cell>
          <cell r="O1655">
            <v>1</v>
          </cell>
          <cell r="P1655">
            <v>46140</v>
          </cell>
          <cell r="Q1655">
            <v>46151</v>
          </cell>
          <cell r="R1655">
            <v>46148</v>
          </cell>
          <cell r="S1655">
            <v>11</v>
          </cell>
          <cell r="T1655">
            <v>16</v>
          </cell>
          <cell r="U1655">
            <v>8</v>
          </cell>
          <cell r="V1655">
            <v>1</v>
          </cell>
          <cell r="W1655" t="str">
            <v>0.085D</v>
          </cell>
          <cell r="X1655" t="str">
            <v>5-2026</v>
          </cell>
          <cell r="Y1655" t="str">
            <v>Week 19</v>
          </cell>
          <cell r="Z1655">
            <v>46146</v>
          </cell>
          <cell r="AA1655">
            <v>339</v>
          </cell>
          <cell r="AB1655">
            <v>0.125</v>
          </cell>
        </row>
        <row r="1656">
          <cell r="A1656" t="str">
            <v>F-2026-04-353</v>
          </cell>
          <cell r="B1656"/>
          <cell r="C1656" t="str">
            <v>RPRO-260428-1309</v>
          </cell>
          <cell r="D1656" t="str">
            <v>Pro.sche.report 24.4+25.4</v>
          </cell>
          <cell r="E1656" t="str">
            <v>BDB-000201</v>
          </cell>
          <cell r="F1656" t="str">
            <v>PVN-003415</v>
          </cell>
          <cell r="G1656" t="str">
            <v>OrthoLite Ultra YELLOW/13-0858TPX Flat Sheet 0.085D 5-10 Asker C 1.1M 2M 2.5mm</v>
          </cell>
          <cell r="H1656">
            <v>56</v>
          </cell>
          <cell r="I1656">
            <v>56</v>
          </cell>
          <cell r="J1656">
            <v>0</v>
          </cell>
          <cell r="K1656">
            <v>56</v>
          </cell>
          <cell r="L1656" t="str">
            <v>CLARKS</v>
          </cell>
          <cell r="M1656" t="str">
            <v>Pr.Sch.R</v>
          </cell>
          <cell r="N1656" t="str">
            <v>MOLDED</v>
          </cell>
          <cell r="O1656">
            <v>1</v>
          </cell>
          <cell r="P1656">
            <v>46140</v>
          </cell>
          <cell r="Q1656">
            <v>46156</v>
          </cell>
          <cell r="R1656">
            <v>46153</v>
          </cell>
          <cell r="S1656">
            <v>16</v>
          </cell>
          <cell r="T1656">
            <v>2.5</v>
          </cell>
          <cell r="U1656">
            <v>56</v>
          </cell>
          <cell r="V1656">
            <v>2</v>
          </cell>
          <cell r="W1656" t="str">
            <v>0.085D</v>
          </cell>
          <cell r="X1656" t="str">
            <v>5-2026</v>
          </cell>
          <cell r="Y1656" t="str">
            <v>Week 19</v>
          </cell>
          <cell r="Z1656">
            <v>46146</v>
          </cell>
          <cell r="AA1656">
            <v>16</v>
          </cell>
          <cell r="AB1656">
            <v>1.7860000000000001E-2</v>
          </cell>
        </row>
        <row r="1657">
          <cell r="A1657" t="str">
            <v>F-2026-04-354</v>
          </cell>
          <cell r="B1657"/>
          <cell r="C1657" t="str">
            <v>RPRO-260429-0442</v>
          </cell>
          <cell r="D1657" t="str">
            <v>MPS 28.04</v>
          </cell>
          <cell r="E1657" t="str">
            <v>BDB-000348</v>
          </cell>
          <cell r="F1657" t="str">
            <v>PVN-004195</v>
          </cell>
          <cell r="G1657" t="str">
            <v>OrthoLite IMPERIAL SEEDPEARL/12-0703TPX Flat Sheet 0.22D 25+/-4 Asker C 1.1M 1.47M 4mm</v>
          </cell>
          <cell r="H1657">
            <v>700</v>
          </cell>
          <cell r="I1657">
            <v>700</v>
          </cell>
          <cell r="J1657">
            <v>0</v>
          </cell>
          <cell r="K1657">
            <v>700</v>
          </cell>
          <cell r="L1657"/>
          <cell r="M1657" t="str">
            <v>MPS</v>
          </cell>
          <cell r="N1657" t="str">
            <v>SPLITTING</v>
          </cell>
          <cell r="O1657">
            <v>2</v>
          </cell>
          <cell r="P1657">
            <v>46141</v>
          </cell>
          <cell r="Q1657">
            <v>46161</v>
          </cell>
          <cell r="R1657">
            <v>46158</v>
          </cell>
          <cell r="S1657">
            <v>20</v>
          </cell>
          <cell r="T1657">
            <v>4</v>
          </cell>
          <cell r="U1657">
            <v>35</v>
          </cell>
          <cell r="V1657">
            <v>20</v>
          </cell>
          <cell r="W1657" t="e">
            <v>#N/A</v>
          </cell>
          <cell r="X1657" t="str">
            <v>5-2026</v>
          </cell>
          <cell r="Y1657" t="str">
            <v>Week 20</v>
          </cell>
          <cell r="Z1657">
            <v>46153</v>
          </cell>
          <cell r="AA1657">
            <v>27</v>
          </cell>
          <cell r="AB1657">
            <v>2.8570000000000002E-2</v>
          </cell>
        </row>
        <row r="1658">
          <cell r="A1658" t="str">
            <v>F-2026-04-355</v>
          </cell>
          <cell r="B1658"/>
          <cell r="C1658" t="str">
            <v>RPRO-260429-0443</v>
          </cell>
          <cell r="D1658" t="str">
            <v>MPS 28.04</v>
          </cell>
          <cell r="E1658" t="str">
            <v>BDB-000010</v>
          </cell>
          <cell r="F1658" t="str">
            <v>PVN-000101</v>
          </cell>
          <cell r="G1658" t="str">
            <v>OrthoLite Regular AIR BLUE/16-4134TPX Flat Sheet 0.11D 25+/-4 Asker C 1.1M 2M 3mm</v>
          </cell>
          <cell r="H1658">
            <v>46</v>
          </cell>
          <cell r="I1658">
            <v>46</v>
          </cell>
          <cell r="J1658">
            <v>0</v>
          </cell>
          <cell r="K1658">
            <v>46</v>
          </cell>
          <cell r="L1658"/>
          <cell r="M1658" t="str">
            <v>MPS</v>
          </cell>
          <cell r="N1658" t="str">
            <v>SPLITTING</v>
          </cell>
          <cell r="O1658">
            <v>2</v>
          </cell>
          <cell r="P1658">
            <v>46141</v>
          </cell>
          <cell r="Q1658">
            <v>46156</v>
          </cell>
          <cell r="R1658">
            <v>46153</v>
          </cell>
          <cell r="S1658">
            <v>15</v>
          </cell>
          <cell r="T1658">
            <v>3</v>
          </cell>
          <cell r="U1658">
            <v>46</v>
          </cell>
          <cell r="V1658">
            <v>2</v>
          </cell>
          <cell r="W1658" t="str">
            <v>0.11D</v>
          </cell>
          <cell r="X1658" t="str">
            <v>5-2026</v>
          </cell>
          <cell r="Y1658" t="str">
            <v>Week 19</v>
          </cell>
          <cell r="Z1658">
            <v>46146</v>
          </cell>
          <cell r="AA1658">
            <v>3</v>
          </cell>
          <cell r="AB1658">
            <v>2.1739999999999999E-2</v>
          </cell>
        </row>
        <row r="1659">
          <cell r="A1659" t="str">
            <v>F-2026-04-356</v>
          </cell>
          <cell r="B1659"/>
          <cell r="C1659" t="str">
            <v>RPRO-260429-0444</v>
          </cell>
          <cell r="D1659" t="str">
            <v>MPS 28.04</v>
          </cell>
          <cell r="E1659" t="str">
            <v>BDB-000083</v>
          </cell>
          <cell r="F1659" t="str">
            <v>PVN-000930</v>
          </cell>
          <cell r="G1659" t="str">
            <v>OrthoLite Eco LT 300C(ADIDAS BLUEBIRD) Flat Sheet 0.11D 25+/-4 Asker C 1.1M 2M 3mm</v>
          </cell>
          <cell r="H1659">
            <v>966</v>
          </cell>
          <cell r="I1659">
            <v>966</v>
          </cell>
          <cell r="J1659">
            <v>0</v>
          </cell>
          <cell r="K1659">
            <v>966</v>
          </cell>
          <cell r="L1659"/>
          <cell r="M1659" t="str">
            <v>MPS</v>
          </cell>
          <cell r="N1659" t="str">
            <v>SPLITTING</v>
          </cell>
          <cell r="O1659">
            <v>2</v>
          </cell>
          <cell r="P1659">
            <v>46141</v>
          </cell>
          <cell r="Q1659">
            <v>46155</v>
          </cell>
          <cell r="R1659">
            <v>46152</v>
          </cell>
          <cell r="S1659">
            <v>14</v>
          </cell>
          <cell r="T1659">
            <v>3</v>
          </cell>
          <cell r="U1659">
            <v>46</v>
          </cell>
          <cell r="V1659">
            <v>22</v>
          </cell>
          <cell r="W1659" t="str">
            <v>0.11D</v>
          </cell>
          <cell r="X1659" t="str">
            <v>5-2026</v>
          </cell>
          <cell r="Y1659" t="str">
            <v>Week 19</v>
          </cell>
          <cell r="Z1659">
            <v>46146</v>
          </cell>
          <cell r="AA1659">
            <v>135</v>
          </cell>
          <cell r="AB1659">
            <v>2.1739999999999999E-2</v>
          </cell>
        </row>
        <row r="1660">
          <cell r="A1660" t="str">
            <v>F-2026-04-357</v>
          </cell>
          <cell r="B1660"/>
          <cell r="C1660" t="str">
            <v>RPRO-260429-0445</v>
          </cell>
          <cell r="D1660" t="str">
            <v>MPS 28.04</v>
          </cell>
          <cell r="E1660" t="str">
            <v>BDB-000085</v>
          </cell>
          <cell r="F1660" t="str">
            <v>PVN-001091</v>
          </cell>
          <cell r="G1660" t="str">
            <v>OrthoLite Eco LT GREY/17-1501TPX Flat Sheet 0.11D 25+/-4 Asker C 1.1M 2M 4mm</v>
          </cell>
          <cell r="H1660">
            <v>35</v>
          </cell>
          <cell r="I1660">
            <v>35</v>
          </cell>
          <cell r="J1660">
            <v>0</v>
          </cell>
          <cell r="K1660">
            <v>35</v>
          </cell>
          <cell r="L1660"/>
          <cell r="M1660" t="str">
            <v>MPS</v>
          </cell>
          <cell r="N1660" t="str">
            <v>SPLITTING</v>
          </cell>
          <cell r="O1660">
            <v>2</v>
          </cell>
          <cell r="P1660">
            <v>46141</v>
          </cell>
          <cell r="Q1660">
            <v>46161</v>
          </cell>
          <cell r="R1660">
            <v>46158</v>
          </cell>
          <cell r="S1660">
            <v>20</v>
          </cell>
          <cell r="T1660">
            <v>4</v>
          </cell>
          <cell r="U1660">
            <v>35</v>
          </cell>
          <cell r="V1660">
            <v>1</v>
          </cell>
          <cell r="W1660" t="str">
            <v>0.11D</v>
          </cell>
          <cell r="X1660" t="str">
            <v>5-2026</v>
          </cell>
          <cell r="Y1660" t="str">
            <v>Week 20</v>
          </cell>
          <cell r="Z1660">
            <v>46153</v>
          </cell>
          <cell r="AA1660">
            <v>50</v>
          </cell>
          <cell r="AB1660">
            <v>2.8570000000000002E-2</v>
          </cell>
        </row>
        <row r="1661">
          <cell r="A1661" t="str">
            <v>F-2026-04-358</v>
          </cell>
          <cell r="B1661"/>
          <cell r="C1661" t="str">
            <v>RPRO-260429-0446</v>
          </cell>
          <cell r="D1661" t="str">
            <v>MPS 28.04</v>
          </cell>
          <cell r="E1661" t="str">
            <v>BDB-000058</v>
          </cell>
          <cell r="F1661" t="str">
            <v>PVN-001277</v>
          </cell>
          <cell r="G1661" t="str">
            <v>OrthoLite Ultra GREEN/16-5932TPX Flat Sheet 0.085D 25+/-4 Asker C 1.1M 2M 4mm</v>
          </cell>
          <cell r="H1661">
            <v>2835</v>
          </cell>
          <cell r="I1661">
            <v>2835</v>
          </cell>
          <cell r="J1661">
            <v>0</v>
          </cell>
          <cell r="K1661">
            <v>2835</v>
          </cell>
          <cell r="L1661"/>
          <cell r="M1661" t="str">
            <v>MPS</v>
          </cell>
          <cell r="N1661" t="str">
            <v>SPLITTING</v>
          </cell>
          <cell r="O1661">
            <v>2</v>
          </cell>
          <cell r="P1661">
            <v>46141</v>
          </cell>
          <cell r="Q1661">
            <v>46161</v>
          </cell>
          <cell r="R1661">
            <v>46158</v>
          </cell>
          <cell r="S1661">
            <v>20</v>
          </cell>
          <cell r="T1661">
            <v>4</v>
          </cell>
          <cell r="U1661">
            <v>35</v>
          </cell>
          <cell r="V1661">
            <v>81</v>
          </cell>
          <cell r="W1661" t="str">
            <v>0.085D</v>
          </cell>
          <cell r="X1661" t="str">
            <v>5-2026</v>
          </cell>
          <cell r="Y1661" t="str">
            <v>Week 20</v>
          </cell>
          <cell r="Z1661">
            <v>46153</v>
          </cell>
          <cell r="AA1661">
            <v>8</v>
          </cell>
          <cell r="AB1661">
            <v>2.8570000000000002E-2</v>
          </cell>
        </row>
        <row r="1662">
          <cell r="A1662" t="str">
            <v>F-2026-04-359</v>
          </cell>
          <cell r="B1662"/>
          <cell r="C1662" t="str">
            <v>RPRO-260429-0447</v>
          </cell>
          <cell r="D1662" t="str">
            <v>MPS 28.04</v>
          </cell>
          <cell r="E1662" t="str">
            <v>BDB-000056</v>
          </cell>
          <cell r="F1662" t="str">
            <v>PVN-001983</v>
          </cell>
          <cell r="G1662" t="str">
            <v>OrthoLite X-40 SEEDPEARL/12-0703TPX Flat Sheet 0.16D 25+/-4 Asker C 1.1M 1.7M 5mm</v>
          </cell>
          <cell r="H1662">
            <v>168</v>
          </cell>
          <cell r="I1662">
            <v>168</v>
          </cell>
          <cell r="J1662">
            <v>0</v>
          </cell>
          <cell r="K1662">
            <v>168</v>
          </cell>
          <cell r="L1662"/>
          <cell r="M1662" t="str">
            <v>MPS</v>
          </cell>
          <cell r="N1662" t="str">
            <v>SPLITTING</v>
          </cell>
          <cell r="O1662">
            <v>2</v>
          </cell>
          <cell r="P1662">
            <v>46141</v>
          </cell>
          <cell r="Q1662">
            <v>46158</v>
          </cell>
          <cell r="R1662">
            <v>46155</v>
          </cell>
          <cell r="S1662">
            <v>17</v>
          </cell>
          <cell r="T1662">
            <v>5</v>
          </cell>
          <cell r="U1662">
            <v>28</v>
          </cell>
          <cell r="V1662">
            <v>6</v>
          </cell>
          <cell r="W1662" t="str">
            <v>0.16D</v>
          </cell>
          <cell r="X1662" t="str">
            <v>5-2026</v>
          </cell>
          <cell r="Y1662" t="str">
            <v>Week 20</v>
          </cell>
          <cell r="Z1662">
            <v>46153</v>
          </cell>
          <cell r="AA1662">
            <v>32</v>
          </cell>
          <cell r="AB1662">
            <v>3.5709999999999999E-2</v>
          </cell>
        </row>
        <row r="1663">
          <cell r="A1663" t="str">
            <v>F-2026-04-360</v>
          </cell>
          <cell r="B1663"/>
          <cell r="C1663" t="str">
            <v>RPRO-260429-0448</v>
          </cell>
          <cell r="D1663" t="str">
            <v>MPS 28.04</v>
          </cell>
          <cell r="E1663" t="str">
            <v>BDB-000123</v>
          </cell>
          <cell r="F1663" t="str">
            <v>PVN-003300</v>
          </cell>
          <cell r="G1663" t="str">
            <v>OrthoLite Ultra-Hybrid SEEDPEARL/12-0703TPX Hybrid Flat Sheet 0.085D 25+/-4 Asker C 1.1M 2M 2mm</v>
          </cell>
          <cell r="H1663">
            <v>280</v>
          </cell>
          <cell r="I1663">
            <v>280</v>
          </cell>
          <cell r="J1663">
            <v>0</v>
          </cell>
          <cell r="K1663">
            <v>280</v>
          </cell>
          <cell r="L1663"/>
          <cell r="M1663" t="str">
            <v>MPS</v>
          </cell>
          <cell r="N1663" t="str">
            <v>SPLITTING</v>
          </cell>
          <cell r="O1663">
            <v>2</v>
          </cell>
          <cell r="P1663">
            <v>46141</v>
          </cell>
          <cell r="Q1663">
            <v>46156</v>
          </cell>
          <cell r="R1663">
            <v>46153</v>
          </cell>
          <cell r="S1663">
            <v>15</v>
          </cell>
          <cell r="T1663">
            <v>2</v>
          </cell>
          <cell r="U1663">
            <v>70</v>
          </cell>
          <cell r="V1663">
            <v>5</v>
          </cell>
          <cell r="W1663" t="str">
            <v>0.085D</v>
          </cell>
          <cell r="X1663" t="str">
            <v>5-2026</v>
          </cell>
          <cell r="Y1663" t="str">
            <v>Week 19</v>
          </cell>
          <cell r="Z1663">
            <v>46146</v>
          </cell>
          <cell r="AA1663">
            <v>32</v>
          </cell>
          <cell r="AB1663">
            <v>1.4290000000000001E-2</v>
          </cell>
        </row>
        <row r="1664">
          <cell r="A1664" t="str">
            <v>F-2026-04-361</v>
          </cell>
          <cell r="B1664"/>
          <cell r="C1664" t="str">
            <v>RPRO-260429-0449</v>
          </cell>
          <cell r="D1664" t="str">
            <v>MPS 28.04</v>
          </cell>
          <cell r="E1664" t="str">
            <v>BDB-000123</v>
          </cell>
          <cell r="F1664" t="str">
            <v>PVN-003315</v>
          </cell>
          <cell r="G1664" t="str">
            <v>OrthoLite Ultra-Hybrid SEEDPEARL/12-0703TPX Hybrid 0.085D 25+/-4 Asker C 1.1M 2M 3.5mm</v>
          </cell>
          <cell r="H1664">
            <v>280</v>
          </cell>
          <cell r="I1664">
            <v>280</v>
          </cell>
          <cell r="J1664">
            <v>0</v>
          </cell>
          <cell r="K1664">
            <v>280</v>
          </cell>
          <cell r="L1664"/>
          <cell r="M1664" t="str">
            <v>MPS</v>
          </cell>
          <cell r="N1664" t="str">
            <v>SPLITTING</v>
          </cell>
          <cell r="O1664">
            <v>2</v>
          </cell>
          <cell r="P1664">
            <v>46141</v>
          </cell>
          <cell r="Q1664">
            <v>46161</v>
          </cell>
          <cell r="R1664">
            <v>46158</v>
          </cell>
          <cell r="S1664">
            <v>20</v>
          </cell>
          <cell r="T1664">
            <v>3.5</v>
          </cell>
          <cell r="U1664">
            <v>40</v>
          </cell>
          <cell r="V1664">
            <v>7</v>
          </cell>
          <cell r="W1664" t="str">
            <v>0.085D</v>
          </cell>
          <cell r="X1664" t="str">
            <v>5-2026</v>
          </cell>
          <cell r="Y1664" t="str">
            <v>Week 20</v>
          </cell>
          <cell r="Z1664">
            <v>46153</v>
          </cell>
          <cell r="AA1664">
            <v>4</v>
          </cell>
          <cell r="AB1664">
            <v>2.5000000000000001E-2</v>
          </cell>
        </row>
        <row r="1665">
          <cell r="A1665" t="str">
            <v>F-2026-04-362</v>
          </cell>
          <cell r="B1665"/>
          <cell r="C1665" t="str">
            <v>RPRO-260429-0450</v>
          </cell>
          <cell r="D1665" t="str">
            <v>MPS 28.04</v>
          </cell>
          <cell r="E1665" t="str">
            <v>BDB-000200</v>
          </cell>
          <cell r="F1665" t="str">
            <v>PVN-003425</v>
          </cell>
          <cell r="G1665" t="str">
            <v>OrthoLite Ultra SEEDPEARL/12-0703TPX Flat Sheet 0.085D 78-90 Asker F 1.1M 2M 4mm</v>
          </cell>
          <cell r="H1665">
            <v>175</v>
          </cell>
          <cell r="I1665">
            <v>175</v>
          </cell>
          <cell r="J1665">
            <v>0</v>
          </cell>
          <cell r="K1665">
            <v>175</v>
          </cell>
          <cell r="L1665"/>
          <cell r="M1665" t="str">
            <v>MPS</v>
          </cell>
          <cell r="N1665" t="str">
            <v>SPLITTING</v>
          </cell>
          <cell r="O1665">
            <v>2</v>
          </cell>
          <cell r="P1665">
            <v>46141</v>
          </cell>
          <cell r="Q1665">
            <v>46156</v>
          </cell>
          <cell r="R1665">
            <v>46153</v>
          </cell>
          <cell r="S1665">
            <v>15</v>
          </cell>
          <cell r="T1665">
            <v>4</v>
          </cell>
          <cell r="U1665">
            <v>35</v>
          </cell>
          <cell r="V1665">
            <v>5</v>
          </cell>
          <cell r="W1665" t="str">
            <v>0.085D</v>
          </cell>
          <cell r="X1665" t="str">
            <v>5-2026</v>
          </cell>
          <cell r="Y1665" t="str">
            <v>Week 19</v>
          </cell>
          <cell r="Z1665">
            <v>46146</v>
          </cell>
          <cell r="AA1665">
            <v>4</v>
          </cell>
          <cell r="AB1665">
            <v>2.8570000000000002E-2</v>
          </cell>
        </row>
        <row r="1666">
          <cell r="A1666" t="str">
            <v>F-2026-04-363</v>
          </cell>
          <cell r="B1666"/>
          <cell r="C1666" t="str">
            <v>RPRO-260429-0451</v>
          </cell>
          <cell r="D1666" t="str">
            <v>MPS 28.04</v>
          </cell>
          <cell r="E1666" t="str">
            <v>BDB-000077</v>
          </cell>
          <cell r="F1666" t="str">
            <v>PVN-003478</v>
          </cell>
          <cell r="G1666" t="str">
            <v>Ortholite X-25 SEEDPEARL/12-0703TPX Flat Sheet 0.12D 20+/-4 Asker C 1.1M 2M 4mm</v>
          </cell>
          <cell r="H1666">
            <v>455</v>
          </cell>
          <cell r="I1666">
            <v>455</v>
          </cell>
          <cell r="J1666">
            <v>0</v>
          </cell>
          <cell r="K1666">
            <v>455</v>
          </cell>
          <cell r="L1666"/>
          <cell r="M1666" t="str">
            <v>MPS</v>
          </cell>
          <cell r="N1666" t="str">
            <v>SPLITTING</v>
          </cell>
          <cell r="O1666">
            <v>2</v>
          </cell>
          <cell r="P1666">
            <v>46141</v>
          </cell>
          <cell r="Q1666">
            <v>46156</v>
          </cell>
          <cell r="R1666">
            <v>46153</v>
          </cell>
          <cell r="S1666">
            <v>15</v>
          </cell>
          <cell r="T1666">
            <v>4</v>
          </cell>
          <cell r="U1666">
            <v>35</v>
          </cell>
          <cell r="V1666">
            <v>13</v>
          </cell>
          <cell r="W1666" t="str">
            <v>0.12D</v>
          </cell>
          <cell r="X1666" t="str">
            <v>5-2026</v>
          </cell>
          <cell r="Y1666" t="str">
            <v>Week 19</v>
          </cell>
          <cell r="Z1666">
            <v>46146</v>
          </cell>
          <cell r="AA1666">
            <v>11</v>
          </cell>
          <cell r="AB1666">
            <v>2.8570000000000002E-2</v>
          </cell>
        </row>
        <row r="1667">
          <cell r="A1667" t="str">
            <v>F-2026-04-364</v>
          </cell>
          <cell r="B1667"/>
          <cell r="C1667" t="str">
            <v>RPRO-260429-0452</v>
          </cell>
          <cell r="D1667" t="str">
            <v>MPS 28.04</v>
          </cell>
          <cell r="E1667" t="str">
            <v>BDB-000056</v>
          </cell>
          <cell r="F1667" t="str">
            <v>PVN-003954</v>
          </cell>
          <cell r="G1667" t="str">
            <v>OrthoLite X-40 SEEDPEARL/12-0703TPX Flat Sheet 0.16D 25+/-4 Asker C 1.1M 1.7M 4mm</v>
          </cell>
          <cell r="H1667">
            <v>455</v>
          </cell>
          <cell r="I1667">
            <v>455</v>
          </cell>
          <cell r="J1667">
            <v>0</v>
          </cell>
          <cell r="K1667">
            <v>455</v>
          </cell>
          <cell r="L1667"/>
          <cell r="M1667" t="str">
            <v>MPS</v>
          </cell>
          <cell r="N1667" t="str">
            <v>SPLITTING</v>
          </cell>
          <cell r="O1667">
            <v>2</v>
          </cell>
          <cell r="P1667">
            <v>46141</v>
          </cell>
          <cell r="Q1667">
            <v>46161</v>
          </cell>
          <cell r="R1667">
            <v>46158</v>
          </cell>
          <cell r="S1667">
            <v>20</v>
          </cell>
          <cell r="T1667">
            <v>4</v>
          </cell>
          <cell r="U1667">
            <v>35</v>
          </cell>
          <cell r="V1667">
            <v>13</v>
          </cell>
          <cell r="W1667" t="str">
            <v>0.16D</v>
          </cell>
          <cell r="X1667" t="str">
            <v>5-2026</v>
          </cell>
          <cell r="Y1667" t="str">
            <v>Week 20</v>
          </cell>
          <cell r="Z1667">
            <v>46153</v>
          </cell>
          <cell r="AA1667">
            <v>17</v>
          </cell>
          <cell r="AB1667">
            <v>2.8570000000000002E-2</v>
          </cell>
        </row>
        <row r="1668">
          <cell r="A1668" t="str">
            <v>F-2026-04-365</v>
          </cell>
          <cell r="B1668"/>
          <cell r="C1668" t="str">
            <v>RPRO-260429-0453</v>
          </cell>
          <cell r="D1668" t="str">
            <v>MPS 28.04</v>
          </cell>
          <cell r="E1668" t="str">
            <v>BDB-000348</v>
          </cell>
          <cell r="F1668" t="str">
            <v>PVN-004210</v>
          </cell>
          <cell r="G1668" t="str">
            <v>OrthoLite IMPERIAL SEEDPEARL/12-0703TPX Flat Sheet 0.22D 25+/-4 Asker C 1.1M 1.47M 5mm</v>
          </cell>
          <cell r="H1668">
            <v>420</v>
          </cell>
          <cell r="I1668">
            <v>420</v>
          </cell>
          <cell r="J1668">
            <v>0</v>
          </cell>
          <cell r="K1668">
            <v>420</v>
          </cell>
          <cell r="L1668"/>
          <cell r="M1668" t="str">
            <v>MPS</v>
          </cell>
          <cell r="N1668" t="str">
            <v>SPLITTING</v>
          </cell>
          <cell r="O1668">
            <v>2</v>
          </cell>
          <cell r="P1668">
            <v>46141</v>
          </cell>
          <cell r="Q1668">
            <v>46161</v>
          </cell>
          <cell r="R1668">
            <v>46158</v>
          </cell>
          <cell r="S1668">
            <v>20</v>
          </cell>
          <cell r="T1668">
            <v>5</v>
          </cell>
          <cell r="U1668">
            <v>28</v>
          </cell>
          <cell r="V1668">
            <v>15</v>
          </cell>
          <cell r="W1668" t="e">
            <v>#N/A</v>
          </cell>
          <cell r="X1668" t="str">
            <v>5-2026</v>
          </cell>
          <cell r="Y1668" t="str">
            <v>Week 20</v>
          </cell>
          <cell r="Z1668">
            <v>46153</v>
          </cell>
          <cell r="AA1668">
            <v>72</v>
          </cell>
          <cell r="AB1668">
            <v>3.5709999999999999E-2</v>
          </cell>
        </row>
        <row r="1669">
          <cell r="A1669" t="str">
            <v>F-2026-04-366</v>
          </cell>
          <cell r="B1669"/>
          <cell r="C1669" t="str">
            <v>RPRO-260429-0456</v>
          </cell>
          <cell r="D1669" t="str">
            <v>Pro.sche.report 28.04</v>
          </cell>
          <cell r="E1669" t="str">
            <v>BDB-000076</v>
          </cell>
          <cell r="F1669" t="str">
            <v>PVN-003448</v>
          </cell>
          <cell r="G1669" t="str">
            <v>OrthoLite X-25 BILLIARD/16-5427TPX Flat Sheet 0.12D 20+/-4 Asker C 1.1M 2M 6.2mm</v>
          </cell>
          <cell r="H1669">
            <v>154</v>
          </cell>
          <cell r="I1669">
            <v>154</v>
          </cell>
          <cell r="J1669">
            <v>0</v>
          </cell>
          <cell r="K1669">
            <v>154</v>
          </cell>
          <cell r="L1669" t="str">
            <v>ADIDAS</v>
          </cell>
          <cell r="M1669" t="str">
            <v>Pr.Sch.R</v>
          </cell>
          <cell r="N1669" t="str">
            <v>MOLDED</v>
          </cell>
          <cell r="O1669">
            <v>1</v>
          </cell>
          <cell r="P1669">
            <v>46141</v>
          </cell>
          <cell r="Q1669">
            <v>46157</v>
          </cell>
          <cell r="R1669">
            <v>46154</v>
          </cell>
          <cell r="S1669">
            <v>16</v>
          </cell>
          <cell r="T1669">
            <v>6.2</v>
          </cell>
          <cell r="U1669">
            <v>22</v>
          </cell>
          <cell r="V1669">
            <v>7</v>
          </cell>
          <cell r="W1669" t="str">
            <v>0.12D</v>
          </cell>
          <cell r="X1669" t="str">
            <v>5-2026</v>
          </cell>
          <cell r="Y1669" t="str">
            <v>Week 19</v>
          </cell>
          <cell r="Z1669">
            <v>46146</v>
          </cell>
          <cell r="AA1669">
            <v>0</v>
          </cell>
          <cell r="AB1669">
            <v>4.5449999999999997E-2</v>
          </cell>
        </row>
        <row r="1670">
          <cell r="A1670" t="str">
            <v>F-2026-04-367</v>
          </cell>
          <cell r="B1670"/>
          <cell r="C1670" t="str">
            <v>RPRO-260429-0457</v>
          </cell>
          <cell r="D1670" t="str">
            <v>Pro.sche.report 28.04</v>
          </cell>
          <cell r="E1670" t="str">
            <v>BDB-000248</v>
          </cell>
          <cell r="F1670" t="str">
            <v>PVN-003931</v>
          </cell>
          <cell r="G1670" t="str">
            <v>OrthoLite X-40-Hybrid RED/19-1764TPX Hybrid Flat Sheet 0.16D 25+/-4 Asker C 1.1M 1.7M 6.5mm</v>
          </cell>
          <cell r="H1670">
            <v>84</v>
          </cell>
          <cell r="I1670">
            <v>84</v>
          </cell>
          <cell r="J1670">
            <v>0</v>
          </cell>
          <cell r="K1670">
            <v>84</v>
          </cell>
          <cell r="L1670" t="str">
            <v>REDWING</v>
          </cell>
          <cell r="M1670" t="str">
            <v>Pr.Sch.R</v>
          </cell>
          <cell r="N1670" t="str">
            <v>MOLDED</v>
          </cell>
          <cell r="O1670">
            <v>1</v>
          </cell>
          <cell r="P1670">
            <v>46141</v>
          </cell>
          <cell r="Q1670">
            <v>46161</v>
          </cell>
          <cell r="R1670">
            <v>46158</v>
          </cell>
          <cell r="S1670">
            <v>20</v>
          </cell>
          <cell r="T1670">
            <v>6.5</v>
          </cell>
          <cell r="U1670">
            <v>21</v>
          </cell>
          <cell r="V1670">
            <v>5</v>
          </cell>
          <cell r="W1670" t="str">
            <v>0.16D</v>
          </cell>
          <cell r="X1670" t="str">
            <v>5-2026</v>
          </cell>
          <cell r="Y1670" t="str">
            <v>Week 20</v>
          </cell>
          <cell r="Z1670">
            <v>46153</v>
          </cell>
          <cell r="AA1670">
            <v>0</v>
          </cell>
          <cell r="AB1670">
            <v>4.7620000000000003E-2</v>
          </cell>
        </row>
        <row r="1671">
          <cell r="A1671" t="str">
            <v>F-2026-04-368</v>
          </cell>
          <cell r="B1671"/>
          <cell r="C1671" t="str">
            <v>RPRO-260429-0458</v>
          </cell>
          <cell r="D1671" t="str">
            <v>Pro.sche.report 28.04</v>
          </cell>
          <cell r="E1671" t="str">
            <v>BDB-000309</v>
          </cell>
          <cell r="F1671" t="str">
            <v>PVN-004033</v>
          </cell>
          <cell r="G1671" t="str">
            <v>OrthoLite X-40-Hybrid NEUTRAL GRAY/17-4402TPX Hybrid Flat Sheet 0.16D 35+/-4 Asker C 1.1M 2M 2mm</v>
          </cell>
          <cell r="H1671">
            <v>70</v>
          </cell>
          <cell r="I1671">
            <v>70</v>
          </cell>
          <cell r="J1671">
            <v>0</v>
          </cell>
          <cell r="K1671">
            <v>70</v>
          </cell>
          <cell r="L1671" t="str">
            <v>REDWING</v>
          </cell>
          <cell r="M1671" t="str">
            <v>Pr.Sch.R</v>
          </cell>
          <cell r="N1671" t="str">
            <v>MOLDED</v>
          </cell>
          <cell r="O1671">
            <v>1</v>
          </cell>
          <cell r="P1671">
            <v>46141</v>
          </cell>
          <cell r="Q1671">
            <v>46161</v>
          </cell>
          <cell r="R1671">
            <v>46158</v>
          </cell>
          <cell r="S1671">
            <v>20</v>
          </cell>
          <cell r="T1671">
            <v>2</v>
          </cell>
          <cell r="U1671">
            <v>70</v>
          </cell>
          <cell r="V1671">
            <v>2</v>
          </cell>
          <cell r="W1671" t="e">
            <v>#N/A</v>
          </cell>
          <cell r="X1671" t="str">
            <v>5-2026</v>
          </cell>
          <cell r="Y1671" t="str">
            <v>Week 20</v>
          </cell>
          <cell r="Z1671">
            <v>46153</v>
          </cell>
          <cell r="AA1671">
            <v>34</v>
          </cell>
          <cell r="AB1671">
            <v>1.4290000000000001E-2</v>
          </cell>
        </row>
        <row r="1672">
          <cell r="A1672" t="str">
            <v>F-2026-04-369</v>
          </cell>
          <cell r="B1672"/>
          <cell r="C1672" t="str">
            <v>RPRO-260429-0459</v>
          </cell>
          <cell r="D1672" t="str">
            <v>Pro.sche.report 28.04</v>
          </cell>
          <cell r="E1672" t="str">
            <v>BDB-000055</v>
          </cell>
          <cell r="F1672" t="str">
            <v>PVN-003326</v>
          </cell>
          <cell r="G1672" t="str">
            <v>OrthoLite X-40 TRUE BLUE/19-4057TPX Flat Sheet 0.16D 35+/-4 Asker C 1.1M 1.7M 14mm</v>
          </cell>
          <cell r="H1672">
            <v>18</v>
          </cell>
          <cell r="I1672">
            <v>18</v>
          </cell>
          <cell r="J1672">
            <v>0</v>
          </cell>
          <cell r="K1672">
            <v>18</v>
          </cell>
          <cell r="L1672" t="str">
            <v>ADIDAS</v>
          </cell>
          <cell r="M1672" t="str">
            <v>Pr.Sch.R</v>
          </cell>
          <cell r="N1672" t="str">
            <v>MOLDED</v>
          </cell>
          <cell r="O1672">
            <v>1</v>
          </cell>
          <cell r="P1672">
            <v>46141</v>
          </cell>
          <cell r="Q1672">
            <v>46156</v>
          </cell>
          <cell r="R1672">
            <v>46153</v>
          </cell>
          <cell r="S1672">
            <v>15</v>
          </cell>
          <cell r="T1672">
            <v>14</v>
          </cell>
          <cell r="U1672">
            <v>9</v>
          </cell>
          <cell r="V1672">
            <v>2</v>
          </cell>
          <cell r="W1672" t="str">
            <v>0.16D</v>
          </cell>
          <cell r="X1672" t="str">
            <v>5-2026</v>
          </cell>
          <cell r="Y1672" t="str">
            <v>Week 19</v>
          </cell>
          <cell r="Z1672">
            <v>46146</v>
          </cell>
          <cell r="AA1672">
            <v>339</v>
          </cell>
          <cell r="AB1672">
            <v>0.11111</v>
          </cell>
        </row>
        <row r="1673">
          <cell r="A1673" t="str">
            <v>F-2026-04-370</v>
          </cell>
          <cell r="B1673"/>
          <cell r="C1673" t="str">
            <v>RPRO-260429-0460</v>
          </cell>
          <cell r="D1673" t="str">
            <v>Pro.sche.report 28.04</v>
          </cell>
          <cell r="E1673" t="str">
            <v>BDB-000229</v>
          </cell>
          <cell r="F1673" t="str">
            <v>PVN-003692</v>
          </cell>
          <cell r="G1673" t="str">
            <v>OrthoLite Ultra-Hybrid SEEDPEARL/12-0703TPX Hybrid Flat Sheet 0.095D 33+/-4 Asker C 1.1M 2M 15.5mm</v>
          </cell>
          <cell r="H1673">
            <v>120</v>
          </cell>
          <cell r="I1673">
            <v>120</v>
          </cell>
          <cell r="J1673">
            <v>0</v>
          </cell>
          <cell r="K1673">
            <v>120</v>
          </cell>
          <cell r="L1673" t="str">
            <v>GARMONT</v>
          </cell>
          <cell r="M1673" t="str">
            <v>Pr.Sch.R</v>
          </cell>
          <cell r="N1673" t="str">
            <v>MOLDED</v>
          </cell>
          <cell r="O1673">
            <v>1</v>
          </cell>
          <cell r="P1673">
            <v>46141</v>
          </cell>
          <cell r="Q1673">
            <v>46161</v>
          </cell>
          <cell r="R1673">
            <v>46158</v>
          </cell>
          <cell r="S1673">
            <v>20</v>
          </cell>
          <cell r="T1673">
            <v>15.5</v>
          </cell>
          <cell r="U1673">
            <v>8</v>
          </cell>
          <cell r="V1673">
            <v>15</v>
          </cell>
          <cell r="W1673" t="str">
            <v>0.095D</v>
          </cell>
          <cell r="X1673" t="str">
            <v>5-2026</v>
          </cell>
          <cell r="Y1673" t="str">
            <v>Week 20</v>
          </cell>
          <cell r="Z1673">
            <v>46153</v>
          </cell>
          <cell r="AA1673">
            <v>16</v>
          </cell>
          <cell r="AB1673">
            <v>0.125</v>
          </cell>
        </row>
        <row r="1674">
          <cell r="A1674" t="str">
            <v>F-2026-04-371</v>
          </cell>
          <cell r="B1674"/>
          <cell r="C1674" t="str">
            <v>RPRO-260429-0461</v>
          </cell>
          <cell r="D1674" t="str">
            <v>Pro.sche.report 28.04</v>
          </cell>
          <cell r="E1674" t="str">
            <v>BDB-000055</v>
          </cell>
          <cell r="F1674" t="str">
            <v>PVN-003387</v>
          </cell>
          <cell r="G1674" t="str">
            <v>OrthoLite X-40 TRUE BLUE/19-4057TPX Flat Sheet 0.16D 35+/-4 Asker C 1.1M 1.7M 13.5mm</v>
          </cell>
          <cell r="H1674">
            <v>63</v>
          </cell>
          <cell r="I1674">
            <v>63</v>
          </cell>
          <cell r="J1674">
            <v>0</v>
          </cell>
          <cell r="K1674">
            <v>63</v>
          </cell>
          <cell r="L1674" t="str">
            <v>ADIDAS</v>
          </cell>
          <cell r="M1674" t="str">
            <v>Pr.Sch.R</v>
          </cell>
          <cell r="N1674" t="str">
            <v>MOLDED</v>
          </cell>
          <cell r="O1674">
            <v>1</v>
          </cell>
          <cell r="P1674">
            <v>46141</v>
          </cell>
          <cell r="Q1674">
            <v>46157</v>
          </cell>
          <cell r="R1674">
            <v>46154</v>
          </cell>
          <cell r="S1674">
            <v>16</v>
          </cell>
          <cell r="T1674">
            <v>13.5</v>
          </cell>
          <cell r="U1674">
            <v>9</v>
          </cell>
          <cell r="V1674">
            <v>7</v>
          </cell>
          <cell r="W1674" t="str">
            <v>0.16D</v>
          </cell>
          <cell r="X1674" t="str">
            <v>5-2026</v>
          </cell>
          <cell r="Y1674" t="str">
            <v>Week 19</v>
          </cell>
          <cell r="Z1674">
            <v>46146</v>
          </cell>
          <cell r="AA1674">
            <v>108</v>
          </cell>
          <cell r="AB1674">
            <v>0.11111</v>
          </cell>
        </row>
        <row r="1675">
          <cell r="A1675" t="str">
            <v>F-2026-04-372</v>
          </cell>
          <cell r="B1675"/>
          <cell r="C1675" t="str">
            <v>RPRO-260429-0462</v>
          </cell>
          <cell r="D1675" t="str">
            <v>Pro.sche.report 28.04</v>
          </cell>
          <cell r="E1675" t="str">
            <v>BDB-000123</v>
          </cell>
          <cell r="F1675" t="str">
            <v>PVN-002884</v>
          </cell>
          <cell r="G1675" t="str">
            <v>OrthoLite Ultra-Hybrid SEEDPEARL/12-0703TPX Hybrid Flat Sheet 0.085D 25+/-4 Asker C 1.1M 2M 10mm</v>
          </cell>
          <cell r="H1675">
            <v>234</v>
          </cell>
          <cell r="I1675">
            <v>234</v>
          </cell>
          <cell r="J1675">
            <v>0</v>
          </cell>
          <cell r="K1675">
            <v>234</v>
          </cell>
          <cell r="L1675" t="str">
            <v>ADIDAS</v>
          </cell>
          <cell r="M1675" t="str">
            <v>Pr.Sch.R</v>
          </cell>
          <cell r="N1675" t="str">
            <v>MOLDED</v>
          </cell>
          <cell r="O1675">
            <v>1</v>
          </cell>
          <cell r="P1675">
            <v>46141</v>
          </cell>
          <cell r="Q1675">
            <v>46156</v>
          </cell>
          <cell r="R1675">
            <v>46153</v>
          </cell>
          <cell r="S1675">
            <v>15</v>
          </cell>
          <cell r="T1675">
            <v>10</v>
          </cell>
          <cell r="U1675">
            <v>13</v>
          </cell>
          <cell r="V1675">
            <v>18</v>
          </cell>
          <cell r="W1675" t="str">
            <v>0.085D</v>
          </cell>
          <cell r="X1675" t="str">
            <v>5-2026</v>
          </cell>
          <cell r="Y1675" t="str">
            <v>Week 19</v>
          </cell>
          <cell r="Z1675">
            <v>46146</v>
          </cell>
          <cell r="AA1675">
            <v>71</v>
          </cell>
          <cell r="AB1675">
            <v>7.6920000000000002E-2</v>
          </cell>
        </row>
        <row r="1676">
          <cell r="A1676" t="str">
            <v>F-2026-04-373</v>
          </cell>
          <cell r="B1676"/>
          <cell r="C1676" t="str">
            <v>RPRO-260429-0463</v>
          </cell>
          <cell r="D1676" t="str">
            <v>Pro.sche.report 28.04</v>
          </cell>
          <cell r="E1676" t="str">
            <v>BDB-000094</v>
          </cell>
          <cell r="F1676" t="str">
            <v>PVN-004255</v>
          </cell>
          <cell r="G1676" t="str">
            <v>OrthoLite Eco LT 300C(ADIDAS BLUEBIRD) Flat Sheet 0.11D 25+/-4 Asker C 1.1M 1.47M 12mm</v>
          </cell>
          <cell r="H1676">
            <v>33</v>
          </cell>
          <cell r="I1676">
            <v>33</v>
          </cell>
          <cell r="J1676">
            <v>0</v>
          </cell>
          <cell r="K1676">
            <v>33</v>
          </cell>
          <cell r="L1676" t="str">
            <v>ADIDAS</v>
          </cell>
          <cell r="M1676" t="str">
            <v>Pr.Sch.R</v>
          </cell>
          <cell r="N1676" t="str">
            <v>MOLDED</v>
          </cell>
          <cell r="O1676">
            <v>1</v>
          </cell>
          <cell r="P1676">
            <v>46141</v>
          </cell>
          <cell r="Q1676">
            <v>46157</v>
          </cell>
          <cell r="R1676">
            <v>46154</v>
          </cell>
          <cell r="S1676">
            <v>16</v>
          </cell>
          <cell r="T1676">
            <v>12</v>
          </cell>
          <cell r="U1676">
            <v>11</v>
          </cell>
          <cell r="V1676">
            <v>4</v>
          </cell>
          <cell r="W1676" t="str">
            <v>0.11D</v>
          </cell>
          <cell r="X1676" t="str">
            <v>5-2026</v>
          </cell>
          <cell r="Y1676" t="str">
            <v>Week 19</v>
          </cell>
          <cell r="Z1676">
            <v>46146</v>
          </cell>
          <cell r="AA1676">
            <v>14</v>
          </cell>
          <cell r="AB1676">
            <v>9.0910000000000005E-2</v>
          </cell>
        </row>
        <row r="1677">
          <cell r="A1677" t="str">
            <v>F-2026-04-374</v>
          </cell>
          <cell r="B1677"/>
          <cell r="C1677" t="str">
            <v>RPRO-260429-0464</v>
          </cell>
          <cell r="D1677" t="str">
            <v>Pro.sche.report 28.04</v>
          </cell>
          <cell r="E1677" t="str">
            <v>BDB-000154</v>
          </cell>
          <cell r="F1677" t="str">
            <v>PVN-003347</v>
          </cell>
          <cell r="G1677" t="str">
            <v>OrthoLite X-40-Nike TRUE BLUE/19-4057TPX Flat Sheet 0.16D 35+/-4 Asker C 1.1M 1.7M 4mm</v>
          </cell>
          <cell r="H1677">
            <v>70</v>
          </cell>
          <cell r="I1677">
            <v>70</v>
          </cell>
          <cell r="J1677">
            <v>0</v>
          </cell>
          <cell r="K1677">
            <v>70</v>
          </cell>
          <cell r="L1677" t="str">
            <v>NIKE</v>
          </cell>
          <cell r="M1677" t="str">
            <v>Pr.Sch.R</v>
          </cell>
          <cell r="N1677" t="str">
            <v>LAMINATING</v>
          </cell>
          <cell r="O1677">
            <v>1</v>
          </cell>
          <cell r="P1677">
            <v>46141</v>
          </cell>
          <cell r="Q1677">
            <v>46161</v>
          </cell>
          <cell r="R1677">
            <v>46158</v>
          </cell>
          <cell r="S1677">
            <v>20</v>
          </cell>
          <cell r="T1677">
            <v>4</v>
          </cell>
          <cell r="U1677">
            <v>35</v>
          </cell>
          <cell r="V1677">
            <v>2</v>
          </cell>
          <cell r="W1677" t="str">
            <v>0.16D</v>
          </cell>
          <cell r="X1677" t="str">
            <v>5-2026</v>
          </cell>
          <cell r="Y1677" t="str">
            <v>Week 20</v>
          </cell>
          <cell r="Z1677">
            <v>46153</v>
          </cell>
          <cell r="AA1677">
            <v>8</v>
          </cell>
          <cell r="AB1677">
            <v>2.8570000000000002E-2</v>
          </cell>
        </row>
        <row r="1678">
          <cell r="A1678" t="str">
            <v>F-2026-04-375</v>
          </cell>
          <cell r="B1678"/>
          <cell r="C1678" t="str">
            <v>RPRO-260429-0465</v>
          </cell>
          <cell r="D1678" t="str">
            <v>Pro.sche.report 28.04</v>
          </cell>
          <cell r="E1678" t="str">
            <v>BDB-000130</v>
          </cell>
          <cell r="F1678" t="str">
            <v>PVN-001585</v>
          </cell>
          <cell r="G1678" t="str">
            <v>OrthoLite Regular-Nike AIR BLUE/16-4134TPX Flat Sheet 0.13D 35+/-4 Asker C 1.1M 2M 6mm</v>
          </cell>
          <cell r="H1678">
            <v>1978</v>
          </cell>
          <cell r="I1678">
            <v>1978</v>
          </cell>
          <cell r="J1678">
            <v>0</v>
          </cell>
          <cell r="K1678">
            <v>1978</v>
          </cell>
          <cell r="L1678" t="str">
            <v>NIKE</v>
          </cell>
          <cell r="M1678" t="str">
            <v>Pr.Sch.R</v>
          </cell>
          <cell r="N1678" t="str">
            <v>MOLDED</v>
          </cell>
          <cell r="O1678">
            <v>1</v>
          </cell>
          <cell r="P1678">
            <v>46141</v>
          </cell>
          <cell r="Q1678">
            <v>46156</v>
          </cell>
          <cell r="R1678">
            <v>46153</v>
          </cell>
          <cell r="S1678">
            <v>15</v>
          </cell>
          <cell r="T1678">
            <v>6</v>
          </cell>
          <cell r="U1678">
            <v>23</v>
          </cell>
          <cell r="V1678">
            <v>87</v>
          </cell>
          <cell r="W1678" t="str">
            <v>0.13D</v>
          </cell>
          <cell r="X1678" t="str">
            <v>5-2026</v>
          </cell>
          <cell r="Y1678" t="str">
            <v>Week 19</v>
          </cell>
          <cell r="Z1678">
            <v>46146</v>
          </cell>
          <cell r="AA1678">
            <v>163</v>
          </cell>
          <cell r="AB1678">
            <v>4.3479999999999998E-2</v>
          </cell>
        </row>
        <row r="1679">
          <cell r="A1679" t="str">
            <v>F-2026-04-376</v>
          </cell>
          <cell r="B1679"/>
          <cell r="C1679" t="str">
            <v>RPRO-260429-0466</v>
          </cell>
          <cell r="D1679" t="str">
            <v>Pro.sche.report 28.04</v>
          </cell>
          <cell r="E1679" t="str">
            <v>BDB-000149</v>
          </cell>
          <cell r="F1679" t="str">
            <v>PVN-002773</v>
          </cell>
          <cell r="G1679" t="str">
            <v>OrthoLite Regular-Hybrid-Nike SEEDPEARL/12-0703TPX Hybrid Flat Sheet 0.11D 25+/-4 Asker C 1.1M 2M 4mm</v>
          </cell>
          <cell r="H1679">
            <v>35</v>
          </cell>
          <cell r="I1679">
            <v>35</v>
          </cell>
          <cell r="J1679">
            <v>0</v>
          </cell>
          <cell r="K1679">
            <v>35</v>
          </cell>
          <cell r="L1679" t="str">
            <v>NIKE</v>
          </cell>
          <cell r="M1679" t="str">
            <v>Pr.Sch.R</v>
          </cell>
          <cell r="N1679" t="str">
            <v>DIE CUT</v>
          </cell>
          <cell r="O1679">
            <v>1</v>
          </cell>
          <cell r="P1679">
            <v>46141</v>
          </cell>
          <cell r="Q1679">
            <v>46157</v>
          </cell>
          <cell r="R1679">
            <v>46154</v>
          </cell>
          <cell r="S1679">
            <v>16</v>
          </cell>
          <cell r="T1679">
            <v>4</v>
          </cell>
          <cell r="U1679">
            <v>35</v>
          </cell>
          <cell r="V1679">
            <v>1</v>
          </cell>
          <cell r="W1679" t="str">
            <v>0.11D</v>
          </cell>
          <cell r="X1679" t="str">
            <v>5-2026</v>
          </cell>
          <cell r="Y1679" t="str">
            <v>Week 19</v>
          </cell>
          <cell r="Z1679">
            <v>46146</v>
          </cell>
          <cell r="AA1679">
            <v>27</v>
          </cell>
          <cell r="AB1679">
            <v>2.8570000000000002E-2</v>
          </cell>
        </row>
        <row r="1680">
          <cell r="A1680" t="str">
            <v>F-2026-04-377</v>
          </cell>
          <cell r="B1680"/>
          <cell r="C1680" t="str">
            <v>RPRO-260429-0467</v>
          </cell>
          <cell r="D1680" t="str">
            <v>Pro.sche.report 28.04</v>
          </cell>
          <cell r="E1680" t="str">
            <v>BDB-000174</v>
          </cell>
          <cell r="F1680" t="str">
            <v>PVN-003503</v>
          </cell>
          <cell r="G1680" t="str">
            <v>OrthoLite Ultra-Hybrid-Nike SEEDPEARL/12-0703TPX Hybrid Flat Sheet 0.085D 15+/-4 Asker C 1.1M 2M 3mm</v>
          </cell>
          <cell r="H1680">
            <v>138</v>
          </cell>
          <cell r="I1680">
            <v>138</v>
          </cell>
          <cell r="J1680">
            <v>0</v>
          </cell>
          <cell r="K1680">
            <v>138</v>
          </cell>
          <cell r="L1680" t="str">
            <v>NIKE</v>
          </cell>
          <cell r="M1680" t="str">
            <v>Pr.Sch.R</v>
          </cell>
          <cell r="N1680" t="str">
            <v>DIE CUT</v>
          </cell>
          <cell r="O1680">
            <v>1</v>
          </cell>
          <cell r="P1680">
            <v>46141</v>
          </cell>
          <cell r="Q1680">
            <v>46156</v>
          </cell>
          <cell r="R1680">
            <v>46153</v>
          </cell>
          <cell r="S1680">
            <v>15</v>
          </cell>
          <cell r="T1680">
            <v>3</v>
          </cell>
          <cell r="U1680">
            <v>46</v>
          </cell>
          <cell r="V1680">
            <v>4</v>
          </cell>
          <cell r="W1680" t="str">
            <v>0.085D</v>
          </cell>
          <cell r="X1680" t="str">
            <v>5-2026</v>
          </cell>
          <cell r="Y1680" t="str">
            <v>Week 19</v>
          </cell>
          <cell r="Z1680">
            <v>46146</v>
          </cell>
          <cell r="AA1680">
            <v>45</v>
          </cell>
          <cell r="AB1680">
            <v>2.1739999999999999E-2</v>
          </cell>
        </row>
        <row r="1681">
          <cell r="A1681" t="str">
            <v>F-2026-04-378</v>
          </cell>
          <cell r="B1681"/>
          <cell r="C1681" t="str">
            <v>RPRO-260429-0468</v>
          </cell>
          <cell r="D1681" t="str">
            <v>Pro.sche.report 28.04</v>
          </cell>
          <cell r="E1681" t="str">
            <v>BDB-000123</v>
          </cell>
          <cell r="F1681" t="str">
            <v>PVN-003987</v>
          </cell>
          <cell r="G1681" t="str">
            <v>OrthoLite Ultra-Hybrid SEEDPEARL/12-0703TPX Hybrid Flat Sheet 0.085D 25+/-4 Asker C 1.1M 2M 6.2mm</v>
          </cell>
          <cell r="H1681">
            <v>44</v>
          </cell>
          <cell r="I1681">
            <v>44</v>
          </cell>
          <cell r="J1681">
            <v>0</v>
          </cell>
          <cell r="K1681">
            <v>44</v>
          </cell>
          <cell r="L1681" t="str">
            <v>ADIDAS</v>
          </cell>
          <cell r="M1681" t="str">
            <v>Pr.Sch.R</v>
          </cell>
          <cell r="N1681" t="str">
            <v>MOLDED</v>
          </cell>
          <cell r="O1681">
            <v>1</v>
          </cell>
          <cell r="P1681">
            <v>46141</v>
          </cell>
          <cell r="Q1681">
            <v>46156</v>
          </cell>
          <cell r="R1681">
            <v>46153</v>
          </cell>
          <cell r="S1681">
            <v>15</v>
          </cell>
          <cell r="T1681">
            <v>6.2</v>
          </cell>
          <cell r="U1681">
            <v>22</v>
          </cell>
          <cell r="V1681">
            <v>2</v>
          </cell>
          <cell r="W1681" t="str">
            <v>0.085D</v>
          </cell>
          <cell r="X1681" t="str">
            <v>5-2026</v>
          </cell>
          <cell r="Y1681" t="str">
            <v>Week 19</v>
          </cell>
          <cell r="Z1681">
            <v>46146</v>
          </cell>
          <cell r="AA1681">
            <v>16</v>
          </cell>
          <cell r="AB1681">
            <v>4.5449999999999997E-2</v>
          </cell>
        </row>
        <row r="1682">
          <cell r="A1682" t="str">
            <v>F-2026-04-379</v>
          </cell>
          <cell r="B1682"/>
          <cell r="C1682" t="str">
            <v>RPRO-260429-0469</v>
          </cell>
          <cell r="D1682" t="str">
            <v>Pro.sche.report 28.04</v>
          </cell>
          <cell r="E1682" t="str">
            <v>BDB-000158</v>
          </cell>
          <cell r="F1682" t="str">
            <v>PVN-001554</v>
          </cell>
          <cell r="G1682" t="str">
            <v>OrthoLite Ultra-Nike YELLOW/13-0858TPX Flat Sheet 0.085D 15+/-4 Asker C 1.1M 2M 3mm</v>
          </cell>
          <cell r="H1682">
            <v>184</v>
          </cell>
          <cell r="I1682">
            <v>184</v>
          </cell>
          <cell r="J1682">
            <v>0</v>
          </cell>
          <cell r="K1682">
            <v>184</v>
          </cell>
          <cell r="L1682" t="str">
            <v>NIKE</v>
          </cell>
          <cell r="M1682" t="str">
            <v>Pr.Sch.R</v>
          </cell>
          <cell r="N1682" t="str">
            <v>DIE CUT</v>
          </cell>
          <cell r="O1682">
            <v>1</v>
          </cell>
          <cell r="P1682">
            <v>46141</v>
          </cell>
          <cell r="Q1682">
            <v>46154</v>
          </cell>
          <cell r="R1682">
            <v>46151</v>
          </cell>
          <cell r="S1682">
            <v>13</v>
          </cell>
          <cell r="T1682">
            <v>3</v>
          </cell>
          <cell r="U1682">
            <v>46</v>
          </cell>
          <cell r="V1682">
            <v>5</v>
          </cell>
          <cell r="W1682" t="str">
            <v>0.085D</v>
          </cell>
          <cell r="X1682" t="str">
            <v>5-2026</v>
          </cell>
          <cell r="Y1682" t="str">
            <v>Week 19</v>
          </cell>
          <cell r="Z1682">
            <v>46146</v>
          </cell>
          <cell r="AA1682">
            <v>0</v>
          </cell>
          <cell r="AB1682">
            <v>2.1739999999999999E-2</v>
          </cell>
        </row>
        <row r="1683">
          <cell r="A1683" t="str">
            <v>F-2026-04-380</v>
          </cell>
          <cell r="B1683"/>
          <cell r="C1683" t="str">
            <v>FPRO-260428-0003</v>
          </cell>
          <cell r="D1683" t="str">
            <v>Firm plan 28.04</v>
          </cell>
          <cell r="E1683" t="str">
            <v>BDB-000123</v>
          </cell>
          <cell r="F1683" t="str">
            <v>PVN-003298</v>
          </cell>
          <cell r="G1683" t="str">
            <v>OrthoLite Ultra-Hybrid SEEDPEARL/12-0703TPX Hybrid 0.085D 25+/-4 Asker C 1.1M 2M 4mm</v>
          </cell>
          <cell r="H1683">
            <v>7000</v>
          </cell>
          <cell r="I1683">
            <v>7000</v>
          </cell>
          <cell r="J1683">
            <v>0</v>
          </cell>
          <cell r="K1683">
            <v>7000</v>
          </cell>
          <cell r="L1683" t="str">
            <v>ADIDAS</v>
          </cell>
          <cell r="M1683" t="str">
            <v>Forecast</v>
          </cell>
          <cell r="N1683" t="str">
            <v>SPLITTING</v>
          </cell>
          <cell r="O1683">
            <v>2</v>
          </cell>
          <cell r="P1683">
            <v>46140</v>
          </cell>
          <cell r="Q1683">
            <v>46169</v>
          </cell>
          <cell r="R1683">
            <v>46166</v>
          </cell>
          <cell r="S1683">
            <v>29</v>
          </cell>
          <cell r="T1683">
            <v>4</v>
          </cell>
          <cell r="U1683">
            <v>35</v>
          </cell>
          <cell r="V1683">
            <v>200</v>
          </cell>
          <cell r="W1683" t="str">
            <v>0.085D</v>
          </cell>
          <cell r="X1683" t="str">
            <v>5-2026</v>
          </cell>
          <cell r="Y1683" t="str">
            <v>Week 21</v>
          </cell>
          <cell r="Z1683">
            <v>46160</v>
          </cell>
          <cell r="AA1683">
            <v>122</v>
          </cell>
          <cell r="AB1683">
            <v>2.8570000000000002E-2</v>
          </cell>
        </row>
        <row r="1684">
          <cell r="A1684" t="str">
            <v>F-2026-04-381</v>
          </cell>
          <cell r="B1684"/>
          <cell r="C1684" t="str">
            <v>FPRO-260428-0004</v>
          </cell>
          <cell r="D1684" t="str">
            <v>Firm plan 28.04</v>
          </cell>
          <cell r="E1684" t="str">
            <v>BDB-000123</v>
          </cell>
          <cell r="F1684" t="str">
            <v>PVN-003298</v>
          </cell>
          <cell r="G1684" t="str">
            <v>OrthoLite Ultra-Hybrid SEEDPEARL/12-0703TPX Hybrid 0.085D 25+/-4 Asker C 1.1M 2M 4mm</v>
          </cell>
          <cell r="H1684">
            <v>7000</v>
          </cell>
          <cell r="I1684">
            <v>7000</v>
          </cell>
          <cell r="J1684">
            <v>0</v>
          </cell>
          <cell r="K1684">
            <v>7000</v>
          </cell>
          <cell r="L1684" t="str">
            <v>ADIDAS</v>
          </cell>
          <cell r="M1684" t="str">
            <v>Forecast</v>
          </cell>
          <cell r="N1684" t="str">
            <v>SPLITTING</v>
          </cell>
          <cell r="O1684">
            <v>2</v>
          </cell>
          <cell r="P1684">
            <v>46140</v>
          </cell>
          <cell r="Q1684">
            <v>46184</v>
          </cell>
          <cell r="R1684">
            <v>46181</v>
          </cell>
          <cell r="S1684">
            <v>44</v>
          </cell>
          <cell r="T1684">
            <v>4</v>
          </cell>
          <cell r="U1684">
            <v>35</v>
          </cell>
          <cell r="V1684">
            <v>200</v>
          </cell>
          <cell r="W1684" t="str">
            <v>0.085D</v>
          </cell>
          <cell r="X1684" t="str">
            <v>6-2026</v>
          </cell>
          <cell r="Y1684" t="str">
            <v>Week 23</v>
          </cell>
          <cell r="Z1684">
            <v>46174</v>
          </cell>
          <cell r="AA1684">
            <v>20</v>
          </cell>
          <cell r="AB1684">
            <v>2.8570000000000002E-2</v>
          </cell>
        </row>
        <row r="1685">
          <cell r="A1685" t="str">
            <v>F-2026-04-382</v>
          </cell>
          <cell r="B1685"/>
          <cell r="C1685" t="str">
            <v>FPRO-260428-0012</v>
          </cell>
          <cell r="D1685" t="str">
            <v>Firm plan 28.04</v>
          </cell>
          <cell r="E1685" t="str">
            <v>BDB-000123</v>
          </cell>
          <cell r="F1685" t="str">
            <v>PVN-003298</v>
          </cell>
          <cell r="G1685" t="str">
            <v>OrthoLite Ultra-Hybrid SEEDPEARL/12-0703TPX Hybrid 0.085D 25+/-4 Asker C 1.1M 2M 4mm</v>
          </cell>
          <cell r="H1685">
            <v>7000</v>
          </cell>
          <cell r="I1685">
            <v>7000</v>
          </cell>
          <cell r="J1685">
            <v>0</v>
          </cell>
          <cell r="K1685">
            <v>7000</v>
          </cell>
          <cell r="L1685" t="str">
            <v>ADIDAS</v>
          </cell>
          <cell r="M1685" t="str">
            <v>Forecast</v>
          </cell>
          <cell r="N1685" t="str">
            <v>SPLITTING</v>
          </cell>
          <cell r="O1685">
            <v>2</v>
          </cell>
          <cell r="P1685">
            <v>46140</v>
          </cell>
          <cell r="Q1685">
            <v>46175</v>
          </cell>
          <cell r="R1685">
            <v>46172</v>
          </cell>
          <cell r="S1685">
            <v>35</v>
          </cell>
          <cell r="T1685">
            <v>4</v>
          </cell>
          <cell r="U1685">
            <v>35</v>
          </cell>
          <cell r="V1685">
            <v>200</v>
          </cell>
          <cell r="W1685" t="str">
            <v>0.085D</v>
          </cell>
          <cell r="X1685" t="str">
            <v>6-2026</v>
          </cell>
          <cell r="Y1685" t="str">
            <v>Week 22</v>
          </cell>
          <cell r="Z1685">
            <v>46167</v>
          </cell>
          <cell r="AA1685">
            <v>26</v>
          </cell>
          <cell r="AB1685">
            <v>2.8570000000000002E-2</v>
          </cell>
        </row>
        <row r="1686">
          <cell r="A1686" t="str">
            <v>F-2026-04-383</v>
          </cell>
          <cell r="B1686"/>
          <cell r="C1686" t="str">
            <v>FPRO-260428-0013</v>
          </cell>
          <cell r="D1686" t="str">
            <v>Firm plan 28.04</v>
          </cell>
          <cell r="E1686" t="str">
            <v>BDB-000123</v>
          </cell>
          <cell r="F1686" t="str">
            <v>PVN-003298</v>
          </cell>
          <cell r="G1686" t="str">
            <v>OrthoLite Ultra-Hybrid SEEDPEARL/12-0703TPX Hybrid 0.085D 25+/-4 Asker C 1.1M 2M 4mm</v>
          </cell>
          <cell r="H1686">
            <v>7000</v>
          </cell>
          <cell r="I1686">
            <v>7000</v>
          </cell>
          <cell r="J1686">
            <v>0</v>
          </cell>
          <cell r="K1686">
            <v>7000</v>
          </cell>
          <cell r="L1686" t="str">
            <v>ADIDAS</v>
          </cell>
          <cell r="M1686" t="str">
            <v>Forecast</v>
          </cell>
          <cell r="N1686" t="str">
            <v>SPLITTING</v>
          </cell>
          <cell r="O1686">
            <v>2</v>
          </cell>
          <cell r="P1686">
            <v>46140</v>
          </cell>
          <cell r="Q1686">
            <v>46177</v>
          </cell>
          <cell r="R1686">
            <v>46174</v>
          </cell>
          <cell r="S1686">
            <v>37</v>
          </cell>
          <cell r="T1686">
            <v>4</v>
          </cell>
          <cell r="U1686">
            <v>35</v>
          </cell>
          <cell r="V1686">
            <v>200</v>
          </cell>
          <cell r="W1686" t="str">
            <v>0.085D</v>
          </cell>
          <cell r="X1686" t="str">
            <v>6-2026</v>
          </cell>
          <cell r="Y1686" t="str">
            <v>Week 22</v>
          </cell>
          <cell r="Z1686">
            <v>46167</v>
          </cell>
          <cell r="AA1686">
            <v>50</v>
          </cell>
          <cell r="AB1686">
            <v>2.8570000000000002E-2</v>
          </cell>
        </row>
        <row r="1687">
          <cell r="A1687" t="str">
            <v>F-2026-04-384</v>
          </cell>
          <cell r="B1687"/>
          <cell r="C1687" t="str">
            <v>FPRO-260428-0014</v>
          </cell>
          <cell r="D1687" t="str">
            <v>Firm plan 28.04</v>
          </cell>
          <cell r="E1687" t="str">
            <v>BDB-000123</v>
          </cell>
          <cell r="F1687" t="str">
            <v>PVN-003298</v>
          </cell>
          <cell r="G1687" t="str">
            <v>OrthoLite Ultra-Hybrid SEEDPEARL/12-0703TPX Hybrid 0.085D 25+/-4 Asker C 1.1M 2M 4mm</v>
          </cell>
          <cell r="H1687">
            <v>7000</v>
          </cell>
          <cell r="I1687">
            <v>7000</v>
          </cell>
          <cell r="J1687">
            <v>0</v>
          </cell>
          <cell r="K1687">
            <v>7000</v>
          </cell>
          <cell r="L1687" t="str">
            <v>ADIDAS</v>
          </cell>
          <cell r="M1687" t="str">
            <v>Forecast</v>
          </cell>
          <cell r="N1687" t="str">
            <v>SPLITTING</v>
          </cell>
          <cell r="O1687">
            <v>2</v>
          </cell>
          <cell r="P1687">
            <v>46140</v>
          </cell>
          <cell r="Q1687">
            <v>46179</v>
          </cell>
          <cell r="R1687">
            <v>46176</v>
          </cell>
          <cell r="S1687">
            <v>39</v>
          </cell>
          <cell r="T1687">
            <v>4</v>
          </cell>
          <cell r="U1687">
            <v>35</v>
          </cell>
          <cell r="V1687">
            <v>200</v>
          </cell>
          <cell r="W1687" t="str">
            <v>0.085D</v>
          </cell>
          <cell r="X1687" t="str">
            <v>6-2026</v>
          </cell>
          <cell r="Y1687" t="str">
            <v>Week 22</v>
          </cell>
          <cell r="Z1687">
            <v>46167</v>
          </cell>
          <cell r="AA1687">
            <v>39</v>
          </cell>
          <cell r="AB1687">
            <v>2.8570000000000002E-2</v>
          </cell>
        </row>
        <row r="1688">
          <cell r="A1688" t="str">
            <v>F-2026-04-385</v>
          </cell>
          <cell r="B1688"/>
          <cell r="C1688" t="str">
            <v>FPRO-260428-0015</v>
          </cell>
          <cell r="D1688" t="str">
            <v>Firm plan 28.04</v>
          </cell>
          <cell r="E1688" t="str">
            <v>BDB-000123</v>
          </cell>
          <cell r="F1688" t="str">
            <v>PVN-003298</v>
          </cell>
          <cell r="G1688" t="str">
            <v>OrthoLite Ultra-Hybrid SEEDPEARL/12-0703TPX Hybrid 0.085D 25+/-4 Asker C 1.1M 2M 4mm</v>
          </cell>
          <cell r="H1688">
            <v>7000</v>
          </cell>
          <cell r="I1688">
            <v>7000</v>
          </cell>
          <cell r="J1688">
            <v>0</v>
          </cell>
          <cell r="K1688">
            <v>7000</v>
          </cell>
          <cell r="L1688" t="str">
            <v>ADIDAS</v>
          </cell>
          <cell r="M1688" t="str">
            <v>Forecast</v>
          </cell>
          <cell r="N1688" t="str">
            <v>SPLITTING</v>
          </cell>
          <cell r="O1688">
            <v>2</v>
          </cell>
          <cell r="P1688">
            <v>46140</v>
          </cell>
          <cell r="Q1688">
            <v>46182</v>
          </cell>
          <cell r="R1688">
            <v>46179</v>
          </cell>
          <cell r="S1688">
            <v>42</v>
          </cell>
          <cell r="T1688">
            <v>4</v>
          </cell>
          <cell r="U1688">
            <v>35</v>
          </cell>
          <cell r="V1688">
            <v>200</v>
          </cell>
          <cell r="W1688" t="str">
            <v>0.085D</v>
          </cell>
          <cell r="X1688" t="str">
            <v>6-2026</v>
          </cell>
          <cell r="Y1688" t="str">
            <v>Week 23</v>
          </cell>
          <cell r="Z1688">
            <v>46174</v>
          </cell>
          <cell r="AA1688">
            <v>167</v>
          </cell>
          <cell r="AB1688">
            <v>2.8570000000000002E-2</v>
          </cell>
        </row>
        <row r="1689">
          <cell r="A1689" t="str">
            <v>F-2026-04-386</v>
          </cell>
          <cell r="B1689"/>
          <cell r="C1689" t="str">
            <v>FPRO-260428-0016</v>
          </cell>
          <cell r="D1689" t="str">
            <v>Firm plan 28.04</v>
          </cell>
          <cell r="E1689" t="str">
            <v>BDB-000123</v>
          </cell>
          <cell r="F1689" t="str">
            <v>PVN-003299</v>
          </cell>
          <cell r="G1689" t="str">
            <v>OrthoLite Ultra-Hybrid SEEDPEARL/12-0703TPX Hybrid 0.085D 25+/-4 Asker C 1.1M 2M 3mm</v>
          </cell>
          <cell r="H1689">
            <v>7000</v>
          </cell>
          <cell r="I1689">
            <v>7000</v>
          </cell>
          <cell r="J1689">
            <v>0</v>
          </cell>
          <cell r="K1689">
            <v>7000</v>
          </cell>
          <cell r="L1689" t="str">
            <v>ADIDAS</v>
          </cell>
          <cell r="M1689" t="str">
            <v>Forecast</v>
          </cell>
          <cell r="N1689" t="str">
            <v>SPLITTING</v>
          </cell>
          <cell r="O1689">
            <v>2</v>
          </cell>
          <cell r="P1689">
            <v>46140</v>
          </cell>
          <cell r="Q1689">
            <v>46163</v>
          </cell>
          <cell r="R1689">
            <v>46160</v>
          </cell>
          <cell r="S1689">
            <v>23</v>
          </cell>
          <cell r="T1689">
            <v>3</v>
          </cell>
          <cell r="U1689">
            <v>46</v>
          </cell>
          <cell r="V1689">
            <v>153</v>
          </cell>
          <cell r="W1689" t="str">
            <v>0.085D</v>
          </cell>
          <cell r="X1689" t="str">
            <v>5-2026</v>
          </cell>
          <cell r="Y1689" t="str">
            <v>Week 20</v>
          </cell>
          <cell r="Z1689">
            <v>46153</v>
          </cell>
          <cell r="AA1689">
            <v>69</v>
          </cell>
          <cell r="AB1689">
            <v>2.1739999999999999E-2</v>
          </cell>
        </row>
        <row r="1690">
          <cell r="A1690" t="str">
            <v>F-2026-04-387</v>
          </cell>
          <cell r="B1690"/>
          <cell r="C1690" t="str">
            <v>FPRO-260428-0017</v>
          </cell>
          <cell r="D1690" t="str">
            <v>Firm plan 28.04</v>
          </cell>
          <cell r="E1690" t="str">
            <v>BDB-000123</v>
          </cell>
          <cell r="F1690" t="str">
            <v>PVN-003299</v>
          </cell>
          <cell r="G1690" t="str">
            <v>OrthoLite Ultra-Hybrid SEEDPEARL/12-0703TPX Hybrid 0.085D 25+/-4 Asker C 1.1M 2M 3mm</v>
          </cell>
          <cell r="H1690">
            <v>7000</v>
          </cell>
          <cell r="I1690">
            <v>7000</v>
          </cell>
          <cell r="J1690">
            <v>0</v>
          </cell>
          <cell r="K1690">
            <v>7000</v>
          </cell>
          <cell r="L1690" t="str">
            <v>ADIDAS</v>
          </cell>
          <cell r="M1690" t="str">
            <v>Forecast</v>
          </cell>
          <cell r="N1690" t="str">
            <v>SPLITTING</v>
          </cell>
          <cell r="O1690">
            <v>2</v>
          </cell>
          <cell r="P1690">
            <v>46140</v>
          </cell>
          <cell r="Q1690">
            <v>46168</v>
          </cell>
          <cell r="R1690">
            <v>46165</v>
          </cell>
          <cell r="S1690">
            <v>28</v>
          </cell>
          <cell r="T1690">
            <v>3</v>
          </cell>
          <cell r="U1690">
            <v>46</v>
          </cell>
          <cell r="V1690">
            <v>153</v>
          </cell>
          <cell r="W1690" t="str">
            <v>0.085D</v>
          </cell>
          <cell r="X1690" t="str">
            <v>5-2026</v>
          </cell>
          <cell r="Y1690" t="str">
            <v>Week 21</v>
          </cell>
          <cell r="Z1690">
            <v>46160</v>
          </cell>
          <cell r="AA1690">
            <v>31</v>
          </cell>
          <cell r="AB1690">
            <v>2.1739999999999999E-2</v>
          </cell>
        </row>
        <row r="1691">
          <cell r="A1691" t="str">
            <v>F-2026-04-388</v>
          </cell>
          <cell r="B1691"/>
          <cell r="C1691" t="str">
            <v>FPRO-260428-0018</v>
          </cell>
          <cell r="D1691" t="str">
            <v>Firm plan 28.04</v>
          </cell>
          <cell r="E1691" t="str">
            <v>BDB-000123</v>
          </cell>
          <cell r="F1691" t="str">
            <v>PVN-003299</v>
          </cell>
          <cell r="G1691" t="str">
            <v>OrthoLite Ultra-Hybrid SEEDPEARL/12-0703TPX Hybrid 0.085D 25+/-4 Asker C 1.1M 2M 3mm</v>
          </cell>
          <cell r="H1691">
            <v>7000</v>
          </cell>
          <cell r="I1691">
            <v>7000</v>
          </cell>
          <cell r="J1691">
            <v>0</v>
          </cell>
          <cell r="K1691">
            <v>7000</v>
          </cell>
          <cell r="L1691" t="str">
            <v>ADIDAS</v>
          </cell>
          <cell r="M1691" t="str">
            <v>Forecast</v>
          </cell>
          <cell r="N1691" t="str">
            <v>SPLITTING</v>
          </cell>
          <cell r="O1691">
            <v>2</v>
          </cell>
          <cell r="P1691">
            <v>46140</v>
          </cell>
          <cell r="Q1691">
            <v>46171</v>
          </cell>
          <cell r="R1691">
            <v>46168</v>
          </cell>
          <cell r="S1691">
            <v>31</v>
          </cell>
          <cell r="T1691">
            <v>3</v>
          </cell>
          <cell r="U1691">
            <v>46</v>
          </cell>
          <cell r="V1691">
            <v>153</v>
          </cell>
          <cell r="W1691" t="str">
            <v>0.085D</v>
          </cell>
          <cell r="X1691" t="str">
            <v>5-2026</v>
          </cell>
          <cell r="Y1691" t="str">
            <v>Week 21</v>
          </cell>
          <cell r="Z1691">
            <v>46160</v>
          </cell>
          <cell r="AA1691">
            <v>47</v>
          </cell>
          <cell r="AB1691">
            <v>2.1739999999999999E-2</v>
          </cell>
        </row>
        <row r="1692">
          <cell r="A1692" t="str">
            <v>F-2026-04-389</v>
          </cell>
          <cell r="B1692"/>
          <cell r="C1692" t="str">
            <v>FPRO-260428-0019</v>
          </cell>
          <cell r="D1692" t="str">
            <v>Firm plan 28.04</v>
          </cell>
          <cell r="E1692" t="str">
            <v>BDB-000123</v>
          </cell>
          <cell r="F1692" t="str">
            <v>PVN-003299</v>
          </cell>
          <cell r="G1692" t="str">
            <v>OrthoLite Ultra-Hybrid SEEDPEARL/12-0703TPX Hybrid 0.085D 25+/-4 Asker C 1.1M 2M 3mm</v>
          </cell>
          <cell r="H1692">
            <v>2500</v>
          </cell>
          <cell r="I1692">
            <v>2500</v>
          </cell>
          <cell r="J1692">
            <v>0</v>
          </cell>
          <cell r="K1692">
            <v>2500</v>
          </cell>
          <cell r="L1692" t="str">
            <v>ADIDAS</v>
          </cell>
          <cell r="M1692" t="str">
            <v>Forecast</v>
          </cell>
          <cell r="N1692" t="str">
            <v>SPLITTING</v>
          </cell>
          <cell r="O1692">
            <v>2</v>
          </cell>
          <cell r="P1692">
            <v>46140</v>
          </cell>
          <cell r="Q1692">
            <v>46177</v>
          </cell>
          <cell r="R1692">
            <v>46174</v>
          </cell>
          <cell r="S1692">
            <v>37</v>
          </cell>
          <cell r="T1692">
            <v>3</v>
          </cell>
          <cell r="U1692">
            <v>46</v>
          </cell>
          <cell r="V1692">
            <v>55</v>
          </cell>
          <cell r="W1692" t="str">
            <v>0.085D</v>
          </cell>
          <cell r="X1692" t="str">
            <v>6-2026</v>
          </cell>
          <cell r="Y1692" t="str">
            <v>Week 22</v>
          </cell>
          <cell r="Z1692">
            <v>46167</v>
          </cell>
          <cell r="AA1692">
            <v>116</v>
          </cell>
          <cell r="AB1692">
            <v>2.1739999999999999E-2</v>
          </cell>
        </row>
        <row r="1693">
          <cell r="A1693" t="str">
            <v>F-2026-04-390</v>
          </cell>
          <cell r="B1693"/>
          <cell r="C1693" t="str">
            <v>FPRO-260429-0003</v>
          </cell>
          <cell r="D1693" t="str">
            <v>Firm plan 29.04</v>
          </cell>
          <cell r="E1693" t="str">
            <v>BDB-000129</v>
          </cell>
          <cell r="F1693" t="str">
            <v>PVN-001550</v>
          </cell>
          <cell r="G1693" t="str">
            <v>OrthoLite Regular-Nike AIR BLUE/16-4134TPX 0.11D 25+/-4 Asker C 1.1M 1.7M 2mm</v>
          </cell>
          <cell r="H1693">
            <v>2000</v>
          </cell>
          <cell r="I1693">
            <v>2000</v>
          </cell>
          <cell r="J1693">
            <v>0</v>
          </cell>
          <cell r="K1693">
            <v>2000</v>
          </cell>
          <cell r="L1693" t="str">
            <v>NIKE</v>
          </cell>
          <cell r="M1693" t="str">
            <v>Forecast</v>
          </cell>
          <cell r="N1693" t="str">
            <v>DIE CUT</v>
          </cell>
          <cell r="O1693">
            <v>1</v>
          </cell>
          <cell r="P1693">
            <v>46141</v>
          </cell>
          <cell r="Q1693">
            <v>46170</v>
          </cell>
          <cell r="R1693">
            <v>46167</v>
          </cell>
          <cell r="S1693">
            <v>29</v>
          </cell>
          <cell r="T1693">
            <v>2</v>
          </cell>
          <cell r="U1693">
            <v>70</v>
          </cell>
          <cell r="V1693">
            <v>29</v>
          </cell>
          <cell r="W1693" t="str">
            <v>0.11D</v>
          </cell>
          <cell r="X1693" t="str">
            <v>5-2026</v>
          </cell>
          <cell r="Y1693" t="str">
            <v>Week 21</v>
          </cell>
          <cell r="Z1693">
            <v>46160</v>
          </cell>
          <cell r="AA1693">
            <v>284</v>
          </cell>
          <cell r="AB1693">
            <v>1.4290000000000001E-2</v>
          </cell>
        </row>
        <row r="1694">
          <cell r="A1694" t="str">
            <v>F-2026-04-391</v>
          </cell>
          <cell r="B1694"/>
          <cell r="C1694" t="str">
            <v>FPRO-260429-0004</v>
          </cell>
          <cell r="D1694" t="str">
            <v>Firm plan 29.04</v>
          </cell>
          <cell r="E1694" t="str">
            <v>BDB-000129</v>
          </cell>
          <cell r="F1694" t="str">
            <v>PVN-001550</v>
          </cell>
          <cell r="G1694" t="str">
            <v>OrthoLite Regular-Nike AIR BLUE/16-4134TPX 0.11D 25+/-4 Asker C 1.1M 1.7M 2mm</v>
          </cell>
          <cell r="H1694">
            <v>2000</v>
          </cell>
          <cell r="I1694">
            <v>2000</v>
          </cell>
          <cell r="J1694">
            <v>0</v>
          </cell>
          <cell r="K1694">
            <v>2000</v>
          </cell>
          <cell r="L1694" t="str">
            <v>NIKE</v>
          </cell>
          <cell r="M1694" t="str">
            <v>Forecast</v>
          </cell>
          <cell r="N1694" t="str">
            <v>DIE CUT</v>
          </cell>
          <cell r="O1694">
            <v>1</v>
          </cell>
          <cell r="P1694">
            <v>46141</v>
          </cell>
          <cell r="Q1694">
            <v>46171</v>
          </cell>
          <cell r="R1694">
            <v>46168</v>
          </cell>
          <cell r="S1694">
            <v>30</v>
          </cell>
          <cell r="T1694">
            <v>2</v>
          </cell>
          <cell r="U1694">
            <v>70</v>
          </cell>
          <cell r="V1694">
            <v>29</v>
          </cell>
          <cell r="W1694" t="str">
            <v>0.11D</v>
          </cell>
          <cell r="X1694" t="str">
            <v>5-2026</v>
          </cell>
          <cell r="Y1694" t="str">
            <v>Week 21</v>
          </cell>
          <cell r="Z1694">
            <v>46160</v>
          </cell>
          <cell r="AA1694">
            <v>52</v>
          </cell>
          <cell r="AB1694">
            <v>1.4290000000000001E-2</v>
          </cell>
        </row>
        <row r="1695">
          <cell r="A1695" t="str">
            <v>F-2026-04-392</v>
          </cell>
          <cell r="B1695"/>
          <cell r="C1695" t="str">
            <v>FPRO-260429-0005</v>
          </cell>
          <cell r="D1695" t="str">
            <v>Firm plan 29.04</v>
          </cell>
          <cell r="E1695" t="str">
            <v>BDB-000129</v>
          </cell>
          <cell r="F1695" t="str">
            <v>PVN-001550</v>
          </cell>
          <cell r="G1695" t="str">
            <v>OrthoLite Regular-Nike AIR BLUE/16-4134TPX 0.11D 25+/-4 Asker C 1.1M 1.7M 2mm</v>
          </cell>
          <cell r="H1695">
            <v>600</v>
          </cell>
          <cell r="I1695">
            <v>600</v>
          </cell>
          <cell r="J1695">
            <v>0</v>
          </cell>
          <cell r="K1695">
            <v>600</v>
          </cell>
          <cell r="L1695" t="str">
            <v>NIKE</v>
          </cell>
          <cell r="M1695" t="str">
            <v>Forecast</v>
          </cell>
          <cell r="N1695" t="str">
            <v>DIE CUT</v>
          </cell>
          <cell r="O1695">
            <v>1</v>
          </cell>
          <cell r="P1695">
            <v>46141</v>
          </cell>
          <cell r="Q1695">
            <v>46175</v>
          </cell>
          <cell r="R1695">
            <v>46172</v>
          </cell>
          <cell r="S1695">
            <v>34</v>
          </cell>
          <cell r="T1695">
            <v>2</v>
          </cell>
          <cell r="U1695">
            <v>70</v>
          </cell>
          <cell r="V1695">
            <v>9</v>
          </cell>
          <cell r="W1695" t="str">
            <v>0.11D</v>
          </cell>
          <cell r="X1695" t="str">
            <v>6-2026</v>
          </cell>
          <cell r="Y1695" t="str">
            <v>Week 22</v>
          </cell>
          <cell r="Z1695">
            <v>46167</v>
          </cell>
          <cell r="AA1695">
            <v>114</v>
          </cell>
          <cell r="AB1695">
            <v>1.4290000000000001E-2</v>
          </cell>
        </row>
        <row r="1696">
          <cell r="A1696" t="str">
            <v>F-2026-04-393</v>
          </cell>
          <cell r="B1696"/>
          <cell r="C1696" t="str">
            <v>FPRO-260429-0006</v>
          </cell>
          <cell r="D1696" t="str">
            <v>Firm plan 29.04</v>
          </cell>
          <cell r="E1696" t="str">
            <v>BDB-000161</v>
          </cell>
          <cell r="F1696" t="str">
            <v>PVN-001560</v>
          </cell>
          <cell r="G1696" t="str">
            <v>OrthoLite Ultra-Nike FOSSIL/17-0909TPX 0.085D 25+/-4 Asker C 1.1M 2M 4mm</v>
          </cell>
          <cell r="H1696">
            <v>1000</v>
          </cell>
          <cell r="I1696">
            <v>1000</v>
          </cell>
          <cell r="J1696">
            <v>0</v>
          </cell>
          <cell r="K1696">
            <v>1000</v>
          </cell>
          <cell r="L1696" t="str">
            <v>NIKE</v>
          </cell>
          <cell r="M1696" t="str">
            <v>Forecast</v>
          </cell>
          <cell r="N1696" t="str">
            <v>DIE CUT</v>
          </cell>
          <cell r="O1696">
            <v>1</v>
          </cell>
          <cell r="P1696">
            <v>46141</v>
          </cell>
          <cell r="Q1696">
            <v>46186</v>
          </cell>
          <cell r="R1696">
            <v>46183</v>
          </cell>
          <cell r="S1696">
            <v>45</v>
          </cell>
          <cell r="T1696">
            <v>4</v>
          </cell>
          <cell r="U1696">
            <v>35</v>
          </cell>
          <cell r="V1696">
            <v>29</v>
          </cell>
          <cell r="W1696" t="str">
            <v>0.085D</v>
          </cell>
          <cell r="X1696" t="str">
            <v>6-2026</v>
          </cell>
          <cell r="Y1696" t="str">
            <v>Week 23</v>
          </cell>
          <cell r="Z1696">
            <v>46174</v>
          </cell>
          <cell r="AA1696">
            <v>25</v>
          </cell>
          <cell r="AB1696">
            <v>2.8570000000000002E-2</v>
          </cell>
        </row>
        <row r="1697">
          <cell r="A1697" t="str">
            <v>F-2026-04-394</v>
          </cell>
          <cell r="B1697"/>
          <cell r="C1697" t="str">
            <v>FPRO-260429-0007</v>
          </cell>
          <cell r="D1697" t="str">
            <v>Firm plan 29.04</v>
          </cell>
          <cell r="E1697" t="str">
            <v>BDB-000161</v>
          </cell>
          <cell r="F1697" t="str">
            <v>PVN-001560</v>
          </cell>
          <cell r="G1697" t="str">
            <v>OrthoLite Ultra-Nike FOSSIL/17-0909TPX 0.085D 25+/-4 Asker C 1.1M 2M 4mm</v>
          </cell>
          <cell r="H1697">
            <v>1000</v>
          </cell>
          <cell r="I1697">
            <v>1000</v>
          </cell>
          <cell r="J1697">
            <v>0</v>
          </cell>
          <cell r="K1697">
            <v>1000</v>
          </cell>
          <cell r="L1697" t="str">
            <v>NIKE</v>
          </cell>
          <cell r="M1697" t="str">
            <v>Forecast</v>
          </cell>
          <cell r="N1697" t="str">
            <v>DIE CUT</v>
          </cell>
          <cell r="O1697">
            <v>1</v>
          </cell>
          <cell r="P1697">
            <v>46141</v>
          </cell>
          <cell r="Q1697">
            <v>46193</v>
          </cell>
          <cell r="R1697">
            <v>46190</v>
          </cell>
          <cell r="S1697">
            <v>52</v>
          </cell>
          <cell r="T1697">
            <v>4</v>
          </cell>
          <cell r="U1697">
            <v>35</v>
          </cell>
          <cell r="V1697">
            <v>29</v>
          </cell>
          <cell r="W1697" t="str">
            <v>0.085D</v>
          </cell>
          <cell r="X1697" t="str">
            <v>6-2026</v>
          </cell>
          <cell r="Y1697" t="str">
            <v>Week 24</v>
          </cell>
          <cell r="Z1697">
            <v>46181</v>
          </cell>
          <cell r="AA1697">
            <v>89</v>
          </cell>
          <cell r="AB1697">
            <v>2.8570000000000002E-2</v>
          </cell>
        </row>
        <row r="1698">
          <cell r="A1698" t="str">
            <v>F-2026-04-395</v>
          </cell>
          <cell r="B1698"/>
          <cell r="C1698" t="str">
            <v>FPRO-260429-0008</v>
          </cell>
          <cell r="D1698" t="str">
            <v>Firm plan 29.04</v>
          </cell>
          <cell r="E1698" t="str">
            <v>BDB-000161</v>
          </cell>
          <cell r="F1698" t="str">
            <v>PVN-001560</v>
          </cell>
          <cell r="G1698" t="str">
            <v>OrthoLite Ultra-Nike FOSSIL/17-0909TPX 0.085D 25+/-4 Asker C 1.1M 2M 4mm</v>
          </cell>
          <cell r="H1698">
            <v>1000</v>
          </cell>
          <cell r="I1698">
            <v>1000</v>
          </cell>
          <cell r="J1698">
            <v>0</v>
          </cell>
          <cell r="K1698">
            <v>1000</v>
          </cell>
          <cell r="L1698" t="str">
            <v>NIKE</v>
          </cell>
          <cell r="M1698" t="str">
            <v>Forecast</v>
          </cell>
          <cell r="N1698" t="str">
            <v>DIE CUT</v>
          </cell>
          <cell r="O1698">
            <v>1</v>
          </cell>
          <cell r="P1698">
            <v>46141</v>
          </cell>
          <cell r="Q1698">
            <v>46200</v>
          </cell>
          <cell r="R1698">
            <v>46197</v>
          </cell>
          <cell r="S1698">
            <v>59</v>
          </cell>
          <cell r="T1698">
            <v>4</v>
          </cell>
          <cell r="U1698">
            <v>35</v>
          </cell>
          <cell r="V1698">
            <v>29</v>
          </cell>
          <cell r="W1698" t="str">
            <v>0.085D</v>
          </cell>
          <cell r="X1698" t="str">
            <v>6-2026</v>
          </cell>
          <cell r="Y1698" t="str">
            <v>Week 24</v>
          </cell>
          <cell r="Z1698">
            <v>46181</v>
          </cell>
          <cell r="AA1698">
            <v>60</v>
          </cell>
          <cell r="AB1698">
            <v>2.8570000000000002E-2</v>
          </cell>
        </row>
        <row r="1699">
          <cell r="A1699" t="str">
            <v>F-2026-04-396</v>
          </cell>
          <cell r="B1699"/>
          <cell r="C1699" t="str">
            <v>FPRO-260429-0009</v>
          </cell>
          <cell r="D1699" t="str">
            <v>Firm plan 29.04</v>
          </cell>
          <cell r="E1699" t="str">
            <v>BDB-000161</v>
          </cell>
          <cell r="F1699" t="str">
            <v>PVN-001560</v>
          </cell>
          <cell r="G1699" t="str">
            <v>OrthoLite Ultra-Nike FOSSIL/17-0909TPX 0.085D 25+/-4 Asker C 1.1M 2M 4mm</v>
          </cell>
          <cell r="H1699">
            <v>1000</v>
          </cell>
          <cell r="I1699">
            <v>1000</v>
          </cell>
          <cell r="J1699">
            <v>0</v>
          </cell>
          <cell r="K1699">
            <v>1000</v>
          </cell>
          <cell r="L1699" t="str">
            <v>NIKE</v>
          </cell>
          <cell r="M1699" t="str">
            <v>Forecast</v>
          </cell>
          <cell r="N1699" t="str">
            <v>DIE CUT</v>
          </cell>
          <cell r="O1699">
            <v>1</v>
          </cell>
          <cell r="P1699">
            <v>46141</v>
          </cell>
          <cell r="Q1699">
            <v>46207</v>
          </cell>
          <cell r="R1699">
            <v>46204</v>
          </cell>
          <cell r="S1699">
            <v>66</v>
          </cell>
          <cell r="T1699">
            <v>4</v>
          </cell>
          <cell r="U1699">
            <v>35</v>
          </cell>
          <cell r="V1699">
            <v>29</v>
          </cell>
          <cell r="W1699" t="str">
            <v>0.085D</v>
          </cell>
          <cell r="X1699" t="str">
            <v>7-2026</v>
          </cell>
          <cell r="Y1699" t="str">
            <v>Week 24</v>
          </cell>
          <cell r="Z1699">
            <v>46181</v>
          </cell>
          <cell r="AA1699">
            <v>136</v>
          </cell>
          <cell r="AB1699">
            <v>2.8570000000000002E-2</v>
          </cell>
        </row>
        <row r="1700">
          <cell r="A1700" t="str">
            <v>F-2026-04-397</v>
          </cell>
          <cell r="B1700"/>
          <cell r="C1700" t="str">
            <v>FPRO-260429-0010</v>
          </cell>
          <cell r="D1700" t="str">
            <v>Firm plan 29.04</v>
          </cell>
          <cell r="E1700" t="str">
            <v>BDB-000161</v>
          </cell>
          <cell r="F1700" t="str">
            <v>PVN-001560</v>
          </cell>
          <cell r="G1700" t="str">
            <v>OrthoLite Ultra-Nike FOSSIL/17-0909TPX 0.085D 25+/-4 Asker C 1.1M 2M 4mm</v>
          </cell>
          <cell r="H1700">
            <v>1000</v>
          </cell>
          <cell r="I1700">
            <v>1000</v>
          </cell>
          <cell r="J1700">
            <v>0</v>
          </cell>
          <cell r="K1700">
            <v>1000</v>
          </cell>
          <cell r="L1700" t="str">
            <v>NIKE</v>
          </cell>
          <cell r="M1700" t="str">
            <v>Forecast</v>
          </cell>
          <cell r="N1700" t="str">
            <v>DIE CUT</v>
          </cell>
          <cell r="O1700">
            <v>1</v>
          </cell>
          <cell r="P1700">
            <v>46141</v>
          </cell>
          <cell r="Q1700">
            <v>46214</v>
          </cell>
          <cell r="R1700">
            <v>46211</v>
          </cell>
          <cell r="S1700">
            <v>73</v>
          </cell>
          <cell r="T1700">
            <v>4</v>
          </cell>
          <cell r="U1700">
            <v>35</v>
          </cell>
          <cell r="V1700">
            <v>29</v>
          </cell>
          <cell r="W1700" t="str">
            <v>0.085D</v>
          </cell>
          <cell r="X1700" t="str">
            <v>7-2026</v>
          </cell>
          <cell r="Y1700" t="str">
            <v>Week 24</v>
          </cell>
          <cell r="Z1700">
            <v>46181</v>
          </cell>
          <cell r="AA1700">
            <v>134</v>
          </cell>
          <cell r="AB1700">
            <v>2.8570000000000002E-2</v>
          </cell>
        </row>
        <row r="1701">
          <cell r="A1701" t="str">
            <v>F-2026-04-398</v>
          </cell>
          <cell r="B1701"/>
          <cell r="C1701" t="str">
            <v>FPRO-260429-0011</v>
          </cell>
          <cell r="D1701" t="str">
            <v>Firm plan 29.04</v>
          </cell>
          <cell r="E1701" t="str">
            <v>BDB-000161</v>
          </cell>
          <cell r="F1701" t="str">
            <v>PVN-001560</v>
          </cell>
          <cell r="G1701" t="str">
            <v>OrthoLite Ultra-Nike FOSSIL/17-0909TPX 0.085D 25+/-4 Asker C 1.1M 2M 4mm</v>
          </cell>
          <cell r="H1701">
            <v>1000</v>
          </cell>
          <cell r="I1701">
            <v>1000</v>
          </cell>
          <cell r="J1701">
            <v>0</v>
          </cell>
          <cell r="K1701">
            <v>1000</v>
          </cell>
          <cell r="L1701" t="str">
            <v>NIKE</v>
          </cell>
          <cell r="M1701" t="str">
            <v>Forecast</v>
          </cell>
          <cell r="N1701" t="str">
            <v>DIE CUT</v>
          </cell>
          <cell r="O1701">
            <v>1</v>
          </cell>
          <cell r="P1701">
            <v>46141</v>
          </cell>
          <cell r="Q1701">
            <v>46221</v>
          </cell>
          <cell r="R1701">
            <v>46218</v>
          </cell>
          <cell r="S1701">
            <v>80</v>
          </cell>
          <cell r="T1701">
            <v>4</v>
          </cell>
          <cell r="U1701">
            <v>35</v>
          </cell>
          <cell r="V1701">
            <v>29</v>
          </cell>
          <cell r="W1701" t="str">
            <v>0.085D</v>
          </cell>
          <cell r="X1701" t="str">
            <v>7-2026</v>
          </cell>
          <cell r="Y1701" t="str">
            <v>Week 24</v>
          </cell>
          <cell r="Z1701">
            <v>46181</v>
          </cell>
          <cell r="AA1701">
            <v>0</v>
          </cell>
          <cell r="AB1701">
            <v>2.8570000000000002E-2</v>
          </cell>
        </row>
        <row r="1702">
          <cell r="A1702" t="str">
            <v>F-2026-04-399</v>
          </cell>
          <cell r="B1702"/>
          <cell r="C1702" t="str">
            <v>FPRO-260429-0012</v>
          </cell>
          <cell r="D1702" t="str">
            <v>Firm plan 29.04</v>
          </cell>
          <cell r="E1702" t="str">
            <v>BDB-000161</v>
          </cell>
          <cell r="F1702" t="str">
            <v>PVN-001560</v>
          </cell>
          <cell r="G1702" t="str">
            <v>OrthoLite Ultra-Nike FOSSIL/17-0909TPX 0.085D 25+/-4 Asker C 1.1M 2M 4mm</v>
          </cell>
          <cell r="H1702">
            <v>400</v>
          </cell>
          <cell r="I1702">
            <v>400</v>
          </cell>
          <cell r="J1702">
            <v>0</v>
          </cell>
          <cell r="K1702">
            <v>400</v>
          </cell>
          <cell r="L1702" t="str">
            <v>NIKE</v>
          </cell>
          <cell r="M1702" t="str">
            <v>Forecast</v>
          </cell>
          <cell r="N1702" t="str">
            <v>DIE CUT</v>
          </cell>
          <cell r="O1702">
            <v>1</v>
          </cell>
          <cell r="P1702">
            <v>46141</v>
          </cell>
          <cell r="Q1702">
            <v>46228</v>
          </cell>
          <cell r="R1702">
            <v>46225</v>
          </cell>
          <cell r="S1702">
            <v>87</v>
          </cell>
          <cell r="T1702">
            <v>4</v>
          </cell>
          <cell r="U1702">
            <v>35</v>
          </cell>
          <cell r="V1702">
            <v>12</v>
          </cell>
          <cell r="W1702" t="str">
            <v>0.085D</v>
          </cell>
          <cell r="X1702" t="str">
            <v>7-2026</v>
          </cell>
          <cell r="Y1702" t="str">
            <v>Week 24</v>
          </cell>
          <cell r="Z1702">
            <v>46181</v>
          </cell>
          <cell r="AA1702">
            <v>34</v>
          </cell>
          <cell r="AB1702">
            <v>2.8570000000000002E-2</v>
          </cell>
        </row>
        <row r="1703">
          <cell r="A1703" t="str">
            <v>F-2026-04-400</v>
          </cell>
          <cell r="B1703"/>
          <cell r="C1703" t="str">
            <v>FPRO-260429-0013</v>
          </cell>
          <cell r="D1703" t="str">
            <v>Firm plan 29.04</v>
          </cell>
          <cell r="E1703" t="str">
            <v>BDB-000160</v>
          </cell>
          <cell r="F1703" t="str">
            <v>PVN-001562</v>
          </cell>
          <cell r="G1703" t="str">
            <v>OrthoLite Ultra-Nike LIME GREEN/14-0452TPX 0.085D 25+/-4 Asker C 1.1M 2M 4mm</v>
          </cell>
          <cell r="H1703">
            <v>1000</v>
          </cell>
          <cell r="I1703">
            <v>1000</v>
          </cell>
          <cell r="J1703">
            <v>0</v>
          </cell>
          <cell r="K1703">
            <v>1000</v>
          </cell>
          <cell r="L1703" t="str">
            <v>NIKE</v>
          </cell>
          <cell r="M1703" t="str">
            <v>Forecast</v>
          </cell>
          <cell r="N1703" t="str">
            <v>DIE CUT</v>
          </cell>
          <cell r="O1703">
            <v>1</v>
          </cell>
          <cell r="P1703">
            <v>46141</v>
          </cell>
          <cell r="Q1703">
            <v>46188</v>
          </cell>
          <cell r="R1703">
            <v>46185</v>
          </cell>
          <cell r="S1703">
            <v>47</v>
          </cell>
          <cell r="T1703">
            <v>4</v>
          </cell>
          <cell r="U1703">
            <v>35</v>
          </cell>
          <cell r="V1703">
            <v>29</v>
          </cell>
          <cell r="W1703" t="str">
            <v>0.085D</v>
          </cell>
          <cell r="X1703" t="str">
            <v>6-2026</v>
          </cell>
          <cell r="Y1703" t="str">
            <v>Week 24</v>
          </cell>
          <cell r="Z1703">
            <v>46181</v>
          </cell>
          <cell r="AA1703">
            <v>111</v>
          </cell>
          <cell r="AB1703">
            <v>2.8570000000000002E-2</v>
          </cell>
        </row>
        <row r="1704">
          <cell r="A1704" t="str">
            <v>F-2026-04-401</v>
          </cell>
          <cell r="B1704"/>
          <cell r="C1704" t="str">
            <v>FPRO-260429-0014</v>
          </cell>
          <cell r="D1704" t="str">
            <v>Firm plan 29.04</v>
          </cell>
          <cell r="E1704" t="str">
            <v>BDB-000160</v>
          </cell>
          <cell r="F1704" t="str">
            <v>PVN-001562</v>
          </cell>
          <cell r="G1704" t="str">
            <v>OrthoLite Ultra-Nike LIME GREEN/14-0452TPX 0.085D 25+/-4 Asker C 1.1M 2M 4mm</v>
          </cell>
          <cell r="H1704">
            <v>1000</v>
          </cell>
          <cell r="I1704">
            <v>1000</v>
          </cell>
          <cell r="J1704">
            <v>0</v>
          </cell>
          <cell r="K1704">
            <v>1000</v>
          </cell>
          <cell r="L1704" t="str">
            <v>NIKE</v>
          </cell>
          <cell r="M1704" t="str">
            <v>Forecast</v>
          </cell>
          <cell r="N1704" t="str">
            <v>DIE CUT</v>
          </cell>
          <cell r="O1704">
            <v>1</v>
          </cell>
          <cell r="P1704">
            <v>46141</v>
          </cell>
          <cell r="Q1704">
            <v>46195</v>
          </cell>
          <cell r="R1704">
            <v>46192</v>
          </cell>
          <cell r="S1704">
            <v>54</v>
          </cell>
          <cell r="T1704">
            <v>4</v>
          </cell>
          <cell r="U1704">
            <v>35</v>
          </cell>
          <cell r="V1704">
            <v>29</v>
          </cell>
          <cell r="W1704" t="str">
            <v>0.085D</v>
          </cell>
          <cell r="X1704" t="str">
            <v>6-2026</v>
          </cell>
          <cell r="Y1704" t="str">
            <v>Week 24</v>
          </cell>
          <cell r="Z1704">
            <v>46181</v>
          </cell>
          <cell r="AA1704">
            <v>11</v>
          </cell>
          <cell r="AB1704">
            <v>2.8570000000000002E-2</v>
          </cell>
        </row>
        <row r="1705">
          <cell r="A1705" t="str">
            <v>F-2026-04-402</v>
          </cell>
          <cell r="B1705"/>
          <cell r="C1705" t="str">
            <v>FPRO-260429-0015</v>
          </cell>
          <cell r="D1705" t="str">
            <v>Firm plan 29.04</v>
          </cell>
          <cell r="E1705" t="str">
            <v>BDB-000160</v>
          </cell>
          <cell r="F1705" t="str">
            <v>PVN-001562</v>
          </cell>
          <cell r="G1705" t="str">
            <v>OrthoLite Ultra-Nike LIME GREEN/14-0452TPX 0.085D 25+/-4 Asker C 1.1M 2M 4mm</v>
          </cell>
          <cell r="H1705">
            <v>1000</v>
          </cell>
          <cell r="I1705">
            <v>1000</v>
          </cell>
          <cell r="J1705">
            <v>0</v>
          </cell>
          <cell r="K1705">
            <v>1000</v>
          </cell>
          <cell r="L1705" t="str">
            <v>NIKE</v>
          </cell>
          <cell r="M1705" t="str">
            <v>Forecast</v>
          </cell>
          <cell r="N1705" t="str">
            <v>DIE CUT</v>
          </cell>
          <cell r="O1705">
            <v>1</v>
          </cell>
          <cell r="P1705">
            <v>46141</v>
          </cell>
          <cell r="Q1705">
            <v>46202</v>
          </cell>
          <cell r="R1705">
            <v>46199</v>
          </cell>
          <cell r="S1705">
            <v>61</v>
          </cell>
          <cell r="T1705">
            <v>4</v>
          </cell>
          <cell r="U1705">
            <v>35</v>
          </cell>
          <cell r="V1705">
            <v>29</v>
          </cell>
          <cell r="W1705" t="str">
            <v>0.085D</v>
          </cell>
          <cell r="X1705" t="str">
            <v>6-2026</v>
          </cell>
          <cell r="Y1705" t="str">
            <v>Week 24</v>
          </cell>
          <cell r="Z1705">
            <v>46181</v>
          </cell>
          <cell r="AA1705">
            <v>7</v>
          </cell>
          <cell r="AB1705">
            <v>2.8570000000000002E-2</v>
          </cell>
        </row>
        <row r="1706">
          <cell r="A1706" t="str">
            <v>F-2026-04-403</v>
          </cell>
          <cell r="B1706"/>
          <cell r="C1706" t="str">
            <v>FPRO-260429-0016</v>
          </cell>
          <cell r="D1706" t="str">
            <v>Firm plan 29.04</v>
          </cell>
          <cell r="E1706" t="str">
            <v>BDB-000160</v>
          </cell>
          <cell r="F1706" t="str">
            <v>PVN-001562</v>
          </cell>
          <cell r="G1706" t="str">
            <v>OrthoLite Ultra-Nike LIME GREEN/14-0452TPX 0.085D 25+/-4 Asker C 1.1M 2M 4mm</v>
          </cell>
          <cell r="H1706">
            <v>1000</v>
          </cell>
          <cell r="I1706">
            <v>1000</v>
          </cell>
          <cell r="J1706">
            <v>0</v>
          </cell>
          <cell r="K1706">
            <v>1000</v>
          </cell>
          <cell r="L1706" t="str">
            <v>NIKE</v>
          </cell>
          <cell r="M1706" t="str">
            <v>Forecast</v>
          </cell>
          <cell r="N1706" t="str">
            <v>DIE CUT</v>
          </cell>
          <cell r="O1706">
            <v>1</v>
          </cell>
          <cell r="P1706">
            <v>46141</v>
          </cell>
          <cell r="Q1706">
            <v>46209</v>
          </cell>
          <cell r="R1706">
            <v>46206</v>
          </cell>
          <cell r="S1706">
            <v>68</v>
          </cell>
          <cell r="T1706">
            <v>4</v>
          </cell>
          <cell r="U1706">
            <v>35</v>
          </cell>
          <cell r="V1706">
            <v>29</v>
          </cell>
          <cell r="W1706" t="str">
            <v>0.085D</v>
          </cell>
          <cell r="X1706" t="str">
            <v>7-2026</v>
          </cell>
          <cell r="Y1706" t="str">
            <v>Week 24</v>
          </cell>
          <cell r="Z1706">
            <v>46181</v>
          </cell>
          <cell r="AA1706">
            <v>133</v>
          </cell>
          <cell r="AB1706">
            <v>2.8570000000000002E-2</v>
          </cell>
        </row>
        <row r="1707">
          <cell r="A1707" t="str">
            <v>F-2026-04-404</v>
          </cell>
          <cell r="B1707"/>
          <cell r="C1707" t="str">
            <v>FPRO-260429-0017</v>
          </cell>
          <cell r="D1707" t="str">
            <v>Firm plan 29.04</v>
          </cell>
          <cell r="E1707" t="str">
            <v>BDB-000160</v>
          </cell>
          <cell r="F1707" t="str">
            <v>PVN-001562</v>
          </cell>
          <cell r="G1707" t="str">
            <v>OrthoLite Ultra-Nike LIME GREEN/14-0452TPX 0.085D 25+/-4 Asker C 1.1M 2M 4mm</v>
          </cell>
          <cell r="H1707">
            <v>1000</v>
          </cell>
          <cell r="I1707">
            <v>1000</v>
          </cell>
          <cell r="J1707">
            <v>0</v>
          </cell>
          <cell r="K1707">
            <v>1000</v>
          </cell>
          <cell r="L1707" t="str">
            <v>NIKE</v>
          </cell>
          <cell r="M1707" t="str">
            <v>Forecast</v>
          </cell>
          <cell r="N1707" t="str">
            <v>DIE CUT</v>
          </cell>
          <cell r="O1707">
            <v>1</v>
          </cell>
          <cell r="P1707">
            <v>46141</v>
          </cell>
          <cell r="Q1707">
            <v>46216</v>
          </cell>
          <cell r="R1707">
            <v>46213</v>
          </cell>
          <cell r="S1707">
            <v>75</v>
          </cell>
          <cell r="T1707">
            <v>4</v>
          </cell>
          <cell r="U1707">
            <v>35</v>
          </cell>
          <cell r="V1707">
            <v>29</v>
          </cell>
          <cell r="W1707" t="str">
            <v>0.085D</v>
          </cell>
          <cell r="X1707" t="str">
            <v>7-2026</v>
          </cell>
          <cell r="Y1707" t="str">
            <v>Week 24</v>
          </cell>
          <cell r="Z1707">
            <v>46181</v>
          </cell>
          <cell r="AA1707">
            <v>45</v>
          </cell>
          <cell r="AB1707">
            <v>2.8570000000000002E-2</v>
          </cell>
        </row>
        <row r="1708">
          <cell r="A1708" t="str">
            <v>F-2026-04-405</v>
          </cell>
          <cell r="B1708"/>
          <cell r="C1708" t="str">
            <v>FPRO-260429-0018</v>
          </cell>
          <cell r="D1708" t="str">
            <v>Firm plan 29.04</v>
          </cell>
          <cell r="E1708" t="str">
            <v>BDB-000160</v>
          </cell>
          <cell r="F1708" t="str">
            <v>PVN-001562</v>
          </cell>
          <cell r="G1708" t="str">
            <v>OrthoLite Ultra-Nike LIME GREEN/14-0452TPX 0.085D 25+/-4 Asker C 1.1M 2M 4mm</v>
          </cell>
          <cell r="H1708">
            <v>1000</v>
          </cell>
          <cell r="I1708">
            <v>1000</v>
          </cell>
          <cell r="J1708">
            <v>0</v>
          </cell>
          <cell r="K1708">
            <v>1000</v>
          </cell>
          <cell r="L1708" t="str">
            <v>NIKE</v>
          </cell>
          <cell r="M1708" t="str">
            <v>Forecast</v>
          </cell>
          <cell r="N1708" t="str">
            <v>DIE CUT</v>
          </cell>
          <cell r="O1708">
            <v>1</v>
          </cell>
          <cell r="P1708">
            <v>46141</v>
          </cell>
          <cell r="Q1708">
            <v>46223</v>
          </cell>
          <cell r="R1708">
            <v>46220</v>
          </cell>
          <cell r="S1708">
            <v>82</v>
          </cell>
          <cell r="T1708">
            <v>4</v>
          </cell>
          <cell r="U1708">
            <v>35</v>
          </cell>
          <cell r="V1708">
            <v>29</v>
          </cell>
          <cell r="W1708" t="str">
            <v>0.085D</v>
          </cell>
          <cell r="X1708" t="str">
            <v>7-2026</v>
          </cell>
          <cell r="Y1708" t="str">
            <v>Week 24</v>
          </cell>
          <cell r="Z1708">
            <v>46181</v>
          </cell>
          <cell r="AA1708">
            <v>87</v>
          </cell>
          <cell r="AB1708">
            <v>2.8570000000000002E-2</v>
          </cell>
        </row>
        <row r="1709">
          <cell r="A1709" t="str">
            <v>F-2026-04-406</v>
          </cell>
          <cell r="B1709"/>
          <cell r="C1709" t="str">
            <v>FPRO-260429-0019</v>
          </cell>
          <cell r="D1709" t="str">
            <v>Firm plan 29.04</v>
          </cell>
          <cell r="E1709" t="str">
            <v>BDB-000160</v>
          </cell>
          <cell r="F1709" t="str">
            <v>PVN-001562</v>
          </cell>
          <cell r="G1709" t="str">
            <v>OrthoLite Ultra-Nike LIME GREEN/14-0452TPX 0.085D 25+/-4 Asker C 1.1M 2M 4mm</v>
          </cell>
          <cell r="H1709">
            <v>1000</v>
          </cell>
          <cell r="I1709">
            <v>1000</v>
          </cell>
          <cell r="J1709">
            <v>0</v>
          </cell>
          <cell r="K1709">
            <v>1000</v>
          </cell>
          <cell r="L1709" t="str">
            <v>NIKE</v>
          </cell>
          <cell r="M1709" t="str">
            <v>Forecast</v>
          </cell>
          <cell r="N1709" t="str">
            <v>DIE CUT</v>
          </cell>
          <cell r="O1709">
            <v>1</v>
          </cell>
          <cell r="P1709">
            <v>46141</v>
          </cell>
          <cell r="Q1709">
            <v>46230</v>
          </cell>
          <cell r="R1709">
            <v>46227</v>
          </cell>
          <cell r="S1709">
            <v>89</v>
          </cell>
          <cell r="T1709">
            <v>4</v>
          </cell>
          <cell r="U1709">
            <v>35</v>
          </cell>
          <cell r="V1709">
            <v>29</v>
          </cell>
          <cell r="W1709" t="str">
            <v>0.085D</v>
          </cell>
          <cell r="X1709" t="str">
            <v>7-2026</v>
          </cell>
          <cell r="Y1709" t="str">
            <v>Week 24</v>
          </cell>
          <cell r="Z1709">
            <v>46181</v>
          </cell>
          <cell r="AA1709">
            <v>16</v>
          </cell>
          <cell r="AB1709">
            <v>2.8570000000000002E-2</v>
          </cell>
        </row>
        <row r="1710">
          <cell r="A1710" t="str">
            <v>F-2026-04-407</v>
          </cell>
          <cell r="B1710"/>
          <cell r="C1710" t="str">
            <v>FPRO-260429-0020</v>
          </cell>
          <cell r="D1710" t="str">
            <v>Firm plan 29.04</v>
          </cell>
          <cell r="E1710" t="str">
            <v>BDB-000160</v>
          </cell>
          <cell r="F1710" t="str">
            <v>PVN-001562</v>
          </cell>
          <cell r="G1710" t="str">
            <v>OrthoLite Ultra-Nike LIME GREEN/14-0452TPX 0.085D 25+/-4 Asker C 1.1M 2M 4mm</v>
          </cell>
          <cell r="H1710">
            <v>1000</v>
          </cell>
          <cell r="I1710">
            <v>1000</v>
          </cell>
          <cell r="J1710">
            <v>0</v>
          </cell>
          <cell r="K1710">
            <v>1000</v>
          </cell>
          <cell r="L1710" t="str">
            <v>NIKE</v>
          </cell>
          <cell r="M1710" t="str">
            <v>Forecast</v>
          </cell>
          <cell r="N1710" t="str">
            <v>DIE CUT</v>
          </cell>
          <cell r="O1710">
            <v>1</v>
          </cell>
          <cell r="P1710">
            <v>46141</v>
          </cell>
          <cell r="Q1710">
            <v>46170</v>
          </cell>
          <cell r="R1710">
            <v>46167</v>
          </cell>
          <cell r="S1710">
            <v>29</v>
          </cell>
          <cell r="T1710">
            <v>4</v>
          </cell>
          <cell r="U1710">
            <v>35</v>
          </cell>
          <cell r="V1710">
            <v>29</v>
          </cell>
          <cell r="W1710" t="str">
            <v>0.085D</v>
          </cell>
          <cell r="X1710" t="str">
            <v>5-2026</v>
          </cell>
          <cell r="Y1710" t="str">
            <v>Week 21</v>
          </cell>
          <cell r="Z1710">
            <v>46160</v>
          </cell>
          <cell r="AA1710">
            <v>3</v>
          </cell>
          <cell r="AB1710">
            <v>2.8570000000000002E-2</v>
          </cell>
        </row>
        <row r="1711">
          <cell r="A1711" t="str">
            <v>F-2026-04-408</v>
          </cell>
          <cell r="B1711"/>
          <cell r="C1711" t="str">
            <v>FPRO-260429-0021</v>
          </cell>
          <cell r="D1711" t="str">
            <v>Firm plan 29.04</v>
          </cell>
          <cell r="E1711" t="str">
            <v>BDB-000160</v>
          </cell>
          <cell r="F1711" t="str">
            <v>PVN-001562</v>
          </cell>
          <cell r="G1711" t="str">
            <v>OrthoLite Ultra-Nike LIME GREEN/14-0452TPX 0.085D 25+/-4 Asker C 1.1M 2M 4mm</v>
          </cell>
          <cell r="H1711">
            <v>300</v>
          </cell>
          <cell r="I1711">
            <v>300</v>
          </cell>
          <cell r="J1711">
            <v>0</v>
          </cell>
          <cell r="K1711">
            <v>300</v>
          </cell>
          <cell r="L1711" t="str">
            <v>NIKE</v>
          </cell>
          <cell r="M1711" t="str">
            <v>Forecast</v>
          </cell>
          <cell r="N1711" t="str">
            <v>DIE CUT</v>
          </cell>
          <cell r="O1711">
            <v>1</v>
          </cell>
          <cell r="P1711">
            <v>46141</v>
          </cell>
          <cell r="Q1711">
            <v>46244</v>
          </cell>
          <cell r="R1711">
            <v>46241</v>
          </cell>
          <cell r="S1711">
            <v>103</v>
          </cell>
          <cell r="T1711">
            <v>4</v>
          </cell>
          <cell r="U1711">
            <v>35</v>
          </cell>
          <cell r="V1711">
            <v>9</v>
          </cell>
          <cell r="W1711" t="str">
            <v>0.085D</v>
          </cell>
          <cell r="X1711" t="str">
            <v>8-2026</v>
          </cell>
          <cell r="Y1711" t="str">
            <v>Week 24</v>
          </cell>
          <cell r="Z1711">
            <v>46181</v>
          </cell>
          <cell r="AA1711">
            <v>93</v>
          </cell>
          <cell r="AB1711">
            <v>2.8570000000000002E-2</v>
          </cell>
        </row>
        <row r="1712">
          <cell r="A1712" t="str">
            <v>F-2026-04-409-1</v>
          </cell>
          <cell r="B1712"/>
          <cell r="C1712" t="str">
            <v>FPRO-260429-0022</v>
          </cell>
          <cell r="D1712" t="str">
            <v>Firm plan 29.04</v>
          </cell>
          <cell r="E1712" t="str">
            <v>BDB-000131</v>
          </cell>
          <cell r="F1712" t="str">
            <v>PVN-001565</v>
          </cell>
          <cell r="G1712" t="str">
            <v>OrthoLite Regular-Nike AIR BLUE/16-4134TPX 0.11D 15+/-4 Asker C 1.1M 2M 4mm</v>
          </cell>
          <cell r="H1712">
            <v>1100</v>
          </cell>
          <cell r="I1712">
            <v>600</v>
          </cell>
          <cell r="J1712">
            <v>0</v>
          </cell>
          <cell r="K1712">
            <v>600</v>
          </cell>
          <cell r="L1712" t="str">
            <v>NIKE</v>
          </cell>
          <cell r="M1712" t="str">
            <v>Forecast</v>
          </cell>
          <cell r="N1712" t="str">
            <v>DIE CUT</v>
          </cell>
          <cell r="O1712">
            <v>1</v>
          </cell>
          <cell r="P1712">
            <v>46141</v>
          </cell>
          <cell r="Q1712">
            <v>46170</v>
          </cell>
          <cell r="R1712">
            <v>46167</v>
          </cell>
          <cell r="S1712">
            <v>29</v>
          </cell>
          <cell r="T1712">
            <v>4</v>
          </cell>
          <cell r="U1712">
            <v>35</v>
          </cell>
          <cell r="V1712">
            <v>18</v>
          </cell>
          <cell r="W1712" t="str">
            <v>0.11D</v>
          </cell>
          <cell r="X1712" t="str">
            <v>5-2026</v>
          </cell>
          <cell r="Y1712" t="str">
            <v>Week 21</v>
          </cell>
          <cell r="Z1712">
            <v>46160</v>
          </cell>
          <cell r="AA1712">
            <v>96</v>
          </cell>
          <cell r="AB1712">
            <v>2.8570000000000002E-2</v>
          </cell>
        </row>
        <row r="1713">
          <cell r="A1713" t="str">
            <v>F-2026-04-409-2</v>
          </cell>
          <cell r="B1713"/>
          <cell r="C1713" t="str">
            <v>FPRO-260429-0022</v>
          </cell>
          <cell r="D1713" t="str">
            <v>Firm plan 29.04</v>
          </cell>
          <cell r="E1713" t="str">
            <v>BDB-000131</v>
          </cell>
          <cell r="F1713" t="str">
            <v>PVN-001565</v>
          </cell>
          <cell r="G1713" t="str">
            <v>OrthoLite Regular-Nike AIR BLUE/16-4134TPX 0.11D 15+/-4 Asker C 1.1M 2M 4mm</v>
          </cell>
          <cell r="H1713">
            <v>1100</v>
          </cell>
          <cell r="I1713">
            <v>500</v>
          </cell>
          <cell r="J1713">
            <v>0</v>
          </cell>
          <cell r="K1713">
            <v>500</v>
          </cell>
          <cell r="L1713" t="str">
            <v>NIKE</v>
          </cell>
          <cell r="M1713" t="str">
            <v>Forecast</v>
          </cell>
          <cell r="N1713" t="str">
            <v>DIE CUT</v>
          </cell>
          <cell r="O1713">
            <v>1</v>
          </cell>
          <cell r="P1713">
            <v>46141</v>
          </cell>
          <cell r="Q1713">
            <v>46175</v>
          </cell>
          <cell r="R1713">
            <v>46172</v>
          </cell>
          <cell r="S1713">
            <v>34</v>
          </cell>
          <cell r="T1713">
            <v>4</v>
          </cell>
          <cell r="U1713">
            <v>35</v>
          </cell>
          <cell r="V1713">
            <v>15</v>
          </cell>
          <cell r="W1713" t="str">
            <v>0.11D</v>
          </cell>
          <cell r="X1713" t="str">
            <v>6-2026</v>
          </cell>
          <cell r="Y1713" t="str">
            <v>Week 22</v>
          </cell>
          <cell r="Z1713">
            <v>46167</v>
          </cell>
          <cell r="AA1713">
            <v>127</v>
          </cell>
          <cell r="AB1713">
            <v>2.8570000000000002E-2</v>
          </cell>
        </row>
        <row r="1714">
          <cell r="A1714" t="str">
            <v>F-2026-04-410</v>
          </cell>
          <cell r="B1714"/>
          <cell r="C1714" t="str">
            <v>FPRO-260429-0023</v>
          </cell>
          <cell r="D1714" t="str">
            <v>Firm plan 29.04</v>
          </cell>
          <cell r="E1714" t="str">
            <v>BDB-000131</v>
          </cell>
          <cell r="F1714" t="str">
            <v>PVN-001565</v>
          </cell>
          <cell r="G1714" t="str">
            <v>OrthoLite Regular-Nike AIR BLUE/16-4134TPX 0.11D 15+/-4 Asker C 1.1M 2M 4mm</v>
          </cell>
          <cell r="H1714">
            <v>1000</v>
          </cell>
          <cell r="I1714">
            <v>1000</v>
          </cell>
          <cell r="J1714">
            <v>0</v>
          </cell>
          <cell r="K1714">
            <v>1000</v>
          </cell>
          <cell r="L1714" t="str">
            <v>NIKE</v>
          </cell>
          <cell r="M1714" t="str">
            <v>Forecast</v>
          </cell>
          <cell r="N1714" t="str">
            <v>DIE CUT</v>
          </cell>
          <cell r="O1714">
            <v>1</v>
          </cell>
          <cell r="P1714">
            <v>46141</v>
          </cell>
          <cell r="Q1714">
            <v>46178</v>
          </cell>
          <cell r="R1714">
            <v>46175</v>
          </cell>
          <cell r="S1714">
            <v>37</v>
          </cell>
          <cell r="T1714">
            <v>4</v>
          </cell>
          <cell r="U1714">
            <v>35</v>
          </cell>
          <cell r="V1714">
            <v>29</v>
          </cell>
          <cell r="W1714" t="str">
            <v>0.11D</v>
          </cell>
          <cell r="X1714" t="str">
            <v>6-2026</v>
          </cell>
          <cell r="Y1714" t="str">
            <v>Week 22</v>
          </cell>
          <cell r="Z1714">
            <v>46167</v>
          </cell>
          <cell r="AA1714">
            <v>127</v>
          </cell>
          <cell r="AB1714">
            <v>2.8570000000000002E-2</v>
          </cell>
        </row>
        <row r="1715">
          <cell r="A1715" t="str">
            <v>F-2026-04-411</v>
          </cell>
          <cell r="B1715"/>
          <cell r="C1715" t="str">
            <v>FPRO-260429-0024</v>
          </cell>
          <cell r="D1715" t="str">
            <v>Firm plan 29.04</v>
          </cell>
          <cell r="E1715" t="str">
            <v>BDB-000131</v>
          </cell>
          <cell r="F1715" t="str">
            <v>PVN-001565</v>
          </cell>
          <cell r="G1715" t="str">
            <v>OrthoLite Regular-Nike AIR BLUE/16-4134TPX 0.11D 15+/-4 Asker C 1.1M 2M 4mm</v>
          </cell>
          <cell r="H1715">
            <v>1000</v>
          </cell>
          <cell r="I1715">
            <v>1000</v>
          </cell>
          <cell r="J1715">
            <v>0</v>
          </cell>
          <cell r="K1715">
            <v>1000</v>
          </cell>
          <cell r="L1715" t="str">
            <v>NIKE</v>
          </cell>
          <cell r="M1715" t="str">
            <v>Forecast</v>
          </cell>
          <cell r="N1715" t="str">
            <v>DIE CUT</v>
          </cell>
          <cell r="O1715">
            <v>1</v>
          </cell>
          <cell r="P1715">
            <v>46141</v>
          </cell>
          <cell r="Q1715">
            <v>46185</v>
          </cell>
          <cell r="R1715">
            <v>46182</v>
          </cell>
          <cell r="S1715">
            <v>44</v>
          </cell>
          <cell r="T1715">
            <v>4</v>
          </cell>
          <cell r="U1715">
            <v>35</v>
          </cell>
          <cell r="V1715">
            <v>29</v>
          </cell>
          <cell r="W1715" t="str">
            <v>0.11D</v>
          </cell>
          <cell r="X1715" t="str">
            <v>6-2026</v>
          </cell>
          <cell r="Y1715" t="str">
            <v>Week 23</v>
          </cell>
          <cell r="Z1715">
            <v>46174</v>
          </cell>
          <cell r="AA1715">
            <v>27</v>
          </cell>
          <cell r="AB1715">
            <v>2.8570000000000002E-2</v>
          </cell>
        </row>
        <row r="1716">
          <cell r="A1716" t="str">
            <v>F-2026-04-412</v>
          </cell>
          <cell r="B1716"/>
          <cell r="C1716" t="str">
            <v>FPRO-260429-0025</v>
          </cell>
          <cell r="D1716" t="str">
            <v>Firm plan 29.04</v>
          </cell>
          <cell r="E1716" t="str">
            <v>BDB-000162</v>
          </cell>
          <cell r="F1716" t="str">
            <v>PVN-001566</v>
          </cell>
          <cell r="G1716" t="str">
            <v>OrthoLite Ultra-Nike SEEDPEARL/12-0703TPX 0.085D 25+/-4 Asker C 1.1M 2M 4mm</v>
          </cell>
          <cell r="H1716">
            <v>2000</v>
          </cell>
          <cell r="I1716">
            <v>2000</v>
          </cell>
          <cell r="J1716">
            <v>0</v>
          </cell>
          <cell r="K1716">
            <v>2000</v>
          </cell>
          <cell r="L1716" t="str">
            <v>NIKE</v>
          </cell>
          <cell r="M1716" t="str">
            <v>Forecast</v>
          </cell>
          <cell r="N1716" t="str">
            <v>DIE CUT</v>
          </cell>
          <cell r="O1716">
            <v>1</v>
          </cell>
          <cell r="P1716">
            <v>46141</v>
          </cell>
          <cell r="Q1716">
            <v>46181</v>
          </cell>
          <cell r="R1716">
            <v>46178</v>
          </cell>
          <cell r="S1716">
            <v>40</v>
          </cell>
          <cell r="T1716">
            <v>4</v>
          </cell>
          <cell r="U1716">
            <v>35</v>
          </cell>
          <cell r="V1716">
            <v>58</v>
          </cell>
          <cell r="W1716" t="str">
            <v>0.085D</v>
          </cell>
          <cell r="X1716" t="str">
            <v>6-2026</v>
          </cell>
          <cell r="Y1716" t="str">
            <v>Week 23</v>
          </cell>
          <cell r="Z1716">
            <v>46174</v>
          </cell>
          <cell r="AA1716">
            <v>33</v>
          </cell>
          <cell r="AB1716">
            <v>2.8570000000000002E-2</v>
          </cell>
        </row>
        <row r="1717">
          <cell r="A1717" t="str">
            <v>F-2026-04-413</v>
          </cell>
          <cell r="B1717"/>
          <cell r="C1717" t="str">
            <v>FPRO-260429-0026</v>
          </cell>
          <cell r="D1717" t="str">
            <v>Firm plan 29.04</v>
          </cell>
          <cell r="E1717" t="str">
            <v>BDB-000162</v>
          </cell>
          <cell r="F1717" t="str">
            <v>PVN-001566</v>
          </cell>
          <cell r="G1717" t="str">
            <v>OrthoLite Ultra-Nike SEEDPEARL/12-0703TPX 0.085D 25+/-4 Asker C 1.1M 2M 4mm</v>
          </cell>
          <cell r="H1717">
            <v>2000</v>
          </cell>
          <cell r="I1717">
            <v>2000</v>
          </cell>
          <cell r="J1717">
            <v>0</v>
          </cell>
          <cell r="K1717">
            <v>2000</v>
          </cell>
          <cell r="L1717" t="str">
            <v>NIKE</v>
          </cell>
          <cell r="M1717" t="str">
            <v>Forecast</v>
          </cell>
          <cell r="N1717" t="str">
            <v>DIE CUT</v>
          </cell>
          <cell r="O1717">
            <v>1</v>
          </cell>
          <cell r="P1717">
            <v>46141</v>
          </cell>
          <cell r="Q1717">
            <v>46218</v>
          </cell>
          <cell r="R1717">
            <v>46215</v>
          </cell>
          <cell r="S1717">
            <v>77</v>
          </cell>
          <cell r="T1717">
            <v>4</v>
          </cell>
          <cell r="U1717">
            <v>35</v>
          </cell>
          <cell r="V1717">
            <v>58</v>
          </cell>
          <cell r="W1717" t="str">
            <v>0.085D</v>
          </cell>
          <cell r="X1717" t="str">
            <v>7-2026</v>
          </cell>
          <cell r="Y1717" t="str">
            <v>Week 24</v>
          </cell>
          <cell r="Z1717">
            <v>46181</v>
          </cell>
          <cell r="AA1717">
            <v>25</v>
          </cell>
          <cell r="AB1717">
            <v>2.8570000000000002E-2</v>
          </cell>
        </row>
        <row r="1718">
          <cell r="A1718" t="str">
            <v>F-2026-04-414</v>
          </cell>
          <cell r="B1718"/>
          <cell r="C1718" t="str">
            <v>FPRO-260429-0027</v>
          </cell>
          <cell r="D1718" t="str">
            <v>Firm plan 29.04</v>
          </cell>
          <cell r="E1718" t="str">
            <v>BDB-000162</v>
          </cell>
          <cell r="F1718" t="str">
            <v>PVN-001566</v>
          </cell>
          <cell r="G1718" t="str">
            <v>OrthoLite Ultra-Nike SEEDPEARL/12-0703TPX 0.085D 25+/-4 Asker C 1.1M 2M 4mm</v>
          </cell>
          <cell r="H1718">
            <v>2000</v>
          </cell>
          <cell r="I1718">
            <v>2000</v>
          </cell>
          <cell r="J1718">
            <v>0</v>
          </cell>
          <cell r="K1718">
            <v>2000</v>
          </cell>
          <cell r="L1718" t="str">
            <v>NIKE</v>
          </cell>
          <cell r="M1718" t="str">
            <v>Forecast</v>
          </cell>
          <cell r="N1718" t="str">
            <v>DIE CUT</v>
          </cell>
          <cell r="O1718">
            <v>1</v>
          </cell>
          <cell r="P1718">
            <v>46141</v>
          </cell>
          <cell r="Q1718">
            <v>46183</v>
          </cell>
          <cell r="R1718">
            <v>46180</v>
          </cell>
          <cell r="S1718">
            <v>42</v>
          </cell>
          <cell r="T1718">
            <v>4</v>
          </cell>
          <cell r="U1718">
            <v>35</v>
          </cell>
          <cell r="V1718">
            <v>58</v>
          </cell>
          <cell r="W1718" t="str">
            <v>0.085D</v>
          </cell>
          <cell r="X1718" t="str">
            <v>6-2026</v>
          </cell>
          <cell r="Y1718" t="str">
            <v>Week 23</v>
          </cell>
          <cell r="Z1718">
            <v>46174</v>
          </cell>
          <cell r="AA1718">
            <v>438</v>
          </cell>
          <cell r="AB1718">
            <v>2.8570000000000002E-2</v>
          </cell>
        </row>
        <row r="1719">
          <cell r="A1719" t="str">
            <v>F-2026-04-415</v>
          </cell>
          <cell r="B1719"/>
          <cell r="C1719" t="str">
            <v>FPRO-260429-0028</v>
          </cell>
          <cell r="D1719" t="str">
            <v>Firm plan 29.04</v>
          </cell>
          <cell r="E1719" t="str">
            <v>BDB-000162</v>
          </cell>
          <cell r="F1719" t="str">
            <v>PVN-001566</v>
          </cell>
          <cell r="G1719" t="str">
            <v>OrthoLite Ultra-Nike SEEDPEARL/12-0703TPX 0.085D 25+/-4 Asker C 1.1M 2M 4mm</v>
          </cell>
          <cell r="H1719">
            <v>2000</v>
          </cell>
          <cell r="I1719">
            <v>2000</v>
          </cell>
          <cell r="J1719">
            <v>0</v>
          </cell>
          <cell r="K1719">
            <v>2000</v>
          </cell>
          <cell r="L1719" t="str">
            <v>NIKE</v>
          </cell>
          <cell r="M1719" t="str">
            <v>Forecast</v>
          </cell>
          <cell r="N1719" t="str">
            <v>DIE CUT</v>
          </cell>
          <cell r="O1719">
            <v>1</v>
          </cell>
          <cell r="P1719">
            <v>46141</v>
          </cell>
          <cell r="Q1719">
            <v>46190</v>
          </cell>
          <cell r="R1719">
            <v>46187</v>
          </cell>
          <cell r="S1719">
            <v>49</v>
          </cell>
          <cell r="T1719">
            <v>4</v>
          </cell>
          <cell r="U1719">
            <v>35</v>
          </cell>
          <cell r="V1719">
            <v>58</v>
          </cell>
          <cell r="W1719" t="str">
            <v>0.085D</v>
          </cell>
          <cell r="X1719" t="str">
            <v>6-2026</v>
          </cell>
          <cell r="Y1719" t="str">
            <v>Week 24</v>
          </cell>
          <cell r="Z1719">
            <v>46181</v>
          </cell>
          <cell r="AA1719">
            <v>438</v>
          </cell>
          <cell r="AB1719">
            <v>2.8570000000000002E-2</v>
          </cell>
        </row>
        <row r="1720">
          <cell r="A1720" t="str">
            <v>F-2026-04-416</v>
          </cell>
          <cell r="B1720"/>
          <cell r="C1720" t="str">
            <v>FPRO-260429-0029</v>
          </cell>
          <cell r="D1720" t="str">
            <v>Firm plan 29.04</v>
          </cell>
          <cell r="E1720" t="str">
            <v>BDB-000162</v>
          </cell>
          <cell r="F1720" t="str">
            <v>PVN-001566</v>
          </cell>
          <cell r="G1720" t="str">
            <v>OrthoLite Ultra-Nike SEEDPEARL/12-0703TPX 0.085D 25+/-4 Asker C 1.1M 2M 4mm</v>
          </cell>
          <cell r="H1720">
            <v>2000</v>
          </cell>
          <cell r="I1720">
            <v>2000</v>
          </cell>
          <cell r="J1720">
            <v>0</v>
          </cell>
          <cell r="K1720">
            <v>2000</v>
          </cell>
          <cell r="L1720" t="str">
            <v>NIKE</v>
          </cell>
          <cell r="M1720" t="str">
            <v>Forecast</v>
          </cell>
          <cell r="N1720" t="str">
            <v>DIE CUT</v>
          </cell>
          <cell r="O1720">
            <v>1</v>
          </cell>
          <cell r="P1720">
            <v>46141</v>
          </cell>
          <cell r="Q1720">
            <v>46197</v>
          </cell>
          <cell r="R1720">
            <v>46194</v>
          </cell>
          <cell r="S1720">
            <v>56</v>
          </cell>
          <cell r="T1720">
            <v>4</v>
          </cell>
          <cell r="U1720">
            <v>35</v>
          </cell>
          <cell r="V1720">
            <v>58</v>
          </cell>
          <cell r="W1720" t="str">
            <v>0.085D</v>
          </cell>
          <cell r="X1720" t="str">
            <v>6-2026</v>
          </cell>
          <cell r="Y1720" t="str">
            <v>Week 24</v>
          </cell>
          <cell r="Z1720">
            <v>46181</v>
          </cell>
          <cell r="AA1720">
            <v>438</v>
          </cell>
          <cell r="AB1720">
            <v>2.8570000000000002E-2</v>
          </cell>
        </row>
        <row r="1721">
          <cell r="A1721" t="str">
            <v>F-2026-04-417</v>
          </cell>
          <cell r="B1721"/>
          <cell r="C1721" t="str">
            <v>FPRO-260429-0030</v>
          </cell>
          <cell r="D1721" t="str">
            <v>Firm plan 29.04</v>
          </cell>
          <cell r="E1721" t="str">
            <v>BDB-000162</v>
          </cell>
          <cell r="F1721" t="str">
            <v>PVN-001566</v>
          </cell>
          <cell r="G1721" t="str">
            <v>OrthoLite Ultra-Nike SEEDPEARL/12-0703TPX 0.085D 25+/-4 Asker C 1.1M 2M 4mm</v>
          </cell>
          <cell r="H1721">
            <v>2000</v>
          </cell>
          <cell r="I1721">
            <v>2000</v>
          </cell>
          <cell r="J1721">
            <v>0</v>
          </cell>
          <cell r="K1721">
            <v>2000</v>
          </cell>
          <cell r="L1721" t="str">
            <v>NIKE</v>
          </cell>
          <cell r="M1721" t="str">
            <v>Forecast</v>
          </cell>
          <cell r="N1721" t="str">
            <v>DIE CUT</v>
          </cell>
          <cell r="O1721">
            <v>1</v>
          </cell>
          <cell r="P1721">
            <v>46141</v>
          </cell>
          <cell r="Q1721">
            <v>46204</v>
          </cell>
          <cell r="R1721">
            <v>46201</v>
          </cell>
          <cell r="S1721">
            <v>63</v>
          </cell>
          <cell r="T1721">
            <v>4</v>
          </cell>
          <cell r="U1721">
            <v>35</v>
          </cell>
          <cell r="V1721">
            <v>58</v>
          </cell>
          <cell r="W1721" t="str">
            <v>0.085D</v>
          </cell>
          <cell r="X1721" t="str">
            <v>7-2026</v>
          </cell>
          <cell r="Y1721" t="str">
            <v>Week 24</v>
          </cell>
          <cell r="Z1721">
            <v>46181</v>
          </cell>
          <cell r="AA1721">
            <v>438</v>
          </cell>
          <cell r="AB1721">
            <v>2.8570000000000002E-2</v>
          </cell>
        </row>
        <row r="1722">
          <cell r="A1722" t="str">
            <v>F-2026-04-418</v>
          </cell>
          <cell r="B1722"/>
          <cell r="C1722" t="str">
            <v>FPRO-260429-0031</v>
          </cell>
          <cell r="D1722" t="str">
            <v>Firm plan 29.04</v>
          </cell>
          <cell r="E1722" t="str">
            <v>BDB-000162</v>
          </cell>
          <cell r="F1722" t="str">
            <v>PVN-001566</v>
          </cell>
          <cell r="G1722" t="str">
            <v>OrthoLite Ultra-Nike SEEDPEARL/12-0703TPX 0.085D 25+/-4 Asker C 1.1M 2M 4mm</v>
          </cell>
          <cell r="H1722">
            <v>500</v>
          </cell>
          <cell r="I1722">
            <v>500</v>
          </cell>
          <cell r="J1722">
            <v>0</v>
          </cell>
          <cell r="K1722">
            <v>500</v>
          </cell>
          <cell r="L1722" t="str">
            <v>NIKE</v>
          </cell>
          <cell r="M1722" t="str">
            <v>Forecast</v>
          </cell>
          <cell r="N1722" t="str">
            <v>DIE CUT</v>
          </cell>
          <cell r="O1722">
            <v>1</v>
          </cell>
          <cell r="P1722">
            <v>46141</v>
          </cell>
          <cell r="Q1722">
            <v>46170</v>
          </cell>
          <cell r="R1722">
            <v>46167</v>
          </cell>
          <cell r="S1722">
            <v>29</v>
          </cell>
          <cell r="T1722">
            <v>4</v>
          </cell>
          <cell r="U1722">
            <v>35</v>
          </cell>
          <cell r="V1722">
            <v>15</v>
          </cell>
          <cell r="W1722" t="str">
            <v>0.085D</v>
          </cell>
          <cell r="X1722" t="str">
            <v>5-2026</v>
          </cell>
          <cell r="Y1722" t="str">
            <v>Week 21</v>
          </cell>
          <cell r="Z1722">
            <v>46160</v>
          </cell>
          <cell r="AA1722">
            <v>438</v>
          </cell>
          <cell r="AB1722">
            <v>2.8570000000000002E-2</v>
          </cell>
        </row>
        <row r="1723">
          <cell r="A1723" t="str">
            <v>F-2026-04-419</v>
          </cell>
          <cell r="B1723"/>
          <cell r="C1723" t="str">
            <v>FPRO-260429-0032</v>
          </cell>
          <cell r="D1723" t="str">
            <v>Firm plan 29.04</v>
          </cell>
          <cell r="E1723" t="str">
            <v>BDB-000125</v>
          </cell>
          <cell r="F1723" t="str">
            <v>PVN-001579</v>
          </cell>
          <cell r="G1723" t="str">
            <v>OrthoLite Regular-Nike AIR BLUE/16-4134TPX Flat Sheet 0.11D 25+/-4 Asker C 1.1M 2M 4mm</v>
          </cell>
          <cell r="H1723">
            <v>800</v>
          </cell>
          <cell r="I1723">
            <v>800</v>
          </cell>
          <cell r="J1723">
            <v>0</v>
          </cell>
          <cell r="K1723">
            <v>800</v>
          </cell>
          <cell r="L1723" t="str">
            <v>NIKE</v>
          </cell>
          <cell r="M1723" t="str">
            <v>Forecast</v>
          </cell>
          <cell r="N1723" t="str">
            <v>DIE CUT</v>
          </cell>
          <cell r="O1723">
            <v>1</v>
          </cell>
          <cell r="P1723">
            <v>46141</v>
          </cell>
          <cell r="Q1723">
            <v>46174</v>
          </cell>
          <cell r="R1723">
            <v>46171</v>
          </cell>
          <cell r="S1723">
            <v>33</v>
          </cell>
          <cell r="T1723">
            <v>4</v>
          </cell>
          <cell r="U1723">
            <v>35</v>
          </cell>
          <cell r="V1723">
            <v>23</v>
          </cell>
          <cell r="W1723" t="str">
            <v>0.11D</v>
          </cell>
          <cell r="X1723" t="str">
            <v>6-2026</v>
          </cell>
          <cell r="Y1723" t="str">
            <v>Week 22</v>
          </cell>
          <cell r="Z1723">
            <v>46167</v>
          </cell>
          <cell r="AA1723">
            <v>438</v>
          </cell>
          <cell r="AB1723">
            <v>2.8570000000000002E-2</v>
          </cell>
        </row>
        <row r="1724">
          <cell r="A1724" t="str">
            <v>F-2026-04-420</v>
          </cell>
          <cell r="B1724"/>
          <cell r="C1724" t="str">
            <v>FPRO-260429-0033</v>
          </cell>
          <cell r="D1724" t="str">
            <v>Firm plan 29.04</v>
          </cell>
          <cell r="E1724" t="str">
            <v>BDB-000125</v>
          </cell>
          <cell r="F1724" t="str">
            <v>PVN-001579</v>
          </cell>
          <cell r="G1724" t="str">
            <v>OrthoLite Regular-Nike AIR BLUE/16-4134TPX Flat Sheet 0.11D 25+/-4 Asker C 1.1M 2M 4mm</v>
          </cell>
          <cell r="H1724">
            <v>500</v>
          </cell>
          <cell r="I1724">
            <v>500</v>
          </cell>
          <cell r="J1724">
            <v>0</v>
          </cell>
          <cell r="K1724">
            <v>500</v>
          </cell>
          <cell r="L1724" t="str">
            <v>NIKE</v>
          </cell>
          <cell r="M1724" t="str">
            <v>Forecast</v>
          </cell>
          <cell r="N1724" t="str">
            <v>DIE CUT</v>
          </cell>
          <cell r="O1724">
            <v>1</v>
          </cell>
          <cell r="P1724">
            <v>46141</v>
          </cell>
          <cell r="Q1724">
            <v>46181</v>
          </cell>
          <cell r="R1724">
            <v>46178</v>
          </cell>
          <cell r="S1724">
            <v>40</v>
          </cell>
          <cell r="T1724">
            <v>4</v>
          </cell>
          <cell r="U1724">
            <v>35</v>
          </cell>
          <cell r="V1724">
            <v>15</v>
          </cell>
          <cell r="W1724" t="str">
            <v>0.11D</v>
          </cell>
          <cell r="X1724" t="str">
            <v>6-2026</v>
          </cell>
          <cell r="Y1724" t="str">
            <v>Week 23</v>
          </cell>
          <cell r="Z1724">
            <v>46174</v>
          </cell>
          <cell r="AA1724">
            <v>429</v>
          </cell>
          <cell r="AB1724">
            <v>2.8570000000000002E-2</v>
          </cell>
        </row>
        <row r="1725">
          <cell r="A1725" t="str">
            <v>F-2026-04-421</v>
          </cell>
          <cell r="B1725"/>
          <cell r="C1725" t="str">
            <v>FPRO-260429-0034</v>
          </cell>
          <cell r="D1725" t="str">
            <v>Firm plan 29.04</v>
          </cell>
          <cell r="E1725" t="str">
            <v>BDB-000125</v>
          </cell>
          <cell r="F1725" t="str">
            <v>PVN-001579</v>
          </cell>
          <cell r="G1725" t="str">
            <v>OrthoLite Regular-Nike AIR BLUE/16-4134TPX Flat Sheet 0.11D 25+/-4 Asker C 1.1M 2M 4mm</v>
          </cell>
          <cell r="H1725">
            <v>500</v>
          </cell>
          <cell r="I1725">
            <v>500</v>
          </cell>
          <cell r="J1725">
            <v>0</v>
          </cell>
          <cell r="K1725">
            <v>500</v>
          </cell>
          <cell r="L1725" t="str">
            <v>NIKE</v>
          </cell>
          <cell r="M1725" t="str">
            <v>Forecast</v>
          </cell>
          <cell r="N1725" t="str">
            <v>DIE CUT</v>
          </cell>
          <cell r="O1725">
            <v>1</v>
          </cell>
          <cell r="P1725">
            <v>46141</v>
          </cell>
          <cell r="Q1725">
            <v>46188</v>
          </cell>
          <cell r="R1725">
            <v>46185</v>
          </cell>
          <cell r="S1725">
            <v>47</v>
          </cell>
          <cell r="T1725">
            <v>4</v>
          </cell>
          <cell r="U1725">
            <v>35</v>
          </cell>
          <cell r="V1725">
            <v>15</v>
          </cell>
          <cell r="W1725" t="str">
            <v>0.11D</v>
          </cell>
          <cell r="X1725" t="str">
            <v>6-2026</v>
          </cell>
          <cell r="Y1725" t="str">
            <v>Week 24</v>
          </cell>
          <cell r="Z1725">
            <v>46181</v>
          </cell>
          <cell r="AA1725">
            <v>429</v>
          </cell>
          <cell r="AB1725">
            <v>2.8570000000000002E-2</v>
          </cell>
        </row>
        <row r="1726">
          <cell r="A1726" t="str">
            <v>F-2026-04-422</v>
          </cell>
          <cell r="B1726"/>
          <cell r="C1726" t="str">
            <v>FPRO-260429-0035</v>
          </cell>
          <cell r="D1726" t="str">
            <v>Firm plan 29.04</v>
          </cell>
          <cell r="E1726" t="str">
            <v>BDB-000164</v>
          </cell>
          <cell r="F1726" t="str">
            <v>PVN-001618</v>
          </cell>
          <cell r="G1726" t="str">
            <v>OrthoLite Ultra-Nike GREY/17-1501TPX 0.085D 25+/-4 Asker C 1.1M 2M 4mm</v>
          </cell>
          <cell r="H1726">
            <v>500</v>
          </cell>
          <cell r="I1726">
            <v>500</v>
          </cell>
          <cell r="J1726">
            <v>0</v>
          </cell>
          <cell r="K1726">
            <v>500</v>
          </cell>
          <cell r="L1726" t="str">
            <v>NIKE</v>
          </cell>
          <cell r="M1726" t="str">
            <v>Forecast</v>
          </cell>
          <cell r="N1726" t="str">
            <v>DIE CUT</v>
          </cell>
          <cell r="O1726">
            <v>1</v>
          </cell>
          <cell r="P1726">
            <v>46141</v>
          </cell>
          <cell r="Q1726">
            <v>46179</v>
          </cell>
          <cell r="R1726">
            <v>46176</v>
          </cell>
          <cell r="S1726">
            <v>38</v>
          </cell>
          <cell r="T1726">
            <v>4</v>
          </cell>
          <cell r="U1726">
            <v>35</v>
          </cell>
          <cell r="V1726">
            <v>15</v>
          </cell>
          <cell r="W1726" t="str">
            <v>0.085D</v>
          </cell>
          <cell r="X1726" t="str">
            <v>6-2026</v>
          </cell>
          <cell r="Y1726" t="str">
            <v>Week 22</v>
          </cell>
          <cell r="Z1726">
            <v>46167</v>
          </cell>
          <cell r="AA1726">
            <v>429</v>
          </cell>
          <cell r="AB1726">
            <v>2.8570000000000002E-2</v>
          </cell>
        </row>
        <row r="1727">
          <cell r="A1727" t="str">
            <v>F-2026-04-423</v>
          </cell>
          <cell r="B1727"/>
          <cell r="C1727" t="str">
            <v>FPRO-260429-0036</v>
          </cell>
          <cell r="D1727" t="str">
            <v>Firm plan 29.04</v>
          </cell>
          <cell r="E1727" t="str">
            <v>BDB-000164</v>
          </cell>
          <cell r="F1727" t="str">
            <v>PVN-001618</v>
          </cell>
          <cell r="G1727" t="str">
            <v>OrthoLite Ultra-Nike GREY/17-1501TPX 0.085D 25+/-4 Asker C 1.1M 2M 4mm</v>
          </cell>
          <cell r="H1727">
            <v>500</v>
          </cell>
          <cell r="I1727">
            <v>500</v>
          </cell>
          <cell r="J1727">
            <v>0</v>
          </cell>
          <cell r="K1727">
            <v>500</v>
          </cell>
          <cell r="L1727" t="str">
            <v>NIKE</v>
          </cell>
          <cell r="M1727" t="str">
            <v>Forecast</v>
          </cell>
          <cell r="N1727" t="str">
            <v>DIE CUT</v>
          </cell>
          <cell r="O1727">
            <v>1</v>
          </cell>
          <cell r="P1727">
            <v>46141</v>
          </cell>
          <cell r="Q1727">
            <v>46186</v>
          </cell>
          <cell r="R1727">
            <v>46183</v>
          </cell>
          <cell r="S1727">
            <v>45</v>
          </cell>
          <cell r="T1727">
            <v>4</v>
          </cell>
          <cell r="U1727">
            <v>35</v>
          </cell>
          <cell r="V1727">
            <v>15</v>
          </cell>
          <cell r="W1727" t="str">
            <v>0.085D</v>
          </cell>
          <cell r="X1727" t="str">
            <v>6-2026</v>
          </cell>
          <cell r="Y1727" t="str">
            <v>Week 23</v>
          </cell>
          <cell r="Z1727">
            <v>46174</v>
          </cell>
          <cell r="AA1727">
            <v>429</v>
          </cell>
          <cell r="AB1727">
            <v>2.8570000000000002E-2</v>
          </cell>
        </row>
        <row r="1728">
          <cell r="A1728" t="str">
            <v>F-2026-04-424</v>
          </cell>
          <cell r="B1728"/>
          <cell r="C1728" t="str">
            <v>FPRO-260429-0037</v>
          </cell>
          <cell r="D1728" t="str">
            <v>Firm plan 29.04</v>
          </cell>
          <cell r="E1728" t="str">
            <v>BDB-000164</v>
          </cell>
          <cell r="F1728" t="str">
            <v>PVN-001618</v>
          </cell>
          <cell r="G1728" t="str">
            <v>OrthoLite Ultra-Nike GREY/17-1501TPX 0.085D 25+/-4 Asker C 1.1M 2M 4mm</v>
          </cell>
          <cell r="H1728">
            <v>500</v>
          </cell>
          <cell r="I1728">
            <v>500</v>
          </cell>
          <cell r="J1728">
            <v>0</v>
          </cell>
          <cell r="K1728">
            <v>500</v>
          </cell>
          <cell r="L1728" t="str">
            <v>NIKE</v>
          </cell>
          <cell r="M1728" t="str">
            <v>Forecast</v>
          </cell>
          <cell r="N1728" t="str">
            <v>DIE CUT</v>
          </cell>
          <cell r="O1728">
            <v>1</v>
          </cell>
          <cell r="P1728">
            <v>46141</v>
          </cell>
          <cell r="Q1728">
            <v>46193</v>
          </cell>
          <cell r="R1728">
            <v>46190</v>
          </cell>
          <cell r="S1728">
            <v>52</v>
          </cell>
          <cell r="T1728">
            <v>4</v>
          </cell>
          <cell r="U1728">
            <v>35</v>
          </cell>
          <cell r="V1728">
            <v>15</v>
          </cell>
          <cell r="W1728" t="str">
            <v>0.085D</v>
          </cell>
          <cell r="X1728" t="str">
            <v>6-2026</v>
          </cell>
          <cell r="Y1728" t="str">
            <v>Week 24</v>
          </cell>
          <cell r="Z1728">
            <v>46181</v>
          </cell>
          <cell r="AA1728">
            <v>339</v>
          </cell>
          <cell r="AB1728">
            <v>2.8570000000000002E-2</v>
          </cell>
        </row>
        <row r="1729">
          <cell r="A1729" t="str">
            <v>F-2026-04-425</v>
          </cell>
          <cell r="B1729"/>
          <cell r="C1729" t="str">
            <v>FPRO-260429-0038</v>
          </cell>
          <cell r="D1729" t="str">
            <v>Firm plan 29.04</v>
          </cell>
          <cell r="E1729" t="str">
            <v>BDB-000164</v>
          </cell>
          <cell r="F1729" t="str">
            <v>PVN-001618</v>
          </cell>
          <cell r="G1729" t="str">
            <v>OrthoLite Ultra-Nike GREY/17-1501TPX 0.085D 25+/-4 Asker C 1.1M 2M 4mm</v>
          </cell>
          <cell r="H1729">
            <v>500</v>
          </cell>
          <cell r="I1729">
            <v>500</v>
          </cell>
          <cell r="J1729">
            <v>0</v>
          </cell>
          <cell r="K1729">
            <v>500</v>
          </cell>
          <cell r="L1729" t="str">
            <v>NIKE</v>
          </cell>
          <cell r="M1729" t="str">
            <v>Forecast</v>
          </cell>
          <cell r="N1729" t="str">
            <v>DIE CUT</v>
          </cell>
          <cell r="O1729">
            <v>1</v>
          </cell>
          <cell r="P1729">
            <v>46141</v>
          </cell>
          <cell r="Q1729">
            <v>46200</v>
          </cell>
          <cell r="R1729">
            <v>46197</v>
          </cell>
          <cell r="S1729">
            <v>59</v>
          </cell>
          <cell r="T1729">
            <v>4</v>
          </cell>
          <cell r="U1729">
            <v>35</v>
          </cell>
          <cell r="V1729">
            <v>15</v>
          </cell>
          <cell r="W1729" t="str">
            <v>0.085D</v>
          </cell>
          <cell r="X1729" t="str">
            <v>6-2026</v>
          </cell>
          <cell r="Y1729" t="str">
            <v>Week 24</v>
          </cell>
          <cell r="Z1729">
            <v>46181</v>
          </cell>
          <cell r="AA1729">
            <v>339</v>
          </cell>
          <cell r="AB1729">
            <v>2.8570000000000002E-2</v>
          </cell>
        </row>
        <row r="1730">
          <cell r="A1730" t="str">
            <v>F-2026-04-426</v>
          </cell>
          <cell r="B1730"/>
          <cell r="C1730" t="str">
            <v>FPRO-260429-0039</v>
          </cell>
          <cell r="D1730" t="str">
            <v>Firm plan 29.04</v>
          </cell>
          <cell r="E1730" t="str">
            <v>BDB-000164</v>
          </cell>
          <cell r="F1730" t="str">
            <v>PVN-001618</v>
          </cell>
          <cell r="G1730" t="str">
            <v>OrthoLite Ultra-Nike GREY/17-1501TPX 0.085D 25+/-4 Asker C 1.1M 2M 4mm</v>
          </cell>
          <cell r="H1730">
            <v>500</v>
          </cell>
          <cell r="I1730">
            <v>500</v>
          </cell>
          <cell r="J1730">
            <v>0</v>
          </cell>
          <cell r="K1730">
            <v>500</v>
          </cell>
          <cell r="L1730" t="str">
            <v>NIKE</v>
          </cell>
          <cell r="M1730" t="str">
            <v>Forecast</v>
          </cell>
          <cell r="N1730" t="str">
            <v>DIE CUT</v>
          </cell>
          <cell r="O1730">
            <v>1</v>
          </cell>
          <cell r="P1730">
            <v>46141</v>
          </cell>
          <cell r="Q1730">
            <v>46207</v>
          </cell>
          <cell r="R1730">
            <v>46204</v>
          </cell>
          <cell r="S1730">
            <v>66</v>
          </cell>
          <cell r="T1730">
            <v>4</v>
          </cell>
          <cell r="U1730">
            <v>35</v>
          </cell>
          <cell r="V1730">
            <v>15</v>
          </cell>
          <cell r="W1730" t="str">
            <v>0.085D</v>
          </cell>
          <cell r="X1730" t="str">
            <v>7-2026</v>
          </cell>
          <cell r="Y1730" t="str">
            <v>Week 24</v>
          </cell>
          <cell r="Z1730">
            <v>46181</v>
          </cell>
          <cell r="AA1730">
            <v>339</v>
          </cell>
          <cell r="AB1730">
            <v>2.8570000000000002E-2</v>
          </cell>
        </row>
        <row r="1731">
          <cell r="A1731" t="str">
            <v>F-2026-04-427</v>
          </cell>
          <cell r="B1731"/>
          <cell r="C1731" t="str">
            <v>FPRO-260429-0040</v>
          </cell>
          <cell r="D1731" t="str">
            <v>Firm plan 29.04</v>
          </cell>
          <cell r="E1731" t="str">
            <v>BDB-000164</v>
          </cell>
          <cell r="F1731" t="str">
            <v>PVN-001618</v>
          </cell>
          <cell r="G1731" t="str">
            <v>OrthoLite Ultra-Nike GREY/17-1501TPX 0.085D 25+/-4 Asker C 1.1M 2M 4mm</v>
          </cell>
          <cell r="H1731">
            <v>500</v>
          </cell>
          <cell r="I1731">
            <v>500</v>
          </cell>
          <cell r="J1731">
            <v>0</v>
          </cell>
          <cell r="K1731">
            <v>500</v>
          </cell>
          <cell r="L1731" t="str">
            <v>NIKE</v>
          </cell>
          <cell r="M1731" t="str">
            <v>Forecast</v>
          </cell>
          <cell r="N1731" t="str">
            <v>DIE CUT</v>
          </cell>
          <cell r="O1731">
            <v>1</v>
          </cell>
          <cell r="P1731">
            <v>46141</v>
          </cell>
          <cell r="Q1731">
            <v>46175</v>
          </cell>
          <cell r="R1731">
            <v>46172</v>
          </cell>
          <cell r="S1731">
            <v>34</v>
          </cell>
          <cell r="T1731">
            <v>4</v>
          </cell>
          <cell r="U1731">
            <v>35</v>
          </cell>
          <cell r="V1731">
            <v>15</v>
          </cell>
          <cell r="W1731" t="str">
            <v>0.085D</v>
          </cell>
          <cell r="X1731" t="str">
            <v>6-2026</v>
          </cell>
          <cell r="Y1731" t="str">
            <v>Week 22</v>
          </cell>
          <cell r="Z1731">
            <v>46167</v>
          </cell>
          <cell r="AA1731">
            <v>292</v>
          </cell>
          <cell r="AB1731">
            <v>2.8570000000000002E-2</v>
          </cell>
        </row>
        <row r="1732">
          <cell r="A1732" t="str">
            <v>F-2026-04-428</v>
          </cell>
          <cell r="B1732"/>
          <cell r="C1732" t="str">
            <v>FPRO-260429-0041</v>
          </cell>
          <cell r="D1732" t="str">
            <v>Firm plan 29.04</v>
          </cell>
          <cell r="E1732" t="str">
            <v>BDB-000125</v>
          </cell>
          <cell r="F1732" t="str">
            <v>PVN-002413</v>
          </cell>
          <cell r="G1732" t="str">
            <v>OrthoLite Regular-Nike AIR BLUE/16-4134TPX 0.11D 25+/-4 Asker C 1.1M 2M 4.2mm</v>
          </cell>
          <cell r="H1732">
            <v>2000</v>
          </cell>
          <cell r="I1732">
            <v>2000</v>
          </cell>
          <cell r="J1732">
            <v>0</v>
          </cell>
          <cell r="K1732">
            <v>2000</v>
          </cell>
          <cell r="L1732" t="str">
            <v>NIKE</v>
          </cell>
          <cell r="M1732" t="str">
            <v>Forecast</v>
          </cell>
          <cell r="N1732" t="str">
            <v>DIE CUT</v>
          </cell>
          <cell r="O1732">
            <v>1</v>
          </cell>
          <cell r="P1732">
            <v>46141</v>
          </cell>
          <cell r="Q1732">
            <v>46178</v>
          </cell>
          <cell r="R1732">
            <v>46175</v>
          </cell>
          <cell r="S1732">
            <v>37</v>
          </cell>
          <cell r="T1732">
            <v>4.2</v>
          </cell>
          <cell r="U1732">
            <v>33</v>
          </cell>
          <cell r="V1732">
            <v>61</v>
          </cell>
          <cell r="W1732" t="str">
            <v>0.11D</v>
          </cell>
          <cell r="X1732" t="str">
            <v>6-2026</v>
          </cell>
          <cell r="Y1732" t="str">
            <v>Week 22</v>
          </cell>
          <cell r="Z1732">
            <v>46167</v>
          </cell>
          <cell r="AA1732">
            <v>292</v>
          </cell>
          <cell r="AB1732">
            <v>3.0300000000000001E-2</v>
          </cell>
        </row>
        <row r="1733">
          <cell r="A1733" t="str">
            <v>F-2026-04-429</v>
          </cell>
          <cell r="B1733"/>
          <cell r="C1733" t="str">
            <v>FPRO-260429-0042</v>
          </cell>
          <cell r="D1733" t="str">
            <v>Firm plan 29.04</v>
          </cell>
          <cell r="E1733" t="str">
            <v>BDB-000125</v>
          </cell>
          <cell r="F1733" t="str">
            <v>PVN-002413</v>
          </cell>
          <cell r="G1733" t="str">
            <v>OrthoLite Regular-Nike AIR BLUE/16-4134TPX 0.11D 25+/-4 Asker C 1.1M 2M 4.2mm</v>
          </cell>
          <cell r="H1733">
            <v>2000</v>
          </cell>
          <cell r="I1733">
            <v>2000</v>
          </cell>
          <cell r="J1733">
            <v>0</v>
          </cell>
          <cell r="K1733">
            <v>2000</v>
          </cell>
          <cell r="L1733" t="str">
            <v>NIKE</v>
          </cell>
          <cell r="M1733" t="str">
            <v>Forecast</v>
          </cell>
          <cell r="N1733" t="str">
            <v>DIE CUT</v>
          </cell>
          <cell r="O1733">
            <v>1</v>
          </cell>
          <cell r="P1733">
            <v>46141</v>
          </cell>
          <cell r="Q1733">
            <v>46182</v>
          </cell>
          <cell r="R1733">
            <v>46179</v>
          </cell>
          <cell r="S1733">
            <v>41</v>
          </cell>
          <cell r="T1733">
            <v>4.2</v>
          </cell>
          <cell r="U1733">
            <v>33</v>
          </cell>
          <cell r="V1733">
            <v>61</v>
          </cell>
          <cell r="W1733" t="str">
            <v>0.11D</v>
          </cell>
          <cell r="X1733" t="str">
            <v>6-2026</v>
          </cell>
          <cell r="Y1733" t="str">
            <v>Week 23</v>
          </cell>
          <cell r="Z1733">
            <v>46174</v>
          </cell>
          <cell r="AA1733">
            <v>292</v>
          </cell>
          <cell r="AB1733">
            <v>3.0300000000000001E-2</v>
          </cell>
        </row>
        <row r="1734">
          <cell r="A1734" t="str">
            <v>F-2026-04-430</v>
          </cell>
          <cell r="B1734"/>
          <cell r="C1734" t="str">
            <v>FPRO-260429-0043</v>
          </cell>
          <cell r="D1734" t="str">
            <v>Firm plan 29.04</v>
          </cell>
          <cell r="E1734" t="str">
            <v>BDB-000125</v>
          </cell>
          <cell r="F1734" t="str">
            <v>PVN-002413</v>
          </cell>
          <cell r="G1734" t="str">
            <v>OrthoLite Regular-Nike AIR BLUE/16-4134TPX 0.11D 25+/-4 Asker C 1.1M 2M 4.2mm</v>
          </cell>
          <cell r="H1734">
            <v>2000</v>
          </cell>
          <cell r="I1734">
            <v>2000</v>
          </cell>
          <cell r="J1734">
            <v>0</v>
          </cell>
          <cell r="K1734">
            <v>2000</v>
          </cell>
          <cell r="L1734" t="str">
            <v>NIKE</v>
          </cell>
          <cell r="M1734" t="str">
            <v>Forecast</v>
          </cell>
          <cell r="N1734" t="str">
            <v>DIE CUT</v>
          </cell>
          <cell r="O1734">
            <v>1</v>
          </cell>
          <cell r="P1734">
            <v>46141</v>
          </cell>
          <cell r="Q1734">
            <v>46185</v>
          </cell>
          <cell r="R1734">
            <v>46182</v>
          </cell>
          <cell r="S1734">
            <v>44</v>
          </cell>
          <cell r="T1734">
            <v>4.2</v>
          </cell>
          <cell r="U1734">
            <v>33</v>
          </cell>
          <cell r="V1734">
            <v>61</v>
          </cell>
          <cell r="W1734" t="str">
            <v>0.11D</v>
          </cell>
          <cell r="X1734" t="str">
            <v>6-2026</v>
          </cell>
          <cell r="Y1734" t="str">
            <v>Week 23</v>
          </cell>
          <cell r="Z1734">
            <v>46174</v>
          </cell>
          <cell r="AA1734">
            <v>292</v>
          </cell>
          <cell r="AB1734">
            <v>3.0300000000000001E-2</v>
          </cell>
        </row>
        <row r="1735">
          <cell r="A1735" t="str">
            <v>F-2026-04-431</v>
          </cell>
          <cell r="B1735"/>
          <cell r="C1735" t="str">
            <v>FPRO-260429-0044</v>
          </cell>
          <cell r="D1735" t="str">
            <v>Firm plan 29.04</v>
          </cell>
          <cell r="E1735" t="str">
            <v>BDB-000125</v>
          </cell>
          <cell r="F1735" t="str">
            <v>PVN-002413</v>
          </cell>
          <cell r="G1735" t="str">
            <v>OrthoLite Regular-Nike AIR BLUE/16-4134TPX 0.11D 25+/-4 Asker C 1.1M 2M 4.2mm</v>
          </cell>
          <cell r="H1735">
            <v>2000</v>
          </cell>
          <cell r="I1735">
            <v>2000</v>
          </cell>
          <cell r="J1735">
            <v>0</v>
          </cell>
          <cell r="K1735">
            <v>2000</v>
          </cell>
          <cell r="L1735" t="str">
            <v>NIKE</v>
          </cell>
          <cell r="M1735" t="str">
            <v>Forecast</v>
          </cell>
          <cell r="N1735" t="str">
            <v>DIE CUT</v>
          </cell>
          <cell r="O1735">
            <v>1</v>
          </cell>
          <cell r="P1735">
            <v>46141</v>
          </cell>
          <cell r="Q1735">
            <v>46189</v>
          </cell>
          <cell r="R1735">
            <v>46186</v>
          </cell>
          <cell r="S1735">
            <v>48</v>
          </cell>
          <cell r="T1735">
            <v>4.2</v>
          </cell>
          <cell r="U1735">
            <v>33</v>
          </cell>
          <cell r="V1735">
            <v>61</v>
          </cell>
          <cell r="W1735" t="str">
            <v>0.11D</v>
          </cell>
          <cell r="X1735" t="str">
            <v>6-2026</v>
          </cell>
          <cell r="Y1735" t="str">
            <v>Week 24</v>
          </cell>
          <cell r="Z1735">
            <v>46181</v>
          </cell>
          <cell r="AA1735">
            <v>292</v>
          </cell>
          <cell r="AB1735">
            <v>3.0300000000000001E-2</v>
          </cell>
        </row>
        <row r="1736">
          <cell r="A1736" t="str">
            <v>F-2026-04-432</v>
          </cell>
          <cell r="B1736"/>
          <cell r="C1736" t="str">
            <v>FPRO-260429-0045</v>
          </cell>
          <cell r="D1736" t="str">
            <v>Firm plan 29.04</v>
          </cell>
          <cell r="E1736" t="str">
            <v>BDB-000125</v>
          </cell>
          <cell r="F1736" t="str">
            <v>PVN-002413</v>
          </cell>
          <cell r="G1736" t="str">
            <v>OrthoLite Regular-Nike AIR BLUE/16-4134TPX 0.11D 25+/-4 Asker C 1.1M 2M 4.2mm</v>
          </cell>
          <cell r="H1736">
            <v>2000</v>
          </cell>
          <cell r="I1736">
            <v>2000</v>
          </cell>
          <cell r="J1736">
            <v>0</v>
          </cell>
          <cell r="K1736">
            <v>2000</v>
          </cell>
          <cell r="L1736" t="str">
            <v>NIKE</v>
          </cell>
          <cell r="M1736" t="str">
            <v>Forecast</v>
          </cell>
          <cell r="N1736" t="str">
            <v>DIE CUT</v>
          </cell>
          <cell r="O1736">
            <v>1</v>
          </cell>
          <cell r="P1736">
            <v>46141</v>
          </cell>
          <cell r="Q1736">
            <v>46192</v>
          </cell>
          <cell r="R1736">
            <v>46189</v>
          </cell>
          <cell r="S1736">
            <v>51</v>
          </cell>
          <cell r="T1736">
            <v>4.2</v>
          </cell>
          <cell r="U1736">
            <v>33</v>
          </cell>
          <cell r="V1736">
            <v>61</v>
          </cell>
          <cell r="W1736" t="str">
            <v>0.11D</v>
          </cell>
          <cell r="X1736" t="str">
            <v>6-2026</v>
          </cell>
          <cell r="Y1736" t="str">
            <v>Week 24</v>
          </cell>
          <cell r="Z1736">
            <v>46181</v>
          </cell>
          <cell r="AA1736">
            <v>292</v>
          </cell>
          <cell r="AB1736">
            <v>3.0300000000000001E-2</v>
          </cell>
        </row>
        <row r="1737">
          <cell r="A1737" t="str">
            <v>F-2026-04-433</v>
          </cell>
          <cell r="B1737"/>
          <cell r="C1737" t="str">
            <v>FPRO-260429-0046</v>
          </cell>
          <cell r="D1737" t="str">
            <v>Firm plan 29.04</v>
          </cell>
          <cell r="E1737" t="str">
            <v>BDB-000125</v>
          </cell>
          <cell r="F1737" t="str">
            <v>PVN-002413</v>
          </cell>
          <cell r="G1737" t="str">
            <v>OrthoLite Regular-Nike AIR BLUE/16-4134TPX 0.11D 25+/-4 Asker C 1.1M 2M 4.2mm</v>
          </cell>
          <cell r="H1737">
            <v>2000</v>
          </cell>
          <cell r="I1737">
            <v>2000</v>
          </cell>
          <cell r="J1737">
            <v>0</v>
          </cell>
          <cell r="K1737">
            <v>2000</v>
          </cell>
          <cell r="L1737" t="str">
            <v>NIKE</v>
          </cell>
          <cell r="M1737" t="str">
            <v>Forecast</v>
          </cell>
          <cell r="N1737" t="str">
            <v>DIE CUT</v>
          </cell>
          <cell r="O1737">
            <v>1</v>
          </cell>
          <cell r="P1737">
            <v>46141</v>
          </cell>
          <cell r="Q1737">
            <v>46196</v>
          </cell>
          <cell r="R1737">
            <v>46193</v>
          </cell>
          <cell r="S1737">
            <v>55</v>
          </cell>
          <cell r="T1737">
            <v>4.2</v>
          </cell>
          <cell r="U1737">
            <v>33</v>
          </cell>
          <cell r="V1737">
            <v>61</v>
          </cell>
          <cell r="W1737" t="str">
            <v>0.11D</v>
          </cell>
          <cell r="X1737" t="str">
            <v>6-2026</v>
          </cell>
          <cell r="Y1737" t="str">
            <v>Week 24</v>
          </cell>
          <cell r="Z1737">
            <v>46181</v>
          </cell>
          <cell r="AA1737">
            <v>292</v>
          </cell>
          <cell r="AB1737">
            <v>3.0300000000000001E-2</v>
          </cell>
        </row>
        <row r="1738">
          <cell r="A1738" t="str">
            <v>F-2026-04-434</v>
          </cell>
          <cell r="B1738"/>
          <cell r="C1738" t="str">
            <v>FPRO-260429-0047</v>
          </cell>
          <cell r="D1738" t="str">
            <v>Firm plan 29.04</v>
          </cell>
          <cell r="E1738" t="str">
            <v>BDB-000125</v>
          </cell>
          <cell r="F1738" t="str">
            <v>PVN-002413</v>
          </cell>
          <cell r="G1738" t="str">
            <v>OrthoLite Regular-Nike AIR BLUE/16-4134TPX 0.11D 25+/-4 Asker C 1.1M 2M 4.2mm</v>
          </cell>
          <cell r="H1738">
            <v>1100</v>
          </cell>
          <cell r="I1738">
            <v>1100</v>
          </cell>
          <cell r="J1738">
            <v>0</v>
          </cell>
          <cell r="K1738">
            <v>1100</v>
          </cell>
          <cell r="L1738" t="str">
            <v>NIKE</v>
          </cell>
          <cell r="M1738" t="str">
            <v>Forecast</v>
          </cell>
          <cell r="N1738" t="str">
            <v>DIE CUT</v>
          </cell>
          <cell r="O1738">
            <v>1</v>
          </cell>
          <cell r="P1738">
            <v>46141</v>
          </cell>
          <cell r="Q1738">
            <v>46199</v>
          </cell>
          <cell r="R1738">
            <v>46196</v>
          </cell>
          <cell r="S1738">
            <v>58</v>
          </cell>
          <cell r="T1738">
            <v>4.2</v>
          </cell>
          <cell r="U1738">
            <v>33</v>
          </cell>
          <cell r="V1738">
            <v>34</v>
          </cell>
          <cell r="W1738" t="str">
            <v>0.11D</v>
          </cell>
          <cell r="X1738" t="str">
            <v>6-2026</v>
          </cell>
          <cell r="Y1738" t="str">
            <v>Week 24</v>
          </cell>
          <cell r="Z1738">
            <v>46181</v>
          </cell>
          <cell r="AA1738">
            <v>283</v>
          </cell>
          <cell r="AB1738">
            <v>3.0300000000000001E-2</v>
          </cell>
        </row>
        <row r="1739">
          <cell r="A1739" t="str">
            <v>F-2026-04-435</v>
          </cell>
          <cell r="B1739"/>
          <cell r="C1739" t="str">
            <v>FPRO-260429-0048</v>
          </cell>
          <cell r="D1739" t="str">
            <v>Firm plan 29.04</v>
          </cell>
          <cell r="E1739" t="str">
            <v>BDB-000175</v>
          </cell>
          <cell r="F1739" t="str">
            <v>PVN-002875</v>
          </cell>
          <cell r="G1739" t="str">
            <v>OrthoLite Ultra-Hybrid-Nike SEEDPEARL/12-0703TPX Hybrid 0.085D 25+/-4 Asker C 1.1M 2M 3mm</v>
          </cell>
          <cell r="H1739">
            <v>1000</v>
          </cell>
          <cell r="I1739">
            <v>1000</v>
          </cell>
          <cell r="J1739">
            <v>0</v>
          </cell>
          <cell r="K1739">
            <v>1000</v>
          </cell>
          <cell r="L1739" t="str">
            <v>NIKE</v>
          </cell>
          <cell r="M1739" t="str">
            <v>Forecast</v>
          </cell>
          <cell r="N1739" t="str">
            <v>DIE CUT</v>
          </cell>
          <cell r="O1739">
            <v>1</v>
          </cell>
          <cell r="P1739">
            <v>46141</v>
          </cell>
          <cell r="Q1739">
            <v>46165</v>
          </cell>
          <cell r="R1739">
            <v>46162</v>
          </cell>
          <cell r="S1739">
            <v>24</v>
          </cell>
          <cell r="T1739">
            <v>3</v>
          </cell>
          <cell r="U1739">
            <v>46</v>
          </cell>
          <cell r="V1739">
            <v>22</v>
          </cell>
          <cell r="W1739" t="str">
            <v>0.085D</v>
          </cell>
          <cell r="X1739" t="str">
            <v>5-2026</v>
          </cell>
          <cell r="Y1739" t="str">
            <v>Week 21</v>
          </cell>
          <cell r="Z1739">
            <v>46160</v>
          </cell>
          <cell r="AA1739">
            <v>283</v>
          </cell>
          <cell r="AB1739">
            <v>2.1739999999999999E-2</v>
          </cell>
        </row>
        <row r="1740">
          <cell r="A1740" t="str">
            <v>F-2026-04-436</v>
          </cell>
          <cell r="B1740"/>
          <cell r="C1740" t="str">
            <v>FPRO-260429-0049</v>
          </cell>
          <cell r="D1740" t="str">
            <v>Firm plan 29.04</v>
          </cell>
          <cell r="E1740" t="str">
            <v>BDB-000175</v>
          </cell>
          <cell r="F1740" t="str">
            <v>PVN-002875</v>
          </cell>
          <cell r="G1740" t="str">
            <v>OrthoLite Ultra-Hybrid-Nike SEEDPEARL/12-0703TPX Hybrid 0.085D 25+/-4 Asker C 1.1M 2M 3mm</v>
          </cell>
          <cell r="H1740">
            <v>1000</v>
          </cell>
          <cell r="I1740">
            <v>1000</v>
          </cell>
          <cell r="J1740">
            <v>0</v>
          </cell>
          <cell r="K1740">
            <v>1000</v>
          </cell>
          <cell r="L1740" t="str">
            <v>NIKE</v>
          </cell>
          <cell r="M1740" t="str">
            <v>Forecast</v>
          </cell>
          <cell r="N1740" t="str">
            <v>DIE CUT</v>
          </cell>
          <cell r="O1740">
            <v>1</v>
          </cell>
          <cell r="P1740">
            <v>46141</v>
          </cell>
          <cell r="Q1740">
            <v>46175</v>
          </cell>
          <cell r="R1740">
            <v>46172</v>
          </cell>
          <cell r="S1740">
            <v>34</v>
          </cell>
          <cell r="T1740">
            <v>3</v>
          </cell>
          <cell r="U1740">
            <v>46</v>
          </cell>
          <cell r="V1740">
            <v>22</v>
          </cell>
          <cell r="W1740" t="str">
            <v>0.085D</v>
          </cell>
          <cell r="X1740" t="str">
            <v>6-2026</v>
          </cell>
          <cell r="Y1740" t="str">
            <v>Week 22</v>
          </cell>
          <cell r="Z1740">
            <v>46167</v>
          </cell>
          <cell r="AA1740">
            <v>283</v>
          </cell>
          <cell r="AB1740">
            <v>2.1739999999999999E-2</v>
          </cell>
        </row>
        <row r="1741">
          <cell r="A1741" t="str">
            <v>F-2026-04-437</v>
          </cell>
          <cell r="B1741"/>
          <cell r="C1741" t="str">
            <v>FPRO-260429-0050</v>
          </cell>
          <cell r="D1741" t="str">
            <v>Firm plan 29.04</v>
          </cell>
          <cell r="E1741" t="str">
            <v>BDB-000175</v>
          </cell>
          <cell r="F1741" t="str">
            <v>PVN-002875</v>
          </cell>
          <cell r="G1741" t="str">
            <v>OrthoLite Ultra-Hybrid-Nike SEEDPEARL/12-0703TPX Hybrid 0.085D 25+/-4 Asker C 1.1M 2M 3mm</v>
          </cell>
          <cell r="H1741">
            <v>1000</v>
          </cell>
          <cell r="I1741">
            <v>1000</v>
          </cell>
          <cell r="J1741">
            <v>0</v>
          </cell>
          <cell r="K1741">
            <v>1000</v>
          </cell>
          <cell r="L1741" t="str">
            <v>NIKE</v>
          </cell>
          <cell r="M1741" t="str">
            <v>Forecast</v>
          </cell>
          <cell r="N1741" t="str">
            <v>DIE CUT</v>
          </cell>
          <cell r="O1741">
            <v>1</v>
          </cell>
          <cell r="P1741">
            <v>46141</v>
          </cell>
          <cell r="Q1741">
            <v>46179</v>
          </cell>
          <cell r="R1741">
            <v>46176</v>
          </cell>
          <cell r="S1741">
            <v>38</v>
          </cell>
          <cell r="T1741">
            <v>3</v>
          </cell>
          <cell r="U1741">
            <v>46</v>
          </cell>
          <cell r="V1741">
            <v>22</v>
          </cell>
          <cell r="W1741" t="str">
            <v>0.085D</v>
          </cell>
          <cell r="X1741" t="str">
            <v>6-2026</v>
          </cell>
          <cell r="Y1741" t="str">
            <v>Week 22</v>
          </cell>
          <cell r="Z1741">
            <v>46167</v>
          </cell>
          <cell r="AA1741">
            <v>283</v>
          </cell>
          <cell r="AB1741">
            <v>2.1739999999999999E-2</v>
          </cell>
        </row>
        <row r="1742">
          <cell r="A1742" t="str">
            <v>F-2026-04-438</v>
          </cell>
          <cell r="B1742"/>
          <cell r="C1742" t="str">
            <v>FPRO-260429-0051</v>
          </cell>
          <cell r="D1742" t="str">
            <v>Firm plan 29.04</v>
          </cell>
          <cell r="E1742" t="str">
            <v>BDB-000175</v>
          </cell>
          <cell r="F1742" t="str">
            <v>PVN-002875</v>
          </cell>
          <cell r="G1742" t="str">
            <v>OrthoLite Ultra-Hybrid-Nike SEEDPEARL/12-0703TPX Hybrid 0.085D 25+/-4 Asker C 1.1M 2M 3mm</v>
          </cell>
          <cell r="H1742">
            <v>800</v>
          </cell>
          <cell r="I1742">
            <v>800</v>
          </cell>
          <cell r="J1742">
            <v>0</v>
          </cell>
          <cell r="K1742">
            <v>800</v>
          </cell>
          <cell r="L1742" t="str">
            <v>NIKE</v>
          </cell>
          <cell r="M1742" t="str">
            <v>Forecast</v>
          </cell>
          <cell r="N1742" t="str">
            <v>DIE CUT</v>
          </cell>
          <cell r="O1742">
            <v>1</v>
          </cell>
          <cell r="P1742">
            <v>46141</v>
          </cell>
          <cell r="Q1742">
            <v>46186</v>
          </cell>
          <cell r="R1742">
            <v>46183</v>
          </cell>
          <cell r="S1742">
            <v>45</v>
          </cell>
          <cell r="T1742">
            <v>3</v>
          </cell>
          <cell r="U1742">
            <v>46</v>
          </cell>
          <cell r="V1742">
            <v>18</v>
          </cell>
          <cell r="W1742" t="str">
            <v>0.085D</v>
          </cell>
          <cell r="X1742" t="str">
            <v>6-2026</v>
          </cell>
          <cell r="Y1742" t="str">
            <v>Week 23</v>
          </cell>
          <cell r="Z1742">
            <v>46174</v>
          </cell>
          <cell r="AA1742">
            <v>283</v>
          </cell>
          <cell r="AB1742">
            <v>2.1739999999999999E-2</v>
          </cell>
        </row>
        <row r="1743">
          <cell r="A1743" t="str">
            <v>F-2026-04-439</v>
          </cell>
          <cell r="B1743"/>
          <cell r="C1743" t="str">
            <v>FPRO-260429-0052</v>
          </cell>
          <cell r="D1743" t="str">
            <v>Firm plan 29.04</v>
          </cell>
          <cell r="E1743" t="str">
            <v>BDB-000175</v>
          </cell>
          <cell r="F1743" t="str">
            <v>PVN-002966</v>
          </cell>
          <cell r="G1743" t="str">
            <v>OrthoLite Ultra-Hybrid-Nike SEEDPEARL/12-0703TPX Hybrid 0.085D 25+/-4 Asker C 1.1M 2M 4mm</v>
          </cell>
          <cell r="H1743">
            <v>2300</v>
          </cell>
          <cell r="I1743">
            <v>2300</v>
          </cell>
          <cell r="J1743">
            <v>0</v>
          </cell>
          <cell r="K1743">
            <v>2300</v>
          </cell>
          <cell r="L1743" t="str">
            <v>NIKE</v>
          </cell>
          <cell r="M1743" t="str">
            <v>Forecast</v>
          </cell>
          <cell r="N1743" t="str">
            <v>DIE CUT</v>
          </cell>
          <cell r="O1743">
            <v>1</v>
          </cell>
          <cell r="P1743">
            <v>46141</v>
          </cell>
          <cell r="Q1743">
            <v>46193</v>
          </cell>
          <cell r="R1743">
            <v>46190</v>
          </cell>
          <cell r="S1743">
            <v>52</v>
          </cell>
          <cell r="T1743">
            <v>4</v>
          </cell>
          <cell r="U1743">
            <v>35</v>
          </cell>
          <cell r="V1743">
            <v>66</v>
          </cell>
          <cell r="W1743" t="str">
            <v>0.085D</v>
          </cell>
          <cell r="X1743" t="str">
            <v>6-2026</v>
          </cell>
          <cell r="Y1743" t="str">
            <v>Week 24</v>
          </cell>
          <cell r="Z1743">
            <v>46181</v>
          </cell>
          <cell r="AA1743">
            <v>283</v>
          </cell>
          <cell r="AB1743">
            <v>2.8570000000000002E-2</v>
          </cell>
        </row>
        <row r="1744">
          <cell r="A1744" t="str">
            <v>F-2026-04-440</v>
          </cell>
          <cell r="B1744"/>
          <cell r="C1744" t="str">
            <v>FPRO-260429-0053</v>
          </cell>
          <cell r="D1744" t="str">
            <v>Firm plan 29.04</v>
          </cell>
          <cell r="E1744" t="str">
            <v>BDB-000156</v>
          </cell>
          <cell r="F1744" t="str">
            <v>PVN-003243</v>
          </cell>
          <cell r="G1744" t="str">
            <v>OrthoLite X-35-Hybrid-Nike AMAZON/18-6024TPX Hybrid 0.145D 25+/-4 Asker C 1.1M 2M 5.2mm</v>
          </cell>
          <cell r="H1744">
            <v>1000</v>
          </cell>
          <cell r="I1744">
            <v>1000</v>
          </cell>
          <cell r="J1744">
            <v>0</v>
          </cell>
          <cell r="K1744">
            <v>1000</v>
          </cell>
          <cell r="L1744" t="str">
            <v>NIKE</v>
          </cell>
          <cell r="M1744" t="str">
            <v>Forecast</v>
          </cell>
          <cell r="N1744" t="str">
            <v>MOLDED</v>
          </cell>
          <cell r="O1744">
            <v>1</v>
          </cell>
          <cell r="P1744">
            <v>46141</v>
          </cell>
          <cell r="Q1744">
            <v>46163</v>
          </cell>
          <cell r="R1744">
            <v>46160</v>
          </cell>
          <cell r="S1744">
            <v>22</v>
          </cell>
          <cell r="T1744">
            <v>5.2</v>
          </cell>
          <cell r="U1744">
            <v>26</v>
          </cell>
          <cell r="V1744">
            <v>39</v>
          </cell>
          <cell r="W1744" t="str">
            <v>0.145D</v>
          </cell>
          <cell r="X1744" t="str">
            <v>5-2026</v>
          </cell>
          <cell r="Y1744" t="str">
            <v>Week 20</v>
          </cell>
          <cell r="Z1744">
            <v>46153</v>
          </cell>
          <cell r="AA1744">
            <v>283</v>
          </cell>
          <cell r="AB1744">
            <v>3.8460000000000001E-2</v>
          </cell>
        </row>
        <row r="1745">
          <cell r="A1745" t="str">
            <v>F-2026-04-441</v>
          </cell>
          <cell r="B1745"/>
          <cell r="C1745" t="str">
            <v>FPRO-260429-0054</v>
          </cell>
          <cell r="D1745" t="str">
            <v>Firm plan 29.04</v>
          </cell>
          <cell r="E1745" t="str">
            <v>BDB-000156</v>
          </cell>
          <cell r="F1745" t="str">
            <v>PVN-003243</v>
          </cell>
          <cell r="G1745" t="str">
            <v>OrthoLite X-35-Hybrid-Nike AMAZON/18-6024TPX Hybrid 0.145D 25+/-4 Asker C 1.1M 2M 5.2mm</v>
          </cell>
          <cell r="H1745">
            <v>1000</v>
          </cell>
          <cell r="I1745">
            <v>1000</v>
          </cell>
          <cell r="J1745">
            <v>0</v>
          </cell>
          <cell r="K1745">
            <v>1000</v>
          </cell>
          <cell r="L1745" t="str">
            <v>NIKE</v>
          </cell>
          <cell r="M1745" t="str">
            <v>Forecast</v>
          </cell>
          <cell r="N1745" t="str">
            <v>MOLDED</v>
          </cell>
          <cell r="O1745">
            <v>1</v>
          </cell>
          <cell r="P1745">
            <v>46141</v>
          </cell>
          <cell r="Q1745">
            <v>46170</v>
          </cell>
          <cell r="R1745">
            <v>46167</v>
          </cell>
          <cell r="S1745">
            <v>29</v>
          </cell>
          <cell r="T1745">
            <v>5.2</v>
          </cell>
          <cell r="U1745">
            <v>26</v>
          </cell>
          <cell r="V1745">
            <v>39</v>
          </cell>
          <cell r="W1745" t="str">
            <v>0.145D</v>
          </cell>
          <cell r="X1745" t="str">
            <v>5-2026</v>
          </cell>
          <cell r="Y1745" t="str">
            <v>Week 21</v>
          </cell>
          <cell r="Z1745">
            <v>46160</v>
          </cell>
          <cell r="AA1745">
            <v>283</v>
          </cell>
          <cell r="AB1745">
            <v>3.8460000000000001E-2</v>
          </cell>
        </row>
        <row r="1746">
          <cell r="A1746" t="str">
            <v>F-2026-04-442</v>
          </cell>
          <cell r="B1746"/>
          <cell r="C1746" t="str">
            <v>FPRO-260429-0055</v>
          </cell>
          <cell r="D1746" t="str">
            <v>Firm plan 29.04</v>
          </cell>
          <cell r="E1746" t="str">
            <v>BDB-000156</v>
          </cell>
          <cell r="F1746" t="str">
            <v>PVN-003243</v>
          </cell>
          <cell r="G1746" t="str">
            <v>OrthoLite X-35-Hybrid-Nike AMAZON/18-6024TPX Hybrid 0.145D 25+/-4 Asker C 1.1M 2M 5.2mm</v>
          </cell>
          <cell r="H1746">
            <v>400</v>
          </cell>
          <cell r="I1746">
            <v>400</v>
          </cell>
          <cell r="J1746">
            <v>0</v>
          </cell>
          <cell r="K1746">
            <v>400</v>
          </cell>
          <cell r="L1746" t="str">
            <v>NIKE</v>
          </cell>
          <cell r="M1746" t="str">
            <v>Forecast</v>
          </cell>
          <cell r="N1746" t="str">
            <v>MOLDED</v>
          </cell>
          <cell r="O1746" t="str">
            <v>1-SLT</v>
          </cell>
          <cell r="P1746">
            <v>46141</v>
          </cell>
          <cell r="Q1746">
            <v>46181</v>
          </cell>
          <cell r="R1746">
            <v>46178</v>
          </cell>
          <cell r="S1746">
            <v>40</v>
          </cell>
          <cell r="T1746">
            <v>5.2</v>
          </cell>
          <cell r="U1746">
            <v>26</v>
          </cell>
          <cell r="V1746">
            <v>16</v>
          </cell>
          <cell r="W1746" t="str">
            <v>0.145D</v>
          </cell>
          <cell r="X1746" t="str">
            <v>6-2026</v>
          </cell>
          <cell r="Y1746" t="str">
            <v>Week 23</v>
          </cell>
          <cell r="Z1746">
            <v>46174</v>
          </cell>
          <cell r="AA1746">
            <v>283</v>
          </cell>
          <cell r="AB1746">
            <v>3.8460000000000001E-2</v>
          </cell>
        </row>
        <row r="1747">
          <cell r="A1747" t="str">
            <v>F-2026-04-443</v>
          </cell>
          <cell r="B1747"/>
          <cell r="C1747" t="str">
            <v>FPRO-260429-0056</v>
          </cell>
          <cell r="D1747" t="str">
            <v>Firm plan 29.04</v>
          </cell>
          <cell r="E1747" t="str">
            <v>BDB-000157</v>
          </cell>
          <cell r="F1747" t="str">
            <v>PVN-003573</v>
          </cell>
          <cell r="G1747" t="str">
            <v>OrthoLite X-35-Hybrid-Nike SEEDPEARL/12-0703TPX Hybrid 0.145D 25+/-4 Asker C 1.1M 2M 4.2mm</v>
          </cell>
          <cell r="H1747">
            <v>2000</v>
          </cell>
          <cell r="I1747">
            <v>2000</v>
          </cell>
          <cell r="J1747">
            <v>0</v>
          </cell>
          <cell r="K1747">
            <v>2000</v>
          </cell>
          <cell r="L1747" t="str">
            <v>NIKE</v>
          </cell>
          <cell r="M1747" t="str">
            <v>Forecast</v>
          </cell>
          <cell r="N1747" t="str">
            <v>MOLDED</v>
          </cell>
          <cell r="O1747">
            <v>1</v>
          </cell>
          <cell r="P1747">
            <v>46141</v>
          </cell>
          <cell r="Q1747">
            <v>46197</v>
          </cell>
          <cell r="R1747">
            <v>46194</v>
          </cell>
          <cell r="S1747">
            <v>56</v>
          </cell>
          <cell r="T1747">
            <v>4.2</v>
          </cell>
          <cell r="U1747">
            <v>33</v>
          </cell>
          <cell r="V1747">
            <v>61</v>
          </cell>
          <cell r="W1747" t="str">
            <v>0.145D</v>
          </cell>
          <cell r="X1747" t="str">
            <v>6-2026</v>
          </cell>
          <cell r="Y1747" t="str">
            <v>Week 24</v>
          </cell>
          <cell r="Z1747">
            <v>46181</v>
          </cell>
          <cell r="AA1747">
            <v>295</v>
          </cell>
          <cell r="AB1747">
            <v>3.0300000000000001E-2</v>
          </cell>
        </row>
        <row r="1748">
          <cell r="A1748" t="str">
            <v>F-2026-04-444</v>
          </cell>
          <cell r="B1748"/>
          <cell r="C1748" t="str">
            <v>FPRO-260429-0057</v>
          </cell>
          <cell r="D1748" t="str">
            <v>Firm plan 29.04</v>
          </cell>
          <cell r="E1748" t="str">
            <v>BDB-000157</v>
          </cell>
          <cell r="F1748" t="str">
            <v>PVN-003573</v>
          </cell>
          <cell r="G1748" t="str">
            <v>OrthoLite X-35-Hybrid-Nike SEEDPEARL/12-0703TPX Hybrid 0.145D 25+/-4 Asker C 1.1M 2M 4.2mm</v>
          </cell>
          <cell r="H1748">
            <v>2000</v>
          </cell>
          <cell r="I1748">
            <v>2000</v>
          </cell>
          <cell r="J1748">
            <v>0</v>
          </cell>
          <cell r="K1748">
            <v>2000</v>
          </cell>
          <cell r="L1748" t="str">
            <v>NIKE</v>
          </cell>
          <cell r="M1748" t="str">
            <v>Forecast</v>
          </cell>
          <cell r="N1748" t="str">
            <v>MOLDED</v>
          </cell>
          <cell r="O1748">
            <v>1</v>
          </cell>
          <cell r="P1748">
            <v>46141</v>
          </cell>
          <cell r="Q1748">
            <v>46169</v>
          </cell>
          <cell r="R1748">
            <v>46166</v>
          </cell>
          <cell r="S1748">
            <v>28</v>
          </cell>
          <cell r="T1748">
            <v>4.2</v>
          </cell>
          <cell r="U1748">
            <v>33</v>
          </cell>
          <cell r="V1748">
            <v>61</v>
          </cell>
          <cell r="W1748" t="str">
            <v>0.145D</v>
          </cell>
          <cell r="X1748" t="str">
            <v>5-2026</v>
          </cell>
          <cell r="Y1748" t="str">
            <v>Week 21</v>
          </cell>
          <cell r="Z1748">
            <v>46160</v>
          </cell>
          <cell r="AA1748">
            <v>295</v>
          </cell>
          <cell r="AB1748">
            <v>3.0300000000000001E-2</v>
          </cell>
        </row>
        <row r="1749">
          <cell r="A1749" t="str">
            <v>F-2026-04-445</v>
          </cell>
          <cell r="B1749"/>
          <cell r="C1749" t="str">
            <v>FPRO-260429-0058</v>
          </cell>
          <cell r="D1749" t="str">
            <v>Firm plan 29.04</v>
          </cell>
          <cell r="E1749" t="str">
            <v>BDB-000157</v>
          </cell>
          <cell r="F1749" t="str">
            <v>PVN-003573</v>
          </cell>
          <cell r="G1749" t="str">
            <v>OrthoLite X-35-Hybrid-Nike SEEDPEARL/12-0703TPX Hybrid 0.145D 25+/-4 Asker C 1.1M 2M 4.2mm</v>
          </cell>
          <cell r="H1749">
            <v>2000</v>
          </cell>
          <cell r="I1749">
            <v>2000</v>
          </cell>
          <cell r="J1749">
            <v>0</v>
          </cell>
          <cell r="K1749">
            <v>2000</v>
          </cell>
          <cell r="L1749" t="str">
            <v>NIKE</v>
          </cell>
          <cell r="M1749" t="str">
            <v>Forecast</v>
          </cell>
          <cell r="N1749" t="str">
            <v>MOLDED</v>
          </cell>
          <cell r="O1749">
            <v>1</v>
          </cell>
          <cell r="P1749">
            <v>46141</v>
          </cell>
          <cell r="Q1749">
            <v>46205</v>
          </cell>
          <cell r="R1749">
            <v>46202</v>
          </cell>
          <cell r="S1749">
            <v>64</v>
          </cell>
          <cell r="T1749">
            <v>4.2</v>
          </cell>
          <cell r="U1749">
            <v>33</v>
          </cell>
          <cell r="V1749">
            <v>61</v>
          </cell>
          <cell r="W1749" t="str">
            <v>0.145D</v>
          </cell>
          <cell r="X1749" t="str">
            <v>7-2026</v>
          </cell>
          <cell r="Y1749" t="str">
            <v>Week 24</v>
          </cell>
          <cell r="Z1749">
            <v>46181</v>
          </cell>
          <cell r="AA1749">
            <v>295</v>
          </cell>
          <cell r="AB1749">
            <v>3.0300000000000001E-2</v>
          </cell>
        </row>
        <row r="1750">
          <cell r="A1750" t="str">
            <v>F-2026-04-446</v>
          </cell>
          <cell r="B1750"/>
          <cell r="C1750" t="str">
            <v>FPRO-260429-0059</v>
          </cell>
          <cell r="D1750" t="str">
            <v>Firm plan 29.04</v>
          </cell>
          <cell r="E1750" t="str">
            <v>BDB-000157</v>
          </cell>
          <cell r="F1750" t="str">
            <v>PVN-003573</v>
          </cell>
          <cell r="G1750" t="str">
            <v>OrthoLite X-35-Hybrid-Nike SEEDPEARL/12-0703TPX Hybrid 0.145D 25+/-4 Asker C 1.1M 2M 4.2mm</v>
          </cell>
          <cell r="H1750">
            <v>2000</v>
          </cell>
          <cell r="I1750">
            <v>2000</v>
          </cell>
          <cell r="J1750">
            <v>0</v>
          </cell>
          <cell r="K1750">
            <v>2000</v>
          </cell>
          <cell r="L1750" t="str">
            <v>NIKE</v>
          </cell>
          <cell r="M1750" t="str">
            <v>Forecast</v>
          </cell>
          <cell r="N1750" t="str">
            <v>MOLDED</v>
          </cell>
          <cell r="O1750">
            <v>1</v>
          </cell>
          <cell r="P1750">
            <v>46141</v>
          </cell>
          <cell r="Q1750">
            <v>46176</v>
          </cell>
          <cell r="R1750">
            <v>46173</v>
          </cell>
          <cell r="S1750">
            <v>35</v>
          </cell>
          <cell r="T1750">
            <v>4.2</v>
          </cell>
          <cell r="U1750">
            <v>33</v>
          </cell>
          <cell r="V1750">
            <v>61</v>
          </cell>
          <cell r="W1750" t="str">
            <v>0.145D</v>
          </cell>
          <cell r="X1750" t="str">
            <v>6-2026</v>
          </cell>
          <cell r="Y1750" t="str">
            <v>Week 22</v>
          </cell>
          <cell r="Z1750">
            <v>46167</v>
          </cell>
          <cell r="AA1750">
            <v>383</v>
          </cell>
          <cell r="AB1750">
            <v>3.0300000000000001E-2</v>
          </cell>
        </row>
        <row r="1751">
          <cell r="A1751" t="str">
            <v>F-2026-04-447</v>
          </cell>
          <cell r="B1751"/>
          <cell r="C1751" t="str">
            <v>FPRO-260429-0060</v>
          </cell>
          <cell r="D1751" t="str">
            <v>Firm plan 29.04</v>
          </cell>
          <cell r="E1751" t="str">
            <v>BDB-000157</v>
          </cell>
          <cell r="F1751" t="str">
            <v>PVN-003573</v>
          </cell>
          <cell r="G1751" t="str">
            <v>OrthoLite X-35-Hybrid-Nike SEEDPEARL/12-0703TPX Hybrid 0.145D 25+/-4 Asker C 1.1M 2M 4.2mm</v>
          </cell>
          <cell r="H1751">
            <v>2000</v>
          </cell>
          <cell r="I1751">
            <v>2000</v>
          </cell>
          <cell r="J1751">
            <v>0</v>
          </cell>
          <cell r="K1751">
            <v>2000</v>
          </cell>
          <cell r="L1751" t="str">
            <v>NIKE</v>
          </cell>
          <cell r="M1751" t="str">
            <v>Forecast</v>
          </cell>
          <cell r="N1751" t="str">
            <v>MOLDED</v>
          </cell>
          <cell r="O1751">
            <v>1</v>
          </cell>
          <cell r="P1751">
            <v>46141</v>
          </cell>
          <cell r="Q1751">
            <v>46183</v>
          </cell>
          <cell r="R1751">
            <v>46180</v>
          </cell>
          <cell r="S1751">
            <v>42</v>
          </cell>
          <cell r="T1751">
            <v>4.2</v>
          </cell>
          <cell r="U1751">
            <v>33</v>
          </cell>
          <cell r="V1751">
            <v>61</v>
          </cell>
          <cell r="W1751" t="str">
            <v>0.145D</v>
          </cell>
          <cell r="X1751" t="str">
            <v>6-2026</v>
          </cell>
          <cell r="Y1751" t="str">
            <v>Week 23</v>
          </cell>
          <cell r="Z1751">
            <v>46174</v>
          </cell>
          <cell r="AA1751">
            <v>383</v>
          </cell>
          <cell r="AB1751">
            <v>3.0300000000000001E-2</v>
          </cell>
        </row>
        <row r="1752">
          <cell r="A1752" t="str">
            <v>F-2026-04-448</v>
          </cell>
          <cell r="B1752"/>
          <cell r="C1752" t="str">
            <v>FPRO-260429-0061</v>
          </cell>
          <cell r="D1752" t="str">
            <v>Firm plan 29.04</v>
          </cell>
          <cell r="E1752" t="str">
            <v>BDB-000157</v>
          </cell>
          <cell r="F1752" t="str">
            <v>PVN-003573</v>
          </cell>
          <cell r="G1752" t="str">
            <v>OrthoLite X-35-Hybrid-Nike SEEDPEARL/12-0703TPX Hybrid 0.145D 25+/-4 Asker C 1.1M 2M 4.2mm</v>
          </cell>
          <cell r="H1752">
            <v>1000</v>
          </cell>
          <cell r="I1752">
            <v>1000</v>
          </cell>
          <cell r="J1752">
            <v>0</v>
          </cell>
          <cell r="K1752">
            <v>1000</v>
          </cell>
          <cell r="L1752" t="str">
            <v>NIKE</v>
          </cell>
          <cell r="M1752" t="str">
            <v>Forecast</v>
          </cell>
          <cell r="N1752" t="str">
            <v>MOLDED</v>
          </cell>
          <cell r="O1752">
            <v>1</v>
          </cell>
          <cell r="P1752">
            <v>46141</v>
          </cell>
          <cell r="Q1752">
            <v>46190</v>
          </cell>
          <cell r="R1752">
            <v>46187</v>
          </cell>
          <cell r="S1752">
            <v>49</v>
          </cell>
          <cell r="T1752">
            <v>4.2</v>
          </cell>
          <cell r="U1752">
            <v>33</v>
          </cell>
          <cell r="V1752">
            <v>31</v>
          </cell>
          <cell r="W1752" t="str">
            <v>0.145D</v>
          </cell>
          <cell r="X1752" t="str">
            <v>6-2026</v>
          </cell>
          <cell r="Y1752" t="str">
            <v>Week 24</v>
          </cell>
          <cell r="Z1752">
            <v>46181</v>
          </cell>
          <cell r="AA1752">
            <v>383</v>
          </cell>
          <cell r="AB1752">
            <v>3.0300000000000001E-2</v>
          </cell>
        </row>
        <row r="1753">
          <cell r="A1753" t="str">
            <v>F-2026-04-449</v>
          </cell>
          <cell r="B1753"/>
          <cell r="C1753" t="str">
            <v>FPRO-260429-0062</v>
          </cell>
          <cell r="D1753" t="str">
            <v>Firm plan 29.04</v>
          </cell>
          <cell r="E1753" t="str">
            <v>BDB-000163</v>
          </cell>
          <cell r="F1753" t="str">
            <v>PVN-001556</v>
          </cell>
          <cell r="G1753" t="str">
            <v>OrthoLite Ultra-Nike YELLOW/13-0858TPX 0.085D 25+/-4 Asker C 1.1M 2M 4mm</v>
          </cell>
          <cell r="H1753">
            <v>150</v>
          </cell>
          <cell r="I1753">
            <v>150</v>
          </cell>
          <cell r="J1753">
            <v>0</v>
          </cell>
          <cell r="K1753">
            <v>150</v>
          </cell>
          <cell r="L1753" t="str">
            <v>NIKE</v>
          </cell>
          <cell r="M1753" t="str">
            <v>Forecast</v>
          </cell>
          <cell r="N1753" t="str">
            <v>DIE CUT</v>
          </cell>
          <cell r="O1753">
            <v>1</v>
          </cell>
          <cell r="P1753">
            <v>46141</v>
          </cell>
          <cell r="Q1753">
            <v>46178</v>
          </cell>
          <cell r="R1753">
            <v>46175</v>
          </cell>
          <cell r="S1753">
            <v>37</v>
          </cell>
          <cell r="T1753">
            <v>4</v>
          </cell>
          <cell r="U1753">
            <v>35</v>
          </cell>
          <cell r="V1753">
            <v>5</v>
          </cell>
          <cell r="W1753" t="str">
            <v>0.085D</v>
          </cell>
          <cell r="X1753" t="str">
            <v>6-2026</v>
          </cell>
          <cell r="Y1753" t="str">
            <v>Week 22</v>
          </cell>
          <cell r="Z1753">
            <v>46167</v>
          </cell>
          <cell r="AA1753">
            <v>383</v>
          </cell>
          <cell r="AB1753">
            <v>2.8570000000000002E-2</v>
          </cell>
        </row>
        <row r="1754">
          <cell r="A1754" t="str">
            <v>OIN-2026.04.27-01</v>
          </cell>
          <cell r="B1754" t="str">
            <v>Urgent/LCL</v>
          </cell>
          <cell r="C1754" t="str">
            <v>RPRO-260507-0002</v>
          </cell>
          <cell r="D1754" t="str">
            <v>OIN</v>
          </cell>
          <cell r="E1754" t="str">
            <v>BDB-000356</v>
          </cell>
          <cell r="F1754" t="str">
            <v>PVN-004232</v>
          </cell>
          <cell r="G1754" t="str">
            <v>[116-12300] Eco Lite 15+/-4 Asker C 0.11D Lime Green 14-0452 Tpx 1.10M X 2.00M 47mm</v>
          </cell>
          <cell r="H1754">
            <v>32</v>
          </cell>
          <cell r="I1754">
            <v>32</v>
          </cell>
          <cell r="J1754">
            <v>0</v>
          </cell>
          <cell r="K1754">
            <v>32</v>
          </cell>
          <cell r="L1754" t="str">
            <v>JOOP</v>
          </cell>
          <cell r="M1754" t="str">
            <v>PO-7183-SO-260429-0011</v>
          </cell>
          <cell r="N1754" t="str">
            <v>FLAT SHEET</v>
          </cell>
          <cell r="O1754">
            <v>2</v>
          </cell>
          <cell r="P1754">
            <v>46139</v>
          </cell>
          <cell r="Q1754">
            <v>46158</v>
          </cell>
          <cell r="R1754">
            <v>46155</v>
          </cell>
          <cell r="S1754">
            <v>19</v>
          </cell>
          <cell r="T1754">
            <v>47</v>
          </cell>
          <cell r="U1754">
            <v>3</v>
          </cell>
          <cell r="V1754">
            <v>11</v>
          </cell>
          <cell r="W1754" t="e">
            <v>#N/A</v>
          </cell>
          <cell r="X1754" t="str">
            <v>5-2026</v>
          </cell>
          <cell r="Y1754" t="str">
            <v>Week 19</v>
          </cell>
          <cell r="Z1754">
            <v>46146</v>
          </cell>
          <cell r="AA1754">
            <v>383</v>
          </cell>
          <cell r="AB1754">
            <v>0.33333000000000002</v>
          </cell>
        </row>
        <row r="1755">
          <cell r="A1755" t="str">
            <v>OIN-2026.04.28-01</v>
          </cell>
          <cell r="B1755" t="str">
            <v>Urgent/LCL</v>
          </cell>
          <cell r="C1755" t="str">
            <v>RPRO-260507-0005</v>
          </cell>
          <cell r="D1755" t="str">
            <v>OIN</v>
          </cell>
          <cell r="E1755" t="str">
            <v>BDB-000060</v>
          </cell>
          <cell r="F1755" t="str">
            <v>PVN-003782</v>
          </cell>
          <cell r="G1755" t="str">
            <v>[116-446] Ultra 25+/-4 Asker C 0.085D Burnt Sienna 17-1544 Tpx 1.10M X 2.00M 47mm</v>
          </cell>
          <cell r="H1755">
            <v>3</v>
          </cell>
          <cell r="I1755">
            <v>3</v>
          </cell>
          <cell r="J1755">
            <v>0</v>
          </cell>
          <cell r="K1755">
            <v>3</v>
          </cell>
          <cell r="L1755" t="str">
            <v>CLARKS</v>
          </cell>
          <cell r="M1755" t="str">
            <v>PO-7201-SO-260429-0012</v>
          </cell>
          <cell r="N1755" t="str">
            <v>FLAT SHEET</v>
          </cell>
          <cell r="O1755">
            <v>2</v>
          </cell>
          <cell r="P1755">
            <v>46139</v>
          </cell>
          <cell r="Q1755">
            <v>46158</v>
          </cell>
          <cell r="R1755">
            <v>46155</v>
          </cell>
          <cell r="S1755">
            <v>19</v>
          </cell>
          <cell r="T1755">
            <v>47</v>
          </cell>
          <cell r="U1755">
            <v>3</v>
          </cell>
          <cell r="V1755">
            <v>1</v>
          </cell>
          <cell r="W1755" t="str">
            <v>0.085D</v>
          </cell>
          <cell r="X1755" t="str">
            <v>5-2026</v>
          </cell>
          <cell r="Y1755" t="str">
            <v>Week 19</v>
          </cell>
          <cell r="Z1755">
            <v>46146</v>
          </cell>
          <cell r="AA1755">
            <v>383</v>
          </cell>
          <cell r="AB1755">
            <v>0.33333000000000002</v>
          </cell>
        </row>
        <row r="1756">
          <cell r="A1756" t="str">
            <v>OIN-2026.05.01-01</v>
          </cell>
          <cell r="B1756" t="str">
            <v>Urgent/LCL</v>
          </cell>
          <cell r="C1756" t="str">
            <v>RPRO-260507-0008</v>
          </cell>
          <cell r="D1756" t="str">
            <v>OIN</v>
          </cell>
          <cell r="E1756" t="str">
            <v>BDB-000330</v>
          </cell>
          <cell r="F1756" t="str">
            <v>PVN-004275</v>
          </cell>
          <cell r="G1756" t="str">
            <v>[116-13102] X 40 25+/-4 Asker C 0.16D Castlerock 18-0201 Tpx 1.10M X 2.00M 47mm</v>
          </cell>
          <cell r="H1756">
            <v>11</v>
          </cell>
          <cell r="I1756">
            <v>11</v>
          </cell>
          <cell r="J1756">
            <v>0</v>
          </cell>
          <cell r="K1756">
            <v>11</v>
          </cell>
          <cell r="L1756" t="str">
            <v>CLARKS</v>
          </cell>
          <cell r="M1756" t="str">
            <v>PO-7224-SO-260504-0001</v>
          </cell>
          <cell r="N1756" t="str">
            <v>FLAT SHEET</v>
          </cell>
          <cell r="O1756">
            <v>2</v>
          </cell>
          <cell r="P1756">
            <v>46139</v>
          </cell>
          <cell r="Q1756">
            <v>46158</v>
          </cell>
          <cell r="R1756">
            <v>46155</v>
          </cell>
          <cell r="S1756">
            <v>19</v>
          </cell>
          <cell r="T1756">
            <v>47</v>
          </cell>
          <cell r="U1756">
            <v>3</v>
          </cell>
          <cell r="V1756">
            <v>4</v>
          </cell>
          <cell r="W1756" t="e">
            <v>#N/A</v>
          </cell>
          <cell r="X1756" t="str">
            <v>5-2026</v>
          </cell>
          <cell r="Y1756" t="str">
            <v>Week 19</v>
          </cell>
          <cell r="Z1756">
            <v>46146</v>
          </cell>
          <cell r="AA1756">
            <v>383</v>
          </cell>
          <cell r="AB1756">
            <v>0.33333000000000002</v>
          </cell>
        </row>
        <row r="1757">
          <cell r="A1757" t="str">
            <v>F-2026-05-01</v>
          </cell>
          <cell r="B1757"/>
          <cell r="C1757" t="str">
            <v>RPRO-260504-0913</v>
          </cell>
          <cell r="D1757" t="str">
            <v>MPS 29.04+02.05</v>
          </cell>
          <cell r="E1757" t="str">
            <v>BDB-000348</v>
          </cell>
          <cell r="F1757" t="str">
            <v>PVN-004195</v>
          </cell>
          <cell r="G1757" t="str">
            <v>OrthoLite IMPERIAL SEEDPEARL/12-0703TPX Flat Sheet 0.22D 25+/-4 Asker C 1.1M 1.47M 4mm</v>
          </cell>
          <cell r="H1757">
            <v>44</v>
          </cell>
          <cell r="I1757">
            <v>44</v>
          </cell>
          <cell r="J1757">
            <v>0</v>
          </cell>
          <cell r="K1757">
            <v>44</v>
          </cell>
          <cell r="L1757"/>
          <cell r="M1757" t="str">
            <v>MPS</v>
          </cell>
          <cell r="N1757" t="str">
            <v>SPLITTING</v>
          </cell>
          <cell r="O1757">
            <v>2</v>
          </cell>
          <cell r="P1757">
            <v>46146</v>
          </cell>
          <cell r="Q1757">
            <v>46161</v>
          </cell>
          <cell r="R1757">
            <v>46158</v>
          </cell>
          <cell r="S1757">
            <v>15</v>
          </cell>
          <cell r="T1757">
            <v>4</v>
          </cell>
          <cell r="U1757">
            <v>35</v>
          </cell>
          <cell r="V1757">
            <v>2</v>
          </cell>
          <cell r="W1757" t="e">
            <v>#N/A</v>
          </cell>
          <cell r="X1757" t="str">
            <v>5-2026</v>
          </cell>
          <cell r="Y1757" t="str">
            <v>Week 20</v>
          </cell>
          <cell r="Z1757">
            <v>46153</v>
          </cell>
          <cell r="AA1757">
            <v>254</v>
          </cell>
          <cell r="AB1757">
            <v>2.8570000000000002E-2</v>
          </cell>
        </row>
        <row r="1758">
          <cell r="A1758" t="str">
            <v>F-2026-05-02</v>
          </cell>
          <cell r="B1758"/>
          <cell r="C1758" t="str">
            <v>RPRO-260504-0914</v>
          </cell>
          <cell r="D1758" t="str">
            <v>MPS 29.04+02.05</v>
          </cell>
          <cell r="E1758" t="str">
            <v>BDB-000057</v>
          </cell>
          <cell r="F1758" t="str">
            <v>PVN-000981</v>
          </cell>
          <cell r="G1758" t="str">
            <v>OrthoLite Ultra YELLOW/13-0858TPX Flat Sheet 0.085D 25+/-4 Asker C 1.1M 2M 3mm</v>
          </cell>
          <cell r="H1758">
            <v>828</v>
          </cell>
          <cell r="I1758">
            <v>828</v>
          </cell>
          <cell r="J1758">
            <v>0</v>
          </cell>
          <cell r="K1758">
            <v>828</v>
          </cell>
          <cell r="L1758"/>
          <cell r="M1758" t="str">
            <v>MPS</v>
          </cell>
          <cell r="N1758" t="str">
            <v>SPLITTING</v>
          </cell>
          <cell r="O1758">
            <v>2</v>
          </cell>
          <cell r="P1758">
            <v>46146</v>
          </cell>
          <cell r="Q1758">
            <v>46161</v>
          </cell>
          <cell r="R1758">
            <v>46158</v>
          </cell>
          <cell r="S1758">
            <v>15</v>
          </cell>
          <cell r="T1758">
            <v>3</v>
          </cell>
          <cell r="U1758">
            <v>46</v>
          </cell>
          <cell r="V1758">
            <v>19</v>
          </cell>
          <cell r="W1758" t="str">
            <v>0.085D</v>
          </cell>
          <cell r="X1758" t="str">
            <v>5-2026</v>
          </cell>
          <cell r="Y1758" t="str">
            <v>Week 20</v>
          </cell>
          <cell r="Z1758">
            <v>46153</v>
          </cell>
          <cell r="AA1758">
            <v>254</v>
          </cell>
          <cell r="AB1758">
            <v>2.1739999999999999E-2</v>
          </cell>
        </row>
        <row r="1759">
          <cell r="A1759" t="str">
            <v>F-2026-05-03</v>
          </cell>
          <cell r="B1759"/>
          <cell r="C1759" t="str">
            <v>RPRO-260504-0915</v>
          </cell>
          <cell r="D1759" t="str">
            <v>MPS 29.04+02.05</v>
          </cell>
          <cell r="E1759" t="str">
            <v>BDB-000058</v>
          </cell>
          <cell r="F1759" t="str">
            <v>PVN-001277</v>
          </cell>
          <cell r="G1759" t="str">
            <v>OrthoLite Ultra GREEN/16-5932TPX Flat Sheet 0.085D 25+/-4 Asker C 1.1M 2M 4mm</v>
          </cell>
          <cell r="H1759">
            <v>105</v>
          </cell>
          <cell r="I1759">
            <v>105</v>
          </cell>
          <cell r="J1759">
            <v>0</v>
          </cell>
          <cell r="K1759">
            <v>105</v>
          </cell>
          <cell r="L1759"/>
          <cell r="M1759" t="str">
            <v>MPS</v>
          </cell>
          <cell r="N1759" t="str">
            <v>SPLITTING</v>
          </cell>
          <cell r="O1759">
            <v>2</v>
          </cell>
          <cell r="P1759">
            <v>46146</v>
          </cell>
          <cell r="Q1759">
            <v>46161</v>
          </cell>
          <cell r="R1759">
            <v>46158</v>
          </cell>
          <cell r="S1759">
            <v>15</v>
          </cell>
          <cell r="T1759">
            <v>4</v>
          </cell>
          <cell r="U1759">
            <v>35</v>
          </cell>
          <cell r="V1759">
            <v>3</v>
          </cell>
          <cell r="W1759" t="str">
            <v>0.085D</v>
          </cell>
          <cell r="X1759" t="str">
            <v>5-2026</v>
          </cell>
          <cell r="Y1759" t="str">
            <v>Week 20</v>
          </cell>
          <cell r="Z1759">
            <v>46153</v>
          </cell>
          <cell r="AA1759">
            <v>254</v>
          </cell>
          <cell r="AB1759">
            <v>2.8570000000000002E-2</v>
          </cell>
        </row>
        <row r="1760">
          <cell r="A1760" t="str">
            <v>F-2026-05-04</v>
          </cell>
          <cell r="B1760"/>
          <cell r="C1760" t="str">
            <v>RPRO-260504-0916</v>
          </cell>
          <cell r="D1760" t="str">
            <v>MPS 29.04+02.05</v>
          </cell>
          <cell r="E1760" t="str">
            <v>BDB-000058</v>
          </cell>
          <cell r="F1760" t="str">
            <v>PVN-001319</v>
          </cell>
          <cell r="G1760" t="str">
            <v>OrthoLite Ultra GREEN/16-5932TPX 0.085D 25+/-4 Asker C 1.1M 2M 5mm</v>
          </cell>
          <cell r="H1760">
            <v>196</v>
          </cell>
          <cell r="I1760">
            <v>196</v>
          </cell>
          <cell r="J1760">
            <v>0</v>
          </cell>
          <cell r="K1760">
            <v>196</v>
          </cell>
          <cell r="L1760"/>
          <cell r="M1760" t="str">
            <v>MPS</v>
          </cell>
          <cell r="N1760" t="str">
            <v>SPLITTING</v>
          </cell>
          <cell r="O1760">
            <v>2</v>
          </cell>
          <cell r="P1760">
            <v>46146</v>
          </cell>
          <cell r="Q1760">
            <v>46157</v>
          </cell>
          <cell r="R1760">
            <v>46154</v>
          </cell>
          <cell r="S1760">
            <v>11</v>
          </cell>
          <cell r="T1760">
            <v>5</v>
          </cell>
          <cell r="U1760">
            <v>28</v>
          </cell>
          <cell r="V1760">
            <v>7</v>
          </cell>
          <cell r="W1760" t="str">
            <v>0.085D</v>
          </cell>
          <cell r="X1760" t="str">
            <v>5-2026</v>
          </cell>
          <cell r="Y1760" t="str">
            <v>Week 20</v>
          </cell>
          <cell r="Z1760">
            <v>46153</v>
          </cell>
          <cell r="AA1760">
            <v>258</v>
          </cell>
          <cell r="AB1760">
            <v>3.5709999999999999E-2</v>
          </cell>
        </row>
        <row r="1761">
          <cell r="A1761" t="str">
            <v>F-2026-05-05</v>
          </cell>
          <cell r="B1761"/>
          <cell r="C1761" t="str">
            <v>RPRO-260504-0917</v>
          </cell>
          <cell r="D1761" t="str">
            <v>MPS 29.04+02.05</v>
          </cell>
          <cell r="E1761" t="str">
            <v>BDB-000016</v>
          </cell>
          <cell r="F1761" t="str">
            <v>PVN-001814</v>
          </cell>
          <cell r="G1761" t="str">
            <v>OrthoLite Regular GREEN/16-5932TPX Flat Sheet 0.13D 35+/-4 Asker C 1.1M 2M 3.5mm</v>
          </cell>
          <cell r="H1761">
            <v>160</v>
          </cell>
          <cell r="I1761">
            <v>160</v>
          </cell>
          <cell r="J1761">
            <v>0</v>
          </cell>
          <cell r="K1761">
            <v>160</v>
          </cell>
          <cell r="L1761"/>
          <cell r="M1761" t="str">
            <v>MPS</v>
          </cell>
          <cell r="N1761" t="str">
            <v>SPLITTING</v>
          </cell>
          <cell r="O1761">
            <v>2</v>
          </cell>
          <cell r="P1761">
            <v>46146</v>
          </cell>
          <cell r="Q1761">
            <v>46161</v>
          </cell>
          <cell r="R1761">
            <v>46158</v>
          </cell>
          <cell r="S1761">
            <v>15</v>
          </cell>
          <cell r="T1761">
            <v>3.5</v>
          </cell>
          <cell r="U1761">
            <v>40</v>
          </cell>
          <cell r="V1761">
            <v>4</v>
          </cell>
          <cell r="W1761" t="str">
            <v>0.13D</v>
          </cell>
          <cell r="X1761" t="str">
            <v>5-2026</v>
          </cell>
          <cell r="Y1761" t="str">
            <v>Week 20</v>
          </cell>
          <cell r="Z1761">
            <v>46153</v>
          </cell>
          <cell r="AA1761">
            <v>258</v>
          </cell>
          <cell r="AB1761">
            <v>2.5000000000000001E-2</v>
          </cell>
        </row>
        <row r="1762">
          <cell r="A1762" t="str">
            <v>F-2026-05-06</v>
          </cell>
          <cell r="B1762"/>
          <cell r="C1762" t="str">
            <v>RPRO-260504-0918</v>
          </cell>
          <cell r="D1762" t="str">
            <v>MPS 29.04+02.05</v>
          </cell>
          <cell r="E1762" t="str">
            <v>BDB-000123</v>
          </cell>
          <cell r="F1762" t="str">
            <v>PVN-003300</v>
          </cell>
          <cell r="G1762" t="str">
            <v>OrthoLite Ultra-Hybrid SEEDPEARL/12-0703TPX Hybrid Flat Sheet 0.085D 25+/-4 Asker C 1.1M 2M 2mm</v>
          </cell>
          <cell r="H1762">
            <v>560</v>
          </cell>
          <cell r="I1762">
            <v>560</v>
          </cell>
          <cell r="J1762">
            <v>0</v>
          </cell>
          <cell r="K1762">
            <v>560</v>
          </cell>
          <cell r="L1762"/>
          <cell r="M1762" t="str">
            <v>MPS</v>
          </cell>
          <cell r="N1762" t="str">
            <v>SPLITTING</v>
          </cell>
          <cell r="O1762">
            <v>2</v>
          </cell>
          <cell r="P1762">
            <v>46146</v>
          </cell>
          <cell r="Q1762">
            <v>46156</v>
          </cell>
          <cell r="R1762">
            <v>46153</v>
          </cell>
          <cell r="S1762">
            <v>10</v>
          </cell>
          <cell r="T1762">
            <v>2</v>
          </cell>
          <cell r="U1762">
            <v>70</v>
          </cell>
          <cell r="V1762">
            <v>9</v>
          </cell>
          <cell r="W1762" t="str">
            <v>0.085D</v>
          </cell>
          <cell r="X1762" t="str">
            <v>5-2026</v>
          </cell>
          <cell r="Y1762" t="str">
            <v>Week 19</v>
          </cell>
          <cell r="Z1762">
            <v>46146</v>
          </cell>
          <cell r="AA1762">
            <v>258</v>
          </cell>
          <cell r="AB1762">
            <v>1.4290000000000001E-2</v>
          </cell>
        </row>
        <row r="1763">
          <cell r="A1763" t="str">
            <v>F-2026-05-07</v>
          </cell>
          <cell r="B1763"/>
          <cell r="C1763" t="str">
            <v>RPRO-260504-0919</v>
          </cell>
          <cell r="D1763" t="str">
            <v>MPS 29.04+02.05</v>
          </cell>
          <cell r="E1763" t="str">
            <v>BDB-000200</v>
          </cell>
          <cell r="F1763" t="str">
            <v>PVN-003418</v>
          </cell>
          <cell r="G1763" t="str">
            <v>OrthoLite Ultra SEEDPEARL/12-0703TPX Flat Sheet 0.085D 78-90 Asker F 1.1M 2M 5mm</v>
          </cell>
          <cell r="H1763">
            <v>364</v>
          </cell>
          <cell r="I1763">
            <v>364</v>
          </cell>
          <cell r="J1763">
            <v>0</v>
          </cell>
          <cell r="K1763">
            <v>364</v>
          </cell>
          <cell r="L1763"/>
          <cell r="M1763" t="str">
            <v>MPS</v>
          </cell>
          <cell r="N1763" t="str">
            <v>SPLITTING</v>
          </cell>
          <cell r="O1763">
            <v>2</v>
          </cell>
          <cell r="P1763">
            <v>46146</v>
          </cell>
          <cell r="Q1763">
            <v>46156</v>
          </cell>
          <cell r="R1763">
            <v>46153</v>
          </cell>
          <cell r="S1763">
            <v>10</v>
          </cell>
          <cell r="T1763">
            <v>5</v>
          </cell>
          <cell r="U1763">
            <v>28</v>
          </cell>
          <cell r="V1763">
            <v>13</v>
          </cell>
          <cell r="W1763" t="str">
            <v>0.085D</v>
          </cell>
          <cell r="X1763" t="str">
            <v>5-2026</v>
          </cell>
          <cell r="Y1763" t="str">
            <v>Week 19</v>
          </cell>
          <cell r="Z1763">
            <v>46146</v>
          </cell>
          <cell r="AA1763">
            <v>258</v>
          </cell>
          <cell r="AB1763">
            <v>3.5709999999999999E-2</v>
          </cell>
        </row>
        <row r="1764">
          <cell r="A1764" t="str">
            <v>F-2026-05-08</v>
          </cell>
          <cell r="B1764"/>
          <cell r="C1764" t="str">
            <v>RPRO-260504-0920</v>
          </cell>
          <cell r="D1764" t="str">
            <v>MPS 29.04+02.05</v>
          </cell>
          <cell r="E1764" t="str">
            <v>BDB-000200</v>
          </cell>
          <cell r="F1764" t="str">
            <v>PVN-003425</v>
          </cell>
          <cell r="G1764" t="str">
            <v>OrthoLite Ultra SEEDPEARL/12-0703TPX Flat Sheet 0.085D 78-90 Asker F 1.1M 2M 4mm</v>
          </cell>
          <cell r="H1764">
            <v>595</v>
          </cell>
          <cell r="I1764">
            <v>595</v>
          </cell>
          <cell r="J1764">
            <v>0</v>
          </cell>
          <cell r="K1764">
            <v>595</v>
          </cell>
          <cell r="L1764"/>
          <cell r="M1764" t="str">
            <v>MPS</v>
          </cell>
          <cell r="N1764" t="str">
            <v>SPLITTING</v>
          </cell>
          <cell r="O1764">
            <v>2</v>
          </cell>
          <cell r="P1764">
            <v>46146</v>
          </cell>
          <cell r="Q1764">
            <v>46156</v>
          </cell>
          <cell r="R1764">
            <v>46153</v>
          </cell>
          <cell r="S1764">
            <v>10</v>
          </cell>
          <cell r="T1764">
            <v>4</v>
          </cell>
          <cell r="U1764">
            <v>35</v>
          </cell>
          <cell r="V1764">
            <v>17</v>
          </cell>
          <cell r="W1764" t="str">
            <v>0.085D</v>
          </cell>
          <cell r="X1764" t="str">
            <v>5-2026</v>
          </cell>
          <cell r="Y1764" t="str">
            <v>Week 19</v>
          </cell>
          <cell r="Z1764">
            <v>46146</v>
          </cell>
          <cell r="AA1764">
            <v>258</v>
          </cell>
          <cell r="AB1764">
            <v>2.8570000000000002E-2</v>
          </cell>
        </row>
        <row r="1765">
          <cell r="A1765" t="str">
            <v>F-2026-05-09</v>
          </cell>
          <cell r="B1765"/>
          <cell r="C1765" t="str">
            <v>RPRO-260504-0921</v>
          </cell>
          <cell r="D1765" t="str">
            <v>MPS 29.04+02.05</v>
          </cell>
          <cell r="E1765" t="str">
            <v>BDB-000348</v>
          </cell>
          <cell r="F1765" t="str">
            <v>PVN-004210</v>
          </cell>
          <cell r="G1765" t="str">
            <v>OrthoLite IMPERIAL SEEDPEARL/12-0703TPX Flat Sheet 0.22D 25+/-4 Asker C 1.1M 1.47M 5mm</v>
          </cell>
          <cell r="H1765">
            <v>28</v>
          </cell>
          <cell r="I1765">
            <v>28</v>
          </cell>
          <cell r="J1765">
            <v>0</v>
          </cell>
          <cell r="K1765">
            <v>28</v>
          </cell>
          <cell r="L1765"/>
          <cell r="M1765" t="str">
            <v>MPS</v>
          </cell>
          <cell r="N1765" t="str">
            <v>SPLITTING</v>
          </cell>
          <cell r="O1765">
            <v>2</v>
          </cell>
          <cell r="P1765">
            <v>46146</v>
          </cell>
          <cell r="Q1765">
            <v>46161</v>
          </cell>
          <cell r="R1765">
            <v>46158</v>
          </cell>
          <cell r="S1765">
            <v>15</v>
          </cell>
          <cell r="T1765">
            <v>5</v>
          </cell>
          <cell r="U1765">
            <v>28</v>
          </cell>
          <cell r="V1765">
            <v>1</v>
          </cell>
          <cell r="W1765" t="e">
            <v>#N/A</v>
          </cell>
          <cell r="X1765" t="str">
            <v>5-2026</v>
          </cell>
          <cell r="Y1765" t="str">
            <v>Week 20</v>
          </cell>
          <cell r="Z1765">
            <v>46153</v>
          </cell>
          <cell r="AA1765">
            <v>258</v>
          </cell>
          <cell r="AB1765">
            <v>3.5709999999999999E-2</v>
          </cell>
        </row>
        <row r="1766">
          <cell r="A1766" t="str">
            <v>F-2026-05-10</v>
          </cell>
          <cell r="B1766"/>
          <cell r="C1766" t="str">
            <v>RPRO-260504-0922</v>
          </cell>
          <cell r="D1766" t="str">
            <v>Pro.sche.report 29.04+02.05</v>
          </cell>
          <cell r="E1766" t="str">
            <v>BDB-000083</v>
          </cell>
          <cell r="F1766" t="str">
            <v>PVN-003969</v>
          </cell>
          <cell r="G1766" t="str">
            <v>OrthoLite Eco LT 300C(ADIDAS BLUEBIRD) Flat Sheet 0.11D 25+/-4 Asker C 1.1M 2M 12mm</v>
          </cell>
          <cell r="H1766">
            <v>11</v>
          </cell>
          <cell r="I1766">
            <v>11</v>
          </cell>
          <cell r="J1766">
            <v>0</v>
          </cell>
          <cell r="K1766">
            <v>11</v>
          </cell>
          <cell r="L1766" t="str">
            <v>ADIDAS</v>
          </cell>
          <cell r="M1766" t="str">
            <v>Pr.Sch.R</v>
          </cell>
          <cell r="N1766" t="str">
            <v>MOLDED</v>
          </cell>
          <cell r="O1766">
            <v>1</v>
          </cell>
          <cell r="P1766">
            <v>46146</v>
          </cell>
          <cell r="Q1766">
            <v>46161</v>
          </cell>
          <cell r="R1766">
            <v>46158</v>
          </cell>
          <cell r="S1766">
            <v>15</v>
          </cell>
          <cell r="T1766">
            <v>12</v>
          </cell>
          <cell r="U1766">
            <v>11</v>
          </cell>
          <cell r="V1766">
            <v>2</v>
          </cell>
          <cell r="W1766" t="str">
            <v>0.11D</v>
          </cell>
          <cell r="X1766" t="str">
            <v>5-2026</v>
          </cell>
          <cell r="Y1766" t="str">
            <v>Week 20</v>
          </cell>
          <cell r="Z1766">
            <v>46153</v>
          </cell>
          <cell r="AA1766">
            <v>215</v>
          </cell>
          <cell r="AB1766">
            <v>9.0910000000000005E-2</v>
          </cell>
        </row>
        <row r="1767">
          <cell r="A1767" t="str">
            <v>F-2026-05-11</v>
          </cell>
          <cell r="B1767"/>
          <cell r="C1767" t="str">
            <v>RPRO-260504-0923</v>
          </cell>
          <cell r="D1767" t="str">
            <v>Pro.sche.report 29.04+02.05</v>
          </cell>
          <cell r="E1767" t="str">
            <v>BDB-000076</v>
          </cell>
          <cell r="F1767" t="str">
            <v>PVN-003448</v>
          </cell>
          <cell r="G1767" t="str">
            <v>OrthoLite X-25 BILLIARD/16-5427TPX Flat Sheet 0.12D 20+/-4 Asker C 1.1M 2M 6.2mm</v>
          </cell>
          <cell r="H1767">
            <v>814</v>
          </cell>
          <cell r="I1767">
            <v>814</v>
          </cell>
          <cell r="J1767">
            <v>0</v>
          </cell>
          <cell r="K1767">
            <v>814</v>
          </cell>
          <cell r="L1767" t="str">
            <v>ADIDAS</v>
          </cell>
          <cell r="M1767" t="str">
            <v>Pr.Sch.R</v>
          </cell>
          <cell r="N1767" t="str">
            <v>MOLDED</v>
          </cell>
          <cell r="O1767">
            <v>1</v>
          </cell>
          <cell r="P1767">
            <v>46146</v>
          </cell>
          <cell r="Q1767">
            <v>46161</v>
          </cell>
          <cell r="R1767">
            <v>46158</v>
          </cell>
          <cell r="S1767">
            <v>15</v>
          </cell>
          <cell r="T1767">
            <v>6.2</v>
          </cell>
          <cell r="U1767">
            <v>22</v>
          </cell>
          <cell r="V1767">
            <v>37</v>
          </cell>
          <cell r="W1767" t="str">
            <v>0.12D</v>
          </cell>
          <cell r="X1767" t="str">
            <v>5-2026</v>
          </cell>
          <cell r="Y1767" t="str">
            <v>Week 20</v>
          </cell>
          <cell r="Z1767">
            <v>46153</v>
          </cell>
          <cell r="AA1767">
            <v>215</v>
          </cell>
          <cell r="AB1767">
            <v>4.5449999999999997E-2</v>
          </cell>
        </row>
        <row r="1768">
          <cell r="A1768" t="str">
            <v>F-2026-05-12</v>
          </cell>
          <cell r="B1768"/>
          <cell r="C1768" t="str">
            <v>RPRO-260504-0924</v>
          </cell>
          <cell r="D1768" t="str">
            <v>Pro.sche.report 29.04+02.05</v>
          </cell>
          <cell r="E1768" t="str">
            <v>BDB-000273</v>
          </cell>
          <cell r="F1768" t="str">
            <v>PVN-004138</v>
          </cell>
          <cell r="G1768" t="str">
            <v>OrthoLite X-40-Hybrid SEEDPEARL/12-0703TPX Hybrid Flat Sheet 0.16D 25+/-4 Asker C 1.1M 2M 5.5mm</v>
          </cell>
          <cell r="H1768">
            <v>1650</v>
          </cell>
          <cell r="I1768">
            <v>1650</v>
          </cell>
          <cell r="J1768">
            <v>0</v>
          </cell>
          <cell r="K1768">
            <v>1650</v>
          </cell>
          <cell r="L1768" t="str">
            <v>ON RUNNING</v>
          </cell>
          <cell r="M1768" t="str">
            <v>Pr.Sch.R</v>
          </cell>
          <cell r="N1768" t="str">
            <v>MOLDED</v>
          </cell>
          <cell r="O1768">
            <v>1</v>
          </cell>
          <cell r="P1768">
            <v>46146</v>
          </cell>
          <cell r="Q1768">
            <v>46161</v>
          </cell>
          <cell r="R1768">
            <v>46158</v>
          </cell>
          <cell r="S1768">
            <v>15</v>
          </cell>
          <cell r="T1768">
            <v>5.5</v>
          </cell>
          <cell r="U1768">
            <v>25</v>
          </cell>
          <cell r="V1768">
            <v>66</v>
          </cell>
          <cell r="W1768" t="str">
            <v>0.16D</v>
          </cell>
          <cell r="X1768" t="str">
            <v>5-2026</v>
          </cell>
          <cell r="Y1768" t="str">
            <v>Week 20</v>
          </cell>
          <cell r="Z1768">
            <v>46153</v>
          </cell>
          <cell r="AA1768">
            <v>215</v>
          </cell>
          <cell r="AB1768">
            <v>0.04</v>
          </cell>
        </row>
        <row r="1769">
          <cell r="A1769" t="str">
            <v>F-2026-05-13</v>
          </cell>
          <cell r="B1769"/>
          <cell r="C1769" t="str">
            <v>RPRO-260504-0925</v>
          </cell>
          <cell r="D1769" t="str">
            <v>Pro.sche.report 29.04+02.05</v>
          </cell>
          <cell r="E1769" t="str">
            <v>BDB-000339</v>
          </cell>
          <cell r="F1769" t="str">
            <v>PVN-004178</v>
          </cell>
          <cell r="G1769" t="str">
            <v>OrthoLite Float NEUTRAL GRAY/17-4402TPX Flat Sheet 0.12D 21+/-4 Asker C 1.1M 2M 5.5mm</v>
          </cell>
          <cell r="H1769">
            <v>500</v>
          </cell>
          <cell r="I1769">
            <v>500</v>
          </cell>
          <cell r="J1769">
            <v>0</v>
          </cell>
          <cell r="K1769">
            <v>500</v>
          </cell>
          <cell r="L1769" t="str">
            <v>PUMA</v>
          </cell>
          <cell r="M1769" t="str">
            <v>Pr.Sch.R</v>
          </cell>
          <cell r="N1769" t="str">
            <v>MOLDED</v>
          </cell>
          <cell r="O1769">
            <v>1</v>
          </cell>
          <cell r="P1769">
            <v>46146</v>
          </cell>
          <cell r="Q1769">
            <v>46175</v>
          </cell>
          <cell r="R1769">
            <v>46172</v>
          </cell>
          <cell r="S1769">
            <v>29</v>
          </cell>
          <cell r="T1769">
            <v>5.5</v>
          </cell>
          <cell r="U1769">
            <v>25</v>
          </cell>
          <cell r="V1769">
            <v>20</v>
          </cell>
          <cell r="W1769" t="e">
            <v>#N/A</v>
          </cell>
          <cell r="X1769" t="str">
            <v>6-2026</v>
          </cell>
          <cell r="Y1769" t="str">
            <v>Week 22</v>
          </cell>
          <cell r="Z1769">
            <v>46167</v>
          </cell>
          <cell r="AA1769">
            <v>215</v>
          </cell>
          <cell r="AB1769">
            <v>0.04</v>
          </cell>
        </row>
        <row r="1770">
          <cell r="A1770" t="str">
            <v>F-2026-05-14</v>
          </cell>
          <cell r="B1770"/>
          <cell r="C1770" t="str">
            <v>RPRO-260504-0926</v>
          </cell>
          <cell r="D1770" t="str">
            <v>Pro.sche.report 29.04+02.05</v>
          </cell>
          <cell r="E1770" t="str">
            <v>BDB-000334</v>
          </cell>
          <cell r="F1770" t="str">
            <v>PVN-004327</v>
          </cell>
          <cell r="G1770" t="str">
            <v>OrthoLite X-55-Hybrid FOSSIL/17-0909TPX Hybrid Flat Sheet 0.16D 25+/-4 Asker C 1.1M 2M 6mm</v>
          </cell>
          <cell r="H1770">
            <v>46</v>
          </cell>
          <cell r="I1770">
            <v>46</v>
          </cell>
          <cell r="J1770">
            <v>0</v>
          </cell>
          <cell r="K1770">
            <v>46</v>
          </cell>
          <cell r="L1770" t="str">
            <v>ASICS</v>
          </cell>
          <cell r="M1770" t="str">
            <v>Pr.Sch.R</v>
          </cell>
          <cell r="N1770" t="str">
            <v>MOLDED</v>
          </cell>
          <cell r="O1770">
            <v>1</v>
          </cell>
          <cell r="P1770">
            <v>46146</v>
          </cell>
          <cell r="Q1770">
            <v>46161</v>
          </cell>
          <cell r="R1770">
            <v>46158</v>
          </cell>
          <cell r="S1770">
            <v>15</v>
          </cell>
          <cell r="T1770">
            <v>6</v>
          </cell>
          <cell r="U1770">
            <v>23</v>
          </cell>
          <cell r="V1770">
            <v>2</v>
          </cell>
          <cell r="W1770" t="e">
            <v>#N/A</v>
          </cell>
          <cell r="X1770" t="str">
            <v>5-2026</v>
          </cell>
          <cell r="Y1770" t="str">
            <v>Week 20</v>
          </cell>
          <cell r="Z1770">
            <v>46153</v>
          </cell>
          <cell r="AA1770">
            <v>215</v>
          </cell>
          <cell r="AB1770">
            <v>4.1669999999999999E-2</v>
          </cell>
        </row>
        <row r="1771">
          <cell r="A1771" t="str">
            <v>F-2026-05-15</v>
          </cell>
          <cell r="B1771"/>
          <cell r="C1771" t="str">
            <v>RPRO-260504-0927</v>
          </cell>
          <cell r="D1771" t="str">
            <v>Pro.sche.report 29.04+02.05</v>
          </cell>
          <cell r="E1771" t="str">
            <v>BDB-000313</v>
          </cell>
          <cell r="F1771" t="str">
            <v>PVN-004061</v>
          </cell>
          <cell r="G1771" t="str">
            <v>OrthoLite X-55 RED/19-1764TPX Flat Sheet 0.16D 25+/-4 Asker C 1.1M 1.47M 18mm</v>
          </cell>
          <cell r="H1771">
            <v>7</v>
          </cell>
          <cell r="I1771">
            <v>7</v>
          </cell>
          <cell r="J1771">
            <v>0</v>
          </cell>
          <cell r="K1771">
            <v>7</v>
          </cell>
          <cell r="L1771" t="str">
            <v>WILSON</v>
          </cell>
          <cell r="M1771" t="str">
            <v>Pr.Sch.R</v>
          </cell>
          <cell r="N1771" t="str">
            <v>MOLDED</v>
          </cell>
          <cell r="O1771">
            <v>1</v>
          </cell>
          <cell r="P1771">
            <v>46146</v>
          </cell>
          <cell r="Q1771">
            <v>46161</v>
          </cell>
          <cell r="R1771">
            <v>46158</v>
          </cell>
          <cell r="S1771">
            <v>15</v>
          </cell>
          <cell r="T1771">
            <v>18</v>
          </cell>
          <cell r="U1771">
            <v>7</v>
          </cell>
          <cell r="V1771">
            <v>2</v>
          </cell>
          <cell r="W1771" t="e">
            <v>#N/A</v>
          </cell>
          <cell r="X1771" t="str">
            <v>5-2026</v>
          </cell>
          <cell r="Y1771" t="str">
            <v>Week 20</v>
          </cell>
          <cell r="Z1771">
            <v>46153</v>
          </cell>
          <cell r="AA1771">
            <v>215</v>
          </cell>
          <cell r="AB1771">
            <v>0.14285999999999999</v>
          </cell>
        </row>
        <row r="1772">
          <cell r="A1772" t="str">
            <v>F-2026-05-16</v>
          </cell>
          <cell r="B1772"/>
          <cell r="C1772" t="str">
            <v>RPRO-260504-0928</v>
          </cell>
          <cell r="D1772" t="str">
            <v>Pro.sche.report 29.04+02.05</v>
          </cell>
          <cell r="E1772" t="str">
            <v>BDB-000076</v>
          </cell>
          <cell r="F1772" t="str">
            <v>PVN-003745</v>
          </cell>
          <cell r="G1772" t="str">
            <v>OrthoLite X-25 BILLIARD/16-5427TPX Flat Sheet 0.12D 20+/-4 Asker C 1.1M 2M 16mm</v>
          </cell>
          <cell r="H1772">
            <v>112</v>
          </cell>
          <cell r="I1772">
            <v>112</v>
          </cell>
          <cell r="J1772">
            <v>0</v>
          </cell>
          <cell r="K1772">
            <v>112</v>
          </cell>
          <cell r="L1772" t="str">
            <v>FOOTJOY</v>
          </cell>
          <cell r="M1772" t="str">
            <v>Pr.Sch.R</v>
          </cell>
          <cell r="N1772" t="str">
            <v>MOLDED</v>
          </cell>
          <cell r="O1772">
            <v>1</v>
          </cell>
          <cell r="P1772">
            <v>46146</v>
          </cell>
          <cell r="Q1772">
            <v>46157</v>
          </cell>
          <cell r="R1772">
            <v>46154</v>
          </cell>
          <cell r="S1772">
            <v>11</v>
          </cell>
          <cell r="T1772">
            <v>16</v>
          </cell>
          <cell r="U1772">
            <v>8</v>
          </cell>
          <cell r="V1772">
            <v>14</v>
          </cell>
          <cell r="W1772" t="str">
            <v>0.12D</v>
          </cell>
          <cell r="X1772" t="str">
            <v>5-2026</v>
          </cell>
          <cell r="Y1772" t="str">
            <v>Week 19</v>
          </cell>
          <cell r="Z1772">
            <v>46146</v>
          </cell>
          <cell r="AA1772">
            <v>215</v>
          </cell>
          <cell r="AB1772">
            <v>0.125</v>
          </cell>
        </row>
        <row r="1773">
          <cell r="A1773" t="str">
            <v>F-2026-05-17</v>
          </cell>
          <cell r="B1773"/>
          <cell r="C1773" t="str">
            <v>RPRO-260504-0929</v>
          </cell>
          <cell r="D1773" t="str">
            <v>Pro.sche.report 29.04+02.05</v>
          </cell>
          <cell r="E1773" t="str">
            <v>BDB-000314</v>
          </cell>
          <cell r="F1773" t="str">
            <v>PVN-004066</v>
          </cell>
          <cell r="G1773" t="str">
            <v>OrthoLite Regular NEUTRAL GRAY/17-4402TPX Flat Sheet 0.16D 51+/-4 Asker C 1.1M 1.7M 9.5mm</v>
          </cell>
          <cell r="H1773">
            <v>14</v>
          </cell>
          <cell r="I1773">
            <v>14</v>
          </cell>
          <cell r="J1773">
            <v>0</v>
          </cell>
          <cell r="K1773">
            <v>14</v>
          </cell>
          <cell r="L1773" t="str">
            <v>FOOTJOY</v>
          </cell>
          <cell r="M1773" t="str">
            <v>Pr.Sch.R</v>
          </cell>
          <cell r="N1773" t="str">
            <v>MOLDED</v>
          </cell>
          <cell r="O1773">
            <v>1</v>
          </cell>
          <cell r="P1773">
            <v>46146</v>
          </cell>
          <cell r="Q1773">
            <v>46156</v>
          </cell>
          <cell r="R1773">
            <v>46153</v>
          </cell>
          <cell r="S1773">
            <v>10</v>
          </cell>
          <cell r="T1773">
            <v>9.5</v>
          </cell>
          <cell r="U1773">
            <v>14</v>
          </cell>
          <cell r="V1773">
            <v>2</v>
          </cell>
          <cell r="W1773" t="e">
            <v>#N/A</v>
          </cell>
          <cell r="X1773" t="str">
            <v>5-2026</v>
          </cell>
          <cell r="Y1773" t="str">
            <v>Week 19</v>
          </cell>
          <cell r="Z1773">
            <v>46146</v>
          </cell>
          <cell r="AA1773">
            <v>135</v>
          </cell>
          <cell r="AB1773">
            <v>7.1429999999999993E-2</v>
          </cell>
        </row>
        <row r="1774">
          <cell r="A1774" t="str">
            <v>F-2026-05-18</v>
          </cell>
          <cell r="B1774"/>
          <cell r="C1774" t="str">
            <v>RPRO-260504-0930</v>
          </cell>
          <cell r="D1774" t="str">
            <v>Pro.sche.report 29.04+02.05</v>
          </cell>
          <cell r="E1774" t="str">
            <v>BDB-000212</v>
          </cell>
          <cell r="F1774" t="str">
            <v>PVN-003764</v>
          </cell>
          <cell r="G1774" t="str">
            <v>OrthoLite X-25-Hybrid SEEDPEARL/12-0703TPX Hybrid Flat Sheet 0.12D 20+/-4 Asker C 1.1M 2M 5mm</v>
          </cell>
          <cell r="H1774">
            <v>84</v>
          </cell>
          <cell r="I1774">
            <v>84</v>
          </cell>
          <cell r="J1774">
            <v>0</v>
          </cell>
          <cell r="K1774">
            <v>84</v>
          </cell>
          <cell r="L1774" t="str">
            <v>FOOTJOY</v>
          </cell>
          <cell r="M1774" t="str">
            <v>Pr.Sch.R</v>
          </cell>
          <cell r="N1774" t="str">
            <v>OTHERS</v>
          </cell>
          <cell r="O1774">
            <v>1</v>
          </cell>
          <cell r="P1774">
            <v>46146</v>
          </cell>
          <cell r="Q1774">
            <v>46157</v>
          </cell>
          <cell r="R1774">
            <v>46154</v>
          </cell>
          <cell r="S1774">
            <v>11</v>
          </cell>
          <cell r="T1774">
            <v>5</v>
          </cell>
          <cell r="U1774">
            <v>28</v>
          </cell>
          <cell r="V1774">
            <v>3</v>
          </cell>
          <cell r="W1774" t="str">
            <v>0.12D</v>
          </cell>
          <cell r="X1774" t="str">
            <v>5-2026</v>
          </cell>
          <cell r="Y1774" t="str">
            <v>Week 20</v>
          </cell>
          <cell r="Z1774">
            <v>46153</v>
          </cell>
          <cell r="AA1774">
            <v>135</v>
          </cell>
          <cell r="AB1774">
            <v>3.5709999999999999E-2</v>
          </cell>
        </row>
        <row r="1775">
          <cell r="A1775" t="str">
            <v>F-2026-05-19</v>
          </cell>
          <cell r="B1775"/>
          <cell r="C1775" t="str">
            <v>RPRO-260504-0931</v>
          </cell>
          <cell r="D1775" t="str">
            <v>Pro.sche.report 29.04+02.05</v>
          </cell>
          <cell r="E1775" t="str">
            <v>BDB-000130</v>
          </cell>
          <cell r="F1775" t="str">
            <v>PVN-001585</v>
          </cell>
          <cell r="G1775" t="str">
            <v>OrthoLite Regular-Nike AIR BLUE/16-4134TPX Flat Sheet 0.13D 35+/-4 Asker C 1.1M 2M 6mm</v>
          </cell>
          <cell r="H1775">
            <v>345</v>
          </cell>
          <cell r="I1775">
            <v>345</v>
          </cell>
          <cell r="J1775">
            <v>0</v>
          </cell>
          <cell r="K1775">
            <v>345</v>
          </cell>
          <cell r="L1775" t="str">
            <v>NIKE</v>
          </cell>
          <cell r="M1775" t="str">
            <v>Pr.Sch.R</v>
          </cell>
          <cell r="N1775" t="str">
            <v>MOLDED</v>
          </cell>
          <cell r="O1775">
            <v>1</v>
          </cell>
          <cell r="P1775">
            <v>46146</v>
          </cell>
          <cell r="Q1775">
            <v>46156</v>
          </cell>
          <cell r="R1775">
            <v>46153</v>
          </cell>
          <cell r="S1775">
            <v>10</v>
          </cell>
          <cell r="T1775">
            <v>6</v>
          </cell>
          <cell r="U1775">
            <v>23</v>
          </cell>
          <cell r="V1775">
            <v>16</v>
          </cell>
          <cell r="W1775" t="str">
            <v>0.13D</v>
          </cell>
          <cell r="X1775" t="str">
            <v>5-2026</v>
          </cell>
          <cell r="Y1775" t="str">
            <v>Week 19</v>
          </cell>
          <cell r="Z1775">
            <v>46146</v>
          </cell>
          <cell r="AA1775">
            <v>135</v>
          </cell>
          <cell r="AB1775">
            <v>4.3479999999999998E-2</v>
          </cell>
        </row>
        <row r="1776">
          <cell r="A1776" t="str">
            <v>F-2026-05-20</v>
          </cell>
          <cell r="B1776"/>
          <cell r="C1776" t="str">
            <v>RPRO-260504-0932</v>
          </cell>
          <cell r="D1776" t="str">
            <v>Pro.sche.report 29.04+02.05</v>
          </cell>
          <cell r="E1776" t="str">
            <v>BDB-000097</v>
          </cell>
          <cell r="F1776" t="str">
            <v>PVN-002473</v>
          </cell>
          <cell r="G1776" t="str">
            <v>OrthoLite Eco LT-Hybrid SEEDPEARL/12-0703TPX Hybrid Flat Sheet 0.11D 25+/-4 Asker C 1.1M 2M 5mm</v>
          </cell>
          <cell r="H1776">
            <v>280</v>
          </cell>
          <cell r="I1776">
            <v>280</v>
          </cell>
          <cell r="J1776">
            <v>0</v>
          </cell>
          <cell r="K1776">
            <v>280</v>
          </cell>
          <cell r="L1776" t="str">
            <v>NEW BALANCE</v>
          </cell>
          <cell r="M1776" t="str">
            <v>Pr.Sch.R</v>
          </cell>
          <cell r="N1776" t="str">
            <v>DIE CUT</v>
          </cell>
          <cell r="O1776">
            <v>1</v>
          </cell>
          <cell r="P1776">
            <v>46146</v>
          </cell>
          <cell r="Q1776">
            <v>46161</v>
          </cell>
          <cell r="R1776">
            <v>46158</v>
          </cell>
          <cell r="S1776">
            <v>15</v>
          </cell>
          <cell r="T1776">
            <v>5</v>
          </cell>
          <cell r="U1776">
            <v>28</v>
          </cell>
          <cell r="V1776">
            <v>10</v>
          </cell>
          <cell r="W1776" t="str">
            <v>0.11D</v>
          </cell>
          <cell r="X1776" t="str">
            <v>5-2026</v>
          </cell>
          <cell r="Y1776" t="str">
            <v>Week 20</v>
          </cell>
          <cell r="Z1776">
            <v>46153</v>
          </cell>
          <cell r="AA1776">
            <v>135</v>
          </cell>
          <cell r="AB1776">
            <v>3.5709999999999999E-2</v>
          </cell>
        </row>
        <row r="1777">
          <cell r="A1777" t="str">
            <v>F-2026-05-21</v>
          </cell>
          <cell r="B1777"/>
          <cell r="C1777" t="str">
            <v>RPRO-260504-0933</v>
          </cell>
          <cell r="D1777" t="str">
            <v>Pro.sche.report 29.04+02.05</v>
          </cell>
          <cell r="E1777" t="str">
            <v>BDB-000077</v>
          </cell>
          <cell r="F1777" t="str">
            <v>PVN-003478</v>
          </cell>
          <cell r="G1777" t="str">
            <v>Ortholite X-25 SEEDPEARL/12-0703TPX Flat Sheet 0.12D 20+/-4 Asker C 1.1M 2M 4mm</v>
          </cell>
          <cell r="H1777">
            <v>35</v>
          </cell>
          <cell r="I1777">
            <v>35</v>
          </cell>
          <cell r="J1777">
            <v>0</v>
          </cell>
          <cell r="K1777">
            <v>35</v>
          </cell>
          <cell r="L1777" t="str">
            <v>SOLEWORKS</v>
          </cell>
          <cell r="M1777" t="str">
            <v>Pr.Sch.R</v>
          </cell>
          <cell r="N1777" t="str">
            <v>DIE CUT</v>
          </cell>
          <cell r="O1777">
            <v>1</v>
          </cell>
          <cell r="P1777">
            <v>46146</v>
          </cell>
          <cell r="Q1777">
            <v>46157</v>
          </cell>
          <cell r="R1777">
            <v>46154</v>
          </cell>
          <cell r="S1777">
            <v>11</v>
          </cell>
          <cell r="T1777">
            <v>4</v>
          </cell>
          <cell r="U1777">
            <v>35</v>
          </cell>
          <cell r="V1777">
            <v>1</v>
          </cell>
          <cell r="W1777" t="str">
            <v>0.12D</v>
          </cell>
          <cell r="X1777" t="str">
            <v>5-2026</v>
          </cell>
          <cell r="Y1777" t="str">
            <v>Week 19</v>
          </cell>
          <cell r="Z1777">
            <v>46146</v>
          </cell>
          <cell r="AA1777">
            <v>509</v>
          </cell>
          <cell r="AB1777">
            <v>2.8570000000000002E-2</v>
          </cell>
        </row>
        <row r="1778">
          <cell r="A1778" t="str">
            <v>F-2026-05-22</v>
          </cell>
          <cell r="B1778"/>
          <cell r="C1778" t="str">
            <v>RPRO-260504-0934</v>
          </cell>
          <cell r="D1778" t="str">
            <v>Pro.sche.report 29.04+02.05</v>
          </cell>
          <cell r="E1778" t="str">
            <v>BDB-000174</v>
          </cell>
          <cell r="F1778" t="str">
            <v>PVN-003503</v>
          </cell>
          <cell r="G1778" t="str">
            <v>OrthoLite Ultra-Hybrid-Nike SEEDPEARL/12-0703TPX Hybrid Flat Sheet 0.085D 15+/-4 Asker C 1.1M 2M 3mm</v>
          </cell>
          <cell r="H1778">
            <v>276</v>
          </cell>
          <cell r="I1778">
            <v>276</v>
          </cell>
          <cell r="J1778">
            <v>0</v>
          </cell>
          <cell r="K1778">
            <v>276</v>
          </cell>
          <cell r="L1778" t="str">
            <v>NIKE</v>
          </cell>
          <cell r="M1778" t="str">
            <v>Pr.Sch.R</v>
          </cell>
          <cell r="N1778" t="str">
            <v>DIE CUT</v>
          </cell>
          <cell r="O1778">
            <v>1</v>
          </cell>
          <cell r="P1778">
            <v>46146</v>
          </cell>
          <cell r="Q1778">
            <v>46156</v>
          </cell>
          <cell r="R1778">
            <v>46153</v>
          </cell>
          <cell r="S1778">
            <v>10</v>
          </cell>
          <cell r="T1778">
            <v>3</v>
          </cell>
          <cell r="U1778">
            <v>46</v>
          </cell>
          <cell r="V1778">
            <v>7</v>
          </cell>
          <cell r="W1778" t="str">
            <v>0.085D</v>
          </cell>
          <cell r="X1778" t="str">
            <v>5-2026</v>
          </cell>
          <cell r="Y1778" t="str">
            <v>Week 19</v>
          </cell>
          <cell r="Z1778">
            <v>46146</v>
          </cell>
          <cell r="AA1778">
            <v>163</v>
          </cell>
          <cell r="AB1778">
            <v>2.1739999999999999E-2</v>
          </cell>
        </row>
        <row r="1779">
          <cell r="A1779" t="str">
            <v>F-2026-05-23</v>
          </cell>
          <cell r="B1779"/>
          <cell r="C1779" t="str">
            <v>RPRO-260504-0935</v>
          </cell>
          <cell r="D1779" t="str">
            <v>Pro.sche.report 29.04+02.05</v>
          </cell>
          <cell r="E1779" t="str">
            <v>BDB-000229</v>
          </cell>
          <cell r="F1779" t="str">
            <v>PVN-003878</v>
          </cell>
          <cell r="G1779" t="str">
            <v>OrthoLite Ultra-Hybrid SEEDPEARL/12-0703TPX Hybrid Flat Sheet 0.095D 33+/-4 Asker C 1.1M 2M 4mm</v>
          </cell>
          <cell r="H1779">
            <v>35</v>
          </cell>
          <cell r="I1779">
            <v>35</v>
          </cell>
          <cell r="J1779">
            <v>0</v>
          </cell>
          <cell r="K1779">
            <v>35</v>
          </cell>
          <cell r="L1779" t="str">
            <v>ON RUNNING</v>
          </cell>
          <cell r="M1779" t="str">
            <v>Pr.Sch.R</v>
          </cell>
          <cell r="N1779" t="str">
            <v>DIE CUT</v>
          </cell>
          <cell r="O1779">
            <v>1</v>
          </cell>
          <cell r="P1779">
            <v>46146</v>
          </cell>
          <cell r="Q1779">
            <v>46161</v>
          </cell>
          <cell r="R1779">
            <v>46158</v>
          </cell>
          <cell r="S1779">
            <v>15</v>
          </cell>
          <cell r="T1779">
            <v>4</v>
          </cell>
          <cell r="U1779">
            <v>35</v>
          </cell>
          <cell r="V1779">
            <v>1</v>
          </cell>
          <cell r="W1779" t="str">
            <v>0.095D</v>
          </cell>
          <cell r="X1779" t="str">
            <v>5-2026</v>
          </cell>
          <cell r="Y1779" t="str">
            <v>Week 20</v>
          </cell>
          <cell r="Z1779">
            <v>46153</v>
          </cell>
          <cell r="AA1779">
            <v>163</v>
          </cell>
          <cell r="AB1779">
            <v>2.8570000000000002E-2</v>
          </cell>
        </row>
        <row r="1780">
          <cell r="A1780" t="str">
            <v>F-2026-05-24</v>
          </cell>
          <cell r="B1780"/>
          <cell r="C1780" t="str">
            <v>RPRO-260504-0936</v>
          </cell>
          <cell r="D1780" t="str">
            <v>Pro.sche.report 29.04+02.05</v>
          </cell>
          <cell r="E1780" t="str">
            <v>BDB-000180</v>
          </cell>
          <cell r="F1780" t="str">
            <v>PVN-003236</v>
          </cell>
          <cell r="G1780" t="str">
            <v>OrthoLite Eco LT-Hybrid-Converse SEEDPEARL/12-0703TPX Hybrid Flat Sheet 0.13D 25+/-4 Asker C 1.1M 2M 5mm</v>
          </cell>
          <cell r="H1780">
            <v>2081</v>
          </cell>
          <cell r="I1780">
            <v>2081</v>
          </cell>
          <cell r="J1780">
            <v>0</v>
          </cell>
          <cell r="K1780">
            <v>2081</v>
          </cell>
          <cell r="L1780" t="str">
            <v>CONVERSE</v>
          </cell>
          <cell r="M1780" t="str">
            <v>Pr.Sch.R</v>
          </cell>
          <cell r="N1780" t="str">
            <v>DIE CUT</v>
          </cell>
          <cell r="O1780">
            <v>1</v>
          </cell>
          <cell r="P1780">
            <v>46146</v>
          </cell>
          <cell r="Q1780">
            <v>46156</v>
          </cell>
          <cell r="R1780">
            <v>46153</v>
          </cell>
          <cell r="S1780">
            <v>10</v>
          </cell>
          <cell r="T1780">
            <v>5</v>
          </cell>
          <cell r="U1780">
            <v>28</v>
          </cell>
          <cell r="V1780">
            <v>75</v>
          </cell>
          <cell r="W1780" t="str">
            <v>0.13D</v>
          </cell>
          <cell r="X1780" t="str">
            <v>5-2026</v>
          </cell>
          <cell r="Y1780" t="str">
            <v>Week 19</v>
          </cell>
          <cell r="Z1780">
            <v>46146</v>
          </cell>
          <cell r="AA1780">
            <v>163</v>
          </cell>
          <cell r="AB1780">
            <v>3.5709999999999999E-2</v>
          </cell>
        </row>
        <row r="1781">
          <cell r="A1781" t="str">
            <v>F-2026-05-25</v>
          </cell>
          <cell r="B1781"/>
          <cell r="C1781" t="str">
            <v>RPRO-260504-0937</v>
          </cell>
          <cell r="D1781" t="str">
            <v>Pro.sche.report 29.04+02.05</v>
          </cell>
          <cell r="E1781" t="str">
            <v>BDB-000076</v>
          </cell>
          <cell r="F1781" t="str">
            <v>PVN-003341</v>
          </cell>
          <cell r="G1781" t="str">
            <v>OrthoLite X-25 BILLIARD/16-5427TPX Flat Sheet 0.12D 20+/-4 Asker C 1.1M 2M 6mm</v>
          </cell>
          <cell r="H1781">
            <v>92</v>
          </cell>
          <cell r="I1781">
            <v>92</v>
          </cell>
          <cell r="J1781">
            <v>0</v>
          </cell>
          <cell r="K1781">
            <v>92</v>
          </cell>
          <cell r="L1781" t="str">
            <v>LOTTO</v>
          </cell>
          <cell r="M1781" t="str">
            <v>Pr.Sch.R</v>
          </cell>
          <cell r="N1781" t="str">
            <v>MOLDED</v>
          </cell>
          <cell r="O1781">
            <v>1</v>
          </cell>
          <cell r="P1781">
            <v>46146</v>
          </cell>
          <cell r="Q1781">
            <v>46161</v>
          </cell>
          <cell r="R1781">
            <v>46158</v>
          </cell>
          <cell r="S1781">
            <v>15</v>
          </cell>
          <cell r="T1781">
            <v>6</v>
          </cell>
          <cell r="U1781">
            <v>23</v>
          </cell>
          <cell r="V1781">
            <v>5</v>
          </cell>
          <cell r="W1781" t="str">
            <v>0.12D</v>
          </cell>
          <cell r="X1781" t="str">
            <v>5-2026</v>
          </cell>
          <cell r="Y1781" t="str">
            <v>Week 20</v>
          </cell>
          <cell r="Z1781">
            <v>46153</v>
          </cell>
          <cell r="AA1781">
            <v>82</v>
          </cell>
          <cell r="AB1781">
            <v>4.3479999999999998E-2</v>
          </cell>
        </row>
        <row r="1782">
          <cell r="A1782" t="str">
            <v>F-2026-05-26</v>
          </cell>
          <cell r="B1782"/>
          <cell r="C1782" t="str">
            <v>RPRO-260504-0938</v>
          </cell>
          <cell r="D1782" t="str">
            <v>Pro.sche.report 29.04+02.05</v>
          </cell>
          <cell r="E1782" t="str">
            <v>BDB-000158</v>
          </cell>
          <cell r="F1782" t="str">
            <v>PVN-001554</v>
          </cell>
          <cell r="G1782" t="str">
            <v>OrthoLite Ultra-Nike YELLOW/13-0858TPX Flat Sheet 0.085D 15+/-4 Asker C 1.1M 2M 3mm</v>
          </cell>
          <cell r="H1782">
            <v>46</v>
          </cell>
          <cell r="I1782">
            <v>46</v>
          </cell>
          <cell r="J1782">
            <v>0</v>
          </cell>
          <cell r="K1782">
            <v>46</v>
          </cell>
          <cell r="L1782" t="str">
            <v>NIKE</v>
          </cell>
          <cell r="M1782" t="str">
            <v>Pr.Sch.R</v>
          </cell>
          <cell r="N1782" t="str">
            <v>DIE CUT</v>
          </cell>
          <cell r="O1782">
            <v>1</v>
          </cell>
          <cell r="P1782">
            <v>46146</v>
          </cell>
          <cell r="Q1782">
            <v>46156</v>
          </cell>
          <cell r="R1782">
            <v>46153</v>
          </cell>
          <cell r="S1782">
            <v>10</v>
          </cell>
          <cell r="T1782">
            <v>3</v>
          </cell>
          <cell r="U1782">
            <v>46</v>
          </cell>
          <cell r="V1782">
            <v>2</v>
          </cell>
          <cell r="W1782" t="str">
            <v>0.085D</v>
          </cell>
          <cell r="X1782" t="str">
            <v>5-2026</v>
          </cell>
          <cell r="Y1782" t="str">
            <v>Week 19</v>
          </cell>
          <cell r="Z1782">
            <v>46146</v>
          </cell>
          <cell r="AA1782">
            <v>82</v>
          </cell>
          <cell r="AB1782">
            <v>2.1739999999999999E-2</v>
          </cell>
        </row>
        <row r="1783">
          <cell r="A1783" t="str">
            <v>F-2026-05-27</v>
          </cell>
          <cell r="B1783"/>
          <cell r="C1783" t="str">
            <v>RPRO-260504-0939</v>
          </cell>
          <cell r="D1783" t="str">
            <v>Pro.sche.report 29.04+02.05</v>
          </cell>
          <cell r="E1783" t="str">
            <v>BDB-000055</v>
          </cell>
          <cell r="F1783" t="str">
            <v>PVN-004155</v>
          </cell>
          <cell r="G1783" t="str">
            <v>OrthoLite X-40 TRUE BLUE/19-4057TPX Flat Sheet 0.16D 35+/-4 Asker C 1.1M 1.7M 3.2mm</v>
          </cell>
          <cell r="H1783">
            <v>129</v>
          </cell>
          <cell r="I1783">
            <v>129</v>
          </cell>
          <cell r="J1783">
            <v>0</v>
          </cell>
          <cell r="K1783">
            <v>129</v>
          </cell>
          <cell r="L1783" t="str">
            <v>ADIDAS</v>
          </cell>
          <cell r="M1783" t="str">
            <v>Pr.Sch.R</v>
          </cell>
          <cell r="N1783" t="str">
            <v>MOLDED</v>
          </cell>
          <cell r="O1783">
            <v>1</v>
          </cell>
          <cell r="P1783">
            <v>46146</v>
          </cell>
          <cell r="Q1783">
            <v>46157</v>
          </cell>
          <cell r="R1783">
            <v>46154</v>
          </cell>
          <cell r="S1783">
            <v>11</v>
          </cell>
          <cell r="T1783">
            <v>3.2</v>
          </cell>
          <cell r="U1783">
            <v>43</v>
          </cell>
          <cell r="V1783">
            <v>4</v>
          </cell>
          <cell r="W1783" t="str">
            <v>0.16D</v>
          </cell>
          <cell r="X1783" t="str">
            <v>5-2026</v>
          </cell>
          <cell r="Y1783" t="str">
            <v>Week 20</v>
          </cell>
          <cell r="Z1783">
            <v>46153</v>
          </cell>
          <cell r="AA1783">
            <v>82</v>
          </cell>
          <cell r="AB1783">
            <v>2.3259999999999999E-2</v>
          </cell>
        </row>
        <row r="1784">
          <cell r="A1784" t="str">
            <v>F-2026-05-28</v>
          </cell>
          <cell r="B1784"/>
          <cell r="C1784" t="str">
            <v>RPRO-260504-0940</v>
          </cell>
          <cell r="D1784" t="str">
            <v>Pro.sche.report 29.04+02.05</v>
          </cell>
          <cell r="E1784" t="str">
            <v>BDB-000174</v>
          </cell>
          <cell r="F1784" t="str">
            <v>PVN-003502</v>
          </cell>
          <cell r="G1784" t="str">
            <v>OrthoLite Ultra-Hybrid-Nike SEEDPEARL/12-0703TPX Hybrid Flat Sheet 0.085D 15+/-4 Asker C 1.1M 2M 2mm</v>
          </cell>
          <cell r="H1784">
            <v>140</v>
          </cell>
          <cell r="I1784">
            <v>140</v>
          </cell>
          <cell r="J1784">
            <v>0</v>
          </cell>
          <cell r="K1784">
            <v>140</v>
          </cell>
          <cell r="L1784" t="str">
            <v>NIKE</v>
          </cell>
          <cell r="M1784" t="str">
            <v>Pr.Sch.R</v>
          </cell>
          <cell r="N1784" t="str">
            <v>DIE CUT</v>
          </cell>
          <cell r="O1784">
            <v>1</v>
          </cell>
          <cell r="P1784">
            <v>46146</v>
          </cell>
          <cell r="Q1784">
            <v>46157</v>
          </cell>
          <cell r="R1784">
            <v>46154</v>
          </cell>
          <cell r="S1784">
            <v>11</v>
          </cell>
          <cell r="T1784">
            <v>2</v>
          </cell>
          <cell r="U1784">
            <v>70</v>
          </cell>
          <cell r="V1784">
            <v>3</v>
          </cell>
          <cell r="W1784" t="str">
            <v>0.085D</v>
          </cell>
          <cell r="X1784" t="str">
            <v>5-2026</v>
          </cell>
          <cell r="Y1784" t="str">
            <v>Week 20</v>
          </cell>
          <cell r="Z1784">
            <v>46153</v>
          </cell>
          <cell r="AA1784">
            <v>82</v>
          </cell>
          <cell r="AB1784">
            <v>1.4290000000000001E-2</v>
          </cell>
        </row>
        <row r="1785">
          <cell r="A1785" t="str">
            <v>F-2026-05-29</v>
          </cell>
          <cell r="B1785"/>
          <cell r="C1785" t="str">
            <v>RPRO-260505-0668</v>
          </cell>
          <cell r="D1785" t="str">
            <v>MPS 04.5</v>
          </cell>
          <cell r="E1785" t="str">
            <v>BDB-000348</v>
          </cell>
          <cell r="F1785" t="str">
            <v>PVN-004195</v>
          </cell>
          <cell r="G1785" t="str">
            <v>OrthoLite IMPERIAL SEEDPEARL/12-0703TPX Flat Sheet 0.22D 25+/-4 Asker C 1.1M 1.47M 4mm</v>
          </cell>
          <cell r="H1785">
            <v>92</v>
          </cell>
          <cell r="I1785">
            <v>92</v>
          </cell>
          <cell r="J1785">
            <v>0</v>
          </cell>
          <cell r="K1785">
            <v>92</v>
          </cell>
          <cell r="L1785"/>
          <cell r="M1785" t="str">
            <v>MPS</v>
          </cell>
          <cell r="N1785" t="str">
            <v>SPLITTING</v>
          </cell>
          <cell r="O1785">
            <v>2</v>
          </cell>
          <cell r="P1785">
            <v>46147</v>
          </cell>
          <cell r="Q1785">
            <v>46162</v>
          </cell>
          <cell r="R1785">
            <v>46159</v>
          </cell>
          <cell r="S1785">
            <v>15</v>
          </cell>
          <cell r="T1785">
            <v>4</v>
          </cell>
          <cell r="U1785">
            <v>35</v>
          </cell>
          <cell r="V1785">
            <v>3</v>
          </cell>
          <cell r="W1785" t="e">
            <v>#N/A</v>
          </cell>
          <cell r="X1785" t="str">
            <v>5-2026</v>
          </cell>
          <cell r="Y1785" t="str">
            <v>Week 20</v>
          </cell>
          <cell r="Z1785">
            <v>46153</v>
          </cell>
          <cell r="AA1785">
            <v>82</v>
          </cell>
          <cell r="AB1785">
            <v>2.8570000000000002E-2</v>
          </cell>
        </row>
        <row r="1786">
          <cell r="A1786" t="str">
            <v>F-2026-05-30</v>
          </cell>
          <cell r="B1786"/>
          <cell r="C1786" t="str">
            <v>RPRO-260505-0669</v>
          </cell>
          <cell r="D1786" t="str">
            <v>MPS 04.5</v>
          </cell>
          <cell r="E1786" t="str">
            <v>BDB-000083</v>
          </cell>
          <cell r="F1786" t="str">
            <v>PVN-000930</v>
          </cell>
          <cell r="G1786" t="str">
            <v>OrthoLite Eco LT 300C(ADIDAS BLUEBIRD) Flat Sheet 0.11D 25+/-4 Asker C 1.1M 2M 3mm</v>
          </cell>
          <cell r="H1786">
            <v>138</v>
          </cell>
          <cell r="I1786">
            <v>138</v>
          </cell>
          <cell r="J1786">
            <v>0</v>
          </cell>
          <cell r="K1786">
            <v>138</v>
          </cell>
          <cell r="L1786"/>
          <cell r="M1786" t="str">
            <v>MPS</v>
          </cell>
          <cell r="N1786" t="str">
            <v>SPLITTING</v>
          </cell>
          <cell r="O1786">
            <v>2</v>
          </cell>
          <cell r="P1786">
            <v>46147</v>
          </cell>
          <cell r="Q1786">
            <v>46157</v>
          </cell>
          <cell r="R1786">
            <v>46154</v>
          </cell>
          <cell r="S1786">
            <v>10</v>
          </cell>
          <cell r="T1786">
            <v>3</v>
          </cell>
          <cell r="U1786">
            <v>46</v>
          </cell>
          <cell r="V1786">
            <v>4</v>
          </cell>
          <cell r="W1786" t="str">
            <v>0.11D</v>
          </cell>
          <cell r="X1786" t="str">
            <v>5-2026</v>
          </cell>
          <cell r="Y1786" t="str">
            <v>Week 19</v>
          </cell>
          <cell r="Z1786">
            <v>46146</v>
          </cell>
          <cell r="AA1786">
            <v>82</v>
          </cell>
          <cell r="AB1786">
            <v>2.1739999999999999E-2</v>
          </cell>
        </row>
        <row r="1787">
          <cell r="A1787" t="str">
            <v>F-2026-05-31</v>
          </cell>
          <cell r="B1787"/>
          <cell r="C1787" t="str">
            <v>RPRO-260505-0670</v>
          </cell>
          <cell r="D1787" t="str">
            <v>MPS 04.5</v>
          </cell>
          <cell r="E1787" t="str">
            <v>BDB-000058</v>
          </cell>
          <cell r="F1787" t="str">
            <v>PVN-001277</v>
          </cell>
          <cell r="G1787" t="str">
            <v>OrthoLite Ultra GREEN/16-5932TPX Flat Sheet 0.085D 25+/-4 Asker C 1.1M 2M 4mm</v>
          </cell>
          <cell r="H1787">
            <v>455</v>
          </cell>
          <cell r="I1787">
            <v>455</v>
          </cell>
          <cell r="J1787">
            <v>0</v>
          </cell>
          <cell r="K1787">
            <v>455</v>
          </cell>
          <cell r="L1787"/>
          <cell r="M1787" t="str">
            <v>MPS</v>
          </cell>
          <cell r="N1787" t="str">
            <v>SPLITTING</v>
          </cell>
          <cell r="O1787">
            <v>2</v>
          </cell>
          <cell r="P1787">
            <v>46147</v>
          </cell>
          <cell r="Q1787">
            <v>46162</v>
          </cell>
          <cell r="R1787">
            <v>46159</v>
          </cell>
          <cell r="S1787">
            <v>15</v>
          </cell>
          <cell r="T1787">
            <v>4</v>
          </cell>
          <cell r="U1787">
            <v>35</v>
          </cell>
          <cell r="V1787">
            <v>13</v>
          </cell>
          <cell r="W1787" t="str">
            <v>0.085D</v>
          </cell>
          <cell r="X1787" t="str">
            <v>5-2026</v>
          </cell>
          <cell r="Y1787" t="str">
            <v>Week 20</v>
          </cell>
          <cell r="Z1787">
            <v>46153</v>
          </cell>
          <cell r="AA1787">
            <v>383</v>
          </cell>
          <cell r="AB1787">
            <v>2.8570000000000002E-2</v>
          </cell>
        </row>
        <row r="1788">
          <cell r="A1788" t="str">
            <v>F-2026-05-32</v>
          </cell>
          <cell r="B1788"/>
          <cell r="C1788" t="str">
            <v>RPRO-260505-0671</v>
          </cell>
          <cell r="D1788" t="str">
            <v>MPS 04.5</v>
          </cell>
          <cell r="E1788" t="str">
            <v>BDB-000058</v>
          </cell>
          <cell r="F1788" t="str">
            <v>PVN-001319</v>
          </cell>
          <cell r="G1788" t="str">
            <v>OrthoLite Ultra GREEN/16-5932TPX 0.085D 25+/-4 Asker C 1.1M 2M 5mm</v>
          </cell>
          <cell r="H1788">
            <v>224</v>
          </cell>
          <cell r="I1788">
            <v>224</v>
          </cell>
          <cell r="J1788">
            <v>0</v>
          </cell>
          <cell r="K1788">
            <v>224</v>
          </cell>
          <cell r="L1788"/>
          <cell r="M1788" t="str">
            <v>MPS</v>
          </cell>
          <cell r="N1788" t="str">
            <v>SPLITTING</v>
          </cell>
          <cell r="O1788">
            <v>2</v>
          </cell>
          <cell r="P1788">
            <v>46147</v>
          </cell>
          <cell r="Q1788">
            <v>46157</v>
          </cell>
          <cell r="R1788">
            <v>46154</v>
          </cell>
          <cell r="S1788">
            <v>10</v>
          </cell>
          <cell r="T1788">
            <v>5</v>
          </cell>
          <cell r="U1788">
            <v>28</v>
          </cell>
          <cell r="V1788">
            <v>8</v>
          </cell>
          <cell r="W1788" t="str">
            <v>0.085D</v>
          </cell>
          <cell r="X1788" t="str">
            <v>5-2026</v>
          </cell>
          <cell r="Y1788" t="str">
            <v>Week 20</v>
          </cell>
          <cell r="Z1788">
            <v>46153</v>
          </cell>
          <cell r="AA1788">
            <v>2</v>
          </cell>
          <cell r="AB1788">
            <v>3.5709999999999999E-2</v>
          </cell>
        </row>
        <row r="1789">
          <cell r="A1789" t="str">
            <v>F-2026-05-33</v>
          </cell>
          <cell r="B1789"/>
          <cell r="C1789" t="str">
            <v>RPRO-260505-0672</v>
          </cell>
          <cell r="D1789" t="str">
            <v>MPS 04.5</v>
          </cell>
          <cell r="E1789" t="str">
            <v>BDB-000117</v>
          </cell>
          <cell r="F1789" t="str">
            <v>PVN-003596</v>
          </cell>
          <cell r="G1789" t="str">
            <v>OrthoLite X-35-Hybrid SEEDPEARL/12-0703TPX Hybrid Flat Sheet 0.145D 25+/-4 Asker C 1.1M 2M 3mm</v>
          </cell>
          <cell r="H1789">
            <v>46</v>
          </cell>
          <cell r="I1789">
            <v>46</v>
          </cell>
          <cell r="J1789">
            <v>0</v>
          </cell>
          <cell r="K1789">
            <v>46</v>
          </cell>
          <cell r="L1789"/>
          <cell r="M1789" t="str">
            <v>MPS</v>
          </cell>
          <cell r="N1789" t="str">
            <v>SPLITTING</v>
          </cell>
          <cell r="O1789">
            <v>2</v>
          </cell>
          <cell r="P1789">
            <v>46147</v>
          </cell>
          <cell r="Q1789">
            <v>46156</v>
          </cell>
          <cell r="R1789">
            <v>46153</v>
          </cell>
          <cell r="S1789">
            <v>9</v>
          </cell>
          <cell r="T1789">
            <v>3</v>
          </cell>
          <cell r="U1789">
            <v>46</v>
          </cell>
          <cell r="V1789">
            <v>2</v>
          </cell>
          <cell r="W1789" t="str">
            <v>0.145D</v>
          </cell>
          <cell r="X1789" t="str">
            <v>5-2026</v>
          </cell>
          <cell r="Y1789" t="str">
            <v>Week 19</v>
          </cell>
          <cell r="Z1789">
            <v>46146</v>
          </cell>
          <cell r="AA1789">
            <v>1</v>
          </cell>
          <cell r="AB1789">
            <v>2.1739999999999999E-2</v>
          </cell>
        </row>
        <row r="1790">
          <cell r="A1790" t="str">
            <v>F-2026-05-34</v>
          </cell>
          <cell r="B1790"/>
          <cell r="C1790" t="str">
            <v>RPRO-260505-0673</v>
          </cell>
          <cell r="D1790" t="str">
            <v>MPS 04.5</v>
          </cell>
          <cell r="E1790" t="str">
            <v>BDB-000348</v>
          </cell>
          <cell r="F1790" t="str">
            <v>PVN-004210</v>
          </cell>
          <cell r="G1790" t="str">
            <v>OrthoLite IMPERIAL SEEDPEARL/12-0703TPX Flat Sheet 0.22D 25+/-4 Asker C 1.1M 1.47M 5mm</v>
          </cell>
          <cell r="H1790">
            <v>28</v>
          </cell>
          <cell r="I1790">
            <v>28</v>
          </cell>
          <cell r="J1790">
            <v>0</v>
          </cell>
          <cell r="K1790">
            <v>28</v>
          </cell>
          <cell r="L1790"/>
          <cell r="M1790" t="str">
            <v>MPS</v>
          </cell>
          <cell r="N1790" t="str">
            <v>SPLITTING</v>
          </cell>
          <cell r="O1790">
            <v>2</v>
          </cell>
          <cell r="P1790">
            <v>46147</v>
          </cell>
          <cell r="Q1790">
            <v>46162</v>
          </cell>
          <cell r="R1790">
            <v>46159</v>
          </cell>
          <cell r="S1790">
            <v>15</v>
          </cell>
          <cell r="T1790">
            <v>5</v>
          </cell>
          <cell r="U1790">
            <v>28</v>
          </cell>
          <cell r="V1790">
            <v>1</v>
          </cell>
          <cell r="W1790" t="e">
            <v>#N/A</v>
          </cell>
          <cell r="X1790" t="str">
            <v>5-2026</v>
          </cell>
          <cell r="Y1790" t="str">
            <v>Week 20</v>
          </cell>
          <cell r="Z1790">
            <v>46153</v>
          </cell>
          <cell r="AA1790">
            <v>1</v>
          </cell>
          <cell r="AB1790">
            <v>3.5709999999999999E-2</v>
          </cell>
        </row>
        <row r="1791">
          <cell r="A1791" t="str">
            <v>F-2026-05-35</v>
          </cell>
          <cell r="B1791"/>
          <cell r="C1791" t="str">
            <v>RPRO-260505-0674</v>
          </cell>
          <cell r="D1791" t="str">
            <v>Pro.sche.report 04.5</v>
          </cell>
          <cell r="E1791" t="str">
            <v>BDB-000054</v>
          </cell>
          <cell r="F1791" t="str">
            <v>PVN-003895</v>
          </cell>
          <cell r="G1791" t="str">
            <v>OrthoLite X-40 RED/19-1764TPX Flat Sheet 0.16D 25+/-4 Asker C 1.1M 1.7M 5mm</v>
          </cell>
          <cell r="H1791">
            <v>28</v>
          </cell>
          <cell r="I1791">
            <v>28</v>
          </cell>
          <cell r="J1791">
            <v>0</v>
          </cell>
          <cell r="K1791">
            <v>28</v>
          </cell>
          <cell r="L1791" t="str">
            <v>PAYNTR</v>
          </cell>
          <cell r="M1791" t="str">
            <v>Pr.Sch.R</v>
          </cell>
          <cell r="N1791" t="str">
            <v>MOLDED</v>
          </cell>
          <cell r="O1791">
            <v>1</v>
          </cell>
          <cell r="P1791">
            <v>46147</v>
          </cell>
          <cell r="Q1791">
            <v>46157</v>
          </cell>
          <cell r="R1791">
            <v>46154</v>
          </cell>
          <cell r="S1791">
            <v>10</v>
          </cell>
          <cell r="T1791">
            <v>5</v>
          </cell>
          <cell r="U1791">
            <v>28</v>
          </cell>
          <cell r="V1791">
            <v>1</v>
          </cell>
          <cell r="W1791" t="str">
            <v>0.16D</v>
          </cell>
          <cell r="X1791" t="str">
            <v>5-2026</v>
          </cell>
          <cell r="Y1791" t="str">
            <v>Week 20</v>
          </cell>
          <cell r="Z1791">
            <v>46153</v>
          </cell>
          <cell r="AA1791">
            <v>47</v>
          </cell>
          <cell r="AB1791">
            <v>3.5709999999999999E-2</v>
          </cell>
        </row>
        <row r="1792">
          <cell r="A1792" t="str">
            <v>F-2026-05-36</v>
          </cell>
          <cell r="B1792"/>
          <cell r="C1792" t="str">
            <v>RPRO-260505-0675</v>
          </cell>
          <cell r="D1792" t="str">
            <v>Pro.sche.report 04.5</v>
          </cell>
          <cell r="E1792" t="str">
            <v>BDB-000339</v>
          </cell>
          <cell r="F1792" t="str">
            <v>PVN-004178</v>
          </cell>
          <cell r="G1792" t="str">
            <v>OrthoLite Float NEUTRAL GRAY/17-4402TPX Flat Sheet 0.12D 21+/-4 Asker C 1.1M 2M 5.5mm</v>
          </cell>
          <cell r="H1792">
            <v>2200</v>
          </cell>
          <cell r="I1792">
            <v>2200</v>
          </cell>
          <cell r="J1792">
            <v>0</v>
          </cell>
          <cell r="K1792">
            <v>2200</v>
          </cell>
          <cell r="L1792" t="str">
            <v>PUMA</v>
          </cell>
          <cell r="M1792" t="str">
            <v>Pr.Sch.R</v>
          </cell>
          <cell r="N1792" t="str">
            <v>MOLDED</v>
          </cell>
          <cell r="O1792">
            <v>1</v>
          </cell>
          <cell r="P1792">
            <v>46147</v>
          </cell>
          <cell r="Q1792">
            <v>46162</v>
          </cell>
          <cell r="R1792">
            <v>46159</v>
          </cell>
          <cell r="S1792">
            <v>15</v>
          </cell>
          <cell r="T1792">
            <v>5.5</v>
          </cell>
          <cell r="U1792">
            <v>25</v>
          </cell>
          <cell r="V1792">
            <v>88</v>
          </cell>
          <cell r="W1792" t="e">
            <v>#N/A</v>
          </cell>
          <cell r="X1792" t="str">
            <v>5-2026</v>
          </cell>
          <cell r="Y1792" t="str">
            <v>Week 20</v>
          </cell>
          <cell r="Z1792">
            <v>46153</v>
          </cell>
          <cell r="AA1792">
            <v>4</v>
          </cell>
          <cell r="AB1792">
            <v>0.04</v>
          </cell>
        </row>
        <row r="1793">
          <cell r="A1793" t="str">
            <v>F-2026-05-37</v>
          </cell>
          <cell r="B1793"/>
          <cell r="C1793" t="str">
            <v>RPRO-260505-0676</v>
          </cell>
          <cell r="D1793" t="str">
            <v>Pro.sche.report 04.5</v>
          </cell>
          <cell r="E1793" t="str">
            <v>BDB-000157</v>
          </cell>
          <cell r="F1793" t="str">
            <v>PVN-003244</v>
          </cell>
          <cell r="G1793" t="str">
            <v>OrthoLite X-35-Hybrid-Nike SEEDPEARL/12-0703TPX Hybrid Flat Sheet 0.145D 25+/-4 Asker C 1.1M 2M 5.2mm (SLT)</v>
          </cell>
          <cell r="H1793">
            <v>78</v>
          </cell>
          <cell r="I1793">
            <v>78</v>
          </cell>
          <cell r="J1793">
            <v>0</v>
          </cell>
          <cell r="K1793">
            <v>78</v>
          </cell>
          <cell r="L1793" t="str">
            <v>NIKE</v>
          </cell>
          <cell r="M1793" t="str">
            <v>Pr.Sch.R</v>
          </cell>
          <cell r="N1793" t="str">
            <v>MOLDED</v>
          </cell>
          <cell r="O1793" t="str">
            <v>1-SLT</v>
          </cell>
          <cell r="P1793">
            <v>46147</v>
          </cell>
          <cell r="Q1793">
            <v>46156</v>
          </cell>
          <cell r="R1793">
            <v>46153</v>
          </cell>
          <cell r="S1793">
            <v>9</v>
          </cell>
          <cell r="T1793">
            <v>5.2</v>
          </cell>
          <cell r="U1793">
            <v>26</v>
          </cell>
          <cell r="V1793">
            <v>3</v>
          </cell>
          <cell r="W1793" t="str">
            <v>0.145D</v>
          </cell>
          <cell r="X1793" t="str">
            <v>5-2026</v>
          </cell>
          <cell r="Y1793" t="str">
            <v>Week 19</v>
          </cell>
          <cell r="Z1793">
            <v>46146</v>
          </cell>
          <cell r="AA1793">
            <v>114</v>
          </cell>
          <cell r="AB1793">
            <v>3.8460000000000001E-2</v>
          </cell>
        </row>
        <row r="1794">
          <cell r="A1794" t="str">
            <v>F-2026-05-38</v>
          </cell>
          <cell r="B1794"/>
          <cell r="C1794" t="str">
            <v>RPRO-260505-0677</v>
          </cell>
          <cell r="D1794" t="str">
            <v>Pro.sche.report 04.5</v>
          </cell>
          <cell r="E1794" t="str">
            <v>BDB-000363</v>
          </cell>
          <cell r="F1794" t="str">
            <v>PVN-004260</v>
          </cell>
          <cell r="G1794" t="str">
            <v>OrthoLite HybridPlus-Recycled MINT GREEN/11-4805TPX Hybrid Flat Sheet 0.12D 35+/-4 Asker C 1.1M 2M 5.5mm</v>
          </cell>
          <cell r="H1794">
            <v>450</v>
          </cell>
          <cell r="I1794">
            <v>450</v>
          </cell>
          <cell r="J1794">
            <v>0</v>
          </cell>
          <cell r="K1794">
            <v>450</v>
          </cell>
          <cell r="L1794" t="str">
            <v>ON RUNNING</v>
          </cell>
          <cell r="M1794" t="str">
            <v>Pr.Sch.R</v>
          </cell>
          <cell r="N1794" t="str">
            <v>MOLDED</v>
          </cell>
          <cell r="O1794">
            <v>1</v>
          </cell>
          <cell r="P1794">
            <v>46147</v>
          </cell>
          <cell r="Q1794">
            <v>46157</v>
          </cell>
          <cell r="R1794">
            <v>46154</v>
          </cell>
          <cell r="S1794">
            <v>10</v>
          </cell>
          <cell r="T1794">
            <v>5.5</v>
          </cell>
          <cell r="U1794">
            <v>25</v>
          </cell>
          <cell r="V1794">
            <v>18</v>
          </cell>
          <cell r="W1794" t="e">
            <v>#N/A</v>
          </cell>
          <cell r="X1794" t="str">
            <v>5-2026</v>
          </cell>
          <cell r="Y1794" t="str">
            <v>Week 19</v>
          </cell>
          <cell r="Z1794">
            <v>46146</v>
          </cell>
          <cell r="AA1794">
            <v>162</v>
          </cell>
          <cell r="AB1794">
            <v>0.04</v>
          </cell>
        </row>
        <row r="1795">
          <cell r="A1795" t="str">
            <v>F-2026-05-39</v>
          </cell>
          <cell r="B1795"/>
          <cell r="C1795" t="str">
            <v>RPRO-260505-0678</v>
          </cell>
          <cell r="D1795" t="str">
            <v>Pro.sche.report 04.5</v>
          </cell>
          <cell r="E1795" t="str">
            <v>BDB-000336</v>
          </cell>
          <cell r="F1795" t="str">
            <v>PVN-004168</v>
          </cell>
          <cell r="G1795" t="str">
            <v>OrthoLite X-40-Nike SEEDPEARL/12-0703TPX Flat Sheet 0.16D 35+/-4 Asker C 1.1M 2M 4.5mm</v>
          </cell>
          <cell r="H1795">
            <v>186</v>
          </cell>
          <cell r="I1795">
            <v>186</v>
          </cell>
          <cell r="J1795">
            <v>0</v>
          </cell>
          <cell r="K1795">
            <v>186</v>
          </cell>
          <cell r="L1795" t="str">
            <v>NIKE</v>
          </cell>
          <cell r="M1795" t="str">
            <v>Pr.Sch.R</v>
          </cell>
          <cell r="N1795" t="str">
            <v>MOLDED</v>
          </cell>
          <cell r="O1795">
            <v>1</v>
          </cell>
          <cell r="P1795">
            <v>46147</v>
          </cell>
          <cell r="Q1795">
            <v>46157</v>
          </cell>
          <cell r="R1795">
            <v>46154</v>
          </cell>
          <cell r="S1795">
            <v>10</v>
          </cell>
          <cell r="T1795">
            <v>4.5</v>
          </cell>
          <cell r="U1795">
            <v>31</v>
          </cell>
          <cell r="V1795">
            <v>7</v>
          </cell>
          <cell r="W1795" t="e">
            <v>#N/A</v>
          </cell>
          <cell r="X1795" t="str">
            <v>5-2026</v>
          </cell>
          <cell r="Y1795" t="str">
            <v>Week 19</v>
          </cell>
          <cell r="Z1795">
            <v>46146</v>
          </cell>
          <cell r="AA1795">
            <v>50</v>
          </cell>
          <cell r="AB1795">
            <v>3.3329999999999999E-2</v>
          </cell>
        </row>
        <row r="1796">
          <cell r="A1796" t="str">
            <v>F-2026-05-40</v>
          </cell>
          <cell r="B1796"/>
          <cell r="C1796" t="str">
            <v>RPRO-260505-0679</v>
          </cell>
          <cell r="D1796" t="str">
            <v>Pro.sche.report 04.5</v>
          </cell>
          <cell r="E1796" t="str">
            <v>BDB-000154</v>
          </cell>
          <cell r="F1796" t="str">
            <v>PVN-003347</v>
          </cell>
          <cell r="G1796" t="str">
            <v>OrthoLite X-40-Nike TRUE BLUE/19-4057TPX Flat Sheet 0.16D 35+/-4 Asker C 1.1M 1.7M 4mm</v>
          </cell>
          <cell r="H1796">
            <v>455</v>
          </cell>
          <cell r="I1796">
            <v>455</v>
          </cell>
          <cell r="J1796">
            <v>0</v>
          </cell>
          <cell r="K1796">
            <v>455</v>
          </cell>
          <cell r="L1796" t="str">
            <v>NIKE</v>
          </cell>
          <cell r="M1796" t="str">
            <v>Pr.Sch.R</v>
          </cell>
          <cell r="N1796" t="str">
            <v>LAMINATING</v>
          </cell>
          <cell r="O1796">
            <v>1</v>
          </cell>
          <cell r="P1796">
            <v>46147</v>
          </cell>
          <cell r="Q1796">
            <v>46162</v>
          </cell>
          <cell r="R1796">
            <v>46159</v>
          </cell>
          <cell r="S1796">
            <v>15</v>
          </cell>
          <cell r="T1796">
            <v>4</v>
          </cell>
          <cell r="U1796">
            <v>35</v>
          </cell>
          <cell r="V1796">
            <v>13</v>
          </cell>
          <cell r="W1796" t="str">
            <v>0.16D</v>
          </cell>
          <cell r="X1796" t="str">
            <v>5-2026</v>
          </cell>
          <cell r="Y1796" t="str">
            <v>Week 20</v>
          </cell>
          <cell r="Z1796">
            <v>46153</v>
          </cell>
          <cell r="AA1796">
            <v>89</v>
          </cell>
          <cell r="AB1796">
            <v>2.8570000000000002E-2</v>
          </cell>
        </row>
        <row r="1797">
          <cell r="A1797" t="str">
            <v>F-2026-05-41</v>
          </cell>
          <cell r="B1797"/>
          <cell r="C1797" t="str">
            <v>RPRO-260505-0680</v>
          </cell>
          <cell r="D1797" t="str">
            <v>Pro.sche.report 04.5</v>
          </cell>
          <cell r="E1797" t="str">
            <v>BDB-000076</v>
          </cell>
          <cell r="F1797" t="str">
            <v>PVN-003745</v>
          </cell>
          <cell r="G1797" t="str">
            <v>OrthoLite X-25 BILLIARD/16-5427TPX Flat Sheet 0.12D 20+/-4 Asker C 1.1M 2M 16mm</v>
          </cell>
          <cell r="H1797">
            <v>8</v>
          </cell>
          <cell r="I1797">
            <v>8</v>
          </cell>
          <cell r="J1797">
            <v>0</v>
          </cell>
          <cell r="K1797">
            <v>8</v>
          </cell>
          <cell r="L1797" t="str">
            <v>FOOTJOY</v>
          </cell>
          <cell r="M1797" t="str">
            <v>Pr.Sch.R</v>
          </cell>
          <cell r="N1797" t="str">
            <v>MOLDED</v>
          </cell>
          <cell r="O1797">
            <v>1</v>
          </cell>
          <cell r="P1797">
            <v>46147</v>
          </cell>
          <cell r="Q1797">
            <v>46157</v>
          </cell>
          <cell r="R1797">
            <v>46154</v>
          </cell>
          <cell r="S1797">
            <v>10</v>
          </cell>
          <cell r="T1797">
            <v>16</v>
          </cell>
          <cell r="U1797">
            <v>8</v>
          </cell>
          <cell r="V1797">
            <v>1</v>
          </cell>
          <cell r="W1797" t="str">
            <v>0.12D</v>
          </cell>
          <cell r="X1797" t="str">
            <v>5-2026</v>
          </cell>
          <cell r="Y1797" t="str">
            <v>Week 19</v>
          </cell>
          <cell r="Z1797">
            <v>46146</v>
          </cell>
          <cell r="AA1797">
            <v>78</v>
          </cell>
          <cell r="AB1797">
            <v>0.125</v>
          </cell>
        </row>
        <row r="1798">
          <cell r="A1798" t="str">
            <v>F-2026-05-42</v>
          </cell>
          <cell r="B1798"/>
          <cell r="C1798" t="str">
            <v>RPRO-260505-0681</v>
          </cell>
          <cell r="D1798" t="str">
            <v>Pro.sche.report 04.5</v>
          </cell>
          <cell r="E1798" t="str">
            <v>BDB-000321</v>
          </cell>
          <cell r="F1798" t="str">
            <v>PVN-004104</v>
          </cell>
          <cell r="G1798" t="str">
            <v>OrthoLite Float BLUE ATOLL/16-4535TPX Flat Sheet 0.12D 21+/-4 Asker C 1.1M 2M 5mm</v>
          </cell>
          <cell r="H1798">
            <v>56</v>
          </cell>
          <cell r="I1798">
            <v>56</v>
          </cell>
          <cell r="J1798">
            <v>0</v>
          </cell>
          <cell r="K1798">
            <v>56</v>
          </cell>
          <cell r="L1798" t="str">
            <v>DESCENTE</v>
          </cell>
          <cell r="M1798" t="str">
            <v>Pr.Sch.R</v>
          </cell>
          <cell r="N1798" t="str">
            <v>DIE CUT</v>
          </cell>
          <cell r="O1798">
            <v>1</v>
          </cell>
          <cell r="P1798">
            <v>46147</v>
          </cell>
          <cell r="Q1798">
            <v>46162</v>
          </cell>
          <cell r="R1798">
            <v>46159</v>
          </cell>
          <cell r="S1798">
            <v>15</v>
          </cell>
          <cell r="T1798">
            <v>5</v>
          </cell>
          <cell r="U1798">
            <v>28</v>
          </cell>
          <cell r="V1798">
            <v>2</v>
          </cell>
          <cell r="W1798" t="e">
            <v>#N/A</v>
          </cell>
          <cell r="X1798" t="str">
            <v>5-2026</v>
          </cell>
          <cell r="Y1798" t="str">
            <v>Week 20</v>
          </cell>
          <cell r="Z1798">
            <v>46153</v>
          </cell>
          <cell r="AA1798">
            <v>136</v>
          </cell>
          <cell r="AB1798">
            <v>3.5709999999999999E-2</v>
          </cell>
        </row>
        <row r="1799">
          <cell r="A1799" t="str">
            <v>F-2026-05-43</v>
          </cell>
          <cell r="B1799"/>
          <cell r="C1799" t="str">
            <v>RPRO-260505-0682</v>
          </cell>
          <cell r="D1799" t="str">
            <v>Pro.sche.report 04.5</v>
          </cell>
          <cell r="E1799" t="str">
            <v>BDB-000097</v>
          </cell>
          <cell r="F1799" t="str">
            <v>PVN-003671</v>
          </cell>
          <cell r="G1799" t="str">
            <v>OrthoLite Eco LT-Hybrid SEEDPEARL/12-0703TPX Hybrid Flat Sheet 0.11D 25+/-4 Asker C 1.1M 2M 13mm</v>
          </cell>
          <cell r="H1799">
            <v>340</v>
          </cell>
          <cell r="I1799">
            <v>340</v>
          </cell>
          <cell r="J1799">
            <v>0</v>
          </cell>
          <cell r="K1799">
            <v>340</v>
          </cell>
          <cell r="L1799" t="str">
            <v>NEW BALANCE</v>
          </cell>
          <cell r="M1799" t="str">
            <v>Pr.Sch.R</v>
          </cell>
          <cell r="N1799" t="str">
            <v>MOLDED</v>
          </cell>
          <cell r="O1799">
            <v>1</v>
          </cell>
          <cell r="P1799">
            <v>46147</v>
          </cell>
          <cell r="Q1799">
            <v>46157</v>
          </cell>
          <cell r="R1799">
            <v>46154</v>
          </cell>
          <cell r="S1799">
            <v>10</v>
          </cell>
          <cell r="T1799">
            <v>13</v>
          </cell>
          <cell r="U1799">
            <v>10</v>
          </cell>
          <cell r="V1799">
            <v>34</v>
          </cell>
          <cell r="W1799" t="str">
            <v>0.11D</v>
          </cell>
          <cell r="X1799" t="str">
            <v>5-2026</v>
          </cell>
          <cell r="Y1799" t="str">
            <v>Week 20</v>
          </cell>
          <cell r="Z1799">
            <v>46153</v>
          </cell>
          <cell r="AA1799">
            <v>34</v>
          </cell>
          <cell r="AB1799">
            <v>0.1</v>
          </cell>
        </row>
        <row r="1800">
          <cell r="A1800" t="str">
            <v>F-2026-05-44</v>
          </cell>
          <cell r="B1800"/>
          <cell r="C1800" t="str">
            <v>RPRO-260505-0683</v>
          </cell>
          <cell r="D1800" t="str">
            <v>Pro.sche.report 04.5</v>
          </cell>
          <cell r="E1800" t="str">
            <v>BDB-000097</v>
          </cell>
          <cell r="F1800" t="str">
            <v>PVN-002473</v>
          </cell>
          <cell r="G1800" t="str">
            <v>OrthoLite Eco LT-Hybrid SEEDPEARL/12-0703TPX Hybrid Flat Sheet 0.11D 25+/-4 Asker C 1.1M 2M 5mm</v>
          </cell>
          <cell r="H1800">
            <v>28</v>
          </cell>
          <cell r="I1800">
            <v>28</v>
          </cell>
          <cell r="J1800">
            <v>0</v>
          </cell>
          <cell r="K1800">
            <v>28</v>
          </cell>
          <cell r="L1800" t="str">
            <v>NEW BALANCE</v>
          </cell>
          <cell r="M1800" t="str">
            <v>Pr.Sch.R</v>
          </cell>
          <cell r="N1800" t="str">
            <v>DIE CUT</v>
          </cell>
          <cell r="O1800">
            <v>1</v>
          </cell>
          <cell r="P1800">
            <v>46147</v>
          </cell>
          <cell r="Q1800">
            <v>46162</v>
          </cell>
          <cell r="R1800">
            <v>46159</v>
          </cell>
          <cell r="S1800">
            <v>15</v>
          </cell>
          <cell r="T1800">
            <v>5</v>
          </cell>
          <cell r="U1800">
            <v>28</v>
          </cell>
          <cell r="V1800">
            <v>1</v>
          </cell>
          <cell r="W1800" t="str">
            <v>0.11D</v>
          </cell>
          <cell r="X1800" t="str">
            <v>5-2026</v>
          </cell>
          <cell r="Y1800" t="str">
            <v>Week 20</v>
          </cell>
          <cell r="Z1800">
            <v>46153</v>
          </cell>
          <cell r="AA1800">
            <v>16</v>
          </cell>
          <cell r="AB1800">
            <v>3.5709999999999999E-2</v>
          </cell>
        </row>
        <row r="1801">
          <cell r="A1801" t="str">
            <v>F-2026-05-45</v>
          </cell>
          <cell r="B1801"/>
          <cell r="C1801" t="str">
            <v>RPRO-260505-0684</v>
          </cell>
          <cell r="D1801" t="str">
            <v>Pro.sche.report 04.5</v>
          </cell>
          <cell r="E1801" t="str">
            <v>BDB-000321</v>
          </cell>
          <cell r="F1801" t="str">
            <v>PVN-004092</v>
          </cell>
          <cell r="G1801" t="str">
            <v>OrthoLite Float BLUE ATOLL/16-4535TPX Flat Sheet 0.12D 21+/-4 Asker C 1.1M 2M 14.5mm</v>
          </cell>
          <cell r="H1801">
            <v>27</v>
          </cell>
          <cell r="I1801">
            <v>27</v>
          </cell>
          <cell r="J1801">
            <v>0</v>
          </cell>
          <cell r="K1801">
            <v>27</v>
          </cell>
          <cell r="L1801" t="str">
            <v>LOWA</v>
          </cell>
          <cell r="M1801" t="str">
            <v>Pr.Sch.R</v>
          </cell>
          <cell r="N1801" t="str">
            <v>MOLDED</v>
          </cell>
          <cell r="O1801">
            <v>1</v>
          </cell>
          <cell r="P1801">
            <v>46147</v>
          </cell>
          <cell r="Q1801">
            <v>46162</v>
          </cell>
          <cell r="R1801">
            <v>46159</v>
          </cell>
          <cell r="S1801">
            <v>15</v>
          </cell>
          <cell r="T1801">
            <v>14.5</v>
          </cell>
          <cell r="U1801">
            <v>9</v>
          </cell>
          <cell r="V1801">
            <v>3</v>
          </cell>
          <cell r="W1801" t="e">
            <v>#N/A</v>
          </cell>
          <cell r="X1801" t="str">
            <v>5-2026</v>
          </cell>
          <cell r="Y1801" t="str">
            <v>Week 20</v>
          </cell>
          <cell r="Z1801">
            <v>46153</v>
          </cell>
          <cell r="AA1801">
            <v>111</v>
          </cell>
          <cell r="AB1801">
            <v>0.11111</v>
          </cell>
        </row>
        <row r="1802">
          <cell r="A1802" t="str">
            <v>F-2026-05-46</v>
          </cell>
          <cell r="B1802"/>
          <cell r="C1802" t="str">
            <v>RPRO-260505-0686</v>
          </cell>
          <cell r="D1802" t="str">
            <v>Pro.sche.report 04.5</v>
          </cell>
          <cell r="E1802" t="str">
            <v>BDB-000212</v>
          </cell>
          <cell r="F1802" t="str">
            <v>PVN-003460</v>
          </cell>
          <cell r="G1802" t="str">
            <v>OrthoLite X-25-Hybrid SEEDPEARL/12-0703TPX Hybrid Flat Sheet 0.12D 20+/-4 Asker C 1.1M 2M 5.5mm</v>
          </cell>
          <cell r="H1802">
            <v>225</v>
          </cell>
          <cell r="I1802">
            <v>225</v>
          </cell>
          <cell r="J1802">
            <v>0</v>
          </cell>
          <cell r="K1802">
            <v>225</v>
          </cell>
          <cell r="L1802" t="str">
            <v>ON RUNNING</v>
          </cell>
          <cell r="M1802" t="str">
            <v>Pr.Sch.R</v>
          </cell>
          <cell r="N1802" t="str">
            <v>MOLDED</v>
          </cell>
          <cell r="O1802">
            <v>1</v>
          </cell>
          <cell r="P1802">
            <v>46147</v>
          </cell>
          <cell r="Q1802">
            <v>46156</v>
          </cell>
          <cell r="R1802">
            <v>46153</v>
          </cell>
          <cell r="S1802">
            <v>9</v>
          </cell>
          <cell r="T1802">
            <v>5.5</v>
          </cell>
          <cell r="U1802">
            <v>25</v>
          </cell>
          <cell r="V1802">
            <v>9</v>
          </cell>
          <cell r="W1802" t="str">
            <v>0.12D</v>
          </cell>
          <cell r="X1802" t="str">
            <v>5-2026</v>
          </cell>
          <cell r="Y1802" t="str">
            <v>Week 19</v>
          </cell>
          <cell r="Z1802">
            <v>46146</v>
          </cell>
          <cell r="AA1802">
            <v>11</v>
          </cell>
          <cell r="AB1802">
            <v>0.04</v>
          </cell>
        </row>
        <row r="1803">
          <cell r="A1803" t="str">
            <v>F-2026-05-47</v>
          </cell>
          <cell r="B1803"/>
          <cell r="C1803" t="str">
            <v>RPRO-260505-0687</v>
          </cell>
          <cell r="D1803" t="str">
            <v>Pro.sche.report 04.5</v>
          </cell>
          <cell r="E1803" t="str">
            <v>BDB-000032</v>
          </cell>
          <cell r="F1803" t="str">
            <v>PVN-003872</v>
          </cell>
          <cell r="G1803" t="str">
            <v>OrthoLite Regular SEEDPEARL/12-0703TPX Flat Sheet 0.11D 25+/-4 Asker C 1.1M 2M 7.5mm</v>
          </cell>
          <cell r="H1803">
            <v>36</v>
          </cell>
          <cell r="I1803">
            <v>36</v>
          </cell>
          <cell r="J1803">
            <v>0</v>
          </cell>
          <cell r="K1803">
            <v>36</v>
          </cell>
          <cell r="L1803" t="str">
            <v>VIOLET</v>
          </cell>
          <cell r="M1803" t="str">
            <v>Pr.Sch.R</v>
          </cell>
          <cell r="N1803" t="str">
            <v>MOLDED</v>
          </cell>
          <cell r="O1803">
            <v>1</v>
          </cell>
          <cell r="P1803">
            <v>46147</v>
          </cell>
          <cell r="Q1803">
            <v>46162</v>
          </cell>
          <cell r="R1803">
            <v>46159</v>
          </cell>
          <cell r="S1803">
            <v>15</v>
          </cell>
          <cell r="T1803">
            <v>7.5</v>
          </cell>
          <cell r="U1803">
            <v>18</v>
          </cell>
          <cell r="V1803">
            <v>3</v>
          </cell>
          <cell r="W1803" t="str">
            <v>0.11D</v>
          </cell>
          <cell r="X1803" t="str">
            <v>5-2026</v>
          </cell>
          <cell r="Y1803" t="str">
            <v>Week 20</v>
          </cell>
          <cell r="Z1803">
            <v>46153</v>
          </cell>
          <cell r="AA1803">
            <v>27</v>
          </cell>
          <cell r="AB1803">
            <v>5.5559999999999998E-2</v>
          </cell>
        </row>
        <row r="1804">
          <cell r="A1804" t="str">
            <v>F-2026-05-48</v>
          </cell>
          <cell r="B1804"/>
          <cell r="C1804" t="str">
            <v>RPRO-260505-0688</v>
          </cell>
          <cell r="D1804" t="str">
            <v>Pro.sche.report 04.5</v>
          </cell>
          <cell r="E1804" t="str">
            <v>BDB-000004</v>
          </cell>
          <cell r="F1804" t="str">
            <v>PVN-003842</v>
          </cell>
          <cell r="G1804" t="str">
            <v>OrthoLite Regular GREY/17-1501TPX Flat Sheet 0.11D 25+/-4 Asker C 1.1M 2M 7.5mm</v>
          </cell>
          <cell r="H1804">
            <v>18</v>
          </cell>
          <cell r="I1804">
            <v>18</v>
          </cell>
          <cell r="J1804">
            <v>0</v>
          </cell>
          <cell r="K1804">
            <v>18</v>
          </cell>
          <cell r="L1804" t="str">
            <v>VIOLET</v>
          </cell>
          <cell r="M1804" t="str">
            <v>Pr.Sch.R</v>
          </cell>
          <cell r="N1804" t="str">
            <v>MOLDED</v>
          </cell>
          <cell r="O1804">
            <v>1</v>
          </cell>
          <cell r="P1804">
            <v>46147</v>
          </cell>
          <cell r="Q1804">
            <v>46162</v>
          </cell>
          <cell r="R1804">
            <v>46159</v>
          </cell>
          <cell r="S1804">
            <v>15</v>
          </cell>
          <cell r="T1804">
            <v>7.5</v>
          </cell>
          <cell r="U1804">
            <v>18</v>
          </cell>
          <cell r="V1804">
            <v>2</v>
          </cell>
          <cell r="W1804" t="str">
            <v>0.11D</v>
          </cell>
          <cell r="X1804" t="str">
            <v>5-2026</v>
          </cell>
          <cell r="Y1804" t="str">
            <v>Week 20</v>
          </cell>
          <cell r="Z1804">
            <v>46153</v>
          </cell>
          <cell r="AA1804">
            <v>0</v>
          </cell>
          <cell r="AB1804">
            <v>5.5559999999999998E-2</v>
          </cell>
        </row>
        <row r="1805">
          <cell r="A1805" t="str">
            <v>F-2026-05-49</v>
          </cell>
          <cell r="B1805"/>
          <cell r="C1805" t="str">
            <v>RPRO-260505-0689</v>
          </cell>
          <cell r="D1805" t="str">
            <v>Pro.sche.report 04.5</v>
          </cell>
          <cell r="E1805" t="str">
            <v>BDB-000234</v>
          </cell>
          <cell r="F1805" t="str">
            <v>PVN-003575</v>
          </cell>
          <cell r="G1805" t="str">
            <v>OrthoLite X-30-Hybrid BROWN SUGAR/17-1134TPX Hybrid Flat Sheet 0.13D 25+/-4 Asker C 1.1M 2M 10mm</v>
          </cell>
          <cell r="H1805">
            <v>52</v>
          </cell>
          <cell r="I1805">
            <v>52</v>
          </cell>
          <cell r="J1805">
            <v>0</v>
          </cell>
          <cell r="K1805">
            <v>52</v>
          </cell>
          <cell r="L1805" t="str">
            <v>ASICS</v>
          </cell>
          <cell r="M1805" t="str">
            <v>Pr.Sch.R</v>
          </cell>
          <cell r="N1805" t="str">
            <v>MOLDED</v>
          </cell>
          <cell r="O1805">
            <v>1</v>
          </cell>
          <cell r="P1805">
            <v>46147</v>
          </cell>
          <cell r="Q1805">
            <v>46160</v>
          </cell>
          <cell r="R1805">
            <v>46157</v>
          </cell>
          <cell r="S1805">
            <v>13</v>
          </cell>
          <cell r="T1805">
            <v>10</v>
          </cell>
          <cell r="U1805">
            <v>13</v>
          </cell>
          <cell r="V1805">
            <v>4</v>
          </cell>
          <cell r="W1805" t="str">
            <v>0.13D</v>
          </cell>
          <cell r="X1805" t="str">
            <v>5-2026</v>
          </cell>
          <cell r="Y1805" t="str">
            <v>Week 20</v>
          </cell>
          <cell r="Z1805">
            <v>46153</v>
          </cell>
          <cell r="AA1805">
            <v>20</v>
          </cell>
          <cell r="AB1805">
            <v>7.6920000000000002E-2</v>
          </cell>
        </row>
        <row r="1806">
          <cell r="A1806" t="str">
            <v>F-2026-05-50</v>
          </cell>
          <cell r="B1806"/>
          <cell r="C1806" t="str">
            <v>FPRO-260504-0001</v>
          </cell>
          <cell r="D1806" t="str">
            <v>Firm plan 04.05</v>
          </cell>
          <cell r="E1806" t="str">
            <v>BDB-000113</v>
          </cell>
          <cell r="F1806" t="str">
            <v>PVN-002699</v>
          </cell>
          <cell r="G1806" t="str">
            <v>OrthoLite Regular-Hybrid SEEDPEARL/12-0703TPX Hybrid Flat Sheet 0.11D 25+/-4 Asker C 1.1M 2M 4.5mm</v>
          </cell>
          <cell r="H1806">
            <v>21</v>
          </cell>
          <cell r="I1806">
            <v>21</v>
          </cell>
          <cell r="J1806">
            <v>0</v>
          </cell>
          <cell r="K1806">
            <v>21</v>
          </cell>
          <cell r="L1806" t="str">
            <v>ASICS</v>
          </cell>
          <cell r="M1806" t="str">
            <v>Forecast</v>
          </cell>
          <cell r="N1806" t="str">
            <v>DIE CUT</v>
          </cell>
          <cell r="O1806" t="str">
            <v>1-SLT</v>
          </cell>
          <cell r="P1806">
            <v>46146</v>
          </cell>
          <cell r="Q1806">
            <v>46157</v>
          </cell>
          <cell r="R1806">
            <v>46154</v>
          </cell>
          <cell r="S1806">
            <v>11</v>
          </cell>
          <cell r="T1806">
            <v>4.5</v>
          </cell>
          <cell r="U1806">
            <v>31</v>
          </cell>
          <cell r="V1806">
            <v>1</v>
          </cell>
          <cell r="W1806" t="str">
            <v>0.11D</v>
          </cell>
          <cell r="X1806" t="str">
            <v>5-2026</v>
          </cell>
          <cell r="Y1806" t="str">
            <v>Week 20</v>
          </cell>
          <cell r="Z1806">
            <v>46153</v>
          </cell>
          <cell r="AA1806">
            <v>18</v>
          </cell>
          <cell r="AB1806">
            <v>3.2259999999999997E-2</v>
          </cell>
        </row>
        <row r="1807">
          <cell r="A1807" t="str">
            <v>F-2026-05-51</v>
          </cell>
          <cell r="B1807"/>
          <cell r="C1807" t="str">
            <v>FPRO-260504-0002</v>
          </cell>
          <cell r="D1807" t="str">
            <v>Firm plan 04.05</v>
          </cell>
          <cell r="E1807" t="str">
            <v>BDB-000113</v>
          </cell>
          <cell r="F1807" t="str">
            <v>PVN-003601</v>
          </cell>
          <cell r="G1807" t="str">
            <v>OrthoLite Regular-Hybrid SEEDPEARL/12-0703TPX Hybrid Flat Sheet 0.11D 25+/-4 Asker C 1.1M 2M 20mm</v>
          </cell>
          <cell r="H1807">
            <v>16</v>
          </cell>
          <cell r="I1807">
            <v>16</v>
          </cell>
          <cell r="J1807">
            <v>0</v>
          </cell>
          <cell r="K1807">
            <v>16</v>
          </cell>
          <cell r="L1807" t="str">
            <v>ASICS</v>
          </cell>
          <cell r="M1807" t="str">
            <v>Forecast</v>
          </cell>
          <cell r="N1807" t="str">
            <v>MOLDED</v>
          </cell>
          <cell r="O1807" t="str">
            <v>1-SLT</v>
          </cell>
          <cell r="P1807">
            <v>46146</v>
          </cell>
          <cell r="Q1807">
            <v>46164</v>
          </cell>
          <cell r="R1807">
            <v>46161</v>
          </cell>
          <cell r="S1807">
            <v>18</v>
          </cell>
          <cell r="T1807">
            <v>20</v>
          </cell>
          <cell r="U1807">
            <v>6</v>
          </cell>
          <cell r="V1807">
            <v>3</v>
          </cell>
          <cell r="W1807" t="str">
            <v>0.11D</v>
          </cell>
          <cell r="X1807" t="str">
            <v>5-2026</v>
          </cell>
          <cell r="Y1807" t="str">
            <v>Week 21</v>
          </cell>
          <cell r="Z1807">
            <v>46160</v>
          </cell>
          <cell r="AA1807">
            <v>16</v>
          </cell>
          <cell r="AB1807">
            <v>0.16667000000000001</v>
          </cell>
        </row>
        <row r="1808">
          <cell r="A1808" t="str">
            <v>F-2026-05-52</v>
          </cell>
          <cell r="B1808"/>
          <cell r="C1808" t="str">
            <v>FPRO-260504-0003</v>
          </cell>
          <cell r="D1808" t="str">
            <v>Firm plan 04.05</v>
          </cell>
          <cell r="E1808" t="str">
            <v>BDB-000113</v>
          </cell>
          <cell r="F1808" t="str">
            <v>PVN-002515</v>
          </cell>
          <cell r="G1808" t="str">
            <v>OrthoLite Regular-Hybrid SEEDPEARL/12-0703TPX Hybrid Flat Sheet 0.11D 25+/-4 Asker C 1.1M 2M 11mm</v>
          </cell>
          <cell r="H1808">
            <v>98</v>
          </cell>
          <cell r="I1808">
            <v>98</v>
          </cell>
          <cell r="J1808">
            <v>0</v>
          </cell>
          <cell r="K1808">
            <v>98</v>
          </cell>
          <cell r="L1808" t="str">
            <v>ASICS</v>
          </cell>
          <cell r="M1808" t="str">
            <v>Forecast</v>
          </cell>
          <cell r="N1808" t="str">
            <v>MOLDED</v>
          </cell>
          <cell r="O1808" t="str">
            <v>1-SLT</v>
          </cell>
          <cell r="P1808">
            <v>46146</v>
          </cell>
          <cell r="Q1808">
            <v>46164</v>
          </cell>
          <cell r="R1808">
            <v>46161</v>
          </cell>
          <cell r="S1808">
            <v>18</v>
          </cell>
          <cell r="T1808">
            <v>11</v>
          </cell>
          <cell r="U1808">
            <v>12</v>
          </cell>
          <cell r="V1808">
            <v>9</v>
          </cell>
          <cell r="W1808" t="str">
            <v>0.11D</v>
          </cell>
          <cell r="X1808" t="str">
            <v>5-2026</v>
          </cell>
          <cell r="Y1808" t="str">
            <v>Week 21</v>
          </cell>
          <cell r="Z1808">
            <v>46160</v>
          </cell>
          <cell r="AA1808">
            <v>8</v>
          </cell>
          <cell r="AB1808">
            <v>8.3330000000000001E-2</v>
          </cell>
        </row>
        <row r="1809">
          <cell r="A1809" t="str">
            <v>F-2026-05-53</v>
          </cell>
          <cell r="B1809"/>
          <cell r="C1809" t="str">
            <v>FPRO-260504-0004</v>
          </cell>
          <cell r="D1809" t="str">
            <v>Firm plan 04.05</v>
          </cell>
          <cell r="E1809" t="str">
            <v>BDB-000317</v>
          </cell>
          <cell r="F1809" t="str">
            <v>PVN-004076</v>
          </cell>
          <cell r="G1809" t="str">
            <v>OrthoLite Regular NEUTRAL GRAY/17-4402TPX Flat Sheet 0.13D 15+/-4 Asker C 1.1M 2M 24mm</v>
          </cell>
          <cell r="H1809">
            <v>68</v>
          </cell>
          <cell r="I1809">
            <v>68</v>
          </cell>
          <cell r="J1809">
            <v>0</v>
          </cell>
          <cell r="K1809">
            <v>68</v>
          </cell>
          <cell r="L1809" t="str">
            <v>ASICS</v>
          </cell>
          <cell r="M1809" t="str">
            <v>Forecast</v>
          </cell>
          <cell r="N1809" t="str">
            <v>MOLDED</v>
          </cell>
          <cell r="O1809" t="str">
            <v>1-SLT</v>
          </cell>
          <cell r="P1809">
            <v>46146</v>
          </cell>
          <cell r="Q1809">
            <v>46164</v>
          </cell>
          <cell r="R1809">
            <v>46161</v>
          </cell>
          <cell r="S1809">
            <v>18</v>
          </cell>
          <cell r="T1809">
            <v>24</v>
          </cell>
          <cell r="U1809">
            <v>5</v>
          </cell>
          <cell r="V1809">
            <v>14</v>
          </cell>
          <cell r="W1809" t="e">
            <v>#N/A</v>
          </cell>
          <cell r="X1809" t="str">
            <v>5-2026</v>
          </cell>
          <cell r="Y1809" t="str">
            <v>Week 21</v>
          </cell>
          <cell r="Z1809">
            <v>46160</v>
          </cell>
          <cell r="AA1809">
            <v>96</v>
          </cell>
          <cell r="AB1809">
            <v>0.2</v>
          </cell>
        </row>
        <row r="1810">
          <cell r="A1810" t="str">
            <v>F-2026-05-54</v>
          </cell>
          <cell r="B1810"/>
          <cell r="C1810" t="str">
            <v>FPRO-260504-0005</v>
          </cell>
          <cell r="D1810" t="str">
            <v>Firm plan 04.05</v>
          </cell>
          <cell r="E1810" t="str">
            <v>BDB-000325</v>
          </cell>
          <cell r="F1810" t="str">
            <v>PVN-004115</v>
          </cell>
          <cell r="G1810" t="str">
            <v>OrthoLite X-40 TRUE BLUE/19-4057TPX Flat Sheet 0.16D 35+/-4 Asker C 1.1M 2M 4mm</v>
          </cell>
          <cell r="H1810">
            <v>133</v>
          </cell>
          <cell r="I1810">
            <v>133</v>
          </cell>
          <cell r="J1810">
            <v>0</v>
          </cell>
          <cell r="K1810">
            <v>133</v>
          </cell>
          <cell r="L1810" t="str">
            <v>ASICS</v>
          </cell>
          <cell r="M1810" t="str">
            <v>Forecast</v>
          </cell>
          <cell r="N1810" t="str">
            <v>DIE CUT</v>
          </cell>
          <cell r="O1810" t="str">
            <v>1-SLT</v>
          </cell>
          <cell r="P1810">
            <v>46146</v>
          </cell>
          <cell r="Q1810">
            <v>46164</v>
          </cell>
          <cell r="R1810">
            <v>46161</v>
          </cell>
          <cell r="S1810">
            <v>18</v>
          </cell>
          <cell r="T1810">
            <v>4</v>
          </cell>
          <cell r="U1810">
            <v>35</v>
          </cell>
          <cell r="V1810">
            <v>4</v>
          </cell>
          <cell r="W1810" t="e">
            <v>#N/A</v>
          </cell>
          <cell r="X1810" t="str">
            <v>5-2026</v>
          </cell>
          <cell r="Y1810" t="str">
            <v>Week 21</v>
          </cell>
          <cell r="Z1810">
            <v>46160</v>
          </cell>
          <cell r="AA1810">
            <v>72</v>
          </cell>
          <cell r="AB1810">
            <v>2.8570000000000002E-2</v>
          </cell>
        </row>
        <row r="1811">
          <cell r="A1811" t="str">
            <v>F-2026-05-55</v>
          </cell>
          <cell r="B1811"/>
          <cell r="C1811" t="str">
            <v>FPRO-260504-0006</v>
          </cell>
          <cell r="D1811" t="str">
            <v>Firm plan 04.05</v>
          </cell>
          <cell r="E1811" t="str">
            <v>BDB-000113</v>
          </cell>
          <cell r="F1811" t="str">
            <v>PVN-002503</v>
          </cell>
          <cell r="G1811" t="str">
            <v>OrthoLite Regular-Hybrid SEEDPEARL/12-0703TPX Hybrid Flat Sheet 0.11D 25+/-4 Asker C 1.1M 2M 4mm</v>
          </cell>
          <cell r="H1811">
            <v>34</v>
          </cell>
          <cell r="I1811">
            <v>34</v>
          </cell>
          <cell r="J1811">
            <v>0</v>
          </cell>
          <cell r="K1811">
            <v>34</v>
          </cell>
          <cell r="L1811" t="str">
            <v>ASICS</v>
          </cell>
          <cell r="M1811" t="str">
            <v>Forecast</v>
          </cell>
          <cell r="N1811" t="str">
            <v>DIE CUT</v>
          </cell>
          <cell r="O1811" t="str">
            <v>1-SLT</v>
          </cell>
          <cell r="P1811">
            <v>46146</v>
          </cell>
          <cell r="Q1811">
            <v>46164</v>
          </cell>
          <cell r="R1811">
            <v>46161</v>
          </cell>
          <cell r="S1811">
            <v>18</v>
          </cell>
          <cell r="T1811">
            <v>4</v>
          </cell>
          <cell r="U1811">
            <v>35</v>
          </cell>
          <cell r="V1811">
            <v>1</v>
          </cell>
          <cell r="W1811" t="str">
            <v>0.11D</v>
          </cell>
          <cell r="X1811" t="str">
            <v>5-2026</v>
          </cell>
          <cell r="Y1811" t="str">
            <v>Week 21</v>
          </cell>
          <cell r="Z1811">
            <v>46160</v>
          </cell>
          <cell r="AA1811">
            <v>134</v>
          </cell>
          <cell r="AB1811">
            <v>2.8570000000000002E-2</v>
          </cell>
        </row>
        <row r="1812">
          <cell r="A1812" t="str">
            <v>F-2026-05-56</v>
          </cell>
          <cell r="B1812"/>
          <cell r="C1812" t="str">
            <v>FPRO-260504-0007</v>
          </cell>
          <cell r="D1812" t="str">
            <v>Firm plan 04.05</v>
          </cell>
          <cell r="E1812" t="str">
            <v>BDB-000057</v>
          </cell>
          <cell r="F1812" t="str">
            <v>PVN-000925</v>
          </cell>
          <cell r="G1812" t="str">
            <v>OrthoLite Ultra YELLOW/13-0858TPX Flat Sheet 0.085D 25+/-4 Asker C 1.1M 2M 5mm</v>
          </cell>
          <cell r="H1812">
            <v>935</v>
          </cell>
          <cell r="I1812">
            <v>935</v>
          </cell>
          <cell r="J1812">
            <v>0</v>
          </cell>
          <cell r="K1812">
            <v>935</v>
          </cell>
          <cell r="L1812" t="str">
            <v>ASICS</v>
          </cell>
          <cell r="M1812" t="str">
            <v>Forecast</v>
          </cell>
          <cell r="N1812" t="str">
            <v>LAMINATING</v>
          </cell>
          <cell r="O1812" t="str">
            <v>1-SLT</v>
          </cell>
          <cell r="P1812">
            <v>46146</v>
          </cell>
          <cell r="Q1812">
            <v>46163</v>
          </cell>
          <cell r="R1812">
            <v>46160</v>
          </cell>
          <cell r="S1812">
            <v>17</v>
          </cell>
          <cell r="T1812">
            <v>5</v>
          </cell>
          <cell r="U1812">
            <v>28</v>
          </cell>
          <cell r="V1812">
            <v>34</v>
          </cell>
          <cell r="W1812" t="str">
            <v>0.085D</v>
          </cell>
          <cell r="X1812" t="str">
            <v>5-2026</v>
          </cell>
          <cell r="Y1812" t="str">
            <v>Week 20</v>
          </cell>
          <cell r="Z1812">
            <v>46153</v>
          </cell>
          <cell r="AA1812">
            <v>27</v>
          </cell>
          <cell r="AB1812">
            <v>3.5709999999999999E-2</v>
          </cell>
        </row>
        <row r="1813">
          <cell r="A1813" t="str">
            <v>F-2026-05-57</v>
          </cell>
          <cell r="B1813"/>
          <cell r="C1813" t="str">
            <v>FPRO-260504-0008</v>
          </cell>
          <cell r="D1813" t="str">
            <v>Firm plan 04.05</v>
          </cell>
          <cell r="E1813" t="str">
            <v>BDB-000113</v>
          </cell>
          <cell r="F1813" t="str">
            <v>PVN-003161</v>
          </cell>
          <cell r="G1813" t="str">
            <v>OrthoLite Regular-Hybrid SEEDPEARL/12-0703TPX Hybrid Flat Sheet 0.11D 25+/-4 Asker C 1.1M 2M 2.5mm</v>
          </cell>
          <cell r="H1813">
            <v>9</v>
          </cell>
          <cell r="I1813">
            <v>9</v>
          </cell>
          <cell r="J1813">
            <v>0</v>
          </cell>
          <cell r="K1813">
            <v>9</v>
          </cell>
          <cell r="L1813" t="str">
            <v>ASICS</v>
          </cell>
          <cell r="M1813" t="str">
            <v>Forecast</v>
          </cell>
          <cell r="N1813" t="str">
            <v>SPLITTING</v>
          </cell>
          <cell r="O1813" t="str">
            <v>1-SLT</v>
          </cell>
          <cell r="P1813">
            <v>46146</v>
          </cell>
          <cell r="Q1813">
            <v>46164</v>
          </cell>
          <cell r="R1813">
            <v>46161</v>
          </cell>
          <cell r="S1813">
            <v>18</v>
          </cell>
          <cell r="T1813">
            <v>2.5</v>
          </cell>
          <cell r="U1813">
            <v>56</v>
          </cell>
          <cell r="V1813">
            <v>1</v>
          </cell>
          <cell r="W1813" t="str">
            <v>0.11D</v>
          </cell>
          <cell r="X1813" t="str">
            <v>5-2026</v>
          </cell>
          <cell r="Y1813" t="str">
            <v>Week 21</v>
          </cell>
          <cell r="Z1813">
            <v>46160</v>
          </cell>
          <cell r="AA1813">
            <v>33</v>
          </cell>
          <cell r="AB1813">
            <v>1.7860000000000001E-2</v>
          </cell>
        </row>
        <row r="1814">
          <cell r="A1814" t="str">
            <v>F-2026-05-58</v>
          </cell>
          <cell r="B1814"/>
          <cell r="C1814" t="str">
            <v>FPRO-260504-0009</v>
          </cell>
          <cell r="D1814" t="str">
            <v>Firm plan 04.05</v>
          </cell>
          <cell r="E1814" t="str">
            <v>BDB-000011</v>
          </cell>
          <cell r="F1814" t="str">
            <v>PVN-000121</v>
          </cell>
          <cell r="G1814" t="str">
            <v>OrthoLite Regular AIR BLUE/16-4134TPX Flat Sheet 0.13D 35+/-4 Asker C 1.1M 2M 12mm</v>
          </cell>
          <cell r="H1814">
            <v>73</v>
          </cell>
          <cell r="I1814">
            <v>73</v>
          </cell>
          <cell r="J1814">
            <v>0</v>
          </cell>
          <cell r="K1814">
            <v>73</v>
          </cell>
          <cell r="L1814" t="str">
            <v>ASICS</v>
          </cell>
          <cell r="M1814" t="str">
            <v>Forecast</v>
          </cell>
          <cell r="N1814" t="str">
            <v>MOLDED</v>
          </cell>
          <cell r="O1814" t="str">
            <v>1-SLT</v>
          </cell>
          <cell r="P1814">
            <v>46146</v>
          </cell>
          <cell r="Q1814">
            <v>46163</v>
          </cell>
          <cell r="R1814">
            <v>46160</v>
          </cell>
          <cell r="S1814">
            <v>17</v>
          </cell>
          <cell r="T1814">
            <v>12</v>
          </cell>
          <cell r="U1814">
            <v>11.5</v>
          </cell>
          <cell r="V1814">
            <v>7</v>
          </cell>
          <cell r="W1814" t="str">
            <v>0.13D</v>
          </cell>
          <cell r="X1814" t="str">
            <v>5-2026</v>
          </cell>
          <cell r="Y1814" t="str">
            <v>Week 20</v>
          </cell>
          <cell r="Z1814">
            <v>46153</v>
          </cell>
          <cell r="AA1814">
            <v>270</v>
          </cell>
          <cell r="AB1814">
            <v>8.6959999999999996E-2</v>
          </cell>
        </row>
        <row r="1815">
          <cell r="A1815" t="str">
            <v>F-2026-05-59</v>
          </cell>
          <cell r="B1815"/>
          <cell r="C1815" t="str">
            <v>FPRO-260504-0010</v>
          </cell>
          <cell r="D1815" t="str">
            <v>Firm plan 04.05</v>
          </cell>
          <cell r="E1815" t="str">
            <v>BDB-000011</v>
          </cell>
          <cell r="F1815" t="str">
            <v>PVN-000126</v>
          </cell>
          <cell r="G1815" t="str">
            <v>OrthoLite Regular AIR BLUE/16-4134TPX Flat Sheet 0.13D 35+/-4 Asker C 1.1M 2M 4mm</v>
          </cell>
          <cell r="H1815">
            <v>167</v>
          </cell>
          <cell r="I1815">
            <v>167</v>
          </cell>
          <cell r="J1815">
            <v>0</v>
          </cell>
          <cell r="K1815">
            <v>167</v>
          </cell>
          <cell r="L1815" t="str">
            <v>ASICS</v>
          </cell>
          <cell r="M1815" t="str">
            <v>Forecast</v>
          </cell>
          <cell r="N1815" t="str">
            <v>SPLITTING</v>
          </cell>
          <cell r="O1815" t="str">
            <v>2-SLT</v>
          </cell>
          <cell r="P1815">
            <v>46146</v>
          </cell>
          <cell r="Q1815">
            <v>46163</v>
          </cell>
          <cell r="R1815">
            <v>46160</v>
          </cell>
          <cell r="S1815">
            <v>17</v>
          </cell>
          <cell r="T1815">
            <v>4</v>
          </cell>
          <cell r="U1815">
            <v>35</v>
          </cell>
          <cell r="V1815">
            <v>5</v>
          </cell>
          <cell r="W1815" t="str">
            <v>0.13D</v>
          </cell>
          <cell r="X1815" t="str">
            <v>5-2026</v>
          </cell>
          <cell r="Y1815" t="str">
            <v>Week 20</v>
          </cell>
          <cell r="Z1815">
            <v>46153</v>
          </cell>
          <cell r="AA1815">
            <v>6</v>
          </cell>
          <cell r="AB1815">
            <v>2.8570000000000002E-2</v>
          </cell>
        </row>
        <row r="1816">
          <cell r="A1816" t="str">
            <v>F-2026-05-60</v>
          </cell>
          <cell r="B1816"/>
          <cell r="C1816" t="str">
            <v>FPRO-260504-0011</v>
          </cell>
          <cell r="D1816" t="str">
            <v>Firm plan 04.05</v>
          </cell>
          <cell r="E1816" t="str">
            <v>BDB-000052</v>
          </cell>
          <cell r="F1816" t="str">
            <v>PVN-003603</v>
          </cell>
          <cell r="G1816" t="str">
            <v>OrthoLite X-40 TRUE BLUE/19-4057TPX Flat Sheet 0.16D 25+/-4 Asker C 1.1M 1.47M 12mm</v>
          </cell>
          <cell r="H1816">
            <v>564</v>
          </cell>
          <cell r="I1816">
            <v>564</v>
          </cell>
          <cell r="J1816">
            <v>0</v>
          </cell>
          <cell r="K1816">
            <v>564</v>
          </cell>
          <cell r="L1816" t="str">
            <v>ASICS</v>
          </cell>
          <cell r="M1816" t="str">
            <v>Forecast</v>
          </cell>
          <cell r="N1816" t="str">
            <v>MOLDED</v>
          </cell>
          <cell r="O1816" t="str">
            <v>1-SLT</v>
          </cell>
          <cell r="P1816">
            <v>46146</v>
          </cell>
          <cell r="Q1816">
            <v>46163</v>
          </cell>
          <cell r="R1816">
            <v>46160</v>
          </cell>
          <cell r="S1816">
            <v>17</v>
          </cell>
          <cell r="T1816">
            <v>12</v>
          </cell>
          <cell r="U1816">
            <v>11.5</v>
          </cell>
          <cell r="V1816">
            <v>50</v>
          </cell>
          <cell r="W1816" t="str">
            <v>0.16D</v>
          </cell>
          <cell r="X1816" t="str">
            <v>5-2026</v>
          </cell>
          <cell r="Y1816" t="str">
            <v>Week 20</v>
          </cell>
          <cell r="Z1816">
            <v>46153</v>
          </cell>
          <cell r="AA1816">
            <v>25</v>
          </cell>
          <cell r="AB1816">
            <v>8.6959999999999996E-2</v>
          </cell>
        </row>
        <row r="1817">
          <cell r="A1817" t="str">
            <v>F-2026-05-61</v>
          </cell>
          <cell r="B1817"/>
          <cell r="C1817" t="str">
            <v>FPRO-260504-0012</v>
          </cell>
          <cell r="D1817" t="str">
            <v>Firm plan 04.05</v>
          </cell>
          <cell r="E1817" t="str">
            <v>BDB-000051</v>
          </cell>
          <cell r="F1817" t="str">
            <v>PVN-003319</v>
          </cell>
          <cell r="G1817" t="str">
            <v>OrthoLite X-40 TRUE BLUE/19-4057TPX Flat Sheet 0.16D 25+/-4 Asker C 1.1M 1.7M 12mm</v>
          </cell>
          <cell r="H1817">
            <v>70</v>
          </cell>
          <cell r="I1817">
            <v>70</v>
          </cell>
          <cell r="J1817">
            <v>0</v>
          </cell>
          <cell r="K1817">
            <v>70</v>
          </cell>
          <cell r="L1817" t="str">
            <v>ASICS</v>
          </cell>
          <cell r="M1817" t="str">
            <v>Forecast</v>
          </cell>
          <cell r="N1817" t="str">
            <v>MOLDED</v>
          </cell>
          <cell r="O1817" t="str">
            <v>1-SLT</v>
          </cell>
          <cell r="P1817">
            <v>46146</v>
          </cell>
          <cell r="Q1817">
            <v>46163</v>
          </cell>
          <cell r="R1817">
            <v>46160</v>
          </cell>
          <cell r="S1817">
            <v>17</v>
          </cell>
          <cell r="T1817">
            <v>12</v>
          </cell>
          <cell r="U1817">
            <v>11.5</v>
          </cell>
          <cell r="V1817">
            <v>7</v>
          </cell>
          <cell r="W1817" t="str">
            <v>0.16D</v>
          </cell>
          <cell r="X1817" t="str">
            <v>5-2026</v>
          </cell>
          <cell r="Y1817" t="str">
            <v>Week 20</v>
          </cell>
          <cell r="Z1817">
            <v>46153</v>
          </cell>
          <cell r="AA1817">
            <v>9</v>
          </cell>
          <cell r="AB1817">
            <v>8.6959999999999996E-2</v>
          </cell>
        </row>
        <row r="1818">
          <cell r="A1818" t="str">
            <v>F-2026-05-62</v>
          </cell>
          <cell r="B1818"/>
          <cell r="C1818" t="str">
            <v>FPRO-260504-0013</v>
          </cell>
          <cell r="D1818" t="str">
            <v>Firm plan 04.05</v>
          </cell>
          <cell r="E1818" t="str">
            <v>BDB-000052</v>
          </cell>
          <cell r="F1818" t="str">
            <v>PVN-004308</v>
          </cell>
          <cell r="G1818" t="str">
            <v>OrthoLite X-40 TRUE BLUE/19-4057TPX Flat Sheet 0.16D 25+/-4 Asker C 1.1M 1.47M 3mm</v>
          </cell>
          <cell r="H1818">
            <v>54</v>
          </cell>
          <cell r="I1818">
            <v>54</v>
          </cell>
          <cell r="J1818">
            <v>0</v>
          </cell>
          <cell r="K1818">
            <v>54</v>
          </cell>
          <cell r="L1818" t="str">
            <v>ASICS</v>
          </cell>
          <cell r="M1818" t="str">
            <v>Forecast</v>
          </cell>
          <cell r="N1818" t="str">
            <v>DIE CUT</v>
          </cell>
          <cell r="O1818" t="str">
            <v>1-SLT</v>
          </cell>
          <cell r="P1818">
            <v>46146</v>
          </cell>
          <cell r="Q1818">
            <v>46163</v>
          </cell>
          <cell r="R1818">
            <v>46160</v>
          </cell>
          <cell r="S1818">
            <v>17</v>
          </cell>
          <cell r="T1818">
            <v>3</v>
          </cell>
          <cell r="U1818">
            <v>46</v>
          </cell>
          <cell r="V1818">
            <v>2</v>
          </cell>
          <cell r="W1818" t="str">
            <v>0.16D</v>
          </cell>
          <cell r="X1818" t="str">
            <v>5-2026</v>
          </cell>
          <cell r="Y1818" t="str">
            <v>Week 20</v>
          </cell>
          <cell r="Z1818">
            <v>46153</v>
          </cell>
          <cell r="AA1818">
            <v>17</v>
          </cell>
          <cell r="AB1818">
            <v>2.1739999999999999E-2</v>
          </cell>
        </row>
        <row r="1819">
          <cell r="A1819" t="str">
            <v>F-2026-05-63</v>
          </cell>
          <cell r="B1819"/>
          <cell r="C1819" t="str">
            <v>FPRO-260504-0014</v>
          </cell>
          <cell r="D1819" t="str">
            <v>Firm plan 04.05</v>
          </cell>
          <cell r="E1819" t="str">
            <v>BDB-000011</v>
          </cell>
          <cell r="F1819" t="str">
            <v>PVN-000127</v>
          </cell>
          <cell r="G1819" t="str">
            <v>OrthoLite Regular AIR BLUE/16-4134TPX Flat Sheet 0.13D 35+/-4 Asker C 1.1M 2M 5mm</v>
          </cell>
          <cell r="H1819">
            <v>355</v>
          </cell>
          <cell r="I1819">
            <v>355</v>
          </cell>
          <cell r="J1819">
            <v>0</v>
          </cell>
          <cell r="K1819">
            <v>355</v>
          </cell>
          <cell r="L1819" t="str">
            <v>ASICS</v>
          </cell>
          <cell r="M1819" t="str">
            <v>Forecast</v>
          </cell>
          <cell r="N1819" t="str">
            <v>LAMINATING</v>
          </cell>
          <cell r="O1819" t="str">
            <v>1-SLT</v>
          </cell>
          <cell r="P1819">
            <v>46146</v>
          </cell>
          <cell r="Q1819">
            <v>46163</v>
          </cell>
          <cell r="R1819">
            <v>46160</v>
          </cell>
          <cell r="S1819">
            <v>17</v>
          </cell>
          <cell r="T1819">
            <v>5</v>
          </cell>
          <cell r="U1819">
            <v>28</v>
          </cell>
          <cell r="V1819">
            <v>13</v>
          </cell>
          <cell r="W1819" t="str">
            <v>0.13D</v>
          </cell>
          <cell r="X1819" t="str">
            <v>5-2026</v>
          </cell>
          <cell r="Y1819" t="str">
            <v>Week 20</v>
          </cell>
          <cell r="Z1819">
            <v>46153</v>
          </cell>
          <cell r="AA1819">
            <v>47</v>
          </cell>
          <cell r="AB1819">
            <v>3.5709999999999999E-2</v>
          </cell>
        </row>
        <row r="1820">
          <cell r="A1820" t="str">
            <v>F-2026-05-64</v>
          </cell>
          <cell r="B1820"/>
          <cell r="C1820" t="str">
            <v>FPRO-260504-0015</v>
          </cell>
          <cell r="D1820" t="str">
            <v>Firm plan 04.05</v>
          </cell>
          <cell r="E1820" t="str">
            <v>BDB-000332</v>
          </cell>
          <cell r="F1820" t="str">
            <v>PVN-004146</v>
          </cell>
          <cell r="G1820" t="str">
            <v>OrthoLite X-25 CASTLEROCK/18-0201TPX Flat Sheet 0.12D 20+/-4 Asker C 1.1M 2M 5.5mm</v>
          </cell>
          <cell r="H1820">
            <v>600</v>
          </cell>
          <cell r="I1820">
            <v>600</v>
          </cell>
          <cell r="J1820">
            <v>0</v>
          </cell>
          <cell r="K1820">
            <v>600</v>
          </cell>
          <cell r="L1820" t="str">
            <v>ON RUNNING</v>
          </cell>
          <cell r="M1820" t="str">
            <v>Forecast</v>
          </cell>
          <cell r="N1820" t="str">
            <v>MOLDED</v>
          </cell>
          <cell r="O1820">
            <v>1</v>
          </cell>
          <cell r="P1820">
            <v>46146</v>
          </cell>
          <cell r="Q1820">
            <v>46160</v>
          </cell>
          <cell r="R1820">
            <v>46157</v>
          </cell>
          <cell r="S1820">
            <v>14</v>
          </cell>
          <cell r="T1820">
            <v>5.5</v>
          </cell>
          <cell r="U1820">
            <v>25</v>
          </cell>
          <cell r="V1820">
            <v>24</v>
          </cell>
          <cell r="W1820" t="e">
            <v>#N/A</v>
          </cell>
          <cell r="X1820" t="str">
            <v>5-2026</v>
          </cell>
          <cell r="Y1820" t="str">
            <v>Week 20</v>
          </cell>
          <cell r="Z1820">
            <v>46153</v>
          </cell>
          <cell r="AA1820">
            <v>284</v>
          </cell>
          <cell r="AB1820">
            <v>0.04</v>
          </cell>
        </row>
        <row r="1821">
          <cell r="A1821" t="str">
            <v>F-2026-05-65</v>
          </cell>
          <cell r="B1821"/>
          <cell r="C1821" t="str">
            <v>FPRO-260504-0016</v>
          </cell>
          <cell r="D1821" t="str">
            <v>Firm plan 04.05</v>
          </cell>
          <cell r="E1821" t="str">
            <v>BDB-000332</v>
          </cell>
          <cell r="F1821" t="str">
            <v>PVN-004146</v>
          </cell>
          <cell r="G1821" t="str">
            <v>OrthoLite X-25 CASTLEROCK/18-0201TPX Flat Sheet 0.12D 20+/-4 Asker C 1.1M 2M 5.5mm</v>
          </cell>
          <cell r="H1821">
            <v>500</v>
          </cell>
          <cell r="I1821">
            <v>500</v>
          </cell>
          <cell r="J1821">
            <v>0</v>
          </cell>
          <cell r="K1821">
            <v>500</v>
          </cell>
          <cell r="L1821" t="str">
            <v>ON RUNNING</v>
          </cell>
          <cell r="M1821" t="str">
            <v>Forecast</v>
          </cell>
          <cell r="N1821" t="str">
            <v>MOLDED</v>
          </cell>
          <cell r="O1821">
            <v>1</v>
          </cell>
          <cell r="P1821">
            <v>46146</v>
          </cell>
          <cell r="Q1821">
            <v>46164</v>
          </cell>
          <cell r="R1821">
            <v>46161</v>
          </cell>
          <cell r="S1821">
            <v>18</v>
          </cell>
          <cell r="T1821">
            <v>5.5</v>
          </cell>
          <cell r="U1821">
            <v>25</v>
          </cell>
          <cell r="V1821">
            <v>20</v>
          </cell>
          <cell r="W1821" t="e">
            <v>#N/A</v>
          </cell>
          <cell r="X1821" t="str">
            <v>5-2026</v>
          </cell>
          <cell r="Y1821" t="str">
            <v>Week 21</v>
          </cell>
          <cell r="Z1821">
            <v>46160</v>
          </cell>
          <cell r="AA1821">
            <v>114</v>
          </cell>
          <cell r="AB1821">
            <v>0.04</v>
          </cell>
        </row>
        <row r="1822">
          <cell r="A1822" t="str">
            <v>F-2026-05-66</v>
          </cell>
          <cell r="B1822"/>
          <cell r="C1822" t="str">
            <v>FPRO-260504-0017</v>
          </cell>
          <cell r="D1822" t="str">
            <v>Firm plan 04.05</v>
          </cell>
          <cell r="E1822" t="str">
            <v>BDB-000332</v>
          </cell>
          <cell r="F1822" t="str">
            <v>PVN-004146</v>
          </cell>
          <cell r="G1822" t="str">
            <v>OrthoLite X-25 CASTLEROCK/18-0201TPX Flat Sheet 0.12D 20+/-4 Asker C 1.1M 2M 5.5mm</v>
          </cell>
          <cell r="H1822">
            <v>500</v>
          </cell>
          <cell r="I1822">
            <v>500</v>
          </cell>
          <cell r="J1822">
            <v>0</v>
          </cell>
          <cell r="K1822">
            <v>500</v>
          </cell>
          <cell r="L1822" t="str">
            <v>ON RUNNING</v>
          </cell>
          <cell r="M1822" t="str">
            <v>Forecast</v>
          </cell>
          <cell r="N1822" t="str">
            <v>MOLDED</v>
          </cell>
          <cell r="O1822">
            <v>1</v>
          </cell>
          <cell r="P1822">
            <v>46146</v>
          </cell>
          <cell r="Q1822">
            <v>46175</v>
          </cell>
          <cell r="R1822">
            <v>46172</v>
          </cell>
          <cell r="S1822">
            <v>29</v>
          </cell>
          <cell r="T1822">
            <v>5.5</v>
          </cell>
          <cell r="U1822">
            <v>25</v>
          </cell>
          <cell r="V1822">
            <v>20</v>
          </cell>
          <cell r="W1822" t="e">
            <v>#N/A</v>
          </cell>
          <cell r="X1822" t="str">
            <v>6-2026</v>
          </cell>
          <cell r="Y1822" t="str">
            <v>Week 22</v>
          </cell>
          <cell r="Z1822">
            <v>46167</v>
          </cell>
          <cell r="AA1822">
            <v>162</v>
          </cell>
          <cell r="AB1822">
            <v>0.04</v>
          </cell>
        </row>
        <row r="1823">
          <cell r="A1823" t="str">
            <v>F-2026-05-67</v>
          </cell>
          <cell r="B1823"/>
          <cell r="C1823" t="str">
            <v>FPRO-260504-0018</v>
          </cell>
          <cell r="D1823" t="str">
            <v>Firm plan 04.05</v>
          </cell>
          <cell r="E1823" t="str">
            <v>BDB-000077</v>
          </cell>
          <cell r="F1823" t="str">
            <v>PVN-004147</v>
          </cell>
          <cell r="G1823" t="str">
            <v>OrthoLite X-25 SEEDPEARL/12-0703TPX Flat Sheet 0.12D 20+/-4 Asker C 1.1M 2M 5.5mm</v>
          </cell>
          <cell r="H1823">
            <v>500</v>
          </cell>
          <cell r="I1823">
            <v>500</v>
          </cell>
          <cell r="J1823">
            <v>0</v>
          </cell>
          <cell r="K1823">
            <v>500</v>
          </cell>
          <cell r="L1823" t="str">
            <v>ON RUNNING</v>
          </cell>
          <cell r="M1823" t="str">
            <v>Forecast</v>
          </cell>
          <cell r="N1823" t="str">
            <v>MOLDED</v>
          </cell>
          <cell r="O1823">
            <v>1</v>
          </cell>
          <cell r="P1823">
            <v>46146</v>
          </cell>
          <cell r="Q1823">
            <v>46172</v>
          </cell>
          <cell r="R1823">
            <v>46169</v>
          </cell>
          <cell r="S1823">
            <v>26</v>
          </cell>
          <cell r="T1823">
            <v>5.5</v>
          </cell>
          <cell r="U1823">
            <v>25</v>
          </cell>
          <cell r="V1823">
            <v>20</v>
          </cell>
          <cell r="W1823" t="str">
            <v>0.12D</v>
          </cell>
          <cell r="X1823" t="str">
            <v>5-2026</v>
          </cell>
          <cell r="Y1823" t="str">
            <v>Week 21</v>
          </cell>
          <cell r="Z1823">
            <v>46160</v>
          </cell>
          <cell r="AA1823">
            <v>5</v>
          </cell>
          <cell r="AB1823">
            <v>0.04</v>
          </cell>
        </row>
        <row r="1824">
          <cell r="A1824" t="str">
            <v>F-2026-05-68</v>
          </cell>
          <cell r="B1824"/>
          <cell r="C1824" t="str">
            <v>FPRO-260504-0019</v>
          </cell>
          <cell r="D1824" t="str">
            <v>Firm plan 04.05</v>
          </cell>
          <cell r="E1824" t="str">
            <v>BDB-000077</v>
          </cell>
          <cell r="F1824" t="str">
            <v>PVN-004147</v>
          </cell>
          <cell r="G1824" t="str">
            <v>OrthoLite X-25 SEEDPEARL/12-0703TPX Flat Sheet 0.12D 20+/-4 Asker C 1.1M 2M 5.5mm</v>
          </cell>
          <cell r="H1824">
            <v>450</v>
          </cell>
          <cell r="I1824">
            <v>450</v>
          </cell>
          <cell r="J1824">
            <v>0</v>
          </cell>
          <cell r="K1824">
            <v>450</v>
          </cell>
          <cell r="L1824" t="str">
            <v>ON RUNNING</v>
          </cell>
          <cell r="M1824" t="str">
            <v>Forecast</v>
          </cell>
          <cell r="N1824" t="str">
            <v>MOLDED</v>
          </cell>
          <cell r="O1824">
            <v>1</v>
          </cell>
          <cell r="P1824">
            <v>46146</v>
          </cell>
          <cell r="Q1824">
            <v>46179</v>
          </cell>
          <cell r="R1824">
            <v>46176</v>
          </cell>
          <cell r="S1824">
            <v>33</v>
          </cell>
          <cell r="T1824">
            <v>5.5</v>
          </cell>
          <cell r="U1824">
            <v>25</v>
          </cell>
          <cell r="V1824">
            <v>18</v>
          </cell>
          <cell r="W1824" t="str">
            <v>0.12D</v>
          </cell>
          <cell r="X1824" t="str">
            <v>6-2026</v>
          </cell>
          <cell r="Y1824" t="str">
            <v>Week 22</v>
          </cell>
          <cell r="Z1824">
            <v>46167</v>
          </cell>
          <cell r="AA1824">
            <v>34</v>
          </cell>
          <cell r="AB1824">
            <v>0.04</v>
          </cell>
        </row>
        <row r="1825">
          <cell r="A1825" t="str">
            <v>F-2026-05-69</v>
          </cell>
          <cell r="B1825"/>
          <cell r="C1825" t="str">
            <v>FPRO-260505-0004</v>
          </cell>
          <cell r="D1825" t="str">
            <v>Firm plan 05.05</v>
          </cell>
          <cell r="E1825" t="str">
            <v>BDB-000004</v>
          </cell>
          <cell r="F1825" t="str">
            <v>PVN-000060</v>
          </cell>
          <cell r="G1825" t="str">
            <v>OrthoLite Regular GREY/17-1501TPX 0.11D 25+/-4 Asker C 1.1M 2M 14mm</v>
          </cell>
          <cell r="H1825">
            <v>18</v>
          </cell>
          <cell r="I1825">
            <v>18</v>
          </cell>
          <cell r="J1825">
            <v>0</v>
          </cell>
          <cell r="K1825">
            <v>18</v>
          </cell>
          <cell r="L1825" t="str">
            <v>DANNER</v>
          </cell>
          <cell r="M1825" t="str">
            <v>Forecast</v>
          </cell>
          <cell r="N1825" t="str">
            <v>MOLDED</v>
          </cell>
          <cell r="O1825">
            <v>1</v>
          </cell>
          <cell r="P1825">
            <v>46147</v>
          </cell>
          <cell r="Q1825">
            <v>46157</v>
          </cell>
          <cell r="R1825">
            <v>46154</v>
          </cell>
          <cell r="S1825">
            <v>10</v>
          </cell>
          <cell r="T1825">
            <v>14</v>
          </cell>
          <cell r="U1825">
            <v>9</v>
          </cell>
          <cell r="V1825">
            <v>2</v>
          </cell>
          <cell r="W1825" t="str">
            <v>0.11D</v>
          </cell>
          <cell r="X1825" t="str">
            <v>5-2026</v>
          </cell>
          <cell r="Y1825" t="str">
            <v>Week 19</v>
          </cell>
          <cell r="Z1825">
            <v>46146</v>
          </cell>
          <cell r="AA1825">
            <v>37</v>
          </cell>
          <cell r="AB1825">
            <v>0.11111</v>
          </cell>
        </row>
        <row r="1826">
          <cell r="A1826" t="str">
            <v>F-2026-05-70</v>
          </cell>
          <cell r="B1826"/>
          <cell r="C1826" t="str">
            <v>RPRO-260506-0351</v>
          </cell>
          <cell r="D1826" t="str">
            <v>MPS 05.05</v>
          </cell>
          <cell r="E1826" t="str">
            <v>BDB-000348</v>
          </cell>
          <cell r="F1826" t="str">
            <v>PVN-004195</v>
          </cell>
          <cell r="G1826" t="str">
            <v>OrthoLite IMPERIAL SEEDPEARL/12-0703TPX Flat Sheet 0.22D 25+/-4 Asker C 1.1M 1.47M 4mm</v>
          </cell>
          <cell r="H1826">
            <v>455</v>
          </cell>
          <cell r="I1826">
            <v>455</v>
          </cell>
          <cell r="J1826">
            <v>0</v>
          </cell>
          <cell r="K1826">
            <v>455</v>
          </cell>
          <cell r="L1826"/>
          <cell r="M1826" t="str">
            <v>MPS</v>
          </cell>
          <cell r="N1826" t="str">
            <v>SPLITTING</v>
          </cell>
          <cell r="O1826">
            <v>2</v>
          </cell>
          <cell r="P1826">
            <v>46148</v>
          </cell>
          <cell r="Q1826">
            <v>46163</v>
          </cell>
          <cell r="R1826">
            <v>46160</v>
          </cell>
          <cell r="S1826">
            <v>15</v>
          </cell>
          <cell r="T1826">
            <v>4</v>
          </cell>
          <cell r="U1826">
            <v>35</v>
          </cell>
          <cell r="V1826">
            <v>13</v>
          </cell>
          <cell r="W1826" t="e">
            <v>#N/A</v>
          </cell>
          <cell r="X1826" t="str">
            <v>5-2026</v>
          </cell>
          <cell r="Y1826" t="str">
            <v>Week 20</v>
          </cell>
          <cell r="Z1826">
            <v>46153</v>
          </cell>
          <cell r="AA1826">
            <v>27</v>
          </cell>
          <cell r="AB1826">
            <v>2.8570000000000002E-2</v>
          </cell>
        </row>
        <row r="1827">
          <cell r="A1827" t="str">
            <v>F-2026-05-71</v>
          </cell>
          <cell r="B1827"/>
          <cell r="C1827" t="str">
            <v>RPRO-260506-0352</v>
          </cell>
          <cell r="D1827" t="str">
            <v>MPS 05.05</v>
          </cell>
          <cell r="E1827" t="str">
            <v>BDB-000016</v>
          </cell>
          <cell r="F1827" t="str">
            <v>PVN-000458</v>
          </cell>
          <cell r="G1827" t="str">
            <v>OrthoLite Regular GREEN/16-5932TPX Flat Sheet 0.13D 35+/-4 Asker C 1.1M 2M 3mm</v>
          </cell>
          <cell r="H1827">
            <v>552</v>
          </cell>
          <cell r="I1827">
            <v>552</v>
          </cell>
          <cell r="J1827">
            <v>0</v>
          </cell>
          <cell r="K1827">
            <v>552</v>
          </cell>
          <cell r="L1827"/>
          <cell r="M1827" t="str">
            <v>MPS</v>
          </cell>
          <cell r="N1827" t="str">
            <v>SPLITTING</v>
          </cell>
          <cell r="O1827">
            <v>2</v>
          </cell>
          <cell r="P1827">
            <v>46148</v>
          </cell>
          <cell r="Q1827">
            <v>46161</v>
          </cell>
          <cell r="R1827">
            <v>46158</v>
          </cell>
          <cell r="S1827">
            <v>13</v>
          </cell>
          <cell r="T1827">
            <v>3</v>
          </cell>
          <cell r="U1827">
            <v>46</v>
          </cell>
          <cell r="V1827">
            <v>13</v>
          </cell>
          <cell r="W1827" t="str">
            <v>0.13D</v>
          </cell>
          <cell r="X1827" t="str">
            <v>5-2026</v>
          </cell>
          <cell r="Y1827" t="str">
            <v>Week 20</v>
          </cell>
          <cell r="Z1827">
            <v>46153</v>
          </cell>
          <cell r="AA1827">
            <v>122</v>
          </cell>
          <cell r="AB1827">
            <v>2.1739999999999999E-2</v>
          </cell>
        </row>
        <row r="1828">
          <cell r="A1828" t="str">
            <v>F-2026-05-72</v>
          </cell>
          <cell r="B1828"/>
          <cell r="C1828" t="str">
            <v>RPRO-260506-0353</v>
          </cell>
          <cell r="D1828" t="str">
            <v>MPS 05.05</v>
          </cell>
          <cell r="E1828" t="str">
            <v>BDB-000067</v>
          </cell>
          <cell r="F1828" t="str">
            <v>PVN-001415</v>
          </cell>
          <cell r="G1828" t="str">
            <v>OrthoLite Ultra SEEDPEARL/12-0703TPX Flat Sheet 0.085D 25+/-4 Asker C 1.1M 2M 4mm</v>
          </cell>
          <cell r="H1828">
            <v>525</v>
          </cell>
          <cell r="I1828">
            <v>525</v>
          </cell>
          <cell r="J1828">
            <v>0</v>
          </cell>
          <cell r="K1828">
            <v>525</v>
          </cell>
          <cell r="L1828"/>
          <cell r="M1828" t="str">
            <v>MPS</v>
          </cell>
          <cell r="N1828" t="str">
            <v>SPLITTING</v>
          </cell>
          <cell r="O1828">
            <v>2</v>
          </cell>
          <cell r="P1828">
            <v>46148</v>
          </cell>
          <cell r="Q1828">
            <v>46156</v>
          </cell>
          <cell r="R1828">
            <v>46153</v>
          </cell>
          <cell r="S1828">
            <v>8</v>
          </cell>
          <cell r="T1828">
            <v>4</v>
          </cell>
          <cell r="U1828">
            <v>35</v>
          </cell>
          <cell r="V1828">
            <v>15</v>
          </cell>
          <cell r="W1828" t="str">
            <v>0.085D</v>
          </cell>
          <cell r="X1828" t="str">
            <v>5-2026</v>
          </cell>
          <cell r="Y1828" t="str">
            <v>Week 20</v>
          </cell>
          <cell r="Z1828">
            <v>46153</v>
          </cell>
          <cell r="AA1828">
            <v>3</v>
          </cell>
          <cell r="AB1828">
            <v>2.8570000000000002E-2</v>
          </cell>
        </row>
        <row r="1829">
          <cell r="A1829" t="str">
            <v>F-2026-05-73</v>
          </cell>
          <cell r="B1829"/>
          <cell r="C1829" t="str">
            <v>RPRO-260506-0354</v>
          </cell>
          <cell r="D1829" t="str">
            <v>MPS 05.05</v>
          </cell>
          <cell r="E1829" t="str">
            <v>BDB-000016</v>
          </cell>
          <cell r="F1829" t="str">
            <v>PVN-001814</v>
          </cell>
          <cell r="G1829" t="str">
            <v>OrthoLite Regular GREEN/16-5932TPX Flat Sheet 0.13D 35+/-4 Asker C 1.1M 2M 3.5mm</v>
          </cell>
          <cell r="H1829">
            <v>120</v>
          </cell>
          <cell r="I1829">
            <v>120</v>
          </cell>
          <cell r="J1829">
            <v>0</v>
          </cell>
          <cell r="K1829">
            <v>120</v>
          </cell>
          <cell r="L1829"/>
          <cell r="M1829" t="str">
            <v>MPS</v>
          </cell>
          <cell r="N1829" t="str">
            <v>SPLITTING</v>
          </cell>
          <cell r="O1829">
            <v>2</v>
          </cell>
          <cell r="P1829">
            <v>46148</v>
          </cell>
          <cell r="Q1829">
            <v>46163</v>
          </cell>
          <cell r="R1829">
            <v>46160</v>
          </cell>
          <cell r="S1829">
            <v>15</v>
          </cell>
          <cell r="T1829">
            <v>3.5</v>
          </cell>
          <cell r="U1829">
            <v>40</v>
          </cell>
          <cell r="V1829">
            <v>3</v>
          </cell>
          <cell r="W1829" t="str">
            <v>0.13D</v>
          </cell>
          <cell r="X1829" t="str">
            <v>5-2026</v>
          </cell>
          <cell r="Y1829" t="str">
            <v>Week 20</v>
          </cell>
          <cell r="Z1829">
            <v>46153</v>
          </cell>
          <cell r="AA1829">
            <v>21</v>
          </cell>
          <cell r="AB1829">
            <v>2.5000000000000001E-2</v>
          </cell>
        </row>
        <row r="1830">
          <cell r="A1830" t="str">
            <v>F-2026-05-74</v>
          </cell>
          <cell r="B1830"/>
          <cell r="C1830" t="str">
            <v>RPRO-260506-0355</v>
          </cell>
          <cell r="D1830" t="str">
            <v>MPS 05.05</v>
          </cell>
          <cell r="E1830" t="str">
            <v>BDB-000123</v>
          </cell>
          <cell r="F1830" t="str">
            <v>PVN-003300</v>
          </cell>
          <cell r="G1830" t="str">
            <v>OrthoLite Ultra-Hybrid SEEDPEARL/12-0703TPX Hybrid Flat Sheet 0.085D 25+/-4 Asker C 1.1M 2M 2mm</v>
          </cell>
          <cell r="H1830">
            <v>70</v>
          </cell>
          <cell r="I1830">
            <v>70</v>
          </cell>
          <cell r="J1830">
            <v>0</v>
          </cell>
          <cell r="K1830">
            <v>70</v>
          </cell>
          <cell r="L1830"/>
          <cell r="M1830" t="str">
            <v>MPS</v>
          </cell>
          <cell r="N1830" t="str">
            <v>SPLITTING</v>
          </cell>
          <cell r="O1830">
            <v>2</v>
          </cell>
          <cell r="P1830">
            <v>46148</v>
          </cell>
          <cell r="Q1830">
            <v>46157</v>
          </cell>
          <cell r="R1830">
            <v>46154</v>
          </cell>
          <cell r="S1830">
            <v>9</v>
          </cell>
          <cell r="T1830">
            <v>2</v>
          </cell>
          <cell r="U1830">
            <v>70</v>
          </cell>
          <cell r="V1830">
            <v>2</v>
          </cell>
          <cell r="W1830" t="str">
            <v>0.085D</v>
          </cell>
          <cell r="X1830" t="str">
            <v>5-2026</v>
          </cell>
          <cell r="Y1830" t="str">
            <v>Week 20</v>
          </cell>
          <cell r="Z1830">
            <v>46153</v>
          </cell>
          <cell r="AA1830">
            <v>93</v>
          </cell>
          <cell r="AB1830">
            <v>1.4290000000000001E-2</v>
          </cell>
        </row>
        <row r="1831">
          <cell r="A1831" t="str">
            <v>F-2026-05-75</v>
          </cell>
          <cell r="B1831"/>
          <cell r="C1831" t="str">
            <v>RPRO-260506-0356</v>
          </cell>
          <cell r="D1831" t="str">
            <v>MPS 05.05</v>
          </cell>
          <cell r="E1831" t="str">
            <v>BDB-000305</v>
          </cell>
          <cell r="F1831" t="str">
            <v>PVN-004000</v>
          </cell>
          <cell r="G1831" t="str">
            <v>OrthoLite X-35-Nike YELLOW/13-0858TPX Flat Sheet 0.145D 25+/-4 Asker C 1.1M 2M 5.5mm</v>
          </cell>
          <cell r="H1831">
            <v>25</v>
          </cell>
          <cell r="I1831">
            <v>25</v>
          </cell>
          <cell r="J1831">
            <v>0</v>
          </cell>
          <cell r="K1831">
            <v>25</v>
          </cell>
          <cell r="L1831"/>
          <cell r="M1831" t="str">
            <v>MPS</v>
          </cell>
          <cell r="N1831" t="str">
            <v>SPLITTING</v>
          </cell>
          <cell r="O1831">
            <v>2</v>
          </cell>
          <cell r="P1831">
            <v>46148</v>
          </cell>
          <cell r="Q1831">
            <v>46163</v>
          </cell>
          <cell r="R1831">
            <v>46160</v>
          </cell>
          <cell r="S1831">
            <v>15</v>
          </cell>
          <cell r="T1831">
            <v>5.5</v>
          </cell>
          <cell r="U1831">
            <v>25</v>
          </cell>
          <cell r="V1831">
            <v>1</v>
          </cell>
          <cell r="W1831" t="str">
            <v>0.145D</v>
          </cell>
          <cell r="X1831" t="str">
            <v>5-2026</v>
          </cell>
          <cell r="Y1831" t="str">
            <v>Week 20</v>
          </cell>
          <cell r="Z1831">
            <v>46153</v>
          </cell>
          <cell r="AA1831">
            <v>18</v>
          </cell>
          <cell r="AB1831">
            <v>0.04</v>
          </cell>
        </row>
        <row r="1832">
          <cell r="A1832" t="str">
            <v>F-2026-05-76</v>
          </cell>
          <cell r="B1832"/>
          <cell r="C1832" t="str">
            <v>RPRO-260506-0357</v>
          </cell>
          <cell r="D1832" t="str">
            <v>Pro.sche.report 05.05</v>
          </cell>
          <cell r="E1832" t="str">
            <v>BDB-000051</v>
          </cell>
          <cell r="F1832" t="str">
            <v>PVN-003319</v>
          </cell>
          <cell r="G1832" t="str">
            <v>OrthoLite X-40 TRUE BLUE/19-4057TPX Flat Sheet 0.16D 25+/-4 Asker C 1.1M 1.7M 12mm</v>
          </cell>
          <cell r="H1832">
            <v>11</v>
          </cell>
          <cell r="I1832">
            <v>11</v>
          </cell>
          <cell r="J1832">
            <v>0</v>
          </cell>
          <cell r="K1832">
            <v>11</v>
          </cell>
          <cell r="L1832" t="str">
            <v>ASICS</v>
          </cell>
          <cell r="M1832" t="str">
            <v>Pr.Sch.R</v>
          </cell>
          <cell r="N1832" t="str">
            <v>MOLDED</v>
          </cell>
          <cell r="O1832">
            <v>1</v>
          </cell>
          <cell r="P1832">
            <v>46148</v>
          </cell>
          <cell r="Q1832">
            <v>46160</v>
          </cell>
          <cell r="R1832">
            <v>46157</v>
          </cell>
          <cell r="S1832">
            <v>12</v>
          </cell>
          <cell r="T1832">
            <v>12</v>
          </cell>
          <cell r="U1832">
            <v>11.5</v>
          </cell>
          <cell r="V1832">
            <v>1</v>
          </cell>
          <cell r="W1832" t="str">
            <v>0.16D</v>
          </cell>
          <cell r="X1832" t="str">
            <v>5-2026</v>
          </cell>
          <cell r="Y1832" t="str">
            <v>Week 20</v>
          </cell>
          <cell r="Z1832">
            <v>46153</v>
          </cell>
          <cell r="AA1832">
            <v>4</v>
          </cell>
          <cell r="AB1832">
            <v>8.6959999999999996E-2</v>
          </cell>
        </row>
        <row r="1833">
          <cell r="A1833" t="str">
            <v>F-2026-05-77</v>
          </cell>
          <cell r="B1833"/>
          <cell r="C1833" t="str">
            <v>RPRO-260506-0358</v>
          </cell>
          <cell r="D1833" t="str">
            <v>Pro.sche.report 05.05</v>
          </cell>
          <cell r="E1833" t="str">
            <v>BDB-000052</v>
          </cell>
          <cell r="F1833" t="str">
            <v>PVN-003603</v>
          </cell>
          <cell r="G1833" t="str">
            <v>OrthoLite X-40 TRUE BLUE/19-4057TPX Flat Sheet 0.16D 25+/-4 Asker C 1.1M 1.47M 12mm</v>
          </cell>
          <cell r="H1833">
            <v>11</v>
          </cell>
          <cell r="I1833">
            <v>11</v>
          </cell>
          <cell r="J1833">
            <v>0</v>
          </cell>
          <cell r="K1833">
            <v>11</v>
          </cell>
          <cell r="L1833" t="str">
            <v>ASICS</v>
          </cell>
          <cell r="M1833" t="str">
            <v>Pr.Sch.R</v>
          </cell>
          <cell r="N1833" t="str">
            <v>MOLDED</v>
          </cell>
          <cell r="O1833">
            <v>1</v>
          </cell>
          <cell r="P1833">
            <v>46148</v>
          </cell>
          <cell r="Q1833">
            <v>46160</v>
          </cell>
          <cell r="R1833">
            <v>46157</v>
          </cell>
          <cell r="S1833">
            <v>12</v>
          </cell>
          <cell r="T1833">
            <v>12</v>
          </cell>
          <cell r="U1833">
            <v>11.5</v>
          </cell>
          <cell r="V1833">
            <v>1</v>
          </cell>
          <cell r="W1833" t="str">
            <v>0.16D</v>
          </cell>
          <cell r="X1833" t="str">
            <v>5-2026</v>
          </cell>
          <cell r="Y1833" t="str">
            <v>Week 20</v>
          </cell>
          <cell r="Z1833">
            <v>46153</v>
          </cell>
          <cell r="AA1833">
            <v>41</v>
          </cell>
          <cell r="AB1833">
            <v>8.6959999999999996E-2</v>
          </cell>
        </row>
        <row r="1834">
          <cell r="A1834" t="str">
            <v>F-2026-05-78</v>
          </cell>
          <cell r="B1834"/>
          <cell r="C1834" t="str">
            <v>RPRO-260506-0359</v>
          </cell>
          <cell r="D1834" t="str">
            <v>Pro.sche.report 05.05</v>
          </cell>
          <cell r="E1834" t="str">
            <v>BDB-000319</v>
          </cell>
          <cell r="F1834" t="str">
            <v>PVN-004247</v>
          </cell>
          <cell r="G1834" t="str">
            <v>OrthoLite X-40-Hybrid-Nike SEEDPEARL/12-0703TPX Hybrid Flat Sheet 0.16D 25+/-4 Asker C 1.1M 2M 4.2mm</v>
          </cell>
          <cell r="H1834">
            <v>33</v>
          </cell>
          <cell r="I1834">
            <v>33</v>
          </cell>
          <cell r="J1834">
            <v>0</v>
          </cell>
          <cell r="K1834">
            <v>33</v>
          </cell>
          <cell r="L1834" t="str">
            <v>NIKE</v>
          </cell>
          <cell r="M1834" t="str">
            <v>Pr.Sch.R</v>
          </cell>
          <cell r="N1834" t="str">
            <v>MOLDED</v>
          </cell>
          <cell r="O1834">
            <v>1</v>
          </cell>
          <cell r="P1834">
            <v>46148</v>
          </cell>
          <cell r="Q1834">
            <v>46163</v>
          </cell>
          <cell r="R1834">
            <v>46160</v>
          </cell>
          <cell r="S1834">
            <v>15</v>
          </cell>
          <cell r="T1834">
            <v>4.2</v>
          </cell>
          <cell r="U1834">
            <v>33</v>
          </cell>
          <cell r="V1834">
            <v>1</v>
          </cell>
          <cell r="W1834" t="e">
            <v>#N/A</v>
          </cell>
          <cell r="X1834" t="str">
            <v>5-2026</v>
          </cell>
          <cell r="Y1834" t="str">
            <v>Week 20</v>
          </cell>
          <cell r="Z1834">
            <v>46153</v>
          </cell>
          <cell r="AA1834">
            <v>72</v>
          </cell>
          <cell r="AB1834">
            <v>3.0300000000000001E-2</v>
          </cell>
        </row>
        <row r="1835">
          <cell r="A1835" t="str">
            <v>F-2026-05-79</v>
          </cell>
          <cell r="B1835"/>
          <cell r="C1835" t="str">
            <v>RPRO-260506-0360</v>
          </cell>
          <cell r="D1835" t="str">
            <v>Pro.sche.report 05.05</v>
          </cell>
          <cell r="E1835" t="str">
            <v>BDB-000054</v>
          </cell>
          <cell r="F1835" t="str">
            <v>PVN-003895</v>
          </cell>
          <cell r="G1835" t="str">
            <v>OrthoLite X-40 RED/19-1764TPX Flat Sheet 0.16D 25+/-4 Asker C 1.1M 1.7M 5mm</v>
          </cell>
          <cell r="H1835">
            <v>112</v>
          </cell>
          <cell r="I1835">
            <v>112</v>
          </cell>
          <cell r="J1835">
            <v>0</v>
          </cell>
          <cell r="K1835">
            <v>112</v>
          </cell>
          <cell r="L1835" t="str">
            <v>PAYNTR</v>
          </cell>
          <cell r="M1835" t="str">
            <v>Pr.Sch.R</v>
          </cell>
          <cell r="N1835" t="str">
            <v>MOLDED</v>
          </cell>
          <cell r="O1835">
            <v>1</v>
          </cell>
          <cell r="P1835">
            <v>46148</v>
          </cell>
          <cell r="Q1835">
            <v>46158</v>
          </cell>
          <cell r="R1835">
            <v>46155</v>
          </cell>
          <cell r="S1835">
            <v>10</v>
          </cell>
          <cell r="T1835">
            <v>5</v>
          </cell>
          <cell r="U1835">
            <v>28</v>
          </cell>
          <cell r="V1835">
            <v>4</v>
          </cell>
          <cell r="W1835" t="str">
            <v>0.16D</v>
          </cell>
          <cell r="X1835" t="str">
            <v>5-2026</v>
          </cell>
          <cell r="Y1835" t="str">
            <v>Week 20</v>
          </cell>
          <cell r="Z1835">
            <v>46153</v>
          </cell>
          <cell r="AA1835">
            <v>4</v>
          </cell>
          <cell r="AB1835">
            <v>3.5709999999999999E-2</v>
          </cell>
        </row>
        <row r="1836">
          <cell r="A1836" t="str">
            <v>F-2026-05-80</v>
          </cell>
          <cell r="B1836"/>
          <cell r="C1836" t="str">
            <v>RPRO-260506-0361</v>
          </cell>
          <cell r="D1836" t="str">
            <v>Pro.sche.report 05.05</v>
          </cell>
          <cell r="E1836" t="str">
            <v>BDB-000157</v>
          </cell>
          <cell r="F1836" t="str">
            <v>PVN-003642</v>
          </cell>
          <cell r="G1836" t="str">
            <v>OrthoLite X-35-Hybrid-Nike SEEDPEARL/12-0703TPX Hybrid Flat Sheet 0.145D 25+/-4 Asker C 1.1M 2M 6.2mm</v>
          </cell>
          <cell r="H1836">
            <v>22</v>
          </cell>
          <cell r="I1836">
            <v>22</v>
          </cell>
          <cell r="J1836">
            <v>0</v>
          </cell>
          <cell r="K1836">
            <v>22</v>
          </cell>
          <cell r="L1836" t="str">
            <v>NIKE</v>
          </cell>
          <cell r="M1836" t="str">
            <v>Pr.Sch.R</v>
          </cell>
          <cell r="N1836" t="str">
            <v>MOLDED</v>
          </cell>
          <cell r="O1836">
            <v>1</v>
          </cell>
          <cell r="P1836">
            <v>46148</v>
          </cell>
          <cell r="Q1836">
            <v>46157</v>
          </cell>
          <cell r="R1836">
            <v>46154</v>
          </cell>
          <cell r="S1836">
            <v>9</v>
          </cell>
          <cell r="T1836">
            <v>6.2</v>
          </cell>
          <cell r="U1836">
            <v>22</v>
          </cell>
          <cell r="V1836">
            <v>1</v>
          </cell>
          <cell r="W1836" t="str">
            <v>0.145D</v>
          </cell>
          <cell r="X1836" t="str">
            <v>5-2026</v>
          </cell>
          <cell r="Y1836" t="str">
            <v>Week 20</v>
          </cell>
          <cell r="Z1836">
            <v>46153</v>
          </cell>
          <cell r="AA1836">
            <v>51</v>
          </cell>
          <cell r="AB1836">
            <v>4.5449999999999997E-2</v>
          </cell>
        </row>
        <row r="1837">
          <cell r="A1837" t="str">
            <v>F-2026-05-81</v>
          </cell>
          <cell r="B1837"/>
          <cell r="C1837" t="str">
            <v>RPRO-260506-0362</v>
          </cell>
          <cell r="D1837" t="str">
            <v>Pro.sche.report 05.05</v>
          </cell>
          <cell r="E1837" t="str">
            <v>BDB-000336</v>
          </cell>
          <cell r="F1837" t="str">
            <v>PVN-004168</v>
          </cell>
          <cell r="G1837" t="str">
            <v>OrthoLite X-40-Nike SEEDPEARL/12-0703TPX Flat Sheet 0.16D 35+/-4 Asker C 1.1M 2M 4.5mm</v>
          </cell>
          <cell r="H1837">
            <v>155</v>
          </cell>
          <cell r="I1837">
            <v>155</v>
          </cell>
          <cell r="J1837">
            <v>0</v>
          </cell>
          <cell r="K1837">
            <v>155</v>
          </cell>
          <cell r="L1837" t="str">
            <v>NIKE</v>
          </cell>
          <cell r="M1837" t="str">
            <v>Pr.Sch.R</v>
          </cell>
          <cell r="N1837" t="str">
            <v>MOLDED</v>
          </cell>
          <cell r="O1837">
            <v>1</v>
          </cell>
          <cell r="P1837">
            <v>46148</v>
          </cell>
          <cell r="Q1837">
            <v>46160</v>
          </cell>
          <cell r="R1837">
            <v>46157</v>
          </cell>
          <cell r="S1837">
            <v>12</v>
          </cell>
          <cell r="T1837">
            <v>4.5</v>
          </cell>
          <cell r="U1837">
            <v>31</v>
          </cell>
          <cell r="V1837">
            <v>6</v>
          </cell>
          <cell r="W1837" t="e">
            <v>#N/A</v>
          </cell>
          <cell r="X1837" t="str">
            <v>5-2026</v>
          </cell>
          <cell r="Y1837" t="str">
            <v>Week 20</v>
          </cell>
          <cell r="Z1837">
            <v>46153</v>
          </cell>
          <cell r="AA1837">
            <v>0</v>
          </cell>
          <cell r="AB1837">
            <v>3.3329999999999999E-2</v>
          </cell>
        </row>
        <row r="1838">
          <cell r="A1838" t="str">
            <v>F-2026-05-82</v>
          </cell>
          <cell r="B1838"/>
          <cell r="C1838" t="str">
            <v>RPRO-260506-0363</v>
          </cell>
          <cell r="D1838" t="str">
            <v>Pro.sche.report 05.05</v>
          </cell>
          <cell r="E1838" t="str">
            <v>BDB-000126</v>
          </cell>
          <cell r="F1838" t="str">
            <v>PVN-002325</v>
          </cell>
          <cell r="G1838" t="str">
            <v>OrthoLite Regular-Nike RED/19-1764TPX Flat Sheet 0.11D 25+/-4 Asker C 1.1M 2M 5.2mm</v>
          </cell>
          <cell r="H1838">
            <v>26</v>
          </cell>
          <cell r="I1838">
            <v>26</v>
          </cell>
          <cell r="J1838">
            <v>0</v>
          </cell>
          <cell r="K1838">
            <v>26</v>
          </cell>
          <cell r="L1838" t="str">
            <v>NIKE</v>
          </cell>
          <cell r="M1838" t="str">
            <v>Pr.Sch.R</v>
          </cell>
          <cell r="N1838" t="str">
            <v>MOLDED</v>
          </cell>
          <cell r="O1838">
            <v>1</v>
          </cell>
          <cell r="P1838">
            <v>46148</v>
          </cell>
          <cell r="Q1838">
            <v>46161</v>
          </cell>
          <cell r="R1838">
            <v>46158</v>
          </cell>
          <cell r="S1838">
            <v>13</v>
          </cell>
          <cell r="T1838">
            <v>5.2</v>
          </cell>
          <cell r="U1838">
            <v>26</v>
          </cell>
          <cell r="V1838">
            <v>1</v>
          </cell>
          <cell r="W1838" t="str">
            <v>0.11D</v>
          </cell>
          <cell r="X1838" t="str">
            <v>5-2026</v>
          </cell>
          <cell r="Y1838" t="str">
            <v>Week 20</v>
          </cell>
          <cell r="Z1838">
            <v>46153</v>
          </cell>
          <cell r="AA1838">
            <v>1</v>
          </cell>
          <cell r="AB1838">
            <v>3.8460000000000001E-2</v>
          </cell>
        </row>
        <row r="1839">
          <cell r="A1839" t="str">
            <v>F-2026-05-83</v>
          </cell>
          <cell r="B1839"/>
          <cell r="C1839" t="str">
            <v>RPRO-260506-0364</v>
          </cell>
          <cell r="D1839" t="str">
            <v>Pro.sche.report 05.05</v>
          </cell>
          <cell r="E1839" t="str">
            <v>BDB-000181</v>
          </cell>
          <cell r="F1839" t="str">
            <v>PVN-003238</v>
          </cell>
          <cell r="G1839" t="str">
            <v>OrthoLite Eco LT-Hybrid-Converse SEEDPEARL/12-0703TPX Hybrid Flat Sheet 0.11D 25+/-4 Asker C 1.1M 2M 5mm</v>
          </cell>
          <cell r="H1839">
            <v>252</v>
          </cell>
          <cell r="I1839">
            <v>252</v>
          </cell>
          <cell r="J1839">
            <v>0</v>
          </cell>
          <cell r="K1839">
            <v>252</v>
          </cell>
          <cell r="L1839" t="str">
            <v>CONVERSE</v>
          </cell>
          <cell r="M1839" t="str">
            <v>Pr.Sch.R</v>
          </cell>
          <cell r="N1839" t="str">
            <v>DIE CUT</v>
          </cell>
          <cell r="O1839">
            <v>1</v>
          </cell>
          <cell r="P1839">
            <v>46148</v>
          </cell>
          <cell r="Q1839">
            <v>46163</v>
          </cell>
          <cell r="R1839">
            <v>46160</v>
          </cell>
          <cell r="S1839">
            <v>15</v>
          </cell>
          <cell r="T1839">
            <v>5</v>
          </cell>
          <cell r="U1839">
            <v>28</v>
          </cell>
          <cell r="V1839">
            <v>9</v>
          </cell>
          <cell r="W1839" t="str">
            <v>0.11D</v>
          </cell>
          <cell r="X1839" t="str">
            <v>5-2026</v>
          </cell>
          <cell r="Y1839" t="str">
            <v>Week 20</v>
          </cell>
          <cell r="Z1839">
            <v>46153</v>
          </cell>
          <cell r="AA1839">
            <v>22</v>
          </cell>
          <cell r="AB1839">
            <v>3.5709999999999999E-2</v>
          </cell>
        </row>
        <row r="1840">
          <cell r="A1840" t="str">
            <v>F-2026-05-84</v>
          </cell>
          <cell r="B1840"/>
          <cell r="C1840" t="str">
            <v>RPRO-260506-0365</v>
          </cell>
          <cell r="D1840" t="str">
            <v>Pro.sche.report 05.05</v>
          </cell>
          <cell r="E1840" t="str">
            <v>BDB-000226</v>
          </cell>
          <cell r="F1840" t="str">
            <v>PVN-003517</v>
          </cell>
          <cell r="G1840" t="str">
            <v>OrthoLite Regular GREY/17-1501TPX Flat Sheet 0.16D 51+/-4 Asker C 1.1M 1.7M 12mm</v>
          </cell>
          <cell r="H1840">
            <v>11</v>
          </cell>
          <cell r="I1840">
            <v>11</v>
          </cell>
          <cell r="J1840">
            <v>0</v>
          </cell>
          <cell r="K1840">
            <v>11</v>
          </cell>
          <cell r="L1840" t="str">
            <v>CONVERSE</v>
          </cell>
          <cell r="M1840" t="str">
            <v>Pr.Sch.R</v>
          </cell>
          <cell r="N1840" t="str">
            <v>DIE CUT</v>
          </cell>
          <cell r="O1840">
            <v>1</v>
          </cell>
          <cell r="P1840">
            <v>46148</v>
          </cell>
          <cell r="Q1840">
            <v>46157</v>
          </cell>
          <cell r="R1840">
            <v>46154</v>
          </cell>
          <cell r="S1840">
            <v>9</v>
          </cell>
          <cell r="T1840">
            <v>12</v>
          </cell>
          <cell r="U1840">
            <v>11</v>
          </cell>
          <cell r="V1840">
            <v>2</v>
          </cell>
          <cell r="W1840" t="str">
            <v>0.16D</v>
          </cell>
          <cell r="X1840" t="str">
            <v>5-2026</v>
          </cell>
          <cell r="Y1840" t="str">
            <v>Week 20</v>
          </cell>
          <cell r="Z1840">
            <v>46153</v>
          </cell>
          <cell r="AA1840">
            <v>45</v>
          </cell>
          <cell r="AB1840">
            <v>9.0910000000000005E-2</v>
          </cell>
        </row>
        <row r="1841">
          <cell r="A1841" t="str">
            <v>F-2026-05-85</v>
          </cell>
          <cell r="B1841"/>
          <cell r="C1841" t="str">
            <v>RPRO-260506-0366</v>
          </cell>
          <cell r="D1841" t="str">
            <v>Pro.sche.report 05.05</v>
          </cell>
          <cell r="E1841" t="str">
            <v>BDB-000158</v>
          </cell>
          <cell r="F1841" t="str">
            <v>PVN-001553</v>
          </cell>
          <cell r="G1841" t="str">
            <v>OrthoLite Ultra-Nike YELLOW/13-0858TPX Flat Sheet 0.085D 15+/-4 Asker C 1.1M 2M 2mm</v>
          </cell>
          <cell r="H1841">
            <v>210</v>
          </cell>
          <cell r="I1841">
            <v>210</v>
          </cell>
          <cell r="J1841">
            <v>0</v>
          </cell>
          <cell r="K1841">
            <v>210</v>
          </cell>
          <cell r="L1841" t="str">
            <v>NIKE</v>
          </cell>
          <cell r="M1841" t="str">
            <v>Pr.Sch.R</v>
          </cell>
          <cell r="N1841" t="str">
            <v>DIE CUT</v>
          </cell>
          <cell r="O1841">
            <v>1</v>
          </cell>
          <cell r="P1841">
            <v>46148</v>
          </cell>
          <cell r="Q1841">
            <v>46158</v>
          </cell>
          <cell r="R1841">
            <v>46155</v>
          </cell>
          <cell r="S1841">
            <v>10</v>
          </cell>
          <cell r="T1841">
            <v>2</v>
          </cell>
          <cell r="U1841">
            <v>70</v>
          </cell>
          <cell r="V1841">
            <v>4</v>
          </cell>
          <cell r="W1841" t="str">
            <v>0.085D</v>
          </cell>
          <cell r="X1841" t="str">
            <v>5-2026</v>
          </cell>
          <cell r="Y1841" t="str">
            <v>Week 20</v>
          </cell>
          <cell r="Z1841">
            <v>46153</v>
          </cell>
          <cell r="AA1841">
            <v>14</v>
          </cell>
          <cell r="AB1841">
            <v>1.4290000000000001E-2</v>
          </cell>
        </row>
        <row r="1842">
          <cell r="A1842" t="str">
            <v>OIN-2026.05.05-01</v>
          </cell>
          <cell r="B1842" t="str">
            <v>Urgent/LCL</v>
          </cell>
          <cell r="C1842" t="str">
            <v>RPRO-260507-0011</v>
          </cell>
          <cell r="D1842" t="str">
            <v>OIN</v>
          </cell>
          <cell r="E1842" t="str">
            <v>BDB-000001</v>
          </cell>
          <cell r="F1842" t="str">
            <v>PVN-003935</v>
          </cell>
          <cell r="G1842" t="str">
            <v>[116-205] Regular 15+/-4 Asker C 0.11D Burnt Sienna 17-1544 Tpx 1.10M X 2.00M 47mm</v>
          </cell>
          <cell r="H1842">
            <v>10</v>
          </cell>
          <cell r="I1842">
            <v>10</v>
          </cell>
          <cell r="J1842">
            <v>0</v>
          </cell>
          <cell r="K1842">
            <v>10</v>
          </cell>
          <cell r="L1842" t="str">
            <v>Clarks</v>
          </cell>
          <cell r="M1842" t="str">
            <v>PO-7239-SO-260506-0016</v>
          </cell>
          <cell r="N1842" t="str">
            <v>FLAT SHEET</v>
          </cell>
          <cell r="O1842">
            <v>2</v>
          </cell>
          <cell r="P1842">
            <v>46147</v>
          </cell>
          <cell r="Q1842">
            <v>46158</v>
          </cell>
          <cell r="R1842">
            <v>46155</v>
          </cell>
          <cell r="S1842">
            <v>11</v>
          </cell>
          <cell r="T1842">
            <v>47</v>
          </cell>
          <cell r="U1842">
            <v>3</v>
          </cell>
          <cell r="V1842">
            <v>4</v>
          </cell>
          <cell r="W1842" t="str">
            <v>0.11D</v>
          </cell>
          <cell r="X1842" t="str">
            <v>5-2026</v>
          </cell>
          <cell r="Y1842" t="str">
            <v>Week 19</v>
          </cell>
          <cell r="Z1842">
            <v>46146</v>
          </cell>
          <cell r="AA1842">
            <v>37</v>
          </cell>
          <cell r="AB1842">
            <v>0.33333000000000002</v>
          </cell>
        </row>
        <row r="1843">
          <cell r="A1843" t="str">
            <v>OIN-2026.05.05-02</v>
          </cell>
          <cell r="B1843" t="str">
            <v>Urgent/LCL</v>
          </cell>
          <cell r="C1843" t="str">
            <v>RPRO-260507-0014</v>
          </cell>
          <cell r="D1843" t="str">
            <v>OIN</v>
          </cell>
          <cell r="E1843" t="str">
            <v>BDB-000374</v>
          </cell>
          <cell r="F1843" t="str">
            <v>PVN-004318</v>
          </cell>
          <cell r="G1843" t="str">
            <v>[116-15588] Regular 45+/-4 Asker C 0.15D Fossil 17-0909 Tpx 1.10M X 2.00M 47mm</v>
          </cell>
          <cell r="H1843">
            <v>13</v>
          </cell>
          <cell r="I1843">
            <v>13</v>
          </cell>
          <cell r="J1843">
            <v>0</v>
          </cell>
          <cell r="K1843">
            <v>13</v>
          </cell>
          <cell r="L1843" t="str">
            <v>Clarks</v>
          </cell>
          <cell r="M1843" t="str">
            <v>PO-7239-SO-260506-0017</v>
          </cell>
          <cell r="N1843" t="str">
            <v>FLAT SHEET</v>
          </cell>
          <cell r="O1843">
            <v>2</v>
          </cell>
          <cell r="P1843">
            <v>46147</v>
          </cell>
          <cell r="Q1843">
            <v>46158</v>
          </cell>
          <cell r="R1843">
            <v>46155</v>
          </cell>
          <cell r="S1843">
            <v>11</v>
          </cell>
          <cell r="T1843">
            <v>47</v>
          </cell>
          <cell r="U1843">
            <v>3</v>
          </cell>
          <cell r="V1843">
            <v>5</v>
          </cell>
          <cell r="W1843" t="e">
            <v>#N/A</v>
          </cell>
          <cell r="X1843" t="str">
            <v>5-2026</v>
          </cell>
          <cell r="Y1843" t="str">
            <v>Week 19</v>
          </cell>
          <cell r="Z1843">
            <v>46146</v>
          </cell>
          <cell r="AA1843">
            <v>23</v>
          </cell>
          <cell r="AB1843">
            <v>0.33333000000000002</v>
          </cell>
        </row>
        <row r="1844">
          <cell r="A1844" t="str">
            <v>F-2026-05-86</v>
          </cell>
          <cell r="B1844"/>
          <cell r="C1844" t="str">
            <v>RPRO-260507-0662</v>
          </cell>
          <cell r="D1844" t="str">
            <v>MPS 06.05</v>
          </cell>
          <cell r="E1844" t="str">
            <v>BDB-000125</v>
          </cell>
          <cell r="F1844" t="str">
            <v>PVN-001662</v>
          </cell>
          <cell r="G1844" t="str">
            <v>OrthoLite Regular-Nike AIR BLUE/16-4134TPX Flat Sheet 0.11D 25+/-4 Asker C 1.1M 2M 4.5mm</v>
          </cell>
          <cell r="H1844">
            <v>217</v>
          </cell>
          <cell r="I1844">
            <v>217</v>
          </cell>
          <cell r="J1844">
            <v>0</v>
          </cell>
          <cell r="K1844">
            <v>217</v>
          </cell>
          <cell r="L1844"/>
          <cell r="M1844" t="str">
            <v>MPS</v>
          </cell>
          <cell r="N1844" t="str">
            <v>SPLITTING</v>
          </cell>
          <cell r="O1844">
            <v>2</v>
          </cell>
          <cell r="P1844">
            <v>46149</v>
          </cell>
          <cell r="Q1844">
            <v>46160</v>
          </cell>
          <cell r="R1844">
            <v>46157</v>
          </cell>
          <cell r="S1844">
            <v>11</v>
          </cell>
          <cell r="T1844">
            <v>4.5</v>
          </cell>
          <cell r="U1844">
            <v>31</v>
          </cell>
          <cell r="V1844">
            <v>8</v>
          </cell>
          <cell r="W1844" t="str">
            <v>0.11D</v>
          </cell>
          <cell r="X1844" t="str">
            <v>5-2026</v>
          </cell>
          <cell r="Y1844" t="str">
            <v>Week 20</v>
          </cell>
          <cell r="Z1844">
            <v>46153</v>
          </cell>
          <cell r="AA1844">
            <v>19</v>
          </cell>
          <cell r="AB1844">
            <v>3.2259999999999997E-2</v>
          </cell>
        </row>
        <row r="1845">
          <cell r="A1845" t="str">
            <v>F-2026-05-87</v>
          </cell>
          <cell r="B1845"/>
          <cell r="C1845" t="str">
            <v>RPRO-260507-0663</v>
          </cell>
          <cell r="D1845" t="str">
            <v>Pro.sche.report 06.05</v>
          </cell>
          <cell r="E1845" t="str">
            <v>BDB-000129</v>
          </cell>
          <cell r="F1845" t="str">
            <v>PVN-001550</v>
          </cell>
          <cell r="G1845" t="str">
            <v>OrthoLite Regular-Nike AIR BLUE/16-4134TPX Flat Sheet 0.11D 25+/-4 Asker C 1.1M 1.7M 2mm</v>
          </cell>
          <cell r="H1845">
            <v>70</v>
          </cell>
          <cell r="I1845">
            <v>70</v>
          </cell>
          <cell r="J1845">
            <v>0</v>
          </cell>
          <cell r="K1845">
            <v>70</v>
          </cell>
          <cell r="L1845" t="str">
            <v>NIKE</v>
          </cell>
          <cell r="M1845" t="str">
            <v>Pr.Sch.R</v>
          </cell>
          <cell r="N1845" t="str">
            <v>LAMINATING</v>
          </cell>
          <cell r="O1845">
            <v>1</v>
          </cell>
          <cell r="P1845">
            <v>46149</v>
          </cell>
          <cell r="Q1845">
            <v>46167</v>
          </cell>
          <cell r="R1845">
            <v>46164</v>
          </cell>
          <cell r="S1845">
            <v>18</v>
          </cell>
          <cell r="T1845">
            <v>2</v>
          </cell>
          <cell r="U1845">
            <v>70</v>
          </cell>
          <cell r="V1845">
            <v>2</v>
          </cell>
          <cell r="W1845" t="str">
            <v>0.11D</v>
          </cell>
          <cell r="X1845" t="str">
            <v>5-2026</v>
          </cell>
          <cell r="Y1845" t="str">
            <v>Week 21</v>
          </cell>
          <cell r="Z1845">
            <v>46160</v>
          </cell>
          <cell r="AA1845">
            <v>18</v>
          </cell>
          <cell r="AB1845">
            <v>1.4290000000000001E-2</v>
          </cell>
        </row>
        <row r="1846">
          <cell r="A1846" t="str">
            <v>F-2026-05-88</v>
          </cell>
          <cell r="B1846"/>
          <cell r="C1846" t="str">
            <v>RPRO-260507-0664</v>
          </cell>
          <cell r="D1846" t="str">
            <v>Pro.sche.report 06.05</v>
          </cell>
          <cell r="E1846" t="str">
            <v>BDB-000011</v>
          </cell>
          <cell r="F1846" t="str">
            <v>PVN-000121</v>
          </cell>
          <cell r="G1846" t="str">
            <v>OrthoLite Regular AIR BLUE/16-4134TPX Flat Sheet 0.13D 35+/-4 Asker C 1.1M 2M 12mm</v>
          </cell>
          <cell r="H1846">
            <v>11</v>
          </cell>
          <cell r="I1846">
            <v>11</v>
          </cell>
          <cell r="J1846">
            <v>0</v>
          </cell>
          <cell r="K1846">
            <v>11</v>
          </cell>
          <cell r="L1846" t="str">
            <v>ASICS</v>
          </cell>
          <cell r="M1846" t="str">
            <v>Pr.Sch.R</v>
          </cell>
          <cell r="N1846" t="str">
            <v>MOLDED</v>
          </cell>
          <cell r="O1846">
            <v>1</v>
          </cell>
          <cell r="P1846">
            <v>46149</v>
          </cell>
          <cell r="Q1846">
            <v>46160</v>
          </cell>
          <cell r="R1846">
            <v>46157</v>
          </cell>
          <cell r="S1846">
            <v>11</v>
          </cell>
          <cell r="T1846">
            <v>12</v>
          </cell>
          <cell r="U1846">
            <v>11.5</v>
          </cell>
          <cell r="V1846">
            <v>1</v>
          </cell>
          <cell r="W1846" t="str">
            <v>0.13D</v>
          </cell>
          <cell r="X1846" t="str">
            <v>5-2026</v>
          </cell>
          <cell r="Y1846" t="str">
            <v>Week 20</v>
          </cell>
          <cell r="Z1846">
            <v>46153</v>
          </cell>
          <cell r="AA1846">
            <v>57</v>
          </cell>
          <cell r="AB1846">
            <v>8.6959999999999996E-2</v>
          </cell>
        </row>
        <row r="1847">
          <cell r="A1847" t="str">
            <v>F-2026-05-89</v>
          </cell>
          <cell r="B1847"/>
          <cell r="C1847" t="str">
            <v>RPRO-260507-0665</v>
          </cell>
          <cell r="D1847" t="str">
            <v>Pro.sche.report 06.05</v>
          </cell>
          <cell r="E1847" t="str">
            <v>BDB-000008</v>
          </cell>
          <cell r="F1847" t="str">
            <v>PVN-000505</v>
          </cell>
          <cell r="G1847" t="str">
            <v>OrthoLite Regular LIME GREEN/14-0452TPX Flat Sheet 0.11D 25+/-4 Asker C 1.1M 2M 12mm</v>
          </cell>
          <cell r="H1847">
            <v>132</v>
          </cell>
          <cell r="I1847">
            <v>132</v>
          </cell>
          <cell r="J1847">
            <v>0</v>
          </cell>
          <cell r="K1847">
            <v>132</v>
          </cell>
          <cell r="L1847" t="str">
            <v>ASICS</v>
          </cell>
          <cell r="M1847" t="str">
            <v>Pr.Sch.R</v>
          </cell>
          <cell r="N1847" t="str">
            <v>MOLDED</v>
          </cell>
          <cell r="O1847">
            <v>1</v>
          </cell>
          <cell r="P1847">
            <v>46149</v>
          </cell>
          <cell r="Q1847">
            <v>46160</v>
          </cell>
          <cell r="R1847">
            <v>46157</v>
          </cell>
          <cell r="S1847">
            <v>11</v>
          </cell>
          <cell r="T1847">
            <v>12</v>
          </cell>
          <cell r="U1847">
            <v>11.5</v>
          </cell>
          <cell r="V1847">
            <v>12</v>
          </cell>
          <cell r="W1847" t="str">
            <v>0.11D</v>
          </cell>
          <cell r="X1847" t="str">
            <v>5-2026</v>
          </cell>
          <cell r="Y1847" t="str">
            <v>Week 20</v>
          </cell>
          <cell r="Z1847">
            <v>46153</v>
          </cell>
          <cell r="AA1847">
            <v>37</v>
          </cell>
          <cell r="AB1847">
            <v>8.6959999999999996E-2</v>
          </cell>
        </row>
        <row r="1848">
          <cell r="A1848" t="str">
            <v>F-2026-05-90</v>
          </cell>
          <cell r="B1848"/>
          <cell r="C1848" t="str">
            <v>RPRO-260507-0666</v>
          </cell>
          <cell r="D1848" t="str">
            <v>Pro.sche.report 06.05</v>
          </cell>
          <cell r="E1848" t="str">
            <v>BDB-000229</v>
          </cell>
          <cell r="F1848" t="str">
            <v>PVN-003692</v>
          </cell>
          <cell r="G1848" t="str">
            <v>OrthoLite Ultra-Hybrid SEEDPEARL/12-0703TPX Hybrid Flat Sheet 0.095D 33+/-4 Asker C 1.1M 2M 15.5mm</v>
          </cell>
          <cell r="H1848">
            <v>112</v>
          </cell>
          <cell r="I1848">
            <v>112</v>
          </cell>
          <cell r="J1848">
            <v>0</v>
          </cell>
          <cell r="K1848">
            <v>112</v>
          </cell>
          <cell r="L1848" t="str">
            <v>GARMONT</v>
          </cell>
          <cell r="M1848" t="str">
            <v>Pr.Sch.R</v>
          </cell>
          <cell r="N1848" t="str">
            <v>MOLDED</v>
          </cell>
          <cell r="O1848">
            <v>1</v>
          </cell>
          <cell r="P1848">
            <v>46149</v>
          </cell>
          <cell r="Q1848">
            <v>46164</v>
          </cell>
          <cell r="R1848">
            <v>46161</v>
          </cell>
          <cell r="S1848">
            <v>15</v>
          </cell>
          <cell r="T1848">
            <v>15.5</v>
          </cell>
          <cell r="U1848">
            <v>8</v>
          </cell>
          <cell r="V1848">
            <v>14</v>
          </cell>
          <cell r="W1848" t="str">
            <v>0.095D</v>
          </cell>
          <cell r="X1848" t="str">
            <v>5-2026</v>
          </cell>
          <cell r="Y1848" t="str">
            <v>Week 20</v>
          </cell>
          <cell r="Z1848">
            <v>46153</v>
          </cell>
          <cell r="AA1848">
            <v>108</v>
          </cell>
          <cell r="AB1848">
            <v>0.125</v>
          </cell>
        </row>
        <row r="1849">
          <cell r="A1849" t="str">
            <v>F-2026-05-91</v>
          </cell>
          <cell r="B1849"/>
          <cell r="C1849" t="str">
            <v>RPRO-260507-0667</v>
          </cell>
          <cell r="D1849" t="str">
            <v>Pro.sche.report 06.05</v>
          </cell>
          <cell r="E1849" t="str">
            <v>BDB-000113</v>
          </cell>
          <cell r="F1849" t="str">
            <v>PVN-002699</v>
          </cell>
          <cell r="G1849" t="str">
            <v>OrthoLite Regular-Hybrid SEEDPEARL/12-0703TPX Hybrid Flat Sheet 0.11D 25+/-4 Asker C 1.1M 2M 4.5mm</v>
          </cell>
          <cell r="H1849">
            <v>31</v>
          </cell>
          <cell r="I1849">
            <v>31</v>
          </cell>
          <cell r="J1849">
            <v>0</v>
          </cell>
          <cell r="K1849">
            <v>31</v>
          </cell>
          <cell r="L1849" t="str">
            <v>ASICS</v>
          </cell>
          <cell r="M1849" t="str">
            <v>Pr.Sch.R</v>
          </cell>
          <cell r="N1849" t="str">
            <v>DIE CUT</v>
          </cell>
          <cell r="O1849">
            <v>1</v>
          </cell>
          <cell r="P1849">
            <v>46149</v>
          </cell>
          <cell r="Q1849">
            <v>46157</v>
          </cell>
          <cell r="R1849">
            <v>46154</v>
          </cell>
          <cell r="S1849">
            <v>8</v>
          </cell>
          <cell r="T1849">
            <v>4.5</v>
          </cell>
          <cell r="U1849">
            <v>31</v>
          </cell>
          <cell r="V1849">
            <v>2</v>
          </cell>
          <cell r="W1849" t="str">
            <v>0.11D</v>
          </cell>
          <cell r="X1849" t="str">
            <v>5-2026</v>
          </cell>
          <cell r="Y1849" t="str">
            <v>Week 20</v>
          </cell>
          <cell r="Z1849">
            <v>46153</v>
          </cell>
          <cell r="AA1849">
            <v>45</v>
          </cell>
          <cell r="AB1849">
            <v>3.2259999999999997E-2</v>
          </cell>
        </row>
        <row r="1850">
          <cell r="A1850" t="str">
            <v>F-2026-05-92</v>
          </cell>
          <cell r="B1850"/>
          <cell r="C1850" t="str">
            <v>RPRO-260507-0668</v>
          </cell>
          <cell r="D1850" t="str">
            <v>Pro.sche.report 06.05</v>
          </cell>
          <cell r="E1850" t="str">
            <v>BDB-000123</v>
          </cell>
          <cell r="F1850" t="str">
            <v>PVN-002973</v>
          </cell>
          <cell r="G1850" t="str">
            <v>OrthoLite Ultra-Hybrid SEEDPEARL/12-0703TPX Hybrid Flat Sheet 0.085D 25+/-4 Asker C 1.1M 2M 4.5mm</v>
          </cell>
          <cell r="H1850">
            <v>1364</v>
          </cell>
          <cell r="I1850">
            <v>1364</v>
          </cell>
          <cell r="J1850">
            <v>0</v>
          </cell>
          <cell r="K1850">
            <v>1364</v>
          </cell>
          <cell r="L1850" t="str">
            <v>SALOMON</v>
          </cell>
          <cell r="M1850" t="str">
            <v>Pr.Sch.R</v>
          </cell>
          <cell r="N1850" t="str">
            <v>MOLDED</v>
          </cell>
          <cell r="O1850">
            <v>1</v>
          </cell>
          <cell r="P1850">
            <v>46149</v>
          </cell>
          <cell r="Q1850">
            <v>46161</v>
          </cell>
          <cell r="R1850">
            <v>46158</v>
          </cell>
          <cell r="S1850">
            <v>12</v>
          </cell>
          <cell r="T1850">
            <v>4.5</v>
          </cell>
          <cell r="U1850">
            <v>31</v>
          </cell>
          <cell r="V1850">
            <v>45</v>
          </cell>
          <cell r="W1850" t="str">
            <v>0.085D</v>
          </cell>
          <cell r="X1850" t="str">
            <v>5-2026</v>
          </cell>
          <cell r="Y1850" t="str">
            <v>Week 20</v>
          </cell>
          <cell r="Z1850">
            <v>46153</v>
          </cell>
          <cell r="AA1850">
            <v>65</v>
          </cell>
          <cell r="AB1850">
            <v>3.2259999999999997E-2</v>
          </cell>
        </row>
        <row r="1851">
          <cell r="A1851" t="str">
            <v>F-2026-05-93</v>
          </cell>
          <cell r="B1851"/>
          <cell r="C1851" t="str">
            <v>RPRO-260507-0669</v>
          </cell>
          <cell r="D1851" t="str">
            <v>Pro.sche.report 06.05</v>
          </cell>
          <cell r="E1851" t="str">
            <v>BDB-000317</v>
          </cell>
          <cell r="F1851" t="str">
            <v>PVN-004293</v>
          </cell>
          <cell r="G1851" t="str">
            <v>OrthoLite Regular NEUTRAL GRAY/17-4402TPX Flat Sheet 0.13D 15+/-4 Asker C 1.1M 2M 22mm</v>
          </cell>
          <cell r="H1851">
            <v>6</v>
          </cell>
          <cell r="I1851">
            <v>6</v>
          </cell>
          <cell r="J1851">
            <v>0</v>
          </cell>
          <cell r="K1851">
            <v>6</v>
          </cell>
          <cell r="L1851" t="str">
            <v>TRAVIS MATHEW</v>
          </cell>
          <cell r="M1851" t="str">
            <v>Pr.Sch.R</v>
          </cell>
          <cell r="N1851" t="str">
            <v>MOLDED</v>
          </cell>
          <cell r="O1851">
            <v>1</v>
          </cell>
          <cell r="P1851">
            <v>46149</v>
          </cell>
          <cell r="Q1851">
            <v>46164</v>
          </cell>
          <cell r="R1851">
            <v>46161</v>
          </cell>
          <cell r="S1851">
            <v>15</v>
          </cell>
          <cell r="T1851">
            <v>22</v>
          </cell>
          <cell r="U1851">
            <v>6</v>
          </cell>
          <cell r="V1851">
            <v>2</v>
          </cell>
          <cell r="W1851" t="e">
            <v>#N/A</v>
          </cell>
          <cell r="X1851" t="str">
            <v>5-2026</v>
          </cell>
          <cell r="Y1851" t="str">
            <v>Week 20</v>
          </cell>
          <cell r="Z1851">
            <v>46153</v>
          </cell>
          <cell r="AA1851">
            <v>20</v>
          </cell>
          <cell r="AB1851">
            <v>0.16667000000000001</v>
          </cell>
        </row>
        <row r="1852">
          <cell r="A1852" t="str">
            <v>F-2026-05-94</v>
          </cell>
          <cell r="B1852"/>
          <cell r="C1852" t="str">
            <v>RPRO-260507-0670</v>
          </cell>
          <cell r="D1852" t="str">
            <v>Pro.sche.report 06.05</v>
          </cell>
          <cell r="E1852" t="str">
            <v>BDB-000340</v>
          </cell>
          <cell r="F1852" t="str">
            <v>PVN-004177</v>
          </cell>
          <cell r="G1852" t="str">
            <v>OrthoLite Float SEEDPEARL/12-0703TPX Flat Sheet 0.12D 21+/-4 Asker C 1.1M 2M 5.5mm</v>
          </cell>
          <cell r="H1852">
            <v>25</v>
          </cell>
          <cell r="I1852">
            <v>25</v>
          </cell>
          <cell r="J1852">
            <v>0</v>
          </cell>
          <cell r="K1852">
            <v>25</v>
          </cell>
          <cell r="L1852" t="str">
            <v>ON RUNNING</v>
          </cell>
          <cell r="M1852" t="str">
            <v>Pr.Sch.R</v>
          </cell>
          <cell r="N1852" t="str">
            <v>MOLDED</v>
          </cell>
          <cell r="O1852">
            <v>1</v>
          </cell>
          <cell r="P1852">
            <v>46149</v>
          </cell>
          <cell r="Q1852">
            <v>46161</v>
          </cell>
          <cell r="R1852">
            <v>46158</v>
          </cell>
          <cell r="S1852">
            <v>12</v>
          </cell>
          <cell r="T1852">
            <v>5.5</v>
          </cell>
          <cell r="U1852">
            <v>25</v>
          </cell>
          <cell r="V1852">
            <v>1</v>
          </cell>
          <cell r="W1852" t="e">
            <v>#N/A</v>
          </cell>
          <cell r="X1852" t="str">
            <v>5-2026</v>
          </cell>
          <cell r="Y1852" t="str">
            <v>Week 20</v>
          </cell>
          <cell r="Z1852">
            <v>46153</v>
          </cell>
          <cell r="AA1852">
            <v>4</v>
          </cell>
          <cell r="AB1852">
            <v>0.04</v>
          </cell>
        </row>
        <row r="1853">
          <cell r="A1853" t="str">
            <v>F-2026-05-95</v>
          </cell>
          <cell r="B1853"/>
          <cell r="C1853" t="str">
            <v>RPRO-260507-0671</v>
          </cell>
          <cell r="D1853" t="str">
            <v>Pro.sche.report 06.05</v>
          </cell>
          <cell r="E1853" t="str">
            <v>BDB-000213</v>
          </cell>
          <cell r="F1853" t="str">
            <v>PVN-003752</v>
          </cell>
          <cell r="G1853" t="str">
            <v>OrthoLite X-25-Hybrid SEEDPEARL/12-0703TPX Hybrid Flat Sheet 0.12D 20+/-4 Asker C 1.1M 1.47M 4.5mm</v>
          </cell>
          <cell r="H1853">
            <v>434</v>
          </cell>
          <cell r="I1853">
            <v>434</v>
          </cell>
          <cell r="J1853">
            <v>0</v>
          </cell>
          <cell r="K1853">
            <v>434</v>
          </cell>
          <cell r="L1853" t="str">
            <v>ON RUNNING</v>
          </cell>
          <cell r="M1853" t="str">
            <v>Pr.Sch.R</v>
          </cell>
          <cell r="N1853" t="str">
            <v>MOLDED</v>
          </cell>
          <cell r="O1853">
            <v>1</v>
          </cell>
          <cell r="P1853">
            <v>46149</v>
          </cell>
          <cell r="Q1853">
            <v>46161</v>
          </cell>
          <cell r="R1853">
            <v>46158</v>
          </cell>
          <cell r="S1853">
            <v>12</v>
          </cell>
          <cell r="T1853">
            <v>4.5</v>
          </cell>
          <cell r="U1853">
            <v>31</v>
          </cell>
          <cell r="V1853">
            <v>15</v>
          </cell>
          <cell r="W1853" t="str">
            <v>0.12D</v>
          </cell>
          <cell r="X1853" t="str">
            <v>5-2026</v>
          </cell>
          <cell r="Y1853" t="str">
            <v>Week 20</v>
          </cell>
          <cell r="Z1853">
            <v>46153</v>
          </cell>
          <cell r="AA1853">
            <v>56</v>
          </cell>
          <cell r="AB1853">
            <v>3.2259999999999997E-2</v>
          </cell>
        </row>
        <row r="1854">
          <cell r="A1854" t="str">
            <v>F-2026-05-96</v>
          </cell>
          <cell r="B1854"/>
          <cell r="C1854" t="str">
            <v>RPRO-260507-0672</v>
          </cell>
          <cell r="D1854" t="str">
            <v>Pro.sche.report 06.05</v>
          </cell>
          <cell r="E1854" t="str">
            <v>BDB-000212</v>
          </cell>
          <cell r="F1854" t="str">
            <v>PVN-003458</v>
          </cell>
          <cell r="G1854" t="str">
            <v>OrthoLite X-25-Hybrid SEEDPEARL/12-0703TPX Hybrid Flat Sheet 0.12D 20+/-4 Asker C 1.1M 2M 4mm</v>
          </cell>
          <cell r="H1854">
            <v>70</v>
          </cell>
          <cell r="I1854">
            <v>70</v>
          </cell>
          <cell r="J1854">
            <v>0</v>
          </cell>
          <cell r="K1854">
            <v>70</v>
          </cell>
          <cell r="L1854" t="str">
            <v>ON RUNNING</v>
          </cell>
          <cell r="M1854" t="str">
            <v>Pr.Sch.R</v>
          </cell>
          <cell r="N1854" t="str">
            <v>DIE CUT</v>
          </cell>
          <cell r="O1854">
            <v>1</v>
          </cell>
          <cell r="P1854">
            <v>46149</v>
          </cell>
          <cell r="Q1854">
            <v>46164</v>
          </cell>
          <cell r="R1854">
            <v>46161</v>
          </cell>
          <cell r="S1854">
            <v>15</v>
          </cell>
          <cell r="T1854">
            <v>4</v>
          </cell>
          <cell r="U1854">
            <v>35</v>
          </cell>
          <cell r="V1854">
            <v>2</v>
          </cell>
          <cell r="W1854" t="str">
            <v>0.12D</v>
          </cell>
          <cell r="X1854" t="str">
            <v>5-2026</v>
          </cell>
          <cell r="Y1854" t="str">
            <v>Week 20</v>
          </cell>
          <cell r="Z1854">
            <v>46153</v>
          </cell>
          <cell r="AA1854">
            <v>26</v>
          </cell>
          <cell r="AB1854">
            <v>2.8570000000000002E-2</v>
          </cell>
        </row>
        <row r="1855">
          <cell r="A1855" t="str">
            <v>F-2026-05-97</v>
          </cell>
          <cell r="B1855"/>
          <cell r="C1855" t="str">
            <v>RPRO-260507-0673</v>
          </cell>
          <cell r="D1855" t="str">
            <v>Pro.sche.report 06.05</v>
          </cell>
          <cell r="E1855" t="str">
            <v>BDB-000137</v>
          </cell>
          <cell r="F1855" t="str">
            <v>PVN-004070</v>
          </cell>
          <cell r="G1855" t="str">
            <v>OrthoLite Regular-Nike AIR BLUE/16-4134TPX Flat Sheet 0.11D 25+/-4 Asker C 1.1M 1.47M 4.2mm</v>
          </cell>
          <cell r="H1855">
            <v>1023</v>
          </cell>
          <cell r="I1855">
            <v>1023</v>
          </cell>
          <cell r="J1855">
            <v>0</v>
          </cell>
          <cell r="K1855">
            <v>1023</v>
          </cell>
          <cell r="L1855" t="str">
            <v>NIKE</v>
          </cell>
          <cell r="M1855" t="str">
            <v>Pr.Sch.R</v>
          </cell>
          <cell r="N1855" t="str">
            <v>MOLDED</v>
          </cell>
          <cell r="O1855">
            <v>1</v>
          </cell>
          <cell r="P1855">
            <v>46149</v>
          </cell>
          <cell r="Q1855">
            <v>46164</v>
          </cell>
          <cell r="R1855">
            <v>46161</v>
          </cell>
          <cell r="S1855">
            <v>15</v>
          </cell>
          <cell r="T1855">
            <v>4.2</v>
          </cell>
          <cell r="U1855">
            <v>33</v>
          </cell>
          <cell r="V1855">
            <v>31</v>
          </cell>
          <cell r="W1855" t="str">
            <v>0.11D</v>
          </cell>
          <cell r="X1855" t="str">
            <v>5-2026</v>
          </cell>
          <cell r="Y1855" t="str">
            <v>Week 20</v>
          </cell>
          <cell r="Z1855">
            <v>46153</v>
          </cell>
          <cell r="AA1855">
            <v>26</v>
          </cell>
          <cell r="AB1855">
            <v>3.0300000000000001E-2</v>
          </cell>
        </row>
        <row r="1856">
          <cell r="A1856" t="str">
            <v>F-2026-05-98</v>
          </cell>
          <cell r="B1856"/>
          <cell r="C1856" t="str">
            <v>RPRO-260507-0674</v>
          </cell>
          <cell r="D1856" t="str">
            <v>Pro.sche.report 06.05</v>
          </cell>
          <cell r="E1856" t="str">
            <v>BDB-000367</v>
          </cell>
          <cell r="F1856" t="str">
            <v>PVN-004409</v>
          </cell>
          <cell r="G1856" t="str">
            <v>OrthoLite Ultra LIME GREEN/14-0452TPX Flat Sheet 0.095D 33+/-4 Asker C 1.1M 2M 6mm</v>
          </cell>
          <cell r="H1856">
            <v>69</v>
          </cell>
          <cell r="I1856">
            <v>69</v>
          </cell>
          <cell r="J1856">
            <v>0</v>
          </cell>
          <cell r="K1856">
            <v>69</v>
          </cell>
          <cell r="L1856" t="str">
            <v>PATRICK</v>
          </cell>
          <cell r="M1856" t="str">
            <v>Pr.Sch.R</v>
          </cell>
          <cell r="N1856" t="str">
            <v>MOLDED</v>
          </cell>
          <cell r="O1856">
            <v>1</v>
          </cell>
          <cell r="P1856">
            <v>46149</v>
          </cell>
          <cell r="Q1856">
            <v>46164</v>
          </cell>
          <cell r="R1856">
            <v>46161</v>
          </cell>
          <cell r="S1856">
            <v>15</v>
          </cell>
          <cell r="T1856">
            <v>6</v>
          </cell>
          <cell r="U1856">
            <v>23</v>
          </cell>
          <cell r="V1856">
            <v>4</v>
          </cell>
          <cell r="W1856" t="e">
            <v>#N/A</v>
          </cell>
          <cell r="X1856" t="str">
            <v>5-2026</v>
          </cell>
          <cell r="Y1856" t="str">
            <v>Week 20</v>
          </cell>
          <cell r="Z1856">
            <v>46153</v>
          </cell>
          <cell r="AA1856">
            <v>26</v>
          </cell>
          <cell r="AB1856" t="e">
            <v>#N/A</v>
          </cell>
        </row>
        <row r="1857">
          <cell r="A1857" t="str">
            <v>F-2026-05-99</v>
          </cell>
          <cell r="B1857"/>
          <cell r="C1857" t="str">
            <v>RPRO-260508-0410</v>
          </cell>
          <cell r="D1857" t="str">
            <v>MPS 07.5</v>
          </cell>
          <cell r="E1857" t="str">
            <v>BDB-000010</v>
          </cell>
          <cell r="F1857" t="str">
            <v>PVN-000102</v>
          </cell>
          <cell r="G1857" t="str">
            <v>OrthoLite Regular AIR BLUE/16-4134TPX Flat Sheet 0.11D 25+/-4 Asker C 1.1M 2M 4mm</v>
          </cell>
          <cell r="H1857">
            <v>35</v>
          </cell>
          <cell r="I1857">
            <v>35</v>
          </cell>
          <cell r="J1857">
            <v>0</v>
          </cell>
          <cell r="K1857">
            <v>35</v>
          </cell>
          <cell r="L1857"/>
          <cell r="M1857" t="str">
            <v>MPS</v>
          </cell>
          <cell r="N1857" t="str">
            <v>SPLITTING</v>
          </cell>
          <cell r="O1857">
            <v>2</v>
          </cell>
          <cell r="P1857">
            <v>46150</v>
          </cell>
          <cell r="Q1857">
            <v>46165</v>
          </cell>
          <cell r="R1857">
            <v>46162</v>
          </cell>
          <cell r="S1857">
            <v>15</v>
          </cell>
          <cell r="T1857">
            <v>4</v>
          </cell>
          <cell r="U1857">
            <v>35</v>
          </cell>
          <cell r="V1857">
            <v>1</v>
          </cell>
          <cell r="W1857" t="str">
            <v>0.11D</v>
          </cell>
          <cell r="X1857" t="str">
            <v>5-2026</v>
          </cell>
          <cell r="Y1857" t="str">
            <v>Week 20</v>
          </cell>
          <cell r="Z1857">
            <v>46153</v>
          </cell>
          <cell r="AA1857">
            <v>24</v>
          </cell>
          <cell r="AB1857">
            <v>2.8570000000000002E-2</v>
          </cell>
        </row>
        <row r="1858">
          <cell r="A1858" t="str">
            <v>F-2026-05-100</v>
          </cell>
          <cell r="B1858"/>
          <cell r="C1858" t="str">
            <v>RPRO-260508-0411</v>
          </cell>
          <cell r="D1858" t="str">
            <v>MPS 07.5</v>
          </cell>
          <cell r="E1858" t="str">
            <v>BDB-000123</v>
          </cell>
          <cell r="F1858" t="str">
            <v>PVN-003300</v>
          </cell>
          <cell r="G1858" t="str">
            <v>OrthoLite Ultra-Hybrid SEEDPEARL/12-0703TPX Hybrid Flat Sheet 0.085D 25+/-4 Asker C 1.1M 2M 2mm</v>
          </cell>
          <cell r="H1858">
            <v>70</v>
          </cell>
          <cell r="I1858">
            <v>70</v>
          </cell>
          <cell r="J1858">
            <v>0</v>
          </cell>
          <cell r="K1858">
            <v>70</v>
          </cell>
          <cell r="L1858"/>
          <cell r="M1858" t="str">
            <v>MPS</v>
          </cell>
          <cell r="N1858" t="str">
            <v>SPLITTING</v>
          </cell>
          <cell r="O1858">
            <v>2</v>
          </cell>
          <cell r="P1858">
            <v>46150</v>
          </cell>
          <cell r="Q1858">
            <v>46157</v>
          </cell>
          <cell r="R1858">
            <v>46154</v>
          </cell>
          <cell r="S1858">
            <v>7</v>
          </cell>
          <cell r="T1858">
            <v>2</v>
          </cell>
          <cell r="U1858">
            <v>70</v>
          </cell>
          <cell r="V1858">
            <v>2</v>
          </cell>
          <cell r="W1858" t="str">
            <v>0.085D</v>
          </cell>
          <cell r="X1858" t="str">
            <v>5-2026</v>
          </cell>
          <cell r="Y1858" t="str">
            <v>Week 20</v>
          </cell>
          <cell r="Z1858">
            <v>46153</v>
          </cell>
          <cell r="AA1858">
            <v>24</v>
          </cell>
          <cell r="AB1858">
            <v>1.4290000000000001E-2</v>
          </cell>
        </row>
        <row r="1859">
          <cell r="A1859" t="str">
            <v>F-2026-05-101</v>
          </cell>
          <cell r="B1859"/>
          <cell r="C1859" t="str">
            <v>RPRO-260508-0412</v>
          </cell>
          <cell r="D1859" t="str">
            <v>MPS 07.5</v>
          </cell>
          <cell r="E1859" t="str">
            <v>BDB-000200</v>
          </cell>
          <cell r="F1859" t="str">
            <v>PVN-003425</v>
          </cell>
          <cell r="G1859" t="str">
            <v>OrthoLite Ultra SEEDPEARL/12-0703TPX Flat Sheet 0.085D 78-90 Asker F 1.1M 2M 4mm</v>
          </cell>
          <cell r="H1859">
            <v>35</v>
          </cell>
          <cell r="I1859">
            <v>35</v>
          </cell>
          <cell r="J1859">
            <v>0</v>
          </cell>
          <cell r="K1859">
            <v>35</v>
          </cell>
          <cell r="L1859"/>
          <cell r="M1859" t="str">
            <v>MPS</v>
          </cell>
          <cell r="N1859" t="str">
            <v>SPLITTING</v>
          </cell>
          <cell r="O1859">
            <v>2</v>
          </cell>
          <cell r="P1859">
            <v>46150</v>
          </cell>
          <cell r="Q1859">
            <v>46161</v>
          </cell>
          <cell r="R1859">
            <v>46158</v>
          </cell>
          <cell r="S1859">
            <v>11</v>
          </cell>
          <cell r="T1859">
            <v>4</v>
          </cell>
          <cell r="U1859">
            <v>35</v>
          </cell>
          <cell r="V1859">
            <v>1</v>
          </cell>
          <cell r="W1859" t="str">
            <v>0.085D</v>
          </cell>
          <cell r="X1859" t="str">
            <v>5-2026</v>
          </cell>
          <cell r="Y1859" t="str">
            <v>Week 20</v>
          </cell>
          <cell r="Z1859">
            <v>46153</v>
          </cell>
          <cell r="AA1859">
            <v>27</v>
          </cell>
          <cell r="AB1859">
            <v>2.8570000000000002E-2</v>
          </cell>
        </row>
        <row r="1860">
          <cell r="A1860" t="str">
            <v>F-2026-05-102</v>
          </cell>
          <cell r="B1860"/>
          <cell r="C1860" t="str">
            <v>RPRO-260508-0413</v>
          </cell>
          <cell r="D1860" t="str">
            <v>Pro.sche.report 07.5</v>
          </cell>
          <cell r="E1860" t="str">
            <v>BDB-000129</v>
          </cell>
          <cell r="F1860" t="str">
            <v>PVN-001550</v>
          </cell>
          <cell r="G1860" t="str">
            <v>OrthoLite Regular-Nike AIR BLUE/16-4134TPX Flat Sheet 0.11D 25+/-4 Asker C 1.1M 1.7M 2mm</v>
          </cell>
          <cell r="H1860">
            <v>140</v>
          </cell>
          <cell r="I1860">
            <v>140</v>
          </cell>
          <cell r="J1860">
            <v>0</v>
          </cell>
          <cell r="K1860">
            <v>140</v>
          </cell>
          <cell r="L1860" t="str">
            <v>NIKE</v>
          </cell>
          <cell r="M1860" t="str">
            <v>Pr.Sch.R</v>
          </cell>
          <cell r="N1860" t="str">
            <v>LAMINATING</v>
          </cell>
          <cell r="O1860">
            <v>1</v>
          </cell>
          <cell r="P1860">
            <v>46150</v>
          </cell>
          <cell r="Q1860">
            <v>46167</v>
          </cell>
          <cell r="R1860">
            <v>46164</v>
          </cell>
          <cell r="S1860">
            <v>17</v>
          </cell>
          <cell r="T1860">
            <v>2</v>
          </cell>
          <cell r="U1860">
            <v>70</v>
          </cell>
          <cell r="V1860">
            <v>3</v>
          </cell>
          <cell r="W1860" t="str">
            <v>0.11D</v>
          </cell>
          <cell r="X1860" t="str">
            <v>5-2026</v>
          </cell>
          <cell r="Y1860" t="str">
            <v>Week 21</v>
          </cell>
          <cell r="Z1860">
            <v>46160</v>
          </cell>
          <cell r="AA1860">
            <v>47</v>
          </cell>
          <cell r="AB1860">
            <v>1.4290000000000001E-2</v>
          </cell>
        </row>
        <row r="1861">
          <cell r="A1861" t="str">
            <v>F-2026-05-103</v>
          </cell>
          <cell r="B1861"/>
          <cell r="C1861" t="str">
            <v>RPRO-260508-0414</v>
          </cell>
          <cell r="D1861" t="str">
            <v>Pro.sche.report 07.5</v>
          </cell>
          <cell r="E1861" t="str">
            <v>BDB-000117</v>
          </cell>
          <cell r="F1861" t="str">
            <v>PVN-003234</v>
          </cell>
          <cell r="G1861" t="str">
            <v>OrthoLite X-35-Hybrid SEEDPEARL/12-0703TPX Hybrid Flat Sheet 0.145D 25+/-4 Asker C 1.1M 2M 5.5mm</v>
          </cell>
          <cell r="H1861">
            <v>250</v>
          </cell>
          <cell r="I1861">
            <v>250</v>
          </cell>
          <cell r="J1861">
            <v>0</v>
          </cell>
          <cell r="K1861">
            <v>250</v>
          </cell>
          <cell r="L1861" t="str">
            <v>PUMA</v>
          </cell>
          <cell r="M1861" t="str">
            <v>Pr.Sch.R</v>
          </cell>
          <cell r="N1861" t="str">
            <v>MOLDED</v>
          </cell>
          <cell r="O1861">
            <v>1</v>
          </cell>
          <cell r="P1861">
            <v>46150</v>
          </cell>
          <cell r="Q1861">
            <v>46165</v>
          </cell>
          <cell r="R1861">
            <v>46162</v>
          </cell>
          <cell r="S1861">
            <v>15</v>
          </cell>
          <cell r="T1861">
            <v>5.5</v>
          </cell>
          <cell r="U1861">
            <v>25</v>
          </cell>
          <cell r="V1861">
            <v>10</v>
          </cell>
          <cell r="W1861" t="str">
            <v>0.145D</v>
          </cell>
          <cell r="X1861" t="str">
            <v>5-2026</v>
          </cell>
          <cell r="Y1861" t="str">
            <v>Week 20</v>
          </cell>
          <cell r="Z1861">
            <v>46153</v>
          </cell>
          <cell r="AA1861">
            <v>13</v>
          </cell>
          <cell r="AB1861">
            <v>0.04</v>
          </cell>
        </row>
        <row r="1862">
          <cell r="A1862" t="str">
            <v>F-2026-05-104</v>
          </cell>
          <cell r="B1862"/>
          <cell r="C1862" t="str">
            <v>RPRO-260508-0415</v>
          </cell>
          <cell r="D1862" t="str">
            <v>Pro.sche.report 07.5</v>
          </cell>
          <cell r="E1862" t="str">
            <v>BDB-000319</v>
          </cell>
          <cell r="F1862" t="str">
            <v>PVN-004247</v>
          </cell>
          <cell r="G1862" t="str">
            <v>OrthoLite X-40-Hybrid-Nike SEEDPEARL/12-0703TPX Hybrid Flat Sheet 0.16D 25+/-4 Asker C 1.1M 2M 4.2mm</v>
          </cell>
          <cell r="H1862">
            <v>297</v>
          </cell>
          <cell r="I1862">
            <v>297</v>
          </cell>
          <cell r="J1862">
            <v>0</v>
          </cell>
          <cell r="K1862">
            <v>297</v>
          </cell>
          <cell r="L1862" t="str">
            <v>NIKE</v>
          </cell>
          <cell r="M1862" t="str">
            <v>Pr.Sch.R</v>
          </cell>
          <cell r="N1862" t="str">
            <v>MOLDED</v>
          </cell>
          <cell r="O1862">
            <v>1</v>
          </cell>
          <cell r="P1862">
            <v>46150</v>
          </cell>
          <cell r="Q1862">
            <v>46165</v>
          </cell>
          <cell r="R1862">
            <v>46162</v>
          </cell>
          <cell r="S1862">
            <v>15</v>
          </cell>
          <cell r="T1862">
            <v>4.2</v>
          </cell>
          <cell r="U1862">
            <v>33</v>
          </cell>
          <cell r="V1862">
            <v>9</v>
          </cell>
          <cell r="W1862" t="e">
            <v>#N/A</v>
          </cell>
          <cell r="X1862" t="str">
            <v>5-2026</v>
          </cell>
          <cell r="Y1862" t="str">
            <v>Week 20</v>
          </cell>
          <cell r="Z1862">
            <v>46153</v>
          </cell>
          <cell r="AA1862">
            <v>42</v>
          </cell>
          <cell r="AB1862">
            <v>3.0300000000000001E-2</v>
          </cell>
        </row>
        <row r="1863">
          <cell r="A1863" t="str">
            <v>F-2026-05-105</v>
          </cell>
          <cell r="B1863"/>
          <cell r="C1863" t="str">
            <v>RPRO-260508-0416</v>
          </cell>
          <cell r="D1863" t="str">
            <v>Pro.sche.report 07.5</v>
          </cell>
          <cell r="E1863" t="str">
            <v>BDB-000157</v>
          </cell>
          <cell r="F1863" t="str">
            <v>PVN-003642</v>
          </cell>
          <cell r="G1863" t="str">
            <v>OrthoLite X-35-Hybrid-Nike SEEDPEARL/12-0703TPX Hybrid Flat Sheet 0.145D 25+/-4 Asker C 1.1M 2M 6.2mm</v>
          </cell>
          <cell r="H1863">
            <v>418</v>
          </cell>
          <cell r="I1863">
            <v>418</v>
          </cell>
          <cell r="J1863">
            <v>0</v>
          </cell>
          <cell r="K1863">
            <v>418</v>
          </cell>
          <cell r="L1863" t="str">
            <v>NIKE</v>
          </cell>
          <cell r="M1863" t="str">
            <v>Pr.Sch.R</v>
          </cell>
          <cell r="N1863" t="str">
            <v>MOLDED</v>
          </cell>
          <cell r="O1863">
            <v>1</v>
          </cell>
          <cell r="P1863">
            <v>46150</v>
          </cell>
          <cell r="Q1863">
            <v>46160</v>
          </cell>
          <cell r="R1863">
            <v>46157</v>
          </cell>
          <cell r="S1863">
            <v>10</v>
          </cell>
          <cell r="T1863">
            <v>6.2</v>
          </cell>
          <cell r="U1863">
            <v>22</v>
          </cell>
          <cell r="V1863">
            <v>19</v>
          </cell>
          <cell r="W1863" t="str">
            <v>0.145D</v>
          </cell>
          <cell r="X1863" t="str">
            <v>5-2026</v>
          </cell>
          <cell r="Y1863" t="str">
            <v>Week 20</v>
          </cell>
          <cell r="Z1863">
            <v>46153</v>
          </cell>
          <cell r="AA1863">
            <v>50</v>
          </cell>
          <cell r="AB1863">
            <v>4.5449999999999997E-2</v>
          </cell>
        </row>
        <row r="1864">
          <cell r="A1864" t="str">
            <v>F-2026-05-106</v>
          </cell>
          <cell r="B1864"/>
          <cell r="C1864" t="str">
            <v>RPRO-260508-0417</v>
          </cell>
          <cell r="D1864" t="str">
            <v>Pro.sche.report 07.5</v>
          </cell>
          <cell r="E1864" t="str">
            <v>BDB-000313</v>
          </cell>
          <cell r="F1864" t="str">
            <v>PVN-004061</v>
          </cell>
          <cell r="G1864" t="str">
            <v>OrthoLite X-55 RED/19-1764TPX Flat Sheet 0.16D 25+/-4 Asker C 1.1M 1.47M 18mm</v>
          </cell>
          <cell r="H1864">
            <v>7</v>
          </cell>
          <cell r="I1864">
            <v>7</v>
          </cell>
          <cell r="J1864">
            <v>0</v>
          </cell>
          <cell r="K1864">
            <v>7</v>
          </cell>
          <cell r="L1864" t="str">
            <v>WILSON</v>
          </cell>
          <cell r="M1864" t="str">
            <v>Pr.Sch.R</v>
          </cell>
          <cell r="N1864" t="str">
            <v>MOLDED</v>
          </cell>
          <cell r="O1864">
            <v>1</v>
          </cell>
          <cell r="P1864">
            <v>46150</v>
          </cell>
          <cell r="Q1864">
            <v>46165</v>
          </cell>
          <cell r="R1864">
            <v>46162</v>
          </cell>
          <cell r="S1864">
            <v>15</v>
          </cell>
          <cell r="T1864">
            <v>18</v>
          </cell>
          <cell r="U1864">
            <v>7</v>
          </cell>
          <cell r="V1864">
            <v>2</v>
          </cell>
          <cell r="W1864" t="e">
            <v>#N/A</v>
          </cell>
          <cell r="X1864" t="str">
            <v>5-2026</v>
          </cell>
          <cell r="Y1864" t="str">
            <v>Week 20</v>
          </cell>
          <cell r="Z1864">
            <v>46153</v>
          </cell>
          <cell r="AA1864">
            <v>89</v>
          </cell>
          <cell r="AB1864">
            <v>0.14285999999999999</v>
          </cell>
        </row>
        <row r="1865">
          <cell r="A1865" t="str">
            <v>F-2026-05-107</v>
          </cell>
          <cell r="B1865"/>
          <cell r="C1865" t="str">
            <v>RPRO-260508-0418</v>
          </cell>
          <cell r="D1865" t="str">
            <v>Pro.sche.report 07.5</v>
          </cell>
          <cell r="E1865" t="str">
            <v>BDB-000126</v>
          </cell>
          <cell r="F1865" t="str">
            <v>PVN-002325</v>
          </cell>
          <cell r="G1865" t="str">
            <v>OrthoLite Regular-Nike RED/19-1764TPX Flat Sheet 0.11D 25+/-4 Asker C 1.1M 2M 5.2mm</v>
          </cell>
          <cell r="H1865">
            <v>390</v>
          </cell>
          <cell r="I1865">
            <v>390</v>
          </cell>
          <cell r="J1865">
            <v>0</v>
          </cell>
          <cell r="K1865">
            <v>390</v>
          </cell>
          <cell r="L1865" t="str">
            <v>NIKE</v>
          </cell>
          <cell r="M1865" t="str">
            <v>Pr.Sch.R</v>
          </cell>
          <cell r="N1865" t="str">
            <v>MOLDED</v>
          </cell>
          <cell r="O1865">
            <v>1</v>
          </cell>
          <cell r="P1865">
            <v>46150</v>
          </cell>
          <cell r="Q1865">
            <v>46165</v>
          </cell>
          <cell r="R1865">
            <v>46162</v>
          </cell>
          <cell r="S1865">
            <v>15</v>
          </cell>
          <cell r="T1865">
            <v>5.2</v>
          </cell>
          <cell r="U1865">
            <v>26</v>
          </cell>
          <cell r="V1865">
            <v>15</v>
          </cell>
          <cell r="W1865" t="str">
            <v>0.11D</v>
          </cell>
          <cell r="X1865" t="str">
            <v>5-2026</v>
          </cell>
          <cell r="Y1865" t="str">
            <v>Week 20</v>
          </cell>
          <cell r="Z1865">
            <v>46153</v>
          </cell>
          <cell r="AA1865">
            <v>15</v>
          </cell>
          <cell r="AB1865">
            <v>3.8460000000000001E-2</v>
          </cell>
        </row>
        <row r="1866">
          <cell r="A1866" t="str">
            <v>F-2026-05-108</v>
          </cell>
          <cell r="B1866"/>
          <cell r="C1866" t="str">
            <v>RPRO-260508-0419</v>
          </cell>
          <cell r="D1866" t="str">
            <v>Pro.sche.report 07.5</v>
          </cell>
          <cell r="E1866" t="str">
            <v>BDB-000209</v>
          </cell>
          <cell r="F1866" t="str">
            <v>PVN-003462</v>
          </cell>
          <cell r="G1866" t="str">
            <v>OrthoLite HybridPlus-Recycled MINT GREEN/11-4805TPX Hybrid Flat Sheet 0.12D 25+/-4 Asker C 1.1M 2M 12mm</v>
          </cell>
          <cell r="H1866">
            <v>1672</v>
          </cell>
          <cell r="I1866">
            <v>1672</v>
          </cell>
          <cell r="J1866">
            <v>0</v>
          </cell>
          <cell r="K1866">
            <v>1672</v>
          </cell>
          <cell r="L1866" t="str">
            <v>BROOKS</v>
          </cell>
          <cell r="M1866" t="str">
            <v>Pr.Sch.R</v>
          </cell>
          <cell r="N1866" t="str">
            <v>MOLDED</v>
          </cell>
          <cell r="O1866">
            <v>1</v>
          </cell>
          <cell r="P1866">
            <v>46150</v>
          </cell>
          <cell r="Q1866">
            <v>46165</v>
          </cell>
          <cell r="R1866">
            <v>46162</v>
          </cell>
          <cell r="S1866">
            <v>15</v>
          </cell>
          <cell r="T1866">
            <v>12</v>
          </cell>
          <cell r="U1866">
            <v>11</v>
          </cell>
          <cell r="V1866">
            <v>153</v>
          </cell>
          <cell r="W1866" t="str">
            <v>0.12D</v>
          </cell>
          <cell r="X1866" t="str">
            <v>5-2026</v>
          </cell>
          <cell r="Y1866" t="str">
            <v>Week 20</v>
          </cell>
          <cell r="Z1866">
            <v>46153</v>
          </cell>
          <cell r="AA1866">
            <v>20</v>
          </cell>
          <cell r="AB1866">
            <v>9.0910000000000005E-2</v>
          </cell>
        </row>
        <row r="1867">
          <cell r="A1867" t="str">
            <v>F-2026-05-109</v>
          </cell>
          <cell r="B1867"/>
          <cell r="C1867" t="str">
            <v>FPRO-260507-0008</v>
          </cell>
          <cell r="D1867" t="str">
            <v>Firm plan 07.5</v>
          </cell>
          <cell r="E1867" t="str">
            <v>BDB-000097</v>
          </cell>
          <cell r="F1867" t="str">
            <v>PVN-002478</v>
          </cell>
          <cell r="G1867" t="str">
            <v>OrthoLite Eco LT-Hybrid SEEDPEARL/12-0703TPX Hybrid 0.11D 25+/-4 Asker C 1.1M 2M 4mm</v>
          </cell>
          <cell r="H1867">
            <v>1800</v>
          </cell>
          <cell r="I1867">
            <v>1800</v>
          </cell>
          <cell r="J1867">
            <v>0</v>
          </cell>
          <cell r="K1867">
            <v>1800</v>
          </cell>
          <cell r="L1867" t="str">
            <v>NEW BALANCE</v>
          </cell>
          <cell r="M1867" t="str">
            <v>Forecast</v>
          </cell>
          <cell r="N1867" t="str">
            <v>DIE CUT</v>
          </cell>
          <cell r="O1867">
            <v>1</v>
          </cell>
          <cell r="P1867">
            <v>46149</v>
          </cell>
          <cell r="Q1867">
            <v>46188</v>
          </cell>
          <cell r="R1867">
            <v>46185</v>
          </cell>
          <cell r="S1867">
            <v>39</v>
          </cell>
          <cell r="T1867">
            <v>4</v>
          </cell>
          <cell r="U1867">
            <v>35</v>
          </cell>
          <cell r="V1867">
            <v>52</v>
          </cell>
          <cell r="W1867" t="str">
            <v>0.11D</v>
          </cell>
          <cell r="X1867" t="str">
            <v>6-2026</v>
          </cell>
          <cell r="Y1867" t="str">
            <v>Week 24</v>
          </cell>
          <cell r="Z1867">
            <v>46181</v>
          </cell>
          <cell r="AA1867">
            <v>65</v>
          </cell>
          <cell r="AB1867">
            <v>2.8570000000000002E-2</v>
          </cell>
        </row>
        <row r="1868">
          <cell r="A1868" t="str">
            <v>F-2026-05-110</v>
          </cell>
          <cell r="B1868"/>
          <cell r="C1868" t="str">
            <v>FPRO-260506-0014</v>
          </cell>
          <cell r="D1868" t="str">
            <v>Firm plan 06.5</v>
          </cell>
          <cell r="E1868" t="str">
            <v>BDB-000076</v>
          </cell>
          <cell r="F1868" t="str">
            <v>PVN-003745</v>
          </cell>
          <cell r="G1868" t="str">
            <v>OrthoLite X-25 BILLIARD/16-5427TPX Flat Sheet 0.12D 20+/-4 Asker C 1.1M 2M 16mm</v>
          </cell>
          <cell r="H1868">
            <v>250</v>
          </cell>
          <cell r="I1868">
            <v>250</v>
          </cell>
          <cell r="J1868">
            <v>0</v>
          </cell>
          <cell r="K1868">
            <v>250</v>
          </cell>
          <cell r="L1868" t="str">
            <v>FOOTJOY</v>
          </cell>
          <cell r="M1868" t="str">
            <v>Forecast</v>
          </cell>
          <cell r="N1868" t="str">
            <v>MOLDED</v>
          </cell>
          <cell r="O1868">
            <v>1</v>
          </cell>
          <cell r="P1868">
            <v>46148</v>
          </cell>
          <cell r="Q1868">
            <v>46168</v>
          </cell>
          <cell r="R1868">
            <v>46165</v>
          </cell>
          <cell r="S1868">
            <v>20</v>
          </cell>
          <cell r="T1868">
            <v>16</v>
          </cell>
          <cell r="U1868">
            <v>8</v>
          </cell>
          <cell r="V1868">
            <v>32</v>
          </cell>
          <cell r="W1868" t="str">
            <v>0.12D</v>
          </cell>
          <cell r="X1868" t="str">
            <v>5-2026</v>
          </cell>
          <cell r="Y1868" t="str">
            <v>Week 21</v>
          </cell>
          <cell r="Z1868">
            <v>46160</v>
          </cell>
          <cell r="AA1868">
            <v>15</v>
          </cell>
          <cell r="AB1868">
            <v>0.125</v>
          </cell>
        </row>
        <row r="1869">
          <cell r="A1869" t="str">
            <v>F-2026-05-111</v>
          </cell>
          <cell r="B1869"/>
          <cell r="C1869" t="str">
            <v>FPRO-260506-0015</v>
          </cell>
          <cell r="D1869" t="str">
            <v>Firm plan 06.5</v>
          </cell>
          <cell r="E1869" t="str">
            <v>BDB-000076</v>
          </cell>
          <cell r="F1869" t="str">
            <v>PVN-003745</v>
          </cell>
          <cell r="G1869" t="str">
            <v>OrthoLite X-25 BILLIARD/16-5427TPX Flat Sheet 0.12D 20+/-4 Asker C 1.1M 2M 16mm</v>
          </cell>
          <cell r="H1869">
            <v>250</v>
          </cell>
          <cell r="I1869">
            <v>250</v>
          </cell>
          <cell r="J1869">
            <v>0</v>
          </cell>
          <cell r="K1869">
            <v>250</v>
          </cell>
          <cell r="L1869" t="str">
            <v>FOOTJOY</v>
          </cell>
          <cell r="M1869" t="str">
            <v>Forecast</v>
          </cell>
          <cell r="N1869" t="str">
            <v>MOLDED</v>
          </cell>
          <cell r="O1869">
            <v>1</v>
          </cell>
          <cell r="P1869">
            <v>46149</v>
          </cell>
          <cell r="Q1869">
            <v>46175</v>
          </cell>
          <cell r="R1869">
            <v>46172</v>
          </cell>
          <cell r="S1869">
            <v>26</v>
          </cell>
          <cell r="T1869">
            <v>16</v>
          </cell>
          <cell r="U1869">
            <v>8</v>
          </cell>
          <cell r="V1869">
            <v>32</v>
          </cell>
          <cell r="W1869" t="str">
            <v>0.12D</v>
          </cell>
          <cell r="X1869" t="str">
            <v>6-2026</v>
          </cell>
          <cell r="Y1869" t="str">
            <v>Week 22</v>
          </cell>
          <cell r="Z1869">
            <v>46167</v>
          </cell>
          <cell r="AA1869">
            <v>37</v>
          </cell>
          <cell r="AB1869">
            <v>0.125</v>
          </cell>
        </row>
        <row r="1870">
          <cell r="A1870" t="str">
            <v>F-2026-05-112</v>
          </cell>
          <cell r="B1870"/>
          <cell r="C1870" t="str">
            <v>FPRO-260506-0016</v>
          </cell>
          <cell r="D1870" t="str">
            <v>Firm plan 06.5</v>
          </cell>
          <cell r="E1870" t="str">
            <v>BDB-000076</v>
          </cell>
          <cell r="F1870" t="str">
            <v>PVN-003745</v>
          </cell>
          <cell r="G1870" t="str">
            <v>OrthoLite X-25 BILLIARD/16-5427TPX Flat Sheet 0.12D 20+/-4 Asker C 1.1M 2M 16mm</v>
          </cell>
          <cell r="H1870">
            <v>250</v>
          </cell>
          <cell r="I1870">
            <v>250</v>
          </cell>
          <cell r="J1870">
            <v>0</v>
          </cell>
          <cell r="K1870">
            <v>250</v>
          </cell>
          <cell r="L1870" t="str">
            <v>FOOTJOY</v>
          </cell>
          <cell r="M1870" t="str">
            <v>Forecast</v>
          </cell>
          <cell r="N1870" t="str">
            <v>MOLDED</v>
          </cell>
          <cell r="O1870">
            <v>1</v>
          </cell>
          <cell r="P1870">
            <v>46150</v>
          </cell>
          <cell r="Q1870">
            <v>46179</v>
          </cell>
          <cell r="R1870">
            <v>46176</v>
          </cell>
          <cell r="S1870">
            <v>29</v>
          </cell>
          <cell r="T1870">
            <v>16</v>
          </cell>
          <cell r="U1870">
            <v>8</v>
          </cell>
          <cell r="V1870">
            <v>32</v>
          </cell>
          <cell r="W1870" t="str">
            <v>0.12D</v>
          </cell>
          <cell r="X1870" t="str">
            <v>6-2026</v>
          </cell>
          <cell r="Y1870" t="str">
            <v>Week 22</v>
          </cell>
          <cell r="Z1870">
            <v>46167</v>
          </cell>
          <cell r="AA1870">
            <v>70</v>
          </cell>
          <cell r="AB1870">
            <v>0.125</v>
          </cell>
        </row>
        <row r="1871">
          <cell r="A1871" t="str">
            <v>F-2026-05-113</v>
          </cell>
          <cell r="B1871"/>
          <cell r="C1871" t="str">
            <v>FPRO-260506-0017</v>
          </cell>
          <cell r="D1871" t="str">
            <v>Firm plan 06.5</v>
          </cell>
          <cell r="E1871" t="str">
            <v>BDB-000076</v>
          </cell>
          <cell r="F1871" t="str">
            <v>PVN-003745</v>
          </cell>
          <cell r="G1871" t="str">
            <v>OrthoLite X-25 BILLIARD/16-5427TPX Flat Sheet 0.12D 20+/-4 Asker C 1.1M 2M 16mm</v>
          </cell>
          <cell r="H1871">
            <v>236</v>
          </cell>
          <cell r="I1871">
            <v>236</v>
          </cell>
          <cell r="J1871">
            <v>0</v>
          </cell>
          <cell r="K1871">
            <v>236</v>
          </cell>
          <cell r="L1871" t="str">
            <v>FOOTJOY</v>
          </cell>
          <cell r="M1871" t="str">
            <v>Forecast</v>
          </cell>
          <cell r="N1871" t="str">
            <v>MOLDED</v>
          </cell>
          <cell r="O1871">
            <v>1</v>
          </cell>
          <cell r="P1871">
            <v>46151</v>
          </cell>
          <cell r="Q1871">
            <v>46186</v>
          </cell>
          <cell r="R1871">
            <v>46183</v>
          </cell>
          <cell r="S1871">
            <v>35</v>
          </cell>
          <cell r="T1871">
            <v>16</v>
          </cell>
          <cell r="U1871">
            <v>8</v>
          </cell>
          <cell r="V1871">
            <v>30</v>
          </cell>
          <cell r="W1871" t="str">
            <v>0.12D</v>
          </cell>
          <cell r="X1871" t="str">
            <v>6-2026</v>
          </cell>
          <cell r="Y1871" t="str">
            <v>Week 23</v>
          </cell>
          <cell r="Z1871">
            <v>46174</v>
          </cell>
          <cell r="AA1871">
            <v>21</v>
          </cell>
          <cell r="AB1871">
            <v>0.125</v>
          </cell>
        </row>
        <row r="1872">
          <cell r="A1872" t="str">
            <v>OIN-2026.05.08-01</v>
          </cell>
          <cell r="B1872" t="str">
            <v>Urgent/LCL</v>
          </cell>
          <cell r="C1872" t="str">
            <v>RPRO-260511-0353</v>
          </cell>
          <cell r="D1872" t="str">
            <v>OIN</v>
          </cell>
          <cell r="E1872" t="str">
            <v>BDB-000339</v>
          </cell>
          <cell r="F1872" t="str">
            <v>PVN-004411</v>
          </cell>
          <cell r="G1872" t="str">
            <v>[116-18285] Float 21+/-4 Asker C 0.12D Neutral Grey 17-4402 TPX 1.10M X 2.00M 47mm</v>
          </cell>
          <cell r="H1872">
            <v>10</v>
          </cell>
          <cell r="I1872">
            <v>10</v>
          </cell>
          <cell r="J1872">
            <v>0</v>
          </cell>
          <cell r="K1872">
            <v>10</v>
          </cell>
          <cell r="L1872" t="str">
            <v>Puma</v>
          </cell>
          <cell r="M1872" t="str">
            <v>PO-7260-SO-260508-0172</v>
          </cell>
          <cell r="N1872" t="str">
            <v>FLAT SHEET</v>
          </cell>
          <cell r="O1872">
            <v>2</v>
          </cell>
          <cell r="P1872">
            <v>46150</v>
          </cell>
          <cell r="Q1872">
            <v>46158</v>
          </cell>
          <cell r="R1872">
            <v>46155</v>
          </cell>
          <cell r="S1872">
            <v>8</v>
          </cell>
          <cell r="T1872">
            <v>47</v>
          </cell>
          <cell r="U1872">
            <v>3</v>
          </cell>
          <cell r="V1872">
            <v>4</v>
          </cell>
          <cell r="W1872" t="e">
            <v>#N/A</v>
          </cell>
          <cell r="X1872" t="str">
            <v>5-2026</v>
          </cell>
          <cell r="Y1872" t="str">
            <v>Week 20</v>
          </cell>
          <cell r="Z1872">
            <v>46153</v>
          </cell>
          <cell r="AA1872">
            <v>100</v>
          </cell>
          <cell r="AB1872" t="e">
            <v>#N/A</v>
          </cell>
        </row>
        <row r="1873">
          <cell r="A1873" t="str">
            <v>OIN-2026.05.08-02</v>
          </cell>
          <cell r="B1873" t="str">
            <v>Urgent/Air</v>
          </cell>
          <cell r="C1873" t="str">
            <v>RPRO-260511-0354</v>
          </cell>
          <cell r="D1873" t="str">
            <v>OIN</v>
          </cell>
          <cell r="E1873" t="str">
            <v>BDB-000339</v>
          </cell>
          <cell r="F1873" t="str">
            <v>PVN-004178</v>
          </cell>
          <cell r="G1873" t="str">
            <v>[116-18286] Float 21+/-4 Asker C 0.12D Neutral Grey 17-4402 TPX 1.10M X 2.00M 5.5mm</v>
          </cell>
          <cell r="H1873">
            <v>10</v>
          </cell>
          <cell r="I1873">
            <v>10</v>
          </cell>
          <cell r="J1873">
            <v>0</v>
          </cell>
          <cell r="K1873">
            <v>10</v>
          </cell>
          <cell r="L1873" t="str">
            <v>Puma</v>
          </cell>
          <cell r="M1873" t="str">
            <v>PO-7260-SO-260508-0173</v>
          </cell>
          <cell r="N1873" t="str">
            <v>FLAT SHEET</v>
          </cell>
          <cell r="O1873">
            <v>2</v>
          </cell>
          <cell r="P1873">
            <v>46150</v>
          </cell>
          <cell r="Q1873">
            <v>46157</v>
          </cell>
          <cell r="R1873">
            <v>46154</v>
          </cell>
          <cell r="S1873">
            <v>7</v>
          </cell>
          <cell r="T1873">
            <v>5.5</v>
          </cell>
          <cell r="U1873">
            <v>25</v>
          </cell>
          <cell r="V1873">
            <v>1</v>
          </cell>
          <cell r="W1873" t="e">
            <v>#N/A</v>
          </cell>
          <cell r="X1873" t="str">
            <v>5-2026</v>
          </cell>
          <cell r="Y1873" t="str">
            <v>Week 20</v>
          </cell>
          <cell r="Z1873">
            <v>46153</v>
          </cell>
          <cell r="AA1873">
            <v>167</v>
          </cell>
          <cell r="AB1873">
            <v>0.04</v>
          </cell>
        </row>
        <row r="1874">
          <cell r="A1874" t="str">
            <v>OIN-2026.05.08-03</v>
          </cell>
          <cell r="B1874" t="str">
            <v>Urgent/LCL</v>
          </cell>
          <cell r="C1874" t="str">
            <v>RPRO-260511-0355</v>
          </cell>
          <cell r="D1874" t="str">
            <v>OIN</v>
          </cell>
          <cell r="E1874" t="str">
            <v>BDB-000321</v>
          </cell>
          <cell r="F1874" t="str">
            <v>PVN-004412</v>
          </cell>
          <cell r="G1874" t="str">
            <v xml:space="preserve">[116-18348] Float 21+/-4 Asker C 0.12D Blue Atoll 16-4535 Tpx 1.10M X 2.00M 47mm </v>
          </cell>
          <cell r="H1874">
            <v>10</v>
          </cell>
          <cell r="I1874">
            <v>10</v>
          </cell>
          <cell r="J1874">
            <v>0</v>
          </cell>
          <cell r="K1874">
            <v>10</v>
          </cell>
          <cell r="L1874" t="str">
            <v>OIN Marketing</v>
          </cell>
          <cell r="M1874" t="str">
            <v>PO-7260-SO-260508-0174</v>
          </cell>
          <cell r="N1874" t="str">
            <v>FLAT SHEET</v>
          </cell>
          <cell r="O1874">
            <v>2</v>
          </cell>
          <cell r="P1874">
            <v>46150</v>
          </cell>
          <cell r="Q1874">
            <v>46158</v>
          </cell>
          <cell r="R1874">
            <v>46155</v>
          </cell>
          <cell r="S1874">
            <v>8</v>
          </cell>
          <cell r="T1874">
            <v>47</v>
          </cell>
          <cell r="U1874">
            <v>3</v>
          </cell>
          <cell r="V1874">
            <v>4</v>
          </cell>
          <cell r="W1874" t="e">
            <v>#N/A</v>
          </cell>
          <cell r="X1874" t="str">
            <v>5-2026</v>
          </cell>
          <cell r="Y1874" t="str">
            <v>Week 20</v>
          </cell>
          <cell r="Z1874">
            <v>46153</v>
          </cell>
          <cell r="AA1874">
            <v>42</v>
          </cell>
          <cell r="AB1874" t="e">
            <v>#N/A</v>
          </cell>
        </row>
        <row r="1875">
          <cell r="A1875" t="str">
            <v>F-2026-05-114</v>
          </cell>
          <cell r="B1875"/>
          <cell r="C1875" t="str">
            <v>RPRO-260511-0334</v>
          </cell>
          <cell r="D1875" t="str">
            <v>MPS 08.5+09.5+10.5</v>
          </cell>
          <cell r="E1875" t="str">
            <v>BDB-000032</v>
          </cell>
          <cell r="F1875" t="str">
            <v>PVN-000840</v>
          </cell>
          <cell r="G1875" t="str">
            <v>OrthoLite Regular SEEDPEARL/12-0703TPX 0.11D 25+/-4 Asker C 1.1M 2M 5mm</v>
          </cell>
          <cell r="H1875">
            <v>140</v>
          </cell>
          <cell r="I1875">
            <v>140</v>
          </cell>
          <cell r="J1875">
            <v>0</v>
          </cell>
          <cell r="K1875">
            <v>140</v>
          </cell>
          <cell r="L1875"/>
          <cell r="M1875" t="str">
            <v>MPS</v>
          </cell>
          <cell r="N1875" t="str">
            <v>SPLITTING</v>
          </cell>
          <cell r="O1875">
            <v>2</v>
          </cell>
          <cell r="P1875">
            <v>46153</v>
          </cell>
          <cell r="Q1875">
            <v>46168</v>
          </cell>
          <cell r="R1875">
            <v>46165</v>
          </cell>
          <cell r="S1875">
            <v>15</v>
          </cell>
          <cell r="T1875">
            <v>5</v>
          </cell>
          <cell r="U1875">
            <v>28</v>
          </cell>
          <cell r="V1875">
            <v>5</v>
          </cell>
          <cell r="W1875" t="str">
            <v>0.11D</v>
          </cell>
          <cell r="X1875" t="str">
            <v>5-2026</v>
          </cell>
          <cell r="Y1875" t="str">
            <v>Week 21</v>
          </cell>
          <cell r="Z1875">
            <v>46160</v>
          </cell>
          <cell r="AA1875">
            <v>23</v>
          </cell>
          <cell r="AB1875">
            <v>3.5709999999999999E-2</v>
          </cell>
        </row>
        <row r="1876">
          <cell r="A1876" t="str">
            <v>F-2026-05-115</v>
          </cell>
          <cell r="B1876"/>
          <cell r="C1876" t="str">
            <v>RPRO-260511-0335</v>
          </cell>
          <cell r="D1876" t="str">
            <v>MPS 08.5+09.5+10.5</v>
          </cell>
          <cell r="E1876" t="str">
            <v>BDB-000058</v>
          </cell>
          <cell r="F1876" t="str">
            <v>PVN-001277</v>
          </cell>
          <cell r="G1876" t="str">
            <v>OrthoLite Ultra GREEN/16-5932TPX Flat Sheet 0.085D 25+/-4 Asker C 1.1M 2M 4mm</v>
          </cell>
          <cell r="H1876">
            <v>70</v>
          </cell>
          <cell r="I1876">
            <v>70</v>
          </cell>
          <cell r="J1876">
            <v>0</v>
          </cell>
          <cell r="K1876">
            <v>70</v>
          </cell>
          <cell r="L1876"/>
          <cell r="M1876" t="str">
            <v>MPS</v>
          </cell>
          <cell r="N1876" t="str">
            <v>SPLITTING</v>
          </cell>
          <cell r="O1876">
            <v>2</v>
          </cell>
          <cell r="P1876">
            <v>46153</v>
          </cell>
          <cell r="Q1876">
            <v>46168</v>
          </cell>
          <cell r="R1876">
            <v>46165</v>
          </cell>
          <cell r="S1876">
            <v>15</v>
          </cell>
          <cell r="T1876">
            <v>4</v>
          </cell>
          <cell r="U1876">
            <v>35</v>
          </cell>
          <cell r="V1876">
            <v>2</v>
          </cell>
          <cell r="W1876" t="str">
            <v>0.085D</v>
          </cell>
          <cell r="X1876" t="str">
            <v>5-2026</v>
          </cell>
          <cell r="Y1876" t="str">
            <v>Week 21</v>
          </cell>
          <cell r="Z1876">
            <v>46160</v>
          </cell>
          <cell r="AA1876">
            <v>3</v>
          </cell>
          <cell r="AB1876">
            <v>2.8570000000000002E-2</v>
          </cell>
        </row>
        <row r="1877">
          <cell r="A1877" t="str">
            <v>F-2026-05-116</v>
          </cell>
          <cell r="B1877"/>
          <cell r="C1877" t="str">
            <v>RPRO-260511-0336</v>
          </cell>
          <cell r="D1877" t="str">
            <v>MPS 08.5+09.5+10.5</v>
          </cell>
          <cell r="E1877" t="str">
            <v>BDB-000200</v>
          </cell>
          <cell r="F1877" t="str">
            <v>PVN-003418</v>
          </cell>
          <cell r="G1877" t="str">
            <v>OrthoLite Ultra SEEDPEARL/12-0703TPX Flat Sheet 0.085D 78-90 Asker F 1.1M 2M 5mm</v>
          </cell>
          <cell r="H1877">
            <v>112</v>
          </cell>
          <cell r="I1877">
            <v>112</v>
          </cell>
          <cell r="J1877">
            <v>0</v>
          </cell>
          <cell r="K1877">
            <v>112</v>
          </cell>
          <cell r="L1877"/>
          <cell r="M1877" t="str">
            <v>MPS</v>
          </cell>
          <cell r="N1877" t="str">
            <v>SPLITTING</v>
          </cell>
          <cell r="O1877">
            <v>2</v>
          </cell>
          <cell r="P1877">
            <v>46153</v>
          </cell>
          <cell r="Q1877">
            <v>46162</v>
          </cell>
          <cell r="R1877">
            <v>46159</v>
          </cell>
          <cell r="S1877">
            <v>9</v>
          </cell>
          <cell r="T1877">
            <v>5</v>
          </cell>
          <cell r="U1877">
            <v>28</v>
          </cell>
          <cell r="V1877">
            <v>4</v>
          </cell>
          <cell r="W1877" t="str">
            <v>0.085D</v>
          </cell>
          <cell r="X1877" t="str">
            <v>5-2026</v>
          </cell>
          <cell r="Y1877" t="str">
            <v>Week 20</v>
          </cell>
          <cell r="Z1877">
            <v>46153</v>
          </cell>
          <cell r="AA1877">
            <v>1</v>
          </cell>
          <cell r="AB1877">
            <v>3.5709999999999999E-2</v>
          </cell>
        </row>
        <row r="1878">
          <cell r="A1878" t="str">
            <v>F-2026-05-117</v>
          </cell>
          <cell r="B1878"/>
          <cell r="C1878" t="str">
            <v>RPRO-260511-0337</v>
          </cell>
          <cell r="D1878" t="str">
            <v>MPS 08.5+09.5+10.5</v>
          </cell>
          <cell r="E1878" t="str">
            <v>BDB-000353</v>
          </cell>
          <cell r="F1878" t="str">
            <v>PVN-004219</v>
          </cell>
          <cell r="G1878" t="str">
            <v>OrthoLite Regular SEEDPEARL/12-0703TPX Flat Sheet 0.13D 35+/-4 Asker C 1.1M 1.47M 4mm</v>
          </cell>
          <cell r="H1878">
            <v>105</v>
          </cell>
          <cell r="I1878">
            <v>105</v>
          </cell>
          <cell r="J1878">
            <v>0</v>
          </cell>
          <cell r="K1878">
            <v>105</v>
          </cell>
          <cell r="L1878"/>
          <cell r="M1878" t="str">
            <v>MPS</v>
          </cell>
          <cell r="N1878" t="str">
            <v>SPLITTING</v>
          </cell>
          <cell r="O1878">
            <v>2</v>
          </cell>
          <cell r="P1878">
            <v>46153</v>
          </cell>
          <cell r="Q1878">
            <v>46165</v>
          </cell>
          <cell r="R1878">
            <v>46162</v>
          </cell>
          <cell r="S1878">
            <v>12</v>
          </cell>
          <cell r="T1878">
            <v>4</v>
          </cell>
          <cell r="U1878">
            <v>35</v>
          </cell>
          <cell r="V1878">
            <v>3</v>
          </cell>
          <cell r="W1878" t="e">
            <v>#N/A</v>
          </cell>
          <cell r="X1878" t="str">
            <v>5-2026</v>
          </cell>
          <cell r="Y1878" t="str">
            <v>Week 21</v>
          </cell>
          <cell r="Z1878">
            <v>46160</v>
          </cell>
          <cell r="AA1878">
            <v>58</v>
          </cell>
          <cell r="AB1878">
            <v>2.8570000000000002E-2</v>
          </cell>
        </row>
        <row r="1879">
          <cell r="A1879" t="str">
            <v>F-2026-05-118</v>
          </cell>
          <cell r="B1879"/>
          <cell r="C1879" t="str">
            <v>RPRO-260511-0338</v>
          </cell>
          <cell r="D1879" t="str">
            <v>MPS 08.5+09.5+10.5</v>
          </cell>
          <cell r="E1879" t="str">
            <v>BDB-000353</v>
          </cell>
          <cell r="F1879" t="str">
            <v>PVN-004350</v>
          </cell>
          <cell r="G1879" t="str">
            <v>OrthoLite Regular SEEDPEARL/12-0703TPX Flat Sheet 0.13D 35+/-4 Asker C 1.1M 1.47M 13mm</v>
          </cell>
          <cell r="H1879">
            <v>10</v>
          </cell>
          <cell r="I1879">
            <v>10</v>
          </cell>
          <cell r="J1879">
            <v>0</v>
          </cell>
          <cell r="K1879">
            <v>10</v>
          </cell>
          <cell r="L1879"/>
          <cell r="M1879" t="str">
            <v>MPS</v>
          </cell>
          <cell r="N1879" t="str">
            <v>SPLITTING</v>
          </cell>
          <cell r="O1879">
            <v>2</v>
          </cell>
          <cell r="P1879">
            <v>46153</v>
          </cell>
          <cell r="Q1879">
            <v>46164</v>
          </cell>
          <cell r="R1879">
            <v>46161</v>
          </cell>
          <cell r="S1879">
            <v>11</v>
          </cell>
          <cell r="T1879">
            <v>13</v>
          </cell>
          <cell r="U1879">
            <v>10</v>
          </cell>
          <cell r="V1879">
            <v>1</v>
          </cell>
          <cell r="W1879" t="e">
            <v>#N/A</v>
          </cell>
          <cell r="X1879" t="str">
            <v>5-2026</v>
          </cell>
          <cell r="Y1879" t="str">
            <v>Week 21</v>
          </cell>
          <cell r="Z1879">
            <v>46160</v>
          </cell>
          <cell r="AA1879">
            <v>339</v>
          </cell>
          <cell r="AB1879">
            <v>0.1</v>
          </cell>
        </row>
        <row r="1880">
          <cell r="A1880" t="str">
            <v>F-2026-05-119</v>
          </cell>
          <cell r="B1880"/>
          <cell r="C1880" t="str">
            <v>RPRO-260511-0339</v>
          </cell>
          <cell r="D1880" t="str">
            <v>Pro.sche.report 08.5+09.5</v>
          </cell>
          <cell r="E1880" t="str">
            <v>BDB-000129</v>
          </cell>
          <cell r="F1880" t="str">
            <v>PVN-001550</v>
          </cell>
          <cell r="G1880" t="str">
            <v>OrthoLite Regular-Nike AIR BLUE/16-4134TPX Flat Sheet 0.11D 25+/-4 Asker C 1.1M 1.7M 2mm</v>
          </cell>
          <cell r="H1880">
            <v>490</v>
          </cell>
          <cell r="I1880">
            <v>490</v>
          </cell>
          <cell r="J1880">
            <v>0</v>
          </cell>
          <cell r="K1880">
            <v>490</v>
          </cell>
          <cell r="L1880" t="str">
            <v>NIKE</v>
          </cell>
          <cell r="M1880" t="str">
            <v>Pr.Sch.R</v>
          </cell>
          <cell r="N1880" t="str">
            <v>LAMINATING</v>
          </cell>
          <cell r="O1880">
            <v>1</v>
          </cell>
          <cell r="P1880">
            <v>46153</v>
          </cell>
          <cell r="Q1880">
            <v>46168</v>
          </cell>
          <cell r="R1880">
            <v>46165</v>
          </cell>
          <cell r="S1880">
            <v>15</v>
          </cell>
          <cell r="T1880">
            <v>2</v>
          </cell>
          <cell r="U1880">
            <v>70</v>
          </cell>
          <cell r="V1880">
            <v>8</v>
          </cell>
          <cell r="W1880" t="str">
            <v>0.11D</v>
          </cell>
          <cell r="X1880" t="str">
            <v>5-2026</v>
          </cell>
          <cell r="Y1880" t="str">
            <v>Week 21</v>
          </cell>
          <cell r="Z1880">
            <v>46160</v>
          </cell>
          <cell r="AA1880">
            <v>108</v>
          </cell>
          <cell r="AB1880">
            <v>1.4290000000000001E-2</v>
          </cell>
        </row>
        <row r="1881">
          <cell r="A1881" t="str">
            <v>F-2026-05-120</v>
          </cell>
          <cell r="B1881"/>
          <cell r="C1881" t="str">
            <v>RPRO-260511-0340</v>
          </cell>
          <cell r="D1881" t="str">
            <v>Pro.sche.report 08.5+09.5</v>
          </cell>
          <cell r="E1881" t="str">
            <v>BDB-000011</v>
          </cell>
          <cell r="F1881" t="str">
            <v>PVN-000121</v>
          </cell>
          <cell r="G1881" t="str">
            <v>OrthoLite Regular AIR BLUE/16-4134TPX Flat Sheet 0.13D 35+/-4 Asker C 1.1M 2M 12mm</v>
          </cell>
          <cell r="H1881">
            <v>121</v>
          </cell>
          <cell r="I1881">
            <v>121</v>
          </cell>
          <cell r="J1881">
            <v>0</v>
          </cell>
          <cell r="K1881">
            <v>121</v>
          </cell>
          <cell r="L1881" t="str">
            <v>ASICS</v>
          </cell>
          <cell r="M1881" t="str">
            <v>Pr.Sch.R</v>
          </cell>
          <cell r="N1881" t="str">
            <v>MOLDED</v>
          </cell>
          <cell r="O1881">
            <v>1</v>
          </cell>
          <cell r="P1881">
            <v>46153</v>
          </cell>
          <cell r="Q1881">
            <v>46164</v>
          </cell>
          <cell r="R1881">
            <v>46161</v>
          </cell>
          <cell r="S1881">
            <v>11</v>
          </cell>
          <cell r="T1881">
            <v>12</v>
          </cell>
          <cell r="U1881">
            <v>11.5</v>
          </cell>
          <cell r="V1881">
            <v>11</v>
          </cell>
          <cell r="W1881" t="str">
            <v>0.13D</v>
          </cell>
          <cell r="X1881" t="str">
            <v>5-2026</v>
          </cell>
          <cell r="Y1881" t="str">
            <v>Week 21</v>
          </cell>
          <cell r="Z1881">
            <v>46160</v>
          </cell>
          <cell r="AA1881">
            <v>71</v>
          </cell>
          <cell r="AB1881">
            <v>8.6959999999999996E-2</v>
          </cell>
        </row>
        <row r="1882">
          <cell r="A1882" t="str">
            <v>F-2026-05-121</v>
          </cell>
          <cell r="B1882"/>
          <cell r="C1882" t="str">
            <v>RPRO-260511-0341</v>
          </cell>
          <cell r="D1882" t="str">
            <v>Pro.sche.report 08.5+09.5</v>
          </cell>
          <cell r="E1882" t="str">
            <v>BDB-000319</v>
          </cell>
          <cell r="F1882" t="str">
            <v>PVN-004081</v>
          </cell>
          <cell r="G1882" t="str">
            <v>OrthoLite X-40-Hybrid-Nike SEEDPEARL/12-0703TPX Hybrid Flat Sheet 0.16D 25+/-4 Asker C 1.1M 2M 6mm</v>
          </cell>
          <cell r="H1882">
            <v>23</v>
          </cell>
          <cell r="I1882">
            <v>23</v>
          </cell>
          <cell r="J1882">
            <v>0</v>
          </cell>
          <cell r="K1882">
            <v>23</v>
          </cell>
          <cell r="L1882" t="str">
            <v>NIKE</v>
          </cell>
          <cell r="M1882" t="str">
            <v>Pr.Sch.R</v>
          </cell>
          <cell r="N1882" t="str">
            <v>MOLDED</v>
          </cell>
          <cell r="O1882">
            <v>1</v>
          </cell>
          <cell r="P1882">
            <v>46153</v>
          </cell>
          <cell r="Q1882">
            <v>46168</v>
          </cell>
          <cell r="R1882">
            <v>46165</v>
          </cell>
          <cell r="S1882">
            <v>15</v>
          </cell>
          <cell r="T1882">
            <v>6</v>
          </cell>
          <cell r="U1882">
            <v>23</v>
          </cell>
          <cell r="V1882">
            <v>2</v>
          </cell>
          <cell r="W1882" t="e">
            <v>#N/A</v>
          </cell>
          <cell r="X1882" t="str">
            <v>5-2026</v>
          </cell>
          <cell r="Y1882" t="str">
            <v>Week 21</v>
          </cell>
          <cell r="Z1882">
            <v>46160</v>
          </cell>
          <cell r="AA1882">
            <v>45</v>
          </cell>
          <cell r="AB1882">
            <v>4.3479999999999998E-2</v>
          </cell>
        </row>
        <row r="1883">
          <cell r="A1883" t="str">
            <v>F-2026-05-122</v>
          </cell>
          <cell r="B1883"/>
          <cell r="C1883" t="str">
            <v>RPRO-260511-0342</v>
          </cell>
          <cell r="D1883" t="str">
            <v>Pro.sche.report 08.5+09.5</v>
          </cell>
          <cell r="E1883" t="str">
            <v>BDB-000339</v>
          </cell>
          <cell r="F1883" t="str">
            <v>PVN-004178</v>
          </cell>
          <cell r="G1883" t="str">
            <v>OrthoLite Float NEUTRAL GRAY/17-4402TPX Flat Sheet 0.12D 21+/-4 Asker C 1.1M 2M 5.5mm</v>
          </cell>
          <cell r="H1883">
            <v>25</v>
          </cell>
          <cell r="I1883">
            <v>25</v>
          </cell>
          <cell r="J1883">
            <v>0</v>
          </cell>
          <cell r="K1883">
            <v>25</v>
          </cell>
          <cell r="L1883" t="str">
            <v>PUMA</v>
          </cell>
          <cell r="M1883" t="str">
            <v>Pr.Sch.R</v>
          </cell>
          <cell r="N1883" t="str">
            <v>MOLDED</v>
          </cell>
          <cell r="O1883">
            <v>1</v>
          </cell>
          <cell r="P1883">
            <v>46153</v>
          </cell>
          <cell r="Q1883">
            <v>46168</v>
          </cell>
          <cell r="R1883">
            <v>46165</v>
          </cell>
          <cell r="S1883">
            <v>15</v>
          </cell>
          <cell r="T1883">
            <v>5.5</v>
          </cell>
          <cell r="U1883">
            <v>25</v>
          </cell>
          <cell r="V1883">
            <v>1</v>
          </cell>
          <cell r="W1883" t="e">
            <v>#N/A</v>
          </cell>
          <cell r="X1883" t="str">
            <v>5-2026</v>
          </cell>
          <cell r="Y1883" t="str">
            <v>Week 21</v>
          </cell>
          <cell r="Z1883">
            <v>46160</v>
          </cell>
          <cell r="AA1883">
            <v>45</v>
          </cell>
          <cell r="AB1883">
            <v>0.04</v>
          </cell>
        </row>
        <row r="1884">
          <cell r="A1884" t="str">
            <v>F-2026-05-123</v>
          </cell>
          <cell r="B1884"/>
          <cell r="C1884" t="str">
            <v>RPRO-260511-0343</v>
          </cell>
          <cell r="D1884" t="str">
            <v>Pro.sche.report 08.5+09.5</v>
          </cell>
          <cell r="E1884" t="str">
            <v>BDB-000076</v>
          </cell>
          <cell r="F1884" t="str">
            <v>PVN-004091</v>
          </cell>
          <cell r="G1884" t="str">
            <v>OrthoLite X-25 BILLIARD/16-5427TPX Flat Sheet 0.12D 20+/-4 Asker C 1.1M 2M 3.5mm</v>
          </cell>
          <cell r="H1884">
            <v>40</v>
          </cell>
          <cell r="I1884">
            <v>40</v>
          </cell>
          <cell r="J1884">
            <v>0</v>
          </cell>
          <cell r="K1884">
            <v>40</v>
          </cell>
          <cell r="L1884" t="str">
            <v>BROOKS</v>
          </cell>
          <cell r="M1884" t="str">
            <v>Pr.Sch.R</v>
          </cell>
          <cell r="N1884" t="str">
            <v>MOLDED</v>
          </cell>
          <cell r="O1884">
            <v>1</v>
          </cell>
          <cell r="P1884">
            <v>46153</v>
          </cell>
          <cell r="Q1884">
            <v>46162</v>
          </cell>
          <cell r="R1884">
            <v>46159</v>
          </cell>
          <cell r="S1884">
            <v>9</v>
          </cell>
          <cell r="T1884">
            <v>3.5</v>
          </cell>
          <cell r="U1884">
            <v>40</v>
          </cell>
          <cell r="V1884">
            <v>1</v>
          </cell>
          <cell r="W1884" t="str">
            <v>0.12D</v>
          </cell>
          <cell r="X1884" t="str">
            <v>5-2026</v>
          </cell>
          <cell r="Y1884" t="str">
            <v>Week 20</v>
          </cell>
          <cell r="Z1884">
            <v>46153</v>
          </cell>
          <cell r="AA1884">
            <v>149</v>
          </cell>
          <cell r="AB1884">
            <v>2.5000000000000001E-2</v>
          </cell>
        </row>
        <row r="1885">
          <cell r="A1885" t="str">
            <v>F-2026-05-124</v>
          </cell>
          <cell r="B1885"/>
          <cell r="C1885" t="str">
            <v>RPRO-260511-0344</v>
          </cell>
          <cell r="D1885" t="str">
            <v>Pro.sche.report 08.5+09.5</v>
          </cell>
          <cell r="E1885" t="str">
            <v>BDB-000212</v>
          </cell>
          <cell r="F1885" t="str">
            <v>PVN-004002</v>
          </cell>
          <cell r="G1885" t="str">
            <v>OrthoLite X-25-Hybrid SEEDPEARL/12-0703TPX Hybrid Flat Sheet 0.12D 20+/-4 Asker C 1.1M 2M 14mm</v>
          </cell>
          <cell r="H1885">
            <v>9</v>
          </cell>
          <cell r="I1885">
            <v>9</v>
          </cell>
          <cell r="J1885">
            <v>0</v>
          </cell>
          <cell r="K1885">
            <v>9</v>
          </cell>
          <cell r="L1885" t="str">
            <v>FOOTJOY</v>
          </cell>
          <cell r="M1885" t="str">
            <v>Pr.Sch.R</v>
          </cell>
          <cell r="N1885" t="str">
            <v>MOLDED</v>
          </cell>
          <cell r="O1885">
            <v>1</v>
          </cell>
          <cell r="P1885">
            <v>46153</v>
          </cell>
          <cell r="Q1885">
            <v>46162</v>
          </cell>
          <cell r="R1885">
            <v>46159</v>
          </cell>
          <cell r="S1885">
            <v>9</v>
          </cell>
          <cell r="T1885">
            <v>14</v>
          </cell>
          <cell r="U1885">
            <v>9</v>
          </cell>
          <cell r="V1885">
            <v>1</v>
          </cell>
          <cell r="W1885" t="str">
            <v>0.12D</v>
          </cell>
          <cell r="X1885" t="str">
            <v>5-2026</v>
          </cell>
          <cell r="Y1885" t="str">
            <v>Week 20</v>
          </cell>
          <cell r="Z1885">
            <v>46153</v>
          </cell>
          <cell r="AA1885">
            <v>0</v>
          </cell>
          <cell r="AB1885">
            <v>0.11111</v>
          </cell>
        </row>
        <row r="1886">
          <cell r="A1886" t="str">
            <v>F-2026-05-125</v>
          </cell>
          <cell r="B1886"/>
          <cell r="C1886" t="str">
            <v>RPRO-260511-0345</v>
          </cell>
          <cell r="D1886" t="str">
            <v>Pro.sche.report 08.5+09.5</v>
          </cell>
          <cell r="E1886" t="str">
            <v>BDB-000217</v>
          </cell>
          <cell r="F1886" t="str">
            <v>PVN-003733</v>
          </cell>
          <cell r="G1886" t="str">
            <v>OrthoLite X-40-Hybrid SEEDPEARL/12-0703TPX Hybrid Flat Sheet 0.16D 35+/-4 Asker C 1.1M 1.7M 12.5mm</v>
          </cell>
          <cell r="H1886">
            <v>10</v>
          </cell>
          <cell r="I1886">
            <v>10</v>
          </cell>
          <cell r="J1886">
            <v>0</v>
          </cell>
          <cell r="K1886">
            <v>10</v>
          </cell>
          <cell r="L1886" t="str">
            <v>OBOZ</v>
          </cell>
          <cell r="M1886" t="str">
            <v>Pr.Sch.R</v>
          </cell>
          <cell r="N1886" t="str">
            <v>MOLDED</v>
          </cell>
          <cell r="O1886">
            <v>1</v>
          </cell>
          <cell r="P1886">
            <v>46153</v>
          </cell>
          <cell r="Q1886">
            <v>46162</v>
          </cell>
          <cell r="R1886">
            <v>46159</v>
          </cell>
          <cell r="S1886">
            <v>9</v>
          </cell>
          <cell r="T1886">
            <v>12.5</v>
          </cell>
          <cell r="U1886">
            <v>10</v>
          </cell>
          <cell r="V1886">
            <v>1</v>
          </cell>
          <cell r="W1886" t="str">
            <v>0.16D</v>
          </cell>
          <cell r="X1886" t="str">
            <v>5-2026</v>
          </cell>
          <cell r="Y1886" t="str">
            <v>Week 20</v>
          </cell>
          <cell r="Z1886">
            <v>46153</v>
          </cell>
          <cell r="AA1886">
            <v>8</v>
          </cell>
          <cell r="AB1886">
            <v>0.1</v>
          </cell>
        </row>
        <row r="1887">
          <cell r="A1887" t="str">
            <v>F-2026-05-126-1</v>
          </cell>
          <cell r="B1887"/>
          <cell r="C1887" t="str">
            <v>RPRO-260511-0346</v>
          </cell>
          <cell r="D1887" t="str">
            <v>Pro.sche.report 08.5+09.5</v>
          </cell>
          <cell r="E1887" t="str">
            <v>BDB-000209</v>
          </cell>
          <cell r="F1887" t="str">
            <v>PVN-003550</v>
          </cell>
          <cell r="G1887" t="str">
            <v>OrthoLite HybridPlus-Recycled MINT GREEN/11-4805TPX Hybrid Flat Sheet 0.12D 25+/-4 Asker C 1.1M 2M 6mm</v>
          </cell>
          <cell r="H1887">
            <v>1000</v>
          </cell>
          <cell r="I1887">
            <v>1000</v>
          </cell>
          <cell r="J1887">
            <v>0</v>
          </cell>
          <cell r="K1887">
            <v>1000</v>
          </cell>
          <cell r="L1887" t="str">
            <v>ON RUNNING</v>
          </cell>
          <cell r="M1887" t="str">
            <v>Pr.Sch.R</v>
          </cell>
          <cell r="N1887" t="str">
            <v>MOLDED</v>
          </cell>
          <cell r="O1887">
            <v>1</v>
          </cell>
          <cell r="P1887">
            <v>46153</v>
          </cell>
          <cell r="Q1887">
            <v>46186</v>
          </cell>
          <cell r="R1887">
            <v>46183</v>
          </cell>
          <cell r="S1887">
            <v>33</v>
          </cell>
          <cell r="T1887">
            <v>6</v>
          </cell>
          <cell r="U1887">
            <v>23</v>
          </cell>
          <cell r="V1887">
            <v>44</v>
          </cell>
          <cell r="W1887" t="str">
            <v>0.12D</v>
          </cell>
          <cell r="X1887" t="str">
            <v>6-2026</v>
          </cell>
          <cell r="Y1887" t="str">
            <v>Week 23</v>
          </cell>
          <cell r="Z1887">
            <v>46174</v>
          </cell>
          <cell r="AA1887">
            <v>32</v>
          </cell>
          <cell r="AB1887">
            <v>4.3479999999999998E-2</v>
          </cell>
        </row>
        <row r="1888">
          <cell r="A1888" t="str">
            <v>F-2026-05-126-2</v>
          </cell>
          <cell r="B1888"/>
          <cell r="C1888" t="str">
            <v>RPRO-260513-0952</v>
          </cell>
          <cell r="D1888" t="str">
            <v>Pro.sche.report 08.5+09.5</v>
          </cell>
          <cell r="E1888" t="str">
            <v>BDB-000209</v>
          </cell>
          <cell r="F1888" t="str">
            <v>PVN-003550</v>
          </cell>
          <cell r="G1888" t="str">
            <v>OrthoLite HybridPlus-Recycled MINT GREEN/11-4805TPX Hybrid Flat Sheet 0.12D 25+/-4 Asker C 1.1M 2M 6mm</v>
          </cell>
          <cell r="H1888">
            <v>1000</v>
          </cell>
          <cell r="I1888">
            <v>1000</v>
          </cell>
          <cell r="J1888">
            <v>0</v>
          </cell>
          <cell r="K1888">
            <v>1000</v>
          </cell>
          <cell r="L1888" t="str">
            <v>ON RUNNING</v>
          </cell>
          <cell r="M1888" t="str">
            <v>Pr.Sch.R</v>
          </cell>
          <cell r="N1888" t="str">
            <v>MOLDED</v>
          </cell>
          <cell r="O1888">
            <v>1</v>
          </cell>
          <cell r="P1888">
            <v>46153</v>
          </cell>
          <cell r="Q1888">
            <v>46193</v>
          </cell>
          <cell r="R1888">
            <v>46190</v>
          </cell>
          <cell r="S1888">
            <v>40</v>
          </cell>
          <cell r="T1888">
            <v>6</v>
          </cell>
          <cell r="U1888">
            <v>23</v>
          </cell>
          <cell r="V1888">
            <v>44</v>
          </cell>
          <cell r="W1888" t="str">
            <v>0.12D</v>
          </cell>
          <cell r="X1888" t="str">
            <v>6-2026</v>
          </cell>
          <cell r="Y1888" t="str">
            <v>Week 24</v>
          </cell>
          <cell r="Z1888">
            <v>46181</v>
          </cell>
          <cell r="AA1888">
            <v>57</v>
          </cell>
          <cell r="AB1888">
            <v>4.3479999999999998E-2</v>
          </cell>
        </row>
        <row r="1889">
          <cell r="A1889" t="str">
            <v>F-2026-05-126-3</v>
          </cell>
          <cell r="B1889"/>
          <cell r="C1889" t="str">
            <v>RPRO-260513-0953</v>
          </cell>
          <cell r="D1889" t="str">
            <v>Pro.sche.report 08.5+09.5</v>
          </cell>
          <cell r="E1889" t="str">
            <v>BDB-000209</v>
          </cell>
          <cell r="F1889" t="str">
            <v>PVN-003550</v>
          </cell>
          <cell r="G1889" t="str">
            <v>OrthoLite HybridPlus-Recycled MINT GREEN/11-4805TPX Hybrid Flat Sheet 0.12D 25+/-4 Asker C 1.1M 2M 6mm</v>
          </cell>
          <cell r="H1889">
            <v>369</v>
          </cell>
          <cell r="I1889">
            <v>369</v>
          </cell>
          <cell r="J1889">
            <v>0</v>
          </cell>
          <cell r="K1889">
            <v>369</v>
          </cell>
          <cell r="L1889" t="str">
            <v>ON RUNNING</v>
          </cell>
          <cell r="M1889" t="str">
            <v>Pr.Sch.R</v>
          </cell>
          <cell r="N1889" t="str">
            <v>MOLDED</v>
          </cell>
          <cell r="O1889">
            <v>1</v>
          </cell>
          <cell r="P1889">
            <v>46153</v>
          </cell>
          <cell r="Q1889">
            <v>46200</v>
          </cell>
          <cell r="R1889">
            <v>46197</v>
          </cell>
          <cell r="S1889">
            <v>47</v>
          </cell>
          <cell r="T1889">
            <v>6</v>
          </cell>
          <cell r="U1889">
            <v>23</v>
          </cell>
          <cell r="V1889">
            <v>17</v>
          </cell>
          <cell r="W1889" t="str">
            <v>0.12D</v>
          </cell>
          <cell r="X1889" t="str">
            <v>6-2026</v>
          </cell>
          <cell r="Y1889" t="str">
            <v>Week 24</v>
          </cell>
          <cell r="Z1889">
            <v>46181</v>
          </cell>
          <cell r="AA1889">
            <v>0</v>
          </cell>
          <cell r="AB1889">
            <v>4.3479999999999998E-2</v>
          </cell>
        </row>
        <row r="1890">
          <cell r="A1890" t="str">
            <v>F-2026-05-127</v>
          </cell>
          <cell r="B1890"/>
          <cell r="C1890" t="str">
            <v>RPRO-260511-0347</v>
          </cell>
          <cell r="D1890" t="str">
            <v>Pro.sche.report 08.5+09.5</v>
          </cell>
          <cell r="E1890" t="str">
            <v>BDB-000209</v>
          </cell>
          <cell r="F1890" t="str">
            <v>PVN-003462</v>
          </cell>
          <cell r="G1890" t="str">
            <v>OrthoLite HybridPlus-Recycled MINT GREEN/11-4805TPX Hybrid Flat Sheet 0.12D 25+/-4 Asker C 1.1M 2M 12mm</v>
          </cell>
          <cell r="H1890">
            <v>231</v>
          </cell>
          <cell r="I1890">
            <v>231</v>
          </cell>
          <cell r="J1890">
            <v>0</v>
          </cell>
          <cell r="K1890">
            <v>231</v>
          </cell>
          <cell r="L1890" t="str">
            <v>BROOKS</v>
          </cell>
          <cell r="M1890" t="str">
            <v>Pr.Sch.R</v>
          </cell>
          <cell r="N1890" t="str">
            <v>MOLDED</v>
          </cell>
          <cell r="O1890">
            <v>1</v>
          </cell>
          <cell r="P1890">
            <v>46153</v>
          </cell>
          <cell r="Q1890">
            <v>46177</v>
          </cell>
          <cell r="R1890">
            <v>46174</v>
          </cell>
          <cell r="S1890">
            <v>24</v>
          </cell>
          <cell r="T1890">
            <v>12</v>
          </cell>
          <cell r="U1890">
            <v>11</v>
          </cell>
          <cell r="V1890">
            <v>22</v>
          </cell>
          <cell r="W1890" t="str">
            <v>0.12D</v>
          </cell>
          <cell r="X1890" t="str">
            <v>6-2026</v>
          </cell>
          <cell r="Y1890" t="str">
            <v>Week 22</v>
          </cell>
          <cell r="Z1890">
            <v>46167</v>
          </cell>
          <cell r="AA1890">
            <v>57</v>
          </cell>
          <cell r="AB1890">
            <v>9.0910000000000005E-2</v>
          </cell>
        </row>
        <row r="1891">
          <cell r="A1891" t="str">
            <v>F-2026-05-128</v>
          </cell>
          <cell r="B1891"/>
          <cell r="C1891" t="str">
            <v>RPRO-260511-0348</v>
          </cell>
          <cell r="D1891" t="str">
            <v>Pro.sche.report 08.5+09.5</v>
          </cell>
          <cell r="E1891" t="str">
            <v>BDB-000321</v>
          </cell>
          <cell r="F1891" t="str">
            <v>PVN-004092</v>
          </cell>
          <cell r="G1891" t="str">
            <v>OrthoLite Float BLUE ATOLL/16-4535TPX Flat Sheet 0.12D 21+/-4 Asker C 1.1M 2M 14.5mm</v>
          </cell>
          <cell r="H1891">
            <v>45</v>
          </cell>
          <cell r="I1891">
            <v>45</v>
          </cell>
          <cell r="J1891">
            <v>0</v>
          </cell>
          <cell r="K1891">
            <v>45</v>
          </cell>
          <cell r="L1891" t="str">
            <v>LOWA</v>
          </cell>
          <cell r="M1891" t="str">
            <v>Pr.Sch.R</v>
          </cell>
          <cell r="N1891" t="str">
            <v>MOLDED</v>
          </cell>
          <cell r="O1891">
            <v>1</v>
          </cell>
          <cell r="P1891">
            <v>46153</v>
          </cell>
          <cell r="Q1891">
            <v>46164</v>
          </cell>
          <cell r="R1891">
            <v>46161</v>
          </cell>
          <cell r="S1891">
            <v>11</v>
          </cell>
          <cell r="T1891">
            <v>14.5</v>
          </cell>
          <cell r="U1891">
            <v>9</v>
          </cell>
          <cell r="V1891">
            <v>5</v>
          </cell>
          <cell r="W1891" t="e">
            <v>#N/A</v>
          </cell>
          <cell r="X1891" t="str">
            <v>5-2026</v>
          </cell>
          <cell r="Y1891" t="str">
            <v>Week 21</v>
          </cell>
          <cell r="Z1891">
            <v>46160</v>
          </cell>
          <cell r="AA1891">
            <v>0</v>
          </cell>
          <cell r="AB1891">
            <v>0.11111</v>
          </cell>
        </row>
        <row r="1892">
          <cell r="A1892" t="str">
            <v>F-2026-05-129</v>
          </cell>
          <cell r="B1892"/>
          <cell r="C1892" t="str">
            <v>RPRO-260511-0349</v>
          </cell>
          <cell r="D1892" t="str">
            <v>Pro.sche.report 08.5+09.5</v>
          </cell>
          <cell r="E1892" t="str">
            <v>BDB-000181</v>
          </cell>
          <cell r="F1892" t="str">
            <v>PVN-003238</v>
          </cell>
          <cell r="G1892" t="str">
            <v>OrthoLite Eco LT-Hybrid-Converse SEEDPEARL/12-0703TPX Hybrid Flat Sheet 0.11D 25+/-4 Asker C 1.1M 2M 5mm</v>
          </cell>
          <cell r="H1892">
            <v>112</v>
          </cell>
          <cell r="I1892">
            <v>112</v>
          </cell>
          <cell r="J1892">
            <v>0</v>
          </cell>
          <cell r="K1892">
            <v>112</v>
          </cell>
          <cell r="L1892" t="str">
            <v>CONVERSE</v>
          </cell>
          <cell r="M1892" t="str">
            <v>Pr.Sch.R</v>
          </cell>
          <cell r="N1892" t="str">
            <v>DIE CUT</v>
          </cell>
          <cell r="O1892">
            <v>1</v>
          </cell>
          <cell r="P1892">
            <v>46153</v>
          </cell>
          <cell r="Q1892">
            <v>46167</v>
          </cell>
          <cell r="R1892">
            <v>46164</v>
          </cell>
          <cell r="S1892">
            <v>14</v>
          </cell>
          <cell r="T1892">
            <v>5</v>
          </cell>
          <cell r="U1892">
            <v>28</v>
          </cell>
          <cell r="V1892">
            <v>4</v>
          </cell>
          <cell r="W1892" t="str">
            <v>0.11D</v>
          </cell>
          <cell r="X1892" t="str">
            <v>5-2026</v>
          </cell>
          <cell r="Y1892" t="str">
            <v>Week 21</v>
          </cell>
          <cell r="Z1892">
            <v>46160</v>
          </cell>
          <cell r="AA1892">
            <v>0</v>
          </cell>
          <cell r="AB1892">
            <v>3.5709999999999999E-2</v>
          </cell>
        </row>
        <row r="1893">
          <cell r="A1893" t="str">
            <v>F-2026-05-130</v>
          </cell>
          <cell r="B1893"/>
          <cell r="C1893" t="str">
            <v>RPRO-260511-0350</v>
          </cell>
          <cell r="D1893" t="str">
            <v>Pro.sche.report 08.5+09.5</v>
          </cell>
          <cell r="E1893" t="str">
            <v>BDB-000174</v>
          </cell>
          <cell r="F1893" t="str">
            <v>PVN-003503</v>
          </cell>
          <cell r="G1893" t="str">
            <v>OrthoLite Ultra-Hybrid-Nike SEEDPEARL/12-0703TPX Hybrid Flat Sheet 0.085D 15+/-4 Asker C 1.1M 2M 3mm</v>
          </cell>
          <cell r="H1893">
            <v>46</v>
          </cell>
          <cell r="I1893">
            <v>46</v>
          </cell>
          <cell r="J1893">
            <v>0</v>
          </cell>
          <cell r="K1893">
            <v>46</v>
          </cell>
          <cell r="L1893" t="str">
            <v>NIKE</v>
          </cell>
          <cell r="M1893" t="str">
            <v>Pr.Sch.R</v>
          </cell>
          <cell r="N1893" t="str">
            <v>DIE CUT</v>
          </cell>
          <cell r="O1893">
            <v>1</v>
          </cell>
          <cell r="P1893">
            <v>46153</v>
          </cell>
          <cell r="Q1893">
            <v>46168</v>
          </cell>
          <cell r="R1893">
            <v>46165</v>
          </cell>
          <cell r="S1893">
            <v>15</v>
          </cell>
          <cell r="T1893">
            <v>3</v>
          </cell>
          <cell r="U1893">
            <v>46</v>
          </cell>
          <cell r="V1893">
            <v>2</v>
          </cell>
          <cell r="W1893" t="str">
            <v>0.085D</v>
          </cell>
          <cell r="X1893" t="str">
            <v>5-2026</v>
          </cell>
          <cell r="Y1893" t="str">
            <v>Week 21</v>
          </cell>
          <cell r="Z1893">
            <v>46160</v>
          </cell>
          <cell r="AA1893">
            <v>78</v>
          </cell>
          <cell r="AB1893">
            <v>2.1739999999999999E-2</v>
          </cell>
        </row>
        <row r="1894">
          <cell r="A1894" t="str">
            <v>F-2026-05-131</v>
          </cell>
          <cell r="B1894"/>
          <cell r="C1894" t="str">
            <v>RPRO-260511-0351</v>
          </cell>
          <cell r="D1894" t="str">
            <v>Pro.sche.report 08.5+09.5</v>
          </cell>
          <cell r="E1894" t="str">
            <v>BDB-000174</v>
          </cell>
          <cell r="F1894" t="str">
            <v>PVN-003502</v>
          </cell>
          <cell r="G1894" t="str">
            <v>OrthoLite Ultra-Hybrid-Nike SEEDPEARL/12-0703TPX Hybrid Flat Sheet 0.085D 15+/-4 Asker C 1.1M 2M 2mm</v>
          </cell>
          <cell r="H1894">
            <v>70</v>
          </cell>
          <cell r="I1894">
            <v>70</v>
          </cell>
          <cell r="J1894">
            <v>0</v>
          </cell>
          <cell r="K1894">
            <v>70</v>
          </cell>
          <cell r="L1894" t="str">
            <v>NIKE</v>
          </cell>
          <cell r="M1894" t="str">
            <v>Pr.Sch.R</v>
          </cell>
          <cell r="N1894" t="str">
            <v>DIE CUT</v>
          </cell>
          <cell r="O1894">
            <v>1</v>
          </cell>
          <cell r="P1894">
            <v>46153</v>
          </cell>
          <cell r="Q1894">
            <v>46168</v>
          </cell>
          <cell r="R1894">
            <v>46165</v>
          </cell>
          <cell r="S1894">
            <v>15</v>
          </cell>
          <cell r="T1894">
            <v>2</v>
          </cell>
          <cell r="U1894">
            <v>70</v>
          </cell>
          <cell r="V1894">
            <v>2</v>
          </cell>
          <cell r="W1894" t="str">
            <v>0.085D</v>
          </cell>
          <cell r="X1894" t="str">
            <v>5-2026</v>
          </cell>
          <cell r="Y1894" t="str">
            <v>Week 21</v>
          </cell>
          <cell r="Z1894">
            <v>46160</v>
          </cell>
          <cell r="AA1894">
            <v>89</v>
          </cell>
          <cell r="AB1894">
            <v>1.4290000000000001E-2</v>
          </cell>
        </row>
        <row r="1895">
          <cell r="A1895" t="str">
            <v>F-2026-05-132</v>
          </cell>
          <cell r="B1895"/>
          <cell r="C1895" t="str">
            <v>RPRO-260511-0352</v>
          </cell>
          <cell r="D1895" t="str">
            <v>Pro.sche.report 08.5+09.5</v>
          </cell>
          <cell r="E1895" t="str">
            <v>BDB-000324</v>
          </cell>
          <cell r="F1895" t="str">
            <v>PVN-004110</v>
          </cell>
          <cell r="G1895" t="str">
            <v>OrthoLite X-40 TRUE BLUE/19-4057TPX Flat Sheet 0.16D 25+/-4 Asker C 1.1M 2M 14.5mm</v>
          </cell>
          <cell r="H1895">
            <v>72</v>
          </cell>
          <cell r="I1895">
            <v>72</v>
          </cell>
          <cell r="J1895">
            <v>0</v>
          </cell>
          <cell r="K1895">
            <v>72</v>
          </cell>
          <cell r="L1895" t="str">
            <v>LOWA</v>
          </cell>
          <cell r="M1895" t="str">
            <v>Pr.Sch.R</v>
          </cell>
          <cell r="N1895" t="str">
            <v>MOLDED</v>
          </cell>
          <cell r="O1895">
            <v>1</v>
          </cell>
          <cell r="P1895">
            <v>46153</v>
          </cell>
          <cell r="Q1895">
            <v>46168</v>
          </cell>
          <cell r="R1895">
            <v>46165</v>
          </cell>
          <cell r="S1895">
            <v>15</v>
          </cell>
          <cell r="T1895">
            <v>14.5</v>
          </cell>
          <cell r="U1895">
            <v>9</v>
          </cell>
          <cell r="V1895">
            <v>8</v>
          </cell>
          <cell r="W1895" t="e">
            <v>#N/A</v>
          </cell>
          <cell r="X1895" t="str">
            <v>5-2026</v>
          </cell>
          <cell r="Y1895" t="str">
            <v>Week 21</v>
          </cell>
          <cell r="Z1895">
            <v>46160</v>
          </cell>
          <cell r="AA1895">
            <v>136</v>
          </cell>
          <cell r="AB1895">
            <v>0.11111</v>
          </cell>
        </row>
        <row r="1896">
          <cell r="A1896" t="str">
            <v>F-2026-05-133</v>
          </cell>
          <cell r="B1896"/>
          <cell r="C1896" t="str">
            <v>RPRO-260512-0085</v>
          </cell>
          <cell r="D1896" t="str">
            <v>MPS 11.05</v>
          </cell>
          <cell r="E1896" t="str">
            <v>BDB-000010</v>
          </cell>
          <cell r="F1896" t="str">
            <v>PVN-000101</v>
          </cell>
          <cell r="G1896" t="str">
            <v>OrthoLite Regular AIR BLUE/16-4134TPX Flat Sheet 0.11D 25+/-4 Asker C 1.1M 2M 3mm</v>
          </cell>
          <cell r="H1896">
            <v>46</v>
          </cell>
          <cell r="I1896">
            <v>46</v>
          </cell>
          <cell r="J1896">
            <v>0</v>
          </cell>
          <cell r="K1896">
            <v>46</v>
          </cell>
          <cell r="L1896"/>
          <cell r="M1896" t="str">
            <v>MPS</v>
          </cell>
          <cell r="N1896" t="str">
            <v>SPLITTING</v>
          </cell>
          <cell r="O1896">
            <v>2</v>
          </cell>
          <cell r="P1896">
            <v>46154</v>
          </cell>
          <cell r="Q1896">
            <v>46162</v>
          </cell>
          <cell r="R1896">
            <v>46159</v>
          </cell>
          <cell r="S1896">
            <v>8</v>
          </cell>
          <cell r="T1896">
            <v>3</v>
          </cell>
          <cell r="U1896">
            <v>46</v>
          </cell>
          <cell r="V1896">
            <v>2</v>
          </cell>
          <cell r="W1896" t="str">
            <v>0.11D</v>
          </cell>
          <cell r="X1896" t="str">
            <v>5-2026</v>
          </cell>
          <cell r="Y1896" t="str">
            <v>Week 20</v>
          </cell>
          <cell r="Z1896">
            <v>46153</v>
          </cell>
          <cell r="AA1896">
            <v>339</v>
          </cell>
          <cell r="AB1896">
            <v>2.1739999999999999E-2</v>
          </cell>
        </row>
        <row r="1897">
          <cell r="A1897" t="str">
            <v>F-2026-05-134</v>
          </cell>
          <cell r="B1897"/>
          <cell r="C1897" t="str">
            <v>RPRO-260512-0086</v>
          </cell>
          <cell r="D1897" t="str">
            <v>MPS 11.05</v>
          </cell>
          <cell r="E1897" t="str">
            <v>BDB-000011</v>
          </cell>
          <cell r="F1897" t="str">
            <v>PVN-000126</v>
          </cell>
          <cell r="G1897" t="str">
            <v>OrthoLite Regular AIR BLUE/16-4134TPX Flat Sheet 0.13D 35+/-4 Asker C 1.1M 2M 4mm</v>
          </cell>
          <cell r="H1897">
            <v>35</v>
          </cell>
          <cell r="I1897">
            <v>35</v>
          </cell>
          <cell r="J1897">
            <v>0</v>
          </cell>
          <cell r="K1897">
            <v>35</v>
          </cell>
          <cell r="L1897"/>
          <cell r="M1897" t="str">
            <v>MPS</v>
          </cell>
          <cell r="N1897" t="str">
            <v>SPLITTING</v>
          </cell>
          <cell r="O1897" t="str">
            <v>2-SLT</v>
          </cell>
          <cell r="P1897">
            <v>46154</v>
          </cell>
          <cell r="Q1897">
            <v>46162</v>
          </cell>
          <cell r="R1897">
            <v>46159</v>
          </cell>
          <cell r="S1897">
            <v>8</v>
          </cell>
          <cell r="T1897">
            <v>4</v>
          </cell>
          <cell r="U1897">
            <v>35</v>
          </cell>
          <cell r="V1897">
            <v>1</v>
          </cell>
          <cell r="W1897" t="str">
            <v>0.13D</v>
          </cell>
          <cell r="X1897" t="str">
            <v>5-2026</v>
          </cell>
          <cell r="Y1897" t="str">
            <v>Week 20</v>
          </cell>
          <cell r="Z1897">
            <v>46153</v>
          </cell>
          <cell r="AA1897">
            <v>115</v>
          </cell>
          <cell r="AB1897">
            <v>2.8570000000000002E-2</v>
          </cell>
        </row>
        <row r="1898">
          <cell r="A1898" t="str">
            <v>F-2026-05-135-1</v>
          </cell>
          <cell r="B1898"/>
          <cell r="C1898" t="str">
            <v>RPRO-260512-0087</v>
          </cell>
          <cell r="D1898" t="str">
            <v>MPS 11.05</v>
          </cell>
          <cell r="E1898" t="str">
            <v>BDB-000011</v>
          </cell>
          <cell r="F1898" t="str">
            <v>PVN-000127</v>
          </cell>
          <cell r="G1898" t="str">
            <v>OrthoLite Regular AIR BLUE/16-4134TPX Flat Sheet 0.13D 35+/-4 Asker C 1.1M 2M 5mm</v>
          </cell>
          <cell r="H1898">
            <v>17</v>
          </cell>
          <cell r="I1898">
            <v>17</v>
          </cell>
          <cell r="J1898">
            <v>0</v>
          </cell>
          <cell r="K1898">
            <v>17</v>
          </cell>
          <cell r="L1898"/>
          <cell r="M1898" t="str">
            <v>MPS</v>
          </cell>
          <cell r="N1898" t="str">
            <v>SPLITTING</v>
          </cell>
          <cell r="O1898" t="str">
            <v>2-SLT</v>
          </cell>
          <cell r="P1898">
            <v>46154</v>
          </cell>
          <cell r="Q1898">
            <v>46162</v>
          </cell>
          <cell r="R1898">
            <v>46159</v>
          </cell>
          <cell r="S1898">
            <v>8</v>
          </cell>
          <cell r="T1898">
            <v>5</v>
          </cell>
          <cell r="U1898">
            <v>28</v>
          </cell>
          <cell r="V1898">
            <v>1</v>
          </cell>
          <cell r="W1898" t="str">
            <v>0.13D</v>
          </cell>
          <cell r="X1898" t="str">
            <v>5-2026</v>
          </cell>
          <cell r="Y1898" t="str">
            <v>Week 20</v>
          </cell>
          <cell r="Z1898">
            <v>46153</v>
          </cell>
          <cell r="AA1898">
            <v>15</v>
          </cell>
          <cell r="AB1898">
            <v>3.5709999999999999E-2</v>
          </cell>
        </row>
        <row r="1899">
          <cell r="A1899" t="str">
            <v>F-2026-05-135-2</v>
          </cell>
          <cell r="B1899"/>
          <cell r="C1899" t="str">
            <v>RPRO-260512-0584</v>
          </cell>
          <cell r="D1899" t="str">
            <v>MPS 11.05</v>
          </cell>
          <cell r="E1899" t="str">
            <v>BDB-000011</v>
          </cell>
          <cell r="F1899" t="str">
            <v>PVN-000127</v>
          </cell>
          <cell r="G1899" t="str">
            <v>OrthoLite Regular AIR BLUE/16-4134TPX Flat Sheet 0.13D 35+/-4 Asker C 1.1M 2M 5mm</v>
          </cell>
          <cell r="H1899">
            <v>39</v>
          </cell>
          <cell r="I1899">
            <v>39</v>
          </cell>
          <cell r="J1899">
            <v>0</v>
          </cell>
          <cell r="K1899">
            <v>39</v>
          </cell>
          <cell r="L1899"/>
          <cell r="M1899" t="str">
            <v>MPS</v>
          </cell>
          <cell r="N1899" t="str">
            <v>SPLITTING</v>
          </cell>
          <cell r="O1899">
            <v>2</v>
          </cell>
          <cell r="P1899">
            <v>46154</v>
          </cell>
          <cell r="Q1899">
            <v>46162</v>
          </cell>
          <cell r="R1899">
            <v>46159</v>
          </cell>
          <cell r="S1899">
            <v>8</v>
          </cell>
          <cell r="T1899">
            <v>5</v>
          </cell>
          <cell r="U1899">
            <v>28</v>
          </cell>
          <cell r="V1899">
            <v>2</v>
          </cell>
          <cell r="W1899" t="str">
            <v>0.13D</v>
          </cell>
          <cell r="X1899" t="str">
            <v>5-2026</v>
          </cell>
          <cell r="Y1899" t="str">
            <v>Week 20</v>
          </cell>
          <cell r="Z1899">
            <v>46153</v>
          </cell>
          <cell r="AA1899">
            <v>70</v>
          </cell>
          <cell r="AB1899">
            <v>3.5709999999999999E-2</v>
          </cell>
        </row>
        <row r="1900">
          <cell r="A1900" t="str">
            <v>F-2026-05-136-1</v>
          </cell>
          <cell r="B1900"/>
          <cell r="C1900" t="str">
            <v>RPRO-260512-0088</v>
          </cell>
          <cell r="D1900" t="str">
            <v>MPS 11.05</v>
          </cell>
          <cell r="E1900" t="str">
            <v>BDB-000057</v>
          </cell>
          <cell r="F1900" t="str">
            <v>PVN-000925</v>
          </cell>
          <cell r="G1900" t="str">
            <v>OrthoLite Ultra YELLOW/13-0858TPX Flat Sheet 0.085D 25+/-4 Asker C 1.1M 2M 5mm</v>
          </cell>
          <cell r="H1900">
            <v>24</v>
          </cell>
          <cell r="I1900">
            <v>24</v>
          </cell>
          <cell r="J1900">
            <v>0</v>
          </cell>
          <cell r="K1900">
            <v>24</v>
          </cell>
          <cell r="L1900"/>
          <cell r="M1900" t="str">
            <v>MPS</v>
          </cell>
          <cell r="N1900" t="str">
            <v>SPLITTING</v>
          </cell>
          <cell r="O1900" t="str">
            <v>2-SLT</v>
          </cell>
          <cell r="P1900">
            <v>46154</v>
          </cell>
          <cell r="Q1900">
            <v>46164</v>
          </cell>
          <cell r="R1900">
            <v>46161</v>
          </cell>
          <cell r="S1900">
            <v>10</v>
          </cell>
          <cell r="T1900">
            <v>5</v>
          </cell>
          <cell r="U1900">
            <v>28</v>
          </cell>
          <cell r="V1900">
            <v>1</v>
          </cell>
          <cell r="W1900" t="str">
            <v>0.085D</v>
          </cell>
          <cell r="X1900" t="str">
            <v>5-2026</v>
          </cell>
          <cell r="Y1900" t="str">
            <v>Week 21</v>
          </cell>
          <cell r="Z1900">
            <v>46160</v>
          </cell>
          <cell r="AA1900">
            <v>70</v>
          </cell>
          <cell r="AB1900">
            <v>3.5709999999999999E-2</v>
          </cell>
        </row>
        <row r="1901">
          <cell r="A1901" t="str">
            <v>F-2026-05-136-2</v>
          </cell>
          <cell r="B1901"/>
          <cell r="C1901" t="str">
            <v>RPRO-260513-0784</v>
          </cell>
          <cell r="D1901" t="str">
            <v>MPS 11.05</v>
          </cell>
          <cell r="E1901" t="str">
            <v>BDB-000057</v>
          </cell>
          <cell r="F1901" t="str">
            <v>PVN-000925</v>
          </cell>
          <cell r="G1901" t="str">
            <v>OrthoLite Ultra YELLOW/13-0858TPX Flat Sheet 0.085D 25+/-4 Asker C 1.1M 2M 5mm</v>
          </cell>
          <cell r="H1901">
            <v>284</v>
          </cell>
          <cell r="I1901">
            <v>284</v>
          </cell>
          <cell r="J1901">
            <v>0</v>
          </cell>
          <cell r="K1901">
            <v>284</v>
          </cell>
          <cell r="L1901"/>
          <cell r="M1901" t="str">
            <v>MPS</v>
          </cell>
          <cell r="N1901" t="str">
            <v>SPLITTING</v>
          </cell>
          <cell r="O1901">
            <v>2</v>
          </cell>
          <cell r="P1901">
            <v>46154</v>
          </cell>
          <cell r="Q1901">
            <v>46169</v>
          </cell>
          <cell r="R1901">
            <v>46166</v>
          </cell>
          <cell r="S1901">
            <v>15</v>
          </cell>
          <cell r="T1901">
            <v>5</v>
          </cell>
          <cell r="U1901">
            <v>28</v>
          </cell>
          <cell r="V1901">
            <v>11</v>
          </cell>
          <cell r="W1901" t="str">
            <v>0.085D</v>
          </cell>
          <cell r="X1901" t="str">
            <v>5-2026</v>
          </cell>
          <cell r="Y1901" t="str">
            <v>Week 21</v>
          </cell>
          <cell r="Z1901">
            <v>46160</v>
          </cell>
          <cell r="AA1901">
            <v>20</v>
          </cell>
          <cell r="AB1901">
            <v>3.5709999999999999E-2</v>
          </cell>
        </row>
        <row r="1902">
          <cell r="A1902" t="str">
            <v>F-2026-05-137</v>
          </cell>
          <cell r="B1902"/>
          <cell r="C1902" t="str">
            <v>RPRO-260512-0089</v>
          </cell>
          <cell r="D1902" t="str">
            <v>MPS 11.05</v>
          </cell>
          <cell r="E1902" t="str">
            <v>BDB-000058</v>
          </cell>
          <cell r="F1902" t="str">
            <v>PVN-001277</v>
          </cell>
          <cell r="G1902" t="str">
            <v>OrthoLite Ultra GREEN/16-5932TPX Flat Sheet 0.085D 25+/-4 Asker C 1.1M 2M 4mm</v>
          </cell>
          <cell r="H1902">
            <v>490</v>
          </cell>
          <cell r="I1902">
            <v>490</v>
          </cell>
          <cell r="J1902">
            <v>0</v>
          </cell>
          <cell r="K1902">
            <v>490</v>
          </cell>
          <cell r="L1902"/>
          <cell r="M1902" t="str">
            <v>MPS</v>
          </cell>
          <cell r="N1902" t="str">
            <v>SPLITTING</v>
          </cell>
          <cell r="O1902">
            <v>2</v>
          </cell>
          <cell r="P1902">
            <v>46154</v>
          </cell>
          <cell r="Q1902">
            <v>46169</v>
          </cell>
          <cell r="R1902">
            <v>46166</v>
          </cell>
          <cell r="S1902">
            <v>15</v>
          </cell>
          <cell r="T1902">
            <v>4</v>
          </cell>
          <cell r="U1902">
            <v>35</v>
          </cell>
          <cell r="V1902">
            <v>14</v>
          </cell>
          <cell r="W1902" t="str">
            <v>0.085D</v>
          </cell>
          <cell r="X1902" t="str">
            <v>5-2026</v>
          </cell>
          <cell r="Y1902" t="str">
            <v>Week 21</v>
          </cell>
          <cell r="Z1902">
            <v>46160</v>
          </cell>
          <cell r="AA1902">
            <v>20</v>
          </cell>
          <cell r="AB1902">
            <v>2.8570000000000002E-2</v>
          </cell>
        </row>
        <row r="1903">
          <cell r="A1903" t="str">
            <v>F-2026-05-138</v>
          </cell>
          <cell r="B1903"/>
          <cell r="C1903" t="str">
            <v>RPRO-260512-0090</v>
          </cell>
          <cell r="D1903" t="str">
            <v>MPS 11.05</v>
          </cell>
          <cell r="E1903" t="str">
            <v>BDB-000056</v>
          </cell>
          <cell r="F1903" t="str">
            <v>PVN-001983</v>
          </cell>
          <cell r="G1903" t="str">
            <v>OrthoLite X-40 SEEDPEARL/12-0703TPX Flat Sheet 0.16D 25+/-4 Asker C 1.1M 1.7M 5mm</v>
          </cell>
          <cell r="H1903">
            <v>28</v>
          </cell>
          <cell r="I1903">
            <v>28</v>
          </cell>
          <cell r="J1903">
            <v>0</v>
          </cell>
          <cell r="K1903">
            <v>28</v>
          </cell>
          <cell r="L1903"/>
          <cell r="M1903" t="str">
            <v>MPS</v>
          </cell>
          <cell r="N1903" t="str">
            <v>SPLITTING</v>
          </cell>
          <cell r="O1903">
            <v>2</v>
          </cell>
          <cell r="P1903">
            <v>46154</v>
          </cell>
          <cell r="Q1903">
            <v>46162</v>
          </cell>
          <cell r="R1903">
            <v>46159</v>
          </cell>
          <cell r="S1903">
            <v>8</v>
          </cell>
          <cell r="T1903">
            <v>5</v>
          </cell>
          <cell r="U1903">
            <v>28</v>
          </cell>
          <cell r="V1903">
            <v>1</v>
          </cell>
          <cell r="W1903" t="str">
            <v>0.16D</v>
          </cell>
          <cell r="X1903" t="str">
            <v>5-2026</v>
          </cell>
          <cell r="Y1903" t="str">
            <v>Week 20</v>
          </cell>
          <cell r="Z1903">
            <v>46153</v>
          </cell>
          <cell r="AA1903">
            <v>100</v>
          </cell>
          <cell r="AB1903">
            <v>3.5709999999999999E-2</v>
          </cell>
        </row>
        <row r="1904">
          <cell r="A1904" t="str">
            <v>F-2026-05-139</v>
          </cell>
          <cell r="B1904"/>
          <cell r="C1904" t="str">
            <v>RPRO-260512-0091</v>
          </cell>
          <cell r="D1904" t="str">
            <v>MPS 11.05</v>
          </cell>
          <cell r="E1904" t="str">
            <v>BDB-000123</v>
          </cell>
          <cell r="F1904" t="str">
            <v>PVN-003300</v>
          </cell>
          <cell r="G1904" t="str">
            <v>OrthoLite Ultra-Hybrid SEEDPEARL/12-0703TPX Hybrid Flat Sheet 0.085D 25+/-4 Asker C 1.1M 2M 2mm</v>
          </cell>
          <cell r="H1904">
            <v>490</v>
          </cell>
          <cell r="I1904">
            <v>490</v>
          </cell>
          <cell r="J1904">
            <v>0</v>
          </cell>
          <cell r="K1904">
            <v>490</v>
          </cell>
          <cell r="L1904"/>
          <cell r="M1904" t="str">
            <v>MPS</v>
          </cell>
          <cell r="N1904" t="str">
            <v>SPLITTING</v>
          </cell>
          <cell r="O1904">
            <v>2</v>
          </cell>
          <cell r="P1904">
            <v>46154</v>
          </cell>
          <cell r="Q1904">
            <v>46164</v>
          </cell>
          <cell r="R1904">
            <v>46161</v>
          </cell>
          <cell r="S1904">
            <v>10</v>
          </cell>
          <cell r="T1904">
            <v>2</v>
          </cell>
          <cell r="U1904">
            <v>70</v>
          </cell>
          <cell r="V1904">
            <v>8</v>
          </cell>
          <cell r="W1904" t="str">
            <v>0.085D</v>
          </cell>
          <cell r="X1904" t="str">
            <v>5-2026</v>
          </cell>
          <cell r="Y1904" t="str">
            <v>Week 21</v>
          </cell>
          <cell r="Z1904">
            <v>46160</v>
          </cell>
          <cell r="AA1904">
            <v>168</v>
          </cell>
          <cell r="AB1904">
            <v>1.4290000000000001E-2</v>
          </cell>
        </row>
        <row r="1905">
          <cell r="A1905" t="str">
            <v>F-2026-05-140</v>
          </cell>
          <cell r="B1905"/>
          <cell r="C1905" t="str">
            <v>RPRO-260512-0092</v>
          </cell>
          <cell r="D1905" t="str">
            <v>MPS 11.05</v>
          </cell>
          <cell r="E1905" t="str">
            <v>BDB-000200</v>
          </cell>
          <cell r="F1905" t="str">
            <v>PVN-003425</v>
          </cell>
          <cell r="G1905" t="str">
            <v>OrthoLite Ultra SEEDPEARL/12-0703TPX Flat Sheet 0.085D 78-90 Asker F 1.1M 2M 4mm</v>
          </cell>
          <cell r="H1905">
            <v>35</v>
          </cell>
          <cell r="I1905">
            <v>35</v>
          </cell>
          <cell r="J1905">
            <v>0</v>
          </cell>
          <cell r="K1905">
            <v>35</v>
          </cell>
          <cell r="L1905"/>
          <cell r="M1905" t="str">
            <v>MPS</v>
          </cell>
          <cell r="N1905" t="str">
            <v>SPLITTING</v>
          </cell>
          <cell r="O1905">
            <v>2</v>
          </cell>
          <cell r="P1905">
            <v>46154</v>
          </cell>
          <cell r="Q1905">
            <v>46162</v>
          </cell>
          <cell r="R1905">
            <v>46159</v>
          </cell>
          <cell r="S1905">
            <v>8</v>
          </cell>
          <cell r="T1905">
            <v>4</v>
          </cell>
          <cell r="U1905">
            <v>35</v>
          </cell>
          <cell r="V1905">
            <v>1</v>
          </cell>
          <cell r="W1905" t="str">
            <v>0.085D</v>
          </cell>
          <cell r="X1905" t="str">
            <v>5-2026</v>
          </cell>
          <cell r="Y1905" t="str">
            <v>Week 20</v>
          </cell>
          <cell r="Z1905">
            <v>46153</v>
          </cell>
          <cell r="AA1905">
            <v>151</v>
          </cell>
          <cell r="AB1905">
            <v>2.8570000000000002E-2</v>
          </cell>
        </row>
        <row r="1906">
          <cell r="A1906" t="str">
            <v>F-2026-05-141</v>
          </cell>
          <cell r="B1906"/>
          <cell r="C1906" t="str">
            <v>RPRO-260512-0093</v>
          </cell>
          <cell r="D1906" t="str">
            <v>MPS 11.05</v>
          </cell>
          <cell r="E1906" t="str">
            <v>BDB-000051</v>
          </cell>
          <cell r="F1906" t="str">
            <v>PVN-003543</v>
          </cell>
          <cell r="G1906" t="str">
            <v>OrthoLite X-40 TRUE BLUE/19-4057TPX Flat Sheet 0.16D 25+/-4 Asker C 1.1M 1.7M 4mm</v>
          </cell>
          <cell r="H1906">
            <v>35</v>
          </cell>
          <cell r="I1906">
            <v>35</v>
          </cell>
          <cell r="J1906">
            <v>0</v>
          </cell>
          <cell r="K1906">
            <v>35</v>
          </cell>
          <cell r="L1906"/>
          <cell r="M1906" t="str">
            <v>MPS</v>
          </cell>
          <cell r="N1906" t="str">
            <v>SPLITTING</v>
          </cell>
          <cell r="O1906">
            <v>2</v>
          </cell>
          <cell r="P1906">
            <v>46154</v>
          </cell>
          <cell r="Q1906">
            <v>46169</v>
          </cell>
          <cell r="R1906">
            <v>46166</v>
          </cell>
          <cell r="S1906">
            <v>15</v>
          </cell>
          <cell r="T1906">
            <v>4</v>
          </cell>
          <cell r="U1906">
            <v>35</v>
          </cell>
          <cell r="V1906">
            <v>1</v>
          </cell>
          <cell r="W1906" t="str">
            <v>0.16D</v>
          </cell>
          <cell r="X1906" t="str">
            <v>5-2026</v>
          </cell>
          <cell r="Y1906" t="str">
            <v>Week 21</v>
          </cell>
          <cell r="Z1906">
            <v>46160</v>
          </cell>
          <cell r="AA1906">
            <v>18</v>
          </cell>
          <cell r="AB1906">
            <v>2.8570000000000002E-2</v>
          </cell>
        </row>
        <row r="1907">
          <cell r="A1907" t="str">
            <v>F-2026-05-142</v>
          </cell>
          <cell r="B1907"/>
          <cell r="C1907" t="str">
            <v>RPRO-260512-0094</v>
          </cell>
          <cell r="D1907" t="str">
            <v>MPS 11.05</v>
          </cell>
          <cell r="E1907" t="str">
            <v>BDB-000353</v>
          </cell>
          <cell r="F1907" t="str">
            <v>PVN-004249</v>
          </cell>
          <cell r="G1907" t="str">
            <v>OrthoLite Regular SEEDPEARL/12-0703TPX Flat Sheet 0.13D 35+/-4 Asker C 1.1M 1.47M 15mm</v>
          </cell>
          <cell r="H1907">
            <v>8</v>
          </cell>
          <cell r="I1907">
            <v>8</v>
          </cell>
          <cell r="J1907">
            <v>0</v>
          </cell>
          <cell r="K1907">
            <v>8</v>
          </cell>
          <cell r="L1907"/>
          <cell r="M1907" t="str">
            <v>MPS</v>
          </cell>
          <cell r="N1907" t="str">
            <v>SPLITTING</v>
          </cell>
          <cell r="O1907">
            <v>2</v>
          </cell>
          <cell r="P1907">
            <v>46154</v>
          </cell>
          <cell r="Q1907">
            <v>46169</v>
          </cell>
          <cell r="R1907">
            <v>46166</v>
          </cell>
          <cell r="S1907">
            <v>15</v>
          </cell>
          <cell r="T1907">
            <v>15</v>
          </cell>
          <cell r="U1907">
            <v>8</v>
          </cell>
          <cell r="V1907">
            <v>1</v>
          </cell>
          <cell r="W1907" t="e">
            <v>#N/A</v>
          </cell>
          <cell r="X1907" t="str">
            <v>5-2026</v>
          </cell>
          <cell r="Y1907" t="str">
            <v>Week 21</v>
          </cell>
          <cell r="Z1907">
            <v>46160</v>
          </cell>
          <cell r="AA1907">
            <v>18</v>
          </cell>
          <cell r="AB1907">
            <v>0.11111</v>
          </cell>
        </row>
        <row r="1908">
          <cell r="A1908" t="str">
            <v>F-2026-05-143</v>
          </cell>
          <cell r="B1908"/>
          <cell r="C1908" t="str">
            <v>RPRO-260512-0095</v>
          </cell>
          <cell r="D1908" t="str">
            <v>Pro.sche.report 11.05</v>
          </cell>
          <cell r="E1908" t="str">
            <v>BDB-000129</v>
          </cell>
          <cell r="F1908" t="str">
            <v>PVN-001550</v>
          </cell>
          <cell r="G1908" t="str">
            <v>OrthoLite Regular-Nike AIR BLUE/16-4134TPX Flat Sheet 0.11D 25+/-4 Asker C 1.1M 1.7M 2mm</v>
          </cell>
          <cell r="H1908">
            <v>140</v>
          </cell>
          <cell r="I1908">
            <v>140</v>
          </cell>
          <cell r="J1908">
            <v>0</v>
          </cell>
          <cell r="K1908">
            <v>140</v>
          </cell>
          <cell r="L1908" t="str">
            <v>NIKE</v>
          </cell>
          <cell r="M1908" t="str">
            <v>Pr.Sch.R</v>
          </cell>
          <cell r="N1908" t="str">
            <v>LAMINATING</v>
          </cell>
          <cell r="O1908">
            <v>1</v>
          </cell>
          <cell r="P1908">
            <v>46154</v>
          </cell>
          <cell r="Q1908">
            <v>46169</v>
          </cell>
          <cell r="R1908">
            <v>46166</v>
          </cell>
          <cell r="S1908">
            <v>15</v>
          </cell>
          <cell r="T1908">
            <v>2</v>
          </cell>
          <cell r="U1908">
            <v>70</v>
          </cell>
          <cell r="V1908">
            <v>3</v>
          </cell>
          <cell r="W1908" t="str">
            <v>0.11D</v>
          </cell>
          <cell r="X1908" t="str">
            <v>5-2026</v>
          </cell>
          <cell r="Y1908" t="str">
            <v>Week 21</v>
          </cell>
          <cell r="Z1908">
            <v>46160</v>
          </cell>
          <cell r="AA1908">
            <v>18</v>
          </cell>
          <cell r="AB1908">
            <v>1.4290000000000001E-2</v>
          </cell>
        </row>
        <row r="1909">
          <cell r="A1909" t="str">
            <v>F-2026-05-144</v>
          </cell>
          <cell r="B1909"/>
          <cell r="C1909" t="str">
            <v>RPRO-260512-0096</v>
          </cell>
          <cell r="D1909" t="str">
            <v>Pro.sche.report 11.05</v>
          </cell>
          <cell r="E1909" t="str">
            <v>BDB-000011</v>
          </cell>
          <cell r="F1909" t="str">
            <v>PVN-000121</v>
          </cell>
          <cell r="G1909" t="str">
            <v>OrthoLite Regular AIR BLUE/16-4134TPX Flat Sheet 0.13D 35+/-4 Asker C 1.1M 2M 12mm (02*SLT)</v>
          </cell>
          <cell r="H1909">
            <v>2</v>
          </cell>
          <cell r="I1909">
            <v>2</v>
          </cell>
          <cell r="J1909">
            <v>0</v>
          </cell>
          <cell r="K1909">
            <v>2</v>
          </cell>
          <cell r="L1909" t="str">
            <v>ASICS</v>
          </cell>
          <cell r="M1909" t="str">
            <v>Pr.Sch.R</v>
          </cell>
          <cell r="N1909" t="str">
            <v>MOLDED</v>
          </cell>
          <cell r="O1909" t="str">
            <v>1-SLT</v>
          </cell>
          <cell r="P1909">
            <v>46154</v>
          </cell>
          <cell r="Q1909">
            <v>46167</v>
          </cell>
          <cell r="R1909">
            <v>46164</v>
          </cell>
          <cell r="S1909">
            <v>13</v>
          </cell>
          <cell r="T1909">
            <v>12</v>
          </cell>
          <cell r="U1909">
            <v>11.5</v>
          </cell>
          <cell r="V1909">
            <v>1</v>
          </cell>
          <cell r="W1909" t="str">
            <v>0.13D</v>
          </cell>
          <cell r="X1909" t="str">
            <v>5-2026</v>
          </cell>
          <cell r="Y1909" t="str">
            <v>Week 21</v>
          </cell>
          <cell r="Z1909">
            <v>46160</v>
          </cell>
          <cell r="AA1909">
            <v>18</v>
          </cell>
          <cell r="AB1909">
            <v>8.6959999999999996E-2</v>
          </cell>
        </row>
        <row r="1910">
          <cell r="A1910" t="str">
            <v>F-2026-05-145</v>
          </cell>
          <cell r="B1910"/>
          <cell r="C1910" t="str">
            <v>RPRO-260512-0097</v>
          </cell>
          <cell r="D1910" t="str">
            <v>Pro.sche.report 11.05</v>
          </cell>
          <cell r="E1910" t="str">
            <v>BDB-000011</v>
          </cell>
          <cell r="F1910" t="str">
            <v>PVN-000121</v>
          </cell>
          <cell r="G1910" t="str">
            <v>OrthoLite Regular AIR BLUE/16-4134TPX Flat Sheet 0.13D 35+/-4 Asker C 1.1M 2M 12mm</v>
          </cell>
          <cell r="H1910">
            <v>31</v>
          </cell>
          <cell r="I1910">
            <v>31</v>
          </cell>
          <cell r="J1910">
            <v>0</v>
          </cell>
          <cell r="K1910">
            <v>31</v>
          </cell>
          <cell r="L1910" t="str">
            <v>ASICS</v>
          </cell>
          <cell r="M1910" t="str">
            <v>Pr.Sch.R</v>
          </cell>
          <cell r="N1910" t="str">
            <v>MOLDED</v>
          </cell>
          <cell r="O1910">
            <v>1</v>
          </cell>
          <cell r="P1910">
            <v>46154</v>
          </cell>
          <cell r="Q1910">
            <v>46169</v>
          </cell>
          <cell r="R1910">
            <v>46166</v>
          </cell>
          <cell r="S1910">
            <v>15</v>
          </cell>
          <cell r="T1910">
            <v>12</v>
          </cell>
          <cell r="U1910">
            <v>11.5</v>
          </cell>
          <cell r="V1910">
            <v>3</v>
          </cell>
          <cell r="W1910" t="str">
            <v>0.13D</v>
          </cell>
          <cell r="X1910" t="str">
            <v>5-2026</v>
          </cell>
          <cell r="Y1910" t="str">
            <v>Week 21</v>
          </cell>
          <cell r="Z1910">
            <v>46160</v>
          </cell>
          <cell r="AA1910">
            <v>0</v>
          </cell>
          <cell r="AB1910">
            <v>8.6959999999999996E-2</v>
          </cell>
        </row>
        <row r="1911">
          <cell r="A1911" t="str">
            <v>F-2026-05-146</v>
          </cell>
          <cell r="B1911"/>
          <cell r="C1911" t="str">
            <v>RPRO-260512-0098</v>
          </cell>
          <cell r="D1911" t="str">
            <v>Pro.sche.report 11.05</v>
          </cell>
          <cell r="E1911" t="str">
            <v>BDB-000051</v>
          </cell>
          <cell r="F1911" t="str">
            <v>PVN-003319</v>
          </cell>
          <cell r="G1911" t="str">
            <v>OrthoLite X-40 TRUE BLUE/19-4057TPX Flat Sheet 0.16D 25+/-4 Asker C 1.1M 1.7M 12mm (82*slt)</v>
          </cell>
          <cell r="H1911">
            <v>82</v>
          </cell>
          <cell r="I1911">
            <v>82</v>
          </cell>
          <cell r="J1911">
            <v>0</v>
          </cell>
          <cell r="K1911">
            <v>82</v>
          </cell>
          <cell r="L1911" t="str">
            <v>ASICS</v>
          </cell>
          <cell r="M1911" t="str">
            <v>Pr.Sch.R</v>
          </cell>
          <cell r="N1911" t="str">
            <v>MOLDED</v>
          </cell>
          <cell r="O1911" t="str">
            <v>1-SLT</v>
          </cell>
          <cell r="P1911">
            <v>46154</v>
          </cell>
          <cell r="Q1911">
            <v>46167</v>
          </cell>
          <cell r="R1911">
            <v>46164</v>
          </cell>
          <cell r="S1911">
            <v>13</v>
          </cell>
          <cell r="T1911">
            <v>12</v>
          </cell>
          <cell r="U1911">
            <v>11.5</v>
          </cell>
          <cell r="V1911">
            <v>8</v>
          </cell>
          <cell r="W1911" t="str">
            <v>0.16D</v>
          </cell>
          <cell r="X1911" t="str">
            <v>5-2026</v>
          </cell>
          <cell r="Y1911" t="str">
            <v>Week 21</v>
          </cell>
          <cell r="Z1911">
            <v>46160</v>
          </cell>
          <cell r="AA1911">
            <v>27</v>
          </cell>
          <cell r="AB1911">
            <v>8.6959999999999996E-2</v>
          </cell>
        </row>
        <row r="1912">
          <cell r="A1912" t="str">
            <v>F-2026-05-147</v>
          </cell>
          <cell r="B1912"/>
          <cell r="C1912" t="str">
            <v>RPRO-260512-0099</v>
          </cell>
          <cell r="D1912" t="str">
            <v>Pro.sche.report 11.05</v>
          </cell>
          <cell r="E1912" t="str">
            <v>BDB-000051</v>
          </cell>
          <cell r="F1912" t="str">
            <v>PVN-003319</v>
          </cell>
          <cell r="G1912" t="str">
            <v>OrthoLite X-40 TRUE BLUE/19-4057TPX Flat Sheet 0.16D 25+/-4 Asker C 1.1M 1.7M 12mm</v>
          </cell>
          <cell r="H1912">
            <v>270</v>
          </cell>
          <cell r="I1912">
            <v>270</v>
          </cell>
          <cell r="J1912">
            <v>0</v>
          </cell>
          <cell r="K1912">
            <v>270</v>
          </cell>
          <cell r="L1912" t="str">
            <v>ASICS</v>
          </cell>
          <cell r="M1912" t="str">
            <v>Pr.Sch.R</v>
          </cell>
          <cell r="N1912" t="str">
            <v>MOLDED</v>
          </cell>
          <cell r="O1912">
            <v>1</v>
          </cell>
          <cell r="P1912">
            <v>46154</v>
          </cell>
          <cell r="Q1912">
            <v>46169</v>
          </cell>
          <cell r="R1912">
            <v>46166</v>
          </cell>
          <cell r="S1912">
            <v>15</v>
          </cell>
          <cell r="T1912">
            <v>12</v>
          </cell>
          <cell r="U1912">
            <v>11.5</v>
          </cell>
          <cell r="V1912">
            <v>24</v>
          </cell>
          <cell r="W1912" t="str">
            <v>0.16D</v>
          </cell>
          <cell r="X1912" t="str">
            <v>5-2026</v>
          </cell>
          <cell r="Y1912" t="str">
            <v>Week 21</v>
          </cell>
          <cell r="Z1912">
            <v>46160</v>
          </cell>
          <cell r="AA1912">
            <v>0</v>
          </cell>
          <cell r="AB1912">
            <v>8.6959999999999996E-2</v>
          </cell>
        </row>
        <row r="1913">
          <cell r="A1913" t="str">
            <v>F-2026-05-148</v>
          </cell>
          <cell r="B1913"/>
          <cell r="C1913" t="str">
            <v>RPRO-260512-0100</v>
          </cell>
          <cell r="D1913" t="str">
            <v>Pro.sche.report 11.05</v>
          </cell>
          <cell r="E1913" t="str">
            <v>BDB-000052</v>
          </cell>
          <cell r="F1913" t="str">
            <v>PVN-003603</v>
          </cell>
          <cell r="G1913" t="str">
            <v>OrthoLite X-40 TRUE BLUE/19-4057TPX Flat Sheet 0.16D 25+/-4 Asker C 1.1M 1.47M 12mm (393*slt)</v>
          </cell>
          <cell r="H1913">
            <v>393</v>
          </cell>
          <cell r="I1913">
            <v>393</v>
          </cell>
          <cell r="J1913">
            <v>0</v>
          </cell>
          <cell r="K1913">
            <v>393</v>
          </cell>
          <cell r="L1913" t="str">
            <v>ASICS</v>
          </cell>
          <cell r="M1913" t="str">
            <v>Pr.Sch.R</v>
          </cell>
          <cell r="N1913" t="str">
            <v>MOLDED</v>
          </cell>
          <cell r="O1913" t="str">
            <v>1-SLT</v>
          </cell>
          <cell r="P1913">
            <v>46154</v>
          </cell>
          <cell r="Q1913">
            <v>46167</v>
          </cell>
          <cell r="R1913">
            <v>46164</v>
          </cell>
          <cell r="S1913">
            <v>13</v>
          </cell>
          <cell r="T1913">
            <v>12</v>
          </cell>
          <cell r="U1913">
            <v>11.5</v>
          </cell>
          <cell r="V1913">
            <v>35</v>
          </cell>
          <cell r="W1913" t="str">
            <v>0.16D</v>
          </cell>
          <cell r="X1913" t="str">
            <v>5-2026</v>
          </cell>
          <cell r="Y1913" t="str">
            <v>Week 21</v>
          </cell>
          <cell r="Z1913">
            <v>46160</v>
          </cell>
          <cell r="AA1913">
            <v>8</v>
          </cell>
          <cell r="AB1913">
            <v>8.6959999999999996E-2</v>
          </cell>
        </row>
        <row r="1914">
          <cell r="A1914" t="str">
            <v>F-2026-05-149</v>
          </cell>
          <cell r="B1914"/>
          <cell r="C1914" t="str">
            <v>RPRO-260512-0101</v>
          </cell>
          <cell r="D1914" t="str">
            <v>Pro.sche.report 11.05</v>
          </cell>
          <cell r="E1914" t="str">
            <v>BDB-000052</v>
          </cell>
          <cell r="F1914" t="str">
            <v>PVN-003603</v>
          </cell>
          <cell r="G1914" t="str">
            <v>OrthoLite X-40 TRUE BLUE/19-4057TPX Flat Sheet 0.16D 25+/-4 Asker C 1.1M 1.47M 12mm</v>
          </cell>
          <cell r="H1914">
            <v>58</v>
          </cell>
          <cell r="I1914">
            <v>58</v>
          </cell>
          <cell r="J1914">
            <v>0</v>
          </cell>
          <cell r="K1914">
            <v>58</v>
          </cell>
          <cell r="L1914" t="str">
            <v>ASICS</v>
          </cell>
          <cell r="M1914" t="str">
            <v>Pr.Sch.R</v>
          </cell>
          <cell r="N1914" t="str">
            <v>MOLDED</v>
          </cell>
          <cell r="O1914">
            <v>1</v>
          </cell>
          <cell r="P1914">
            <v>46154</v>
          </cell>
          <cell r="Q1914">
            <v>46169</v>
          </cell>
          <cell r="R1914">
            <v>46166</v>
          </cell>
          <cell r="S1914">
            <v>15</v>
          </cell>
          <cell r="T1914">
            <v>12</v>
          </cell>
          <cell r="U1914">
            <v>11.5</v>
          </cell>
          <cell r="V1914">
            <v>6</v>
          </cell>
          <cell r="W1914" t="str">
            <v>0.16D</v>
          </cell>
          <cell r="X1914" t="str">
            <v>5-2026</v>
          </cell>
          <cell r="Y1914" t="str">
            <v>Week 21</v>
          </cell>
          <cell r="Z1914">
            <v>46160</v>
          </cell>
          <cell r="AA1914">
            <v>114</v>
          </cell>
          <cell r="AB1914">
            <v>8.6959999999999996E-2</v>
          </cell>
        </row>
        <row r="1915">
          <cell r="A1915" t="str">
            <v>F-2026-05-150</v>
          </cell>
          <cell r="B1915"/>
          <cell r="C1915" t="str">
            <v>RPRO-260512-0102</v>
          </cell>
          <cell r="D1915" t="str">
            <v>Pro.sche.report 11.05</v>
          </cell>
          <cell r="E1915" t="str">
            <v>BDB-000308</v>
          </cell>
          <cell r="F1915" t="str">
            <v>PVN-004018</v>
          </cell>
          <cell r="G1915" t="str">
            <v>OrthoLite X-30 CASTLEROCK/18-0201TPX Flat Sheet 0.13D 25+/-4 Asker C 1.1M 1.47M 12mm</v>
          </cell>
          <cell r="H1915">
            <v>66</v>
          </cell>
          <cell r="I1915">
            <v>66</v>
          </cell>
          <cell r="J1915">
            <v>0</v>
          </cell>
          <cell r="K1915">
            <v>66</v>
          </cell>
          <cell r="L1915" t="str">
            <v>ASICS</v>
          </cell>
          <cell r="M1915" t="str">
            <v>Pr.Sch.R</v>
          </cell>
          <cell r="N1915" t="str">
            <v>MOLDED</v>
          </cell>
          <cell r="O1915">
            <v>1</v>
          </cell>
          <cell r="P1915">
            <v>46154</v>
          </cell>
          <cell r="Q1915">
            <v>46169</v>
          </cell>
          <cell r="R1915">
            <v>46166</v>
          </cell>
          <cell r="S1915">
            <v>15</v>
          </cell>
          <cell r="T1915">
            <v>12</v>
          </cell>
          <cell r="U1915">
            <v>11.5</v>
          </cell>
          <cell r="V1915">
            <v>6</v>
          </cell>
          <cell r="W1915" t="str">
            <v>0.13D</v>
          </cell>
          <cell r="X1915" t="str">
            <v>5-2026</v>
          </cell>
          <cell r="Y1915" t="str">
            <v>Week 21</v>
          </cell>
          <cell r="Z1915">
            <v>46160</v>
          </cell>
          <cell r="AA1915">
            <v>78</v>
          </cell>
          <cell r="AB1915">
            <v>8.6959999999999996E-2</v>
          </cell>
        </row>
        <row r="1916">
          <cell r="A1916" t="str">
            <v>F-2026-05-151</v>
          </cell>
          <cell r="B1916"/>
          <cell r="C1916" t="str">
            <v>RPRO-260512-0103</v>
          </cell>
          <cell r="D1916" t="str">
            <v>Pro.sche.report 11.05</v>
          </cell>
          <cell r="E1916" t="str">
            <v>BDB-000113</v>
          </cell>
          <cell r="F1916" t="str">
            <v>PVN-002699</v>
          </cell>
          <cell r="G1916" t="str">
            <v>OrthoLite Regular-Hybrid SEEDPEARL/12-0703TPX Hybrid Flat Sheet 0.11D 25+/-4 Asker C 1.1M 2M 4.5mm</v>
          </cell>
          <cell r="H1916">
            <v>124</v>
          </cell>
          <cell r="I1916">
            <v>124</v>
          </cell>
          <cell r="J1916">
            <v>0</v>
          </cell>
          <cell r="K1916">
            <v>124</v>
          </cell>
          <cell r="L1916" t="str">
            <v>ASICS</v>
          </cell>
          <cell r="M1916" t="str">
            <v>Pr.Sch.R</v>
          </cell>
          <cell r="N1916" t="str">
            <v>DIE CUT</v>
          </cell>
          <cell r="O1916">
            <v>1</v>
          </cell>
          <cell r="P1916">
            <v>46154</v>
          </cell>
          <cell r="Q1916">
            <v>46169</v>
          </cell>
          <cell r="R1916">
            <v>46166</v>
          </cell>
          <cell r="S1916">
            <v>15</v>
          </cell>
          <cell r="T1916">
            <v>4.5</v>
          </cell>
          <cell r="U1916">
            <v>31</v>
          </cell>
          <cell r="V1916">
            <v>5</v>
          </cell>
          <cell r="W1916" t="str">
            <v>0.11D</v>
          </cell>
          <cell r="X1916" t="str">
            <v>5-2026</v>
          </cell>
          <cell r="Y1916" t="str">
            <v>Week 21</v>
          </cell>
          <cell r="Z1916">
            <v>46160</v>
          </cell>
          <cell r="AA1916">
            <v>1</v>
          </cell>
          <cell r="AB1916">
            <v>3.2259999999999997E-2</v>
          </cell>
        </row>
        <row r="1917">
          <cell r="A1917" t="str">
            <v>F-2026-05-152</v>
          </cell>
          <cell r="B1917"/>
          <cell r="C1917" t="str">
            <v>RPRO-260512-0104</v>
          </cell>
          <cell r="D1917" t="str">
            <v>Pro.sche.report 11.05</v>
          </cell>
          <cell r="E1917" t="str">
            <v>BDB-000123</v>
          </cell>
          <cell r="F1917" t="str">
            <v>PVN-002973</v>
          </cell>
          <cell r="G1917" t="str">
            <v>OrthoLite Ultra-Hybrid SEEDPEARL/12-0703TPX Hybrid Flat Sheet 0.085D 25+/-4 Asker C 1.1M 2M 4.5mm</v>
          </cell>
          <cell r="H1917">
            <v>62</v>
          </cell>
          <cell r="I1917">
            <v>62</v>
          </cell>
          <cell r="J1917">
            <v>0</v>
          </cell>
          <cell r="K1917">
            <v>62</v>
          </cell>
          <cell r="L1917" t="str">
            <v>SALOMON</v>
          </cell>
          <cell r="M1917" t="str">
            <v>Pr.Sch.R</v>
          </cell>
          <cell r="N1917" t="str">
            <v>MOLDED</v>
          </cell>
          <cell r="O1917">
            <v>1</v>
          </cell>
          <cell r="P1917">
            <v>46154</v>
          </cell>
          <cell r="Q1917">
            <v>46169</v>
          </cell>
          <cell r="R1917">
            <v>46166</v>
          </cell>
          <cell r="S1917">
            <v>15</v>
          </cell>
          <cell r="T1917">
            <v>4.5</v>
          </cell>
          <cell r="U1917">
            <v>31</v>
          </cell>
          <cell r="V1917">
            <v>3</v>
          </cell>
          <cell r="W1917" t="str">
            <v>0.085D</v>
          </cell>
          <cell r="X1917" t="str">
            <v>5-2026</v>
          </cell>
          <cell r="Y1917" t="str">
            <v>Week 21</v>
          </cell>
          <cell r="Z1917">
            <v>46160</v>
          </cell>
          <cell r="AA1917">
            <v>0</v>
          </cell>
          <cell r="AB1917">
            <v>3.2259999999999997E-2</v>
          </cell>
        </row>
        <row r="1918">
          <cell r="A1918" t="str">
            <v>F-2026-05-153</v>
          </cell>
          <cell r="B1918"/>
          <cell r="C1918" t="str">
            <v>RPRO-260512-0105</v>
          </cell>
          <cell r="D1918" t="str">
            <v>Pro.sche.report 11.05</v>
          </cell>
          <cell r="E1918" t="str">
            <v>BDB-000339</v>
          </cell>
          <cell r="F1918" t="str">
            <v>PVN-004178</v>
          </cell>
          <cell r="G1918" t="str">
            <v>OrthoLite Float NEUTRAL GRAY/17-4402TPX Flat Sheet 0.12D 21+/-4 Asker C 1.1M 2M 5.5mm</v>
          </cell>
          <cell r="H1918">
            <v>250</v>
          </cell>
          <cell r="I1918">
            <v>250</v>
          </cell>
          <cell r="J1918">
            <v>0</v>
          </cell>
          <cell r="K1918">
            <v>250</v>
          </cell>
          <cell r="L1918" t="str">
            <v>PUMA</v>
          </cell>
          <cell r="M1918" t="str">
            <v>Pr.Sch.R</v>
          </cell>
          <cell r="N1918" t="str">
            <v>MOLDED</v>
          </cell>
          <cell r="O1918">
            <v>1</v>
          </cell>
          <cell r="P1918">
            <v>46154</v>
          </cell>
          <cell r="Q1918">
            <v>46169</v>
          </cell>
          <cell r="R1918">
            <v>46166</v>
          </cell>
          <cell r="S1918">
            <v>15</v>
          </cell>
          <cell r="T1918">
            <v>5.5</v>
          </cell>
          <cell r="U1918">
            <v>25</v>
          </cell>
          <cell r="V1918">
            <v>10</v>
          </cell>
          <cell r="W1918" t="e">
            <v>#N/A</v>
          </cell>
          <cell r="X1918" t="str">
            <v>5-2026</v>
          </cell>
          <cell r="Y1918" t="str">
            <v>Week 21</v>
          </cell>
          <cell r="Z1918">
            <v>46160</v>
          </cell>
          <cell r="AA1918">
            <v>339</v>
          </cell>
          <cell r="AB1918">
            <v>0.04</v>
          </cell>
        </row>
        <row r="1919">
          <cell r="A1919" t="str">
            <v>F-2026-05-154</v>
          </cell>
          <cell r="B1919"/>
          <cell r="C1919" t="str">
            <v>RPRO-260512-0106</v>
          </cell>
          <cell r="D1919" t="str">
            <v>Pro.sche.report 11.05</v>
          </cell>
          <cell r="E1919" t="str">
            <v>BDB-000067</v>
          </cell>
          <cell r="F1919" t="str">
            <v>PVN-002129</v>
          </cell>
          <cell r="G1919" t="str">
            <v>OrthoLite Ultra SEEDPEARL/12-0703TPX Flat Sheet 0.085D 25+/-4 Asker C 1.1M 2M 6mm</v>
          </cell>
          <cell r="H1919">
            <v>46</v>
          </cell>
          <cell r="I1919">
            <v>46</v>
          </cell>
          <cell r="J1919">
            <v>0</v>
          </cell>
          <cell r="K1919">
            <v>46</v>
          </cell>
          <cell r="L1919" t="str">
            <v>BABOLAT</v>
          </cell>
          <cell r="M1919" t="str">
            <v>Pr.Sch.R</v>
          </cell>
          <cell r="N1919" t="str">
            <v>DIE CUT</v>
          </cell>
          <cell r="O1919">
            <v>1</v>
          </cell>
          <cell r="P1919">
            <v>46154</v>
          </cell>
          <cell r="Q1919">
            <v>46169</v>
          </cell>
          <cell r="R1919">
            <v>46166</v>
          </cell>
          <cell r="S1919">
            <v>15</v>
          </cell>
          <cell r="T1919">
            <v>6</v>
          </cell>
          <cell r="U1919">
            <v>23</v>
          </cell>
          <cell r="V1919">
            <v>3</v>
          </cell>
          <cell r="W1919" t="str">
            <v>0.085D</v>
          </cell>
          <cell r="X1919" t="str">
            <v>5-2026</v>
          </cell>
          <cell r="Y1919" t="str">
            <v>Week 21</v>
          </cell>
          <cell r="Z1919">
            <v>46160</v>
          </cell>
          <cell r="AA1919">
            <v>108</v>
          </cell>
          <cell r="AB1919">
            <v>4.3479999999999998E-2</v>
          </cell>
        </row>
        <row r="1920">
          <cell r="A1920" t="str">
            <v>F-2026-05-155</v>
          </cell>
          <cell r="B1920"/>
          <cell r="C1920" t="str">
            <v>RPRO-260512-0107</v>
          </cell>
          <cell r="D1920" t="str">
            <v>Pro.sche.report 11.05</v>
          </cell>
          <cell r="E1920" t="str">
            <v>BDB-000334</v>
          </cell>
          <cell r="F1920" t="str">
            <v>PVN-004327</v>
          </cell>
          <cell r="G1920" t="str">
            <v>OrthoLite X-55-Hybrid FOSSIL/17-0909TPX Hybrid Flat Sheet 0.16D 25+/-4 Asker C 1.1M 2M 6mm</v>
          </cell>
          <cell r="H1920">
            <v>23</v>
          </cell>
          <cell r="I1920">
            <v>23</v>
          </cell>
          <cell r="J1920">
            <v>0</v>
          </cell>
          <cell r="K1920">
            <v>23</v>
          </cell>
          <cell r="L1920" t="str">
            <v>ASICS</v>
          </cell>
          <cell r="M1920" t="str">
            <v>Pr.Sch.R</v>
          </cell>
          <cell r="N1920" t="str">
            <v>MOLDED</v>
          </cell>
          <cell r="O1920">
            <v>1</v>
          </cell>
          <cell r="P1920">
            <v>46154</v>
          </cell>
          <cell r="Q1920">
            <v>46164</v>
          </cell>
          <cell r="R1920">
            <v>46161</v>
          </cell>
          <cell r="S1920">
            <v>10</v>
          </cell>
          <cell r="T1920">
            <v>6</v>
          </cell>
          <cell r="U1920">
            <v>23</v>
          </cell>
          <cell r="V1920">
            <v>1</v>
          </cell>
          <cell r="W1920" t="e">
            <v>#N/A</v>
          </cell>
          <cell r="X1920" t="str">
            <v>5-2026</v>
          </cell>
          <cell r="Y1920" t="str">
            <v>Week 21</v>
          </cell>
          <cell r="Z1920">
            <v>46160</v>
          </cell>
          <cell r="AA1920">
            <v>26</v>
          </cell>
          <cell r="AB1920">
            <v>4.1669999999999999E-2</v>
          </cell>
        </row>
        <row r="1921">
          <cell r="A1921" t="str">
            <v>F-2026-05-156</v>
          </cell>
          <cell r="B1921"/>
          <cell r="C1921" t="str">
            <v>RPRO-260512-0108</v>
          </cell>
          <cell r="D1921" t="str">
            <v>Pro.sche.report 11.05</v>
          </cell>
          <cell r="E1921" t="str">
            <v>BDB-000054</v>
          </cell>
          <cell r="F1921" t="str">
            <v>PVN-003895</v>
          </cell>
          <cell r="G1921" t="str">
            <v>OrthoLite X-40 RED/19-1764TPX Flat Sheet 0.16D 25+/-4 Asker C 1.1M 1.7M 5mm</v>
          </cell>
          <cell r="H1921">
            <v>112</v>
          </cell>
          <cell r="I1921">
            <v>112</v>
          </cell>
          <cell r="J1921">
            <v>0</v>
          </cell>
          <cell r="K1921">
            <v>112</v>
          </cell>
          <cell r="L1921" t="str">
            <v>PAYNTR</v>
          </cell>
          <cell r="M1921" t="str">
            <v>Pr.Sch.R</v>
          </cell>
          <cell r="N1921" t="str">
            <v>MOLDED</v>
          </cell>
          <cell r="O1921">
            <v>1</v>
          </cell>
          <cell r="P1921">
            <v>46154</v>
          </cell>
          <cell r="Q1921">
            <v>46169</v>
          </cell>
          <cell r="R1921">
            <v>46166</v>
          </cell>
          <cell r="S1921">
            <v>15</v>
          </cell>
          <cell r="T1921">
            <v>5</v>
          </cell>
          <cell r="U1921">
            <v>28</v>
          </cell>
          <cell r="V1921">
            <v>4</v>
          </cell>
          <cell r="W1921" t="str">
            <v>0.16D</v>
          </cell>
          <cell r="X1921" t="str">
            <v>5-2026</v>
          </cell>
          <cell r="Y1921" t="str">
            <v>Week 21</v>
          </cell>
          <cell r="Z1921">
            <v>46160</v>
          </cell>
          <cell r="AA1921">
            <v>27</v>
          </cell>
          <cell r="AB1921">
            <v>3.5709999999999999E-2</v>
          </cell>
        </row>
        <row r="1922">
          <cell r="A1922" t="str">
            <v>F-2026-05-157</v>
          </cell>
          <cell r="B1922"/>
          <cell r="C1922" t="str">
            <v>RPRO-260512-0109</v>
          </cell>
          <cell r="D1922" t="str">
            <v>Pro.sche.report 11.05</v>
          </cell>
          <cell r="E1922" t="str">
            <v>BDB-000209</v>
          </cell>
          <cell r="F1922" t="str">
            <v>PVN-003462</v>
          </cell>
          <cell r="G1922" t="str">
            <v>OrthoLite HybridPlus-Recycled MINT GREEN/11-4805TPX Hybrid Flat Sheet 0.12D 25+/-4 Asker C 1.1M 2M 12mm</v>
          </cell>
          <cell r="H1922">
            <v>165</v>
          </cell>
          <cell r="I1922">
            <v>165</v>
          </cell>
          <cell r="J1922">
            <v>0</v>
          </cell>
          <cell r="K1922">
            <v>165</v>
          </cell>
          <cell r="L1922" t="str">
            <v>BROOKS</v>
          </cell>
          <cell r="M1922" t="str">
            <v>Pr.Sch.R</v>
          </cell>
          <cell r="N1922" t="str">
            <v>MOLDED</v>
          </cell>
          <cell r="O1922">
            <v>1</v>
          </cell>
          <cell r="P1922">
            <v>46154</v>
          </cell>
          <cell r="Q1922">
            <v>46169</v>
          </cell>
          <cell r="R1922">
            <v>46166</v>
          </cell>
          <cell r="S1922">
            <v>15</v>
          </cell>
          <cell r="T1922">
            <v>12</v>
          </cell>
          <cell r="U1922">
            <v>11</v>
          </cell>
          <cell r="V1922">
            <v>16</v>
          </cell>
          <cell r="W1922" t="str">
            <v>0.12D</v>
          </cell>
          <cell r="X1922" t="str">
            <v>5-2026</v>
          </cell>
          <cell r="Y1922" t="str">
            <v>Week 21</v>
          </cell>
          <cell r="Z1922">
            <v>46160</v>
          </cell>
          <cell r="AA1922">
            <v>8</v>
          </cell>
          <cell r="AB1922">
            <v>9.0910000000000005E-2</v>
          </cell>
        </row>
        <row r="1923">
          <cell r="A1923" t="str">
            <v>F-2026-05-158</v>
          </cell>
          <cell r="B1923"/>
          <cell r="C1923" t="str">
            <v>RPRO-260512-0110</v>
          </cell>
          <cell r="D1923" t="str">
            <v>Pro.sche.report 11.05</v>
          </cell>
          <cell r="E1923" t="str">
            <v>BDB-000212</v>
          </cell>
          <cell r="F1923" t="str">
            <v>PVN-003458</v>
          </cell>
          <cell r="G1923" t="str">
            <v>OrthoLite X-25-Hybrid SEEDPEARL/12-0703TPX Hybrid Flat Sheet 0.12D 20+/-4 Asker C 1.1M 2M 4mm</v>
          </cell>
          <cell r="H1923">
            <v>35</v>
          </cell>
          <cell r="I1923">
            <v>35</v>
          </cell>
          <cell r="J1923">
            <v>0</v>
          </cell>
          <cell r="K1923">
            <v>35</v>
          </cell>
          <cell r="L1923" t="str">
            <v>ON RUNNING</v>
          </cell>
          <cell r="M1923" t="str">
            <v>Pr.Sch.R</v>
          </cell>
          <cell r="N1923" t="str">
            <v>DIE CUT</v>
          </cell>
          <cell r="O1923">
            <v>1</v>
          </cell>
          <cell r="P1923">
            <v>46154</v>
          </cell>
          <cell r="Q1923">
            <v>46165</v>
          </cell>
          <cell r="R1923">
            <v>46162</v>
          </cell>
          <cell r="S1923">
            <v>11</v>
          </cell>
          <cell r="T1923">
            <v>4</v>
          </cell>
          <cell r="U1923">
            <v>35</v>
          </cell>
          <cell r="V1923">
            <v>1</v>
          </cell>
          <cell r="W1923" t="str">
            <v>0.12D</v>
          </cell>
          <cell r="X1923" t="str">
            <v>5-2026</v>
          </cell>
          <cell r="Y1923" t="str">
            <v>Week 21</v>
          </cell>
          <cell r="Z1923">
            <v>46160</v>
          </cell>
          <cell r="AA1923">
            <v>1</v>
          </cell>
          <cell r="AB1923">
            <v>2.8570000000000002E-2</v>
          </cell>
        </row>
        <row r="1924">
          <cell r="A1924" t="str">
            <v>F-2026-05-159</v>
          </cell>
          <cell r="B1924"/>
          <cell r="C1924" t="str">
            <v>RPRO-260512-0111</v>
          </cell>
          <cell r="D1924" t="str">
            <v>Pro.sche.report 11.05</v>
          </cell>
          <cell r="E1924" t="str">
            <v>BDB-000097</v>
          </cell>
          <cell r="F1924" t="str">
            <v>PVN-003671</v>
          </cell>
          <cell r="G1924" t="str">
            <v>OrthoLite Eco LT-Hybrid SEEDPEARL/12-0703TPX Hybrid Flat Sheet 0.11D 25+/-4 Asker C 1.1M 2M 13mm</v>
          </cell>
          <cell r="H1924">
            <v>10</v>
          </cell>
          <cell r="I1924">
            <v>10</v>
          </cell>
          <cell r="J1924">
            <v>0</v>
          </cell>
          <cell r="K1924">
            <v>10</v>
          </cell>
          <cell r="L1924" t="str">
            <v>NEW BALANCE</v>
          </cell>
          <cell r="M1924" t="str">
            <v>Pr.Sch.R</v>
          </cell>
          <cell r="N1924" t="str">
            <v>MOLDED</v>
          </cell>
          <cell r="O1924">
            <v>1</v>
          </cell>
          <cell r="P1924">
            <v>46154</v>
          </cell>
          <cell r="Q1924">
            <v>46169</v>
          </cell>
          <cell r="R1924">
            <v>46166</v>
          </cell>
          <cell r="S1924">
            <v>15</v>
          </cell>
          <cell r="T1924">
            <v>13</v>
          </cell>
          <cell r="U1924">
            <v>10</v>
          </cell>
          <cell r="V1924">
            <v>1</v>
          </cell>
          <cell r="W1924" t="str">
            <v>0.11D</v>
          </cell>
          <cell r="X1924" t="str">
            <v>5-2026</v>
          </cell>
          <cell r="Y1924" t="str">
            <v>Week 21</v>
          </cell>
          <cell r="Z1924">
            <v>46160</v>
          </cell>
          <cell r="AA1924">
            <v>58</v>
          </cell>
          <cell r="AB1924">
            <v>0.1</v>
          </cell>
        </row>
        <row r="1925">
          <cell r="A1925" t="str">
            <v>F-2026-05-160</v>
          </cell>
          <cell r="B1925"/>
          <cell r="C1925" t="str">
            <v>RPRO-260512-0112</v>
          </cell>
          <cell r="D1925" t="str">
            <v>Pro.sche.report 11.05</v>
          </cell>
          <cell r="E1925" t="str">
            <v>BDB-000149</v>
          </cell>
          <cell r="F1925" t="str">
            <v>PVN-002827</v>
          </cell>
          <cell r="G1925" t="str">
            <v>OrthoLite Regular-Hybrid-Nike SEEDPEARL/12-0703TPX Hybrid Flat Sheet 0.11D 25+/-4 Asker C 1.1M 2M 5mm</v>
          </cell>
          <cell r="H1925">
            <v>56</v>
          </cell>
          <cell r="I1925">
            <v>56</v>
          </cell>
          <cell r="J1925">
            <v>0</v>
          </cell>
          <cell r="K1925">
            <v>56</v>
          </cell>
          <cell r="L1925" t="str">
            <v>NIKE</v>
          </cell>
          <cell r="M1925" t="str">
            <v>Pr.Sch.R</v>
          </cell>
          <cell r="N1925" t="str">
            <v>MOLDED</v>
          </cell>
          <cell r="O1925">
            <v>1</v>
          </cell>
          <cell r="P1925">
            <v>46154</v>
          </cell>
          <cell r="Q1925">
            <v>46169</v>
          </cell>
          <cell r="R1925">
            <v>46166</v>
          </cell>
          <cell r="S1925">
            <v>15</v>
          </cell>
          <cell r="T1925">
            <v>5</v>
          </cell>
          <cell r="U1925">
            <v>28</v>
          </cell>
          <cell r="V1925">
            <v>2</v>
          </cell>
          <cell r="W1925" t="str">
            <v>0.11D</v>
          </cell>
          <cell r="X1925" t="str">
            <v>5-2026</v>
          </cell>
          <cell r="Y1925" t="str">
            <v>Week 21</v>
          </cell>
          <cell r="Z1925">
            <v>46160</v>
          </cell>
          <cell r="AA1925">
            <v>2</v>
          </cell>
          <cell r="AB1925">
            <v>3.5709999999999999E-2</v>
          </cell>
        </row>
        <row r="1926">
          <cell r="A1926" t="str">
            <v>F-2026-05-161</v>
          </cell>
          <cell r="B1926"/>
          <cell r="C1926" t="str">
            <v>RPRO-260512-0113</v>
          </cell>
          <cell r="D1926" t="str">
            <v>Pro.sche.report 11.05</v>
          </cell>
          <cell r="E1926" t="str">
            <v>BDB-000123</v>
          </cell>
          <cell r="F1926" t="str">
            <v>PVN-003011</v>
          </cell>
          <cell r="G1926" t="str">
            <v>OrthoLite Ultra-Hybrid SEEDPEARL/12-0703TPX Hybrid Flat Sheet 0.085D 25+/-4 Asker C 1.1M 2M 16mm</v>
          </cell>
          <cell r="H1926">
            <v>16</v>
          </cell>
          <cell r="I1926">
            <v>16</v>
          </cell>
          <cell r="J1926">
            <v>0</v>
          </cell>
          <cell r="K1926">
            <v>16</v>
          </cell>
          <cell r="L1926" t="str">
            <v>CLARKS</v>
          </cell>
          <cell r="M1926" t="str">
            <v>Pr.Sch.R</v>
          </cell>
          <cell r="N1926" t="str">
            <v>MOLDED</v>
          </cell>
          <cell r="O1926">
            <v>1</v>
          </cell>
          <cell r="P1926">
            <v>46154</v>
          </cell>
          <cell r="Q1926">
            <v>46169</v>
          </cell>
          <cell r="R1926">
            <v>46166</v>
          </cell>
          <cell r="S1926">
            <v>15</v>
          </cell>
          <cell r="T1926">
            <v>16</v>
          </cell>
          <cell r="U1926">
            <v>8</v>
          </cell>
          <cell r="V1926">
            <v>2</v>
          </cell>
          <cell r="W1926" t="str">
            <v>0.085D</v>
          </cell>
          <cell r="X1926" t="str">
            <v>5-2026</v>
          </cell>
          <cell r="Y1926" t="str">
            <v>Week 21</v>
          </cell>
          <cell r="Z1926">
            <v>46160</v>
          </cell>
          <cell r="AA1926">
            <v>168</v>
          </cell>
          <cell r="AB1926">
            <v>0.125</v>
          </cell>
        </row>
        <row r="1927">
          <cell r="A1927" t="str">
            <v>F-2026-05-162</v>
          </cell>
          <cell r="B1927"/>
          <cell r="C1927" t="str">
            <v>RPRO-260512-0114</v>
          </cell>
          <cell r="D1927" t="str">
            <v>Pro.sche.report 11.05</v>
          </cell>
          <cell r="E1927" t="str">
            <v>BDB-000352</v>
          </cell>
          <cell r="F1927" t="str">
            <v>PVN-004215</v>
          </cell>
          <cell r="G1927" t="str">
            <v>OrthoLite Float-Hybrid SEEDPEARL/12-0703TPX Hybrid Flat Sheet 0.12D 21+/-4 Asker C 1.1M 2M 7.5mm</v>
          </cell>
          <cell r="H1927">
            <v>72</v>
          </cell>
          <cell r="I1927">
            <v>72</v>
          </cell>
          <cell r="J1927">
            <v>0</v>
          </cell>
          <cell r="K1927">
            <v>72</v>
          </cell>
          <cell r="L1927" t="str">
            <v>VIOLET</v>
          </cell>
          <cell r="M1927" t="str">
            <v>Pr.Sch.R</v>
          </cell>
          <cell r="N1927" t="str">
            <v>MOLDED</v>
          </cell>
          <cell r="O1927">
            <v>1</v>
          </cell>
          <cell r="P1927">
            <v>46154</v>
          </cell>
          <cell r="Q1927">
            <v>46169</v>
          </cell>
          <cell r="R1927">
            <v>46166</v>
          </cell>
          <cell r="S1927">
            <v>15</v>
          </cell>
          <cell r="T1927">
            <v>7.5</v>
          </cell>
          <cell r="U1927">
            <v>18</v>
          </cell>
          <cell r="V1927">
            <v>5</v>
          </cell>
          <cell r="W1927" t="e">
            <v>#N/A</v>
          </cell>
          <cell r="X1927" t="str">
            <v>5-2026</v>
          </cell>
          <cell r="Y1927" t="str">
            <v>Week 21</v>
          </cell>
          <cell r="Z1927">
            <v>46160</v>
          </cell>
          <cell r="AA1927">
            <v>4</v>
          </cell>
          <cell r="AB1927">
            <v>5.5559999999999998E-2</v>
          </cell>
        </row>
        <row r="1928">
          <cell r="A1928" t="str">
            <v>F-2026-05-163</v>
          </cell>
          <cell r="B1928"/>
          <cell r="C1928" t="str">
            <v>RPRO-260513-0794</v>
          </cell>
          <cell r="D1928" t="str">
            <v>MPS 12.5</v>
          </cell>
          <cell r="E1928" t="str">
            <v>BDB-000102</v>
          </cell>
          <cell r="F1928" t="str">
            <v>PVN-003629</v>
          </cell>
          <cell r="G1928" t="str">
            <v>OrthoLite Eco LT-Hybrid LIME GREEN/14-0452TPX Hybrid 0.13D 35+/-4 Asker C 1.1M 2M 2.5mm</v>
          </cell>
          <cell r="H1928">
            <v>112</v>
          </cell>
          <cell r="I1928">
            <v>112</v>
          </cell>
          <cell r="J1928">
            <v>0</v>
          </cell>
          <cell r="K1928">
            <v>112</v>
          </cell>
          <cell r="L1928"/>
          <cell r="M1928" t="str">
            <v>MPS</v>
          </cell>
          <cell r="N1928" t="str">
            <v>SPLITTING</v>
          </cell>
          <cell r="O1928">
            <v>2</v>
          </cell>
          <cell r="P1928">
            <v>46155</v>
          </cell>
          <cell r="Q1928">
            <v>46170</v>
          </cell>
          <cell r="R1928">
            <v>46167</v>
          </cell>
          <cell r="S1928">
            <v>15</v>
          </cell>
          <cell r="T1928">
            <v>2.5</v>
          </cell>
          <cell r="U1928">
            <v>56</v>
          </cell>
          <cell r="V1928">
            <v>3</v>
          </cell>
          <cell r="W1928" t="str">
            <v>0.13D</v>
          </cell>
          <cell r="X1928" t="str">
            <v>5-2026</v>
          </cell>
          <cell r="Y1928" t="str">
            <v>Week 21</v>
          </cell>
          <cell r="Z1928">
            <v>46160</v>
          </cell>
          <cell r="AA1928">
            <v>167</v>
          </cell>
          <cell r="AB1928">
            <v>1.7860000000000001E-2</v>
          </cell>
        </row>
        <row r="1929">
          <cell r="A1929" t="str">
            <v>F-2026-05-164</v>
          </cell>
          <cell r="B1929"/>
          <cell r="C1929" t="str">
            <v>RPRO-260513-0795</v>
          </cell>
          <cell r="D1929" t="str">
            <v>MPS 12.5</v>
          </cell>
          <cell r="E1929" t="str">
            <v>BDB-000224</v>
          </cell>
          <cell r="F1929" t="str">
            <v>PVN-004258</v>
          </cell>
          <cell r="G1929" t="str">
            <v>OrthoLite R&amp;R CASTLEROCK/18-0201TPX Flat Sheet 0.16D 15+/-4 Asker C 1.1M 1.7M 3mm</v>
          </cell>
          <cell r="H1929">
            <v>92</v>
          </cell>
          <cell r="I1929">
            <v>92</v>
          </cell>
          <cell r="J1929">
            <v>0</v>
          </cell>
          <cell r="K1929">
            <v>92</v>
          </cell>
          <cell r="L1929"/>
          <cell r="M1929" t="str">
            <v>MPS</v>
          </cell>
          <cell r="N1929" t="str">
            <v>SPLITTING</v>
          </cell>
          <cell r="O1929">
            <v>2</v>
          </cell>
          <cell r="P1929">
            <v>46155</v>
          </cell>
          <cell r="Q1929">
            <v>46170</v>
          </cell>
          <cell r="R1929">
            <v>46167</v>
          </cell>
          <cell r="S1929">
            <v>15</v>
          </cell>
          <cell r="T1929">
            <v>3</v>
          </cell>
          <cell r="U1929">
            <v>46</v>
          </cell>
          <cell r="V1929">
            <v>3</v>
          </cell>
          <cell r="W1929" t="str">
            <v>0.16D</v>
          </cell>
          <cell r="X1929" t="str">
            <v>5-2026</v>
          </cell>
          <cell r="Y1929" t="str">
            <v>Week 21</v>
          </cell>
          <cell r="Z1929">
            <v>46160</v>
          </cell>
          <cell r="AA1929">
            <v>27</v>
          </cell>
          <cell r="AB1929">
            <v>2.1739999999999999E-2</v>
          </cell>
        </row>
        <row r="1930">
          <cell r="A1930" t="str">
            <v>F-2026-05-165</v>
          </cell>
          <cell r="B1930"/>
          <cell r="C1930" t="str">
            <v>RPRO-260513-0796</v>
          </cell>
          <cell r="D1930" t="str">
            <v>MPS 12.5</v>
          </cell>
          <cell r="E1930" t="str">
            <v>BDB-000067</v>
          </cell>
          <cell r="F1930" t="str">
            <v>PVN-001415</v>
          </cell>
          <cell r="G1930" t="str">
            <v>OrthoLite Ultra SEEDPEARL/12-0703TPX Flat Sheet 0.085D 25+/-4 Asker C 1.1M 2M 4mm</v>
          </cell>
          <cell r="H1930">
            <v>490</v>
          </cell>
          <cell r="I1930">
            <v>490</v>
          </cell>
          <cell r="J1930">
            <v>0</v>
          </cell>
          <cell r="K1930">
            <v>490</v>
          </cell>
          <cell r="L1930"/>
          <cell r="M1930" t="str">
            <v>MPS</v>
          </cell>
          <cell r="N1930" t="str">
            <v>SPLITTING</v>
          </cell>
          <cell r="O1930">
            <v>2</v>
          </cell>
          <cell r="P1930">
            <v>46155</v>
          </cell>
          <cell r="Q1930">
            <v>46170</v>
          </cell>
          <cell r="R1930">
            <v>46167</v>
          </cell>
          <cell r="S1930">
            <v>15</v>
          </cell>
          <cell r="T1930">
            <v>4</v>
          </cell>
          <cell r="U1930">
            <v>35</v>
          </cell>
          <cell r="V1930">
            <v>14</v>
          </cell>
          <cell r="W1930" t="str">
            <v>0.085D</v>
          </cell>
          <cell r="X1930" t="str">
            <v>5-2026</v>
          </cell>
          <cell r="Y1930" t="str">
            <v>Week 21</v>
          </cell>
          <cell r="Z1930">
            <v>46160</v>
          </cell>
          <cell r="AA1930">
            <v>17</v>
          </cell>
          <cell r="AB1930">
            <v>2.8570000000000002E-2</v>
          </cell>
        </row>
        <row r="1931">
          <cell r="A1931" t="str">
            <v>F-2026-05-166</v>
          </cell>
          <cell r="B1931"/>
          <cell r="C1931" t="str">
            <v>RPRO-260513-0797</v>
          </cell>
          <cell r="D1931" t="str">
            <v>MPS 12.5</v>
          </cell>
          <cell r="E1931" t="str">
            <v>BDB-000180</v>
          </cell>
          <cell r="F1931" t="str">
            <v>PVN-003236</v>
          </cell>
          <cell r="G1931" t="str">
            <v>OrthoLite Eco LT-Hybrid-Converse SEEDPEARL/12-0703TPX Hybrid 0.13D 25+/-4 Asker C 1.1M 2M 5mm</v>
          </cell>
          <cell r="H1931">
            <v>635</v>
          </cell>
          <cell r="I1931">
            <v>635</v>
          </cell>
          <cell r="J1931">
            <v>0</v>
          </cell>
          <cell r="K1931">
            <v>635</v>
          </cell>
          <cell r="L1931"/>
          <cell r="M1931" t="str">
            <v>MPS</v>
          </cell>
          <cell r="N1931" t="str">
            <v>SPLITTING</v>
          </cell>
          <cell r="O1931">
            <v>2</v>
          </cell>
          <cell r="P1931">
            <v>46155</v>
          </cell>
          <cell r="Q1931">
            <v>46170</v>
          </cell>
          <cell r="R1931">
            <v>46167</v>
          </cell>
          <cell r="S1931">
            <v>15</v>
          </cell>
          <cell r="T1931">
            <v>5</v>
          </cell>
          <cell r="U1931">
            <v>28</v>
          </cell>
          <cell r="V1931">
            <v>23</v>
          </cell>
          <cell r="W1931" t="str">
            <v>0.13D</v>
          </cell>
          <cell r="X1931" t="str">
            <v>5-2026</v>
          </cell>
          <cell r="Y1931" t="str">
            <v>Week 21</v>
          </cell>
          <cell r="Z1931">
            <v>46160</v>
          </cell>
          <cell r="AA1931">
            <v>10</v>
          </cell>
          <cell r="AB1931">
            <v>3.5709999999999999E-2</v>
          </cell>
        </row>
        <row r="1932">
          <cell r="A1932" t="str">
            <v>F-2026-05-167</v>
          </cell>
          <cell r="B1932"/>
          <cell r="C1932" t="str">
            <v>RPRO-260513-0798</v>
          </cell>
          <cell r="D1932" t="str">
            <v>MPS 12.5</v>
          </cell>
          <cell r="E1932" t="str">
            <v>BDB-000154</v>
          </cell>
          <cell r="F1932" t="str">
            <v>PVN-003347</v>
          </cell>
          <cell r="G1932" t="str">
            <v>OrthoLite X-40-Nike TRUE BLUE/19-4057TPX Flat Sheet 0.16D 35+/-4 Asker C 1.1M 1.7M 4mm</v>
          </cell>
          <cell r="H1932">
            <v>245</v>
          </cell>
          <cell r="I1932">
            <v>245</v>
          </cell>
          <cell r="J1932">
            <v>0</v>
          </cell>
          <cell r="K1932">
            <v>245</v>
          </cell>
          <cell r="L1932"/>
          <cell r="M1932" t="str">
            <v>MPS</v>
          </cell>
          <cell r="N1932" t="str">
            <v>SPLITTING</v>
          </cell>
          <cell r="O1932">
            <v>2</v>
          </cell>
          <cell r="P1932">
            <v>46155</v>
          </cell>
          <cell r="Q1932">
            <v>46170</v>
          </cell>
          <cell r="R1932">
            <v>46167</v>
          </cell>
          <cell r="S1932">
            <v>15</v>
          </cell>
          <cell r="T1932">
            <v>4</v>
          </cell>
          <cell r="U1932">
            <v>35</v>
          </cell>
          <cell r="V1932">
            <v>7</v>
          </cell>
          <cell r="W1932" t="str">
            <v>0.16D</v>
          </cell>
          <cell r="X1932" t="str">
            <v>5-2026</v>
          </cell>
          <cell r="Y1932" t="str">
            <v>Week 21</v>
          </cell>
          <cell r="Z1932">
            <v>46160</v>
          </cell>
          <cell r="AA1932">
            <v>116</v>
          </cell>
          <cell r="AB1932">
            <v>2.8570000000000002E-2</v>
          </cell>
        </row>
        <row r="1933">
          <cell r="A1933" t="str">
            <v>F-2026-05-168</v>
          </cell>
          <cell r="B1933"/>
          <cell r="C1933" t="str">
            <v>RPRO-260513-0799</v>
          </cell>
          <cell r="D1933" t="str">
            <v>MPS 12.5</v>
          </cell>
          <cell r="E1933" t="str">
            <v>BDB-000188</v>
          </cell>
          <cell r="F1933" t="str">
            <v>PVN-003479</v>
          </cell>
          <cell r="G1933" t="str">
            <v>OrthoLite Ultra-Hybrid SEEDPEARL/12-0703TPX Hybrid Flat Sheet 0.085D 25+/-4 Asker C 1.1M 1.47M 4mm</v>
          </cell>
          <cell r="H1933">
            <v>35</v>
          </cell>
          <cell r="I1933">
            <v>35</v>
          </cell>
          <cell r="J1933">
            <v>0</v>
          </cell>
          <cell r="K1933">
            <v>35</v>
          </cell>
          <cell r="L1933"/>
          <cell r="M1933" t="str">
            <v>MPS</v>
          </cell>
          <cell r="N1933" t="str">
            <v>SPLITTING</v>
          </cell>
          <cell r="O1933">
            <v>2</v>
          </cell>
          <cell r="P1933">
            <v>46155</v>
          </cell>
          <cell r="Q1933">
            <v>46170</v>
          </cell>
          <cell r="R1933">
            <v>46167</v>
          </cell>
          <cell r="S1933">
            <v>15</v>
          </cell>
          <cell r="T1933">
            <v>4</v>
          </cell>
          <cell r="U1933">
            <v>35</v>
          </cell>
          <cell r="V1933">
            <v>1</v>
          </cell>
          <cell r="W1933" t="str">
            <v>0.085D</v>
          </cell>
          <cell r="X1933" t="str">
            <v>5-2026</v>
          </cell>
          <cell r="Y1933" t="str">
            <v>Week 21</v>
          </cell>
          <cell r="Z1933">
            <v>46160</v>
          </cell>
          <cell r="AA1933">
            <v>45</v>
          </cell>
          <cell r="AB1933">
            <v>2.8570000000000002E-2</v>
          </cell>
        </row>
        <row r="1934">
          <cell r="A1934" t="str">
            <v>F-2026-05-169</v>
          </cell>
          <cell r="B1934"/>
          <cell r="C1934" t="str">
            <v>RPRO-260513-0800</v>
          </cell>
          <cell r="D1934" t="str">
            <v>Pro.sche.report 12.5</v>
          </cell>
          <cell r="E1934" t="str">
            <v>BDB-000129</v>
          </cell>
          <cell r="F1934" t="str">
            <v>PVN-001550</v>
          </cell>
          <cell r="G1934" t="str">
            <v>OrthoLite Regular-Nike AIR BLUE/16-4134TPX Flat Sheet 0.11D 25+/-4 Asker C 1.1M 1.7M 2mm</v>
          </cell>
          <cell r="H1934">
            <v>3850</v>
          </cell>
          <cell r="I1934">
            <v>3850</v>
          </cell>
          <cell r="J1934">
            <v>0</v>
          </cell>
          <cell r="K1934">
            <v>3850</v>
          </cell>
          <cell r="L1934" t="str">
            <v>NIKE</v>
          </cell>
          <cell r="M1934" t="str">
            <v>Pr.Sch.R</v>
          </cell>
          <cell r="N1934" t="str">
            <v>LAMINATING</v>
          </cell>
          <cell r="O1934">
            <v>1</v>
          </cell>
          <cell r="P1934">
            <v>46155</v>
          </cell>
          <cell r="Q1934">
            <v>46170</v>
          </cell>
          <cell r="R1934">
            <v>46167</v>
          </cell>
          <cell r="S1934">
            <v>15</v>
          </cell>
          <cell r="T1934">
            <v>2</v>
          </cell>
          <cell r="U1934">
            <v>70</v>
          </cell>
          <cell r="V1934">
            <v>56</v>
          </cell>
          <cell r="W1934" t="str">
            <v>0.11D</v>
          </cell>
          <cell r="X1934" t="str">
            <v>5-2026</v>
          </cell>
          <cell r="Y1934" t="str">
            <v>Week 21</v>
          </cell>
          <cell r="Z1934">
            <v>46160</v>
          </cell>
          <cell r="AA1934">
            <v>56</v>
          </cell>
          <cell r="AB1934">
            <v>1.4290000000000001E-2</v>
          </cell>
        </row>
        <row r="1935">
          <cell r="A1935" t="str">
            <v>F-2026-05-170</v>
          </cell>
          <cell r="B1935"/>
          <cell r="C1935" t="str">
            <v>RPRO-260513-0801</v>
          </cell>
          <cell r="D1935" t="str">
            <v>Pro.sche.report 12.5</v>
          </cell>
          <cell r="E1935" t="str">
            <v>BDB-000319</v>
          </cell>
          <cell r="F1935" t="str">
            <v>PVN-004081</v>
          </cell>
          <cell r="G1935" t="str">
            <v>OrthoLite X-40-Hybrid-Nike SEEDPEARL/12-0703TPX Hybrid Flat Sheet 0.16D 25+/-4 Asker C 1.1M 2M 6mm</v>
          </cell>
          <cell r="H1935">
            <v>138</v>
          </cell>
          <cell r="I1935">
            <v>138</v>
          </cell>
          <cell r="J1935">
            <v>0</v>
          </cell>
          <cell r="K1935">
            <v>138</v>
          </cell>
          <cell r="L1935" t="str">
            <v>NIKE</v>
          </cell>
          <cell r="M1935" t="str">
            <v>Pr.Sch.R</v>
          </cell>
          <cell r="N1935" t="str">
            <v>MOLDED</v>
          </cell>
          <cell r="O1935">
            <v>1</v>
          </cell>
          <cell r="P1935">
            <v>46155</v>
          </cell>
          <cell r="Q1935">
            <v>46170</v>
          </cell>
          <cell r="R1935">
            <v>46167</v>
          </cell>
          <cell r="S1935">
            <v>15</v>
          </cell>
          <cell r="T1935">
            <v>6</v>
          </cell>
          <cell r="U1935">
            <v>23</v>
          </cell>
          <cell r="V1935">
            <v>7</v>
          </cell>
          <cell r="W1935" t="e">
            <v>#N/A</v>
          </cell>
          <cell r="X1935" t="str">
            <v>5-2026</v>
          </cell>
          <cell r="Y1935" t="str">
            <v>Week 21</v>
          </cell>
          <cell r="Z1935">
            <v>46160</v>
          </cell>
          <cell r="AA1935">
            <v>56</v>
          </cell>
          <cell r="AB1935">
            <v>4.3479999999999998E-2</v>
          </cell>
        </row>
        <row r="1936">
          <cell r="A1936" t="str">
            <v>F-2026-05-171</v>
          </cell>
          <cell r="B1936"/>
          <cell r="C1936" t="str">
            <v>RPRO-260513-0802</v>
          </cell>
          <cell r="D1936" t="str">
            <v>Pro.sche.report 12.5</v>
          </cell>
          <cell r="E1936" t="str">
            <v>BDB-000373</v>
          </cell>
          <cell r="F1936" t="str">
            <v>PVN-004315</v>
          </cell>
          <cell r="G1936" t="str">
            <v>OrthoLite X-25-Nike BILLIARD/16-5427TPX Flat Sheet 0.12D 20+/-4 Asker C 1.1M 2M 5mm</v>
          </cell>
          <cell r="H1936">
            <v>364</v>
          </cell>
          <cell r="I1936">
            <v>364</v>
          </cell>
          <cell r="J1936">
            <v>0</v>
          </cell>
          <cell r="K1936">
            <v>364</v>
          </cell>
          <cell r="L1936" t="str">
            <v>NIKE</v>
          </cell>
          <cell r="M1936" t="str">
            <v>Pr.Sch.R</v>
          </cell>
          <cell r="N1936" t="str">
            <v>DIE CUT</v>
          </cell>
          <cell r="O1936">
            <v>1</v>
          </cell>
          <cell r="P1936">
            <v>46155</v>
          </cell>
          <cell r="Q1936">
            <v>46170</v>
          </cell>
          <cell r="R1936">
            <v>46167</v>
          </cell>
          <cell r="S1936">
            <v>15</v>
          </cell>
          <cell r="T1936">
            <v>5</v>
          </cell>
          <cell r="U1936">
            <v>28</v>
          </cell>
          <cell r="V1936">
            <v>13</v>
          </cell>
          <cell r="W1936" t="e">
            <v>#N/A</v>
          </cell>
          <cell r="X1936" t="str">
            <v>5-2026</v>
          </cell>
          <cell r="Y1936" t="str">
            <v>Week 21</v>
          </cell>
          <cell r="Z1936">
            <v>46160</v>
          </cell>
          <cell r="AA1936">
            <v>57</v>
          </cell>
          <cell r="AB1936">
            <v>3.5709999999999999E-2</v>
          </cell>
        </row>
        <row r="1937">
          <cell r="A1937" t="str">
            <v>F-2026-05-172</v>
          </cell>
          <cell r="B1937"/>
          <cell r="C1937" t="str">
            <v>RPRO-260513-0803</v>
          </cell>
          <cell r="D1937" t="str">
            <v>Pro.sche.report 12.5</v>
          </cell>
          <cell r="E1937" t="str">
            <v>BDB-000212</v>
          </cell>
          <cell r="F1937" t="str">
            <v>PVN-003530</v>
          </cell>
          <cell r="G1937" t="str">
            <v>OrthoLite X-25-Hybrid SEEDPEARL/12-0703TPX Hybrid Flat Sheet 0.12D 20+/-4 Asker C 1.1M 2M 8.2mm</v>
          </cell>
          <cell r="H1937">
            <v>969</v>
          </cell>
          <cell r="I1937">
            <v>969</v>
          </cell>
          <cell r="J1937">
            <v>0</v>
          </cell>
          <cell r="K1937">
            <v>969</v>
          </cell>
          <cell r="L1937" t="str">
            <v>BABOLAT</v>
          </cell>
          <cell r="M1937" t="str">
            <v>Pr.Sch.R</v>
          </cell>
          <cell r="N1937" t="str">
            <v>MOLDED</v>
          </cell>
          <cell r="O1937">
            <v>1</v>
          </cell>
          <cell r="P1937">
            <v>46155</v>
          </cell>
          <cell r="Q1937">
            <v>46170</v>
          </cell>
          <cell r="R1937">
            <v>46167</v>
          </cell>
          <cell r="S1937">
            <v>15</v>
          </cell>
          <cell r="T1937">
            <v>8.1999999999999993</v>
          </cell>
          <cell r="U1937">
            <v>17</v>
          </cell>
          <cell r="V1937">
            <v>57</v>
          </cell>
          <cell r="W1937" t="str">
            <v>0.12D</v>
          </cell>
          <cell r="X1937" t="str">
            <v>5-2026</v>
          </cell>
          <cell r="Y1937" t="str">
            <v>Week 21</v>
          </cell>
          <cell r="Z1937">
            <v>46160</v>
          </cell>
          <cell r="AA1937">
            <v>57</v>
          </cell>
          <cell r="AB1937">
            <v>5.8819999999999997E-2</v>
          </cell>
        </row>
        <row r="1938">
          <cell r="A1938" t="str">
            <v>F-2026-05-173</v>
          </cell>
          <cell r="B1938"/>
          <cell r="C1938" t="str">
            <v>RPRO-260513-0804</v>
          </cell>
          <cell r="D1938" t="str">
            <v>Pro.sche.report 12.5</v>
          </cell>
          <cell r="E1938" t="str">
            <v>BDB-000067</v>
          </cell>
          <cell r="F1938" t="str">
            <v>PVN-002129</v>
          </cell>
          <cell r="G1938" t="str">
            <v>OrthoLite Ultra SEEDPEARL/12-0703TPX Flat Sheet 0.085D 25+/-4 Asker C 1.1M 2M 6mm</v>
          </cell>
          <cell r="H1938">
            <v>460</v>
          </cell>
          <cell r="I1938">
            <v>460</v>
          </cell>
          <cell r="J1938">
            <v>0</v>
          </cell>
          <cell r="K1938">
            <v>460</v>
          </cell>
          <cell r="L1938" t="str">
            <v>BABOLAT</v>
          </cell>
          <cell r="M1938" t="str">
            <v>Pr.Sch.R</v>
          </cell>
          <cell r="N1938" t="str">
            <v>DIE CUT</v>
          </cell>
          <cell r="O1938">
            <v>1</v>
          </cell>
          <cell r="P1938">
            <v>46155</v>
          </cell>
          <cell r="Q1938">
            <v>46170</v>
          </cell>
          <cell r="R1938">
            <v>46167</v>
          </cell>
          <cell r="S1938">
            <v>15</v>
          </cell>
          <cell r="T1938">
            <v>6</v>
          </cell>
          <cell r="U1938">
            <v>23</v>
          </cell>
          <cell r="V1938">
            <v>21</v>
          </cell>
          <cell r="W1938" t="str">
            <v>0.085D</v>
          </cell>
          <cell r="X1938" t="str">
            <v>5-2026</v>
          </cell>
          <cell r="Y1938" t="str">
            <v>Week 21</v>
          </cell>
          <cell r="Z1938">
            <v>46160</v>
          </cell>
          <cell r="AA1938">
            <v>114</v>
          </cell>
          <cell r="AB1938">
            <v>4.3479999999999998E-2</v>
          </cell>
        </row>
        <row r="1939">
          <cell r="A1939" t="str">
            <v>F-2026-05-174</v>
          </cell>
          <cell r="B1939"/>
          <cell r="C1939" t="str">
            <v>RPRO-260513-0805</v>
          </cell>
          <cell r="D1939" t="str">
            <v>Pro.sche.report 12.5</v>
          </cell>
          <cell r="E1939" t="str">
            <v>BDB-000051</v>
          </cell>
          <cell r="F1939" t="str">
            <v>PVN-003319</v>
          </cell>
          <cell r="G1939" t="str">
            <v>OrthoLite X-40 TRUE BLUE/19-4057TPX Flat Sheet 0.16D 25+/-4 Asker C 1.1M 1.7M 12mm</v>
          </cell>
          <cell r="H1939">
            <v>77</v>
          </cell>
          <cell r="I1939">
            <v>77</v>
          </cell>
          <cell r="J1939">
            <v>0</v>
          </cell>
          <cell r="K1939">
            <v>77</v>
          </cell>
          <cell r="L1939" t="str">
            <v>ASICS</v>
          </cell>
          <cell r="M1939" t="str">
            <v>Pr.Sch.R</v>
          </cell>
          <cell r="N1939" t="str">
            <v>MOLDED</v>
          </cell>
          <cell r="O1939">
            <v>1</v>
          </cell>
          <cell r="P1939">
            <v>46155</v>
          </cell>
          <cell r="Q1939">
            <v>46170</v>
          </cell>
          <cell r="R1939">
            <v>46167</v>
          </cell>
          <cell r="S1939">
            <v>15</v>
          </cell>
          <cell r="T1939">
            <v>12</v>
          </cell>
          <cell r="U1939">
            <v>11.5</v>
          </cell>
          <cell r="V1939">
            <v>7</v>
          </cell>
          <cell r="W1939" t="str">
            <v>0.16D</v>
          </cell>
          <cell r="X1939" t="str">
            <v>5-2026</v>
          </cell>
          <cell r="Y1939" t="str">
            <v>Week 21</v>
          </cell>
          <cell r="Z1939">
            <v>46160</v>
          </cell>
          <cell r="AA1939">
            <v>25</v>
          </cell>
          <cell r="AB1939">
            <v>8.6959999999999996E-2</v>
          </cell>
        </row>
        <row r="1940">
          <cell r="A1940" t="str">
            <v>F-2026-05-175</v>
          </cell>
          <cell r="B1940"/>
          <cell r="C1940" t="str">
            <v>RPRO-260513-0806</v>
          </cell>
          <cell r="D1940" t="str">
            <v>Pro.sche.report 12.5</v>
          </cell>
          <cell r="E1940" t="str">
            <v>BDB-000004</v>
          </cell>
          <cell r="F1940" t="str">
            <v>PVN-000445</v>
          </cell>
          <cell r="G1940" t="str">
            <v>OrthoLite Regular GREY/17-1501TPX Flat Sheet 0.11D 25+/-4 Asker C 1.1M 2M 13mm</v>
          </cell>
          <cell r="H1940">
            <v>50</v>
          </cell>
          <cell r="I1940">
            <v>50</v>
          </cell>
          <cell r="J1940">
            <v>0</v>
          </cell>
          <cell r="K1940">
            <v>50</v>
          </cell>
          <cell r="L1940" t="str">
            <v>DANNER</v>
          </cell>
          <cell r="M1940" t="str">
            <v>Pr.Sch.R</v>
          </cell>
          <cell r="N1940" t="str">
            <v>MOLDED</v>
          </cell>
          <cell r="O1940">
            <v>1</v>
          </cell>
          <cell r="P1940">
            <v>46155</v>
          </cell>
          <cell r="Q1940">
            <v>46170</v>
          </cell>
          <cell r="R1940">
            <v>46167</v>
          </cell>
          <cell r="S1940">
            <v>15</v>
          </cell>
          <cell r="T1940">
            <v>13</v>
          </cell>
          <cell r="U1940">
            <v>10</v>
          </cell>
          <cell r="V1940">
            <v>5</v>
          </cell>
          <cell r="W1940" t="str">
            <v>0.11D</v>
          </cell>
          <cell r="X1940" t="str">
            <v>5-2026</v>
          </cell>
          <cell r="Y1940" t="str">
            <v>Week 21</v>
          </cell>
          <cell r="Z1940">
            <v>46160</v>
          </cell>
          <cell r="AA1940">
            <v>89</v>
          </cell>
          <cell r="AB1940">
            <v>0.1</v>
          </cell>
        </row>
        <row r="1941">
          <cell r="A1941" t="str">
            <v>F-2026-05-176</v>
          </cell>
          <cell r="B1941"/>
          <cell r="C1941" t="str">
            <v>RPRO-260513-0807</v>
          </cell>
          <cell r="D1941" t="str">
            <v>Pro.sche.report 12.5</v>
          </cell>
          <cell r="E1941" t="str">
            <v>BDB-000052</v>
          </cell>
          <cell r="F1941" t="str">
            <v>PVN-003603</v>
          </cell>
          <cell r="G1941" t="str">
            <v>OrthoLite X-40 TRUE BLUE/19-4057TPX Flat Sheet 0.16D 25+/-4 Asker C 1.1M 1.47M 12mm</v>
          </cell>
          <cell r="H1941">
            <v>396</v>
          </cell>
          <cell r="I1941">
            <v>396</v>
          </cell>
          <cell r="J1941">
            <v>0</v>
          </cell>
          <cell r="K1941">
            <v>396</v>
          </cell>
          <cell r="L1941" t="str">
            <v>ASICS</v>
          </cell>
          <cell r="M1941" t="str">
            <v>Pr.Sch.R</v>
          </cell>
          <cell r="N1941" t="str">
            <v>MOLDED</v>
          </cell>
          <cell r="O1941">
            <v>1</v>
          </cell>
          <cell r="P1941">
            <v>46155</v>
          </cell>
          <cell r="Q1941">
            <v>46170</v>
          </cell>
          <cell r="R1941">
            <v>46167</v>
          </cell>
          <cell r="S1941">
            <v>15</v>
          </cell>
          <cell r="T1941">
            <v>12</v>
          </cell>
          <cell r="U1941">
            <v>11.5</v>
          </cell>
          <cell r="V1941">
            <v>35</v>
          </cell>
          <cell r="W1941" t="str">
            <v>0.16D</v>
          </cell>
          <cell r="X1941" t="str">
            <v>5-2026</v>
          </cell>
          <cell r="Y1941" t="str">
            <v>Week 21</v>
          </cell>
          <cell r="Z1941">
            <v>46160</v>
          </cell>
          <cell r="AA1941">
            <v>136</v>
          </cell>
          <cell r="AB1941">
            <v>8.6959999999999996E-2</v>
          </cell>
        </row>
        <row r="1942">
          <cell r="A1942" t="str">
            <v>F-2026-05-177</v>
          </cell>
          <cell r="B1942"/>
          <cell r="C1942" t="str">
            <v>RPRO-260513-0808</v>
          </cell>
          <cell r="D1942" t="str">
            <v>Pro.sche.report 12.5</v>
          </cell>
          <cell r="E1942" t="str">
            <v>BDB-000157</v>
          </cell>
          <cell r="F1942" t="str">
            <v>PVN-003244</v>
          </cell>
          <cell r="G1942" t="str">
            <v>OrthoLite X-35-Hybrid-Nike SEEDPEARL/12-0703TPX Hybrid Flat Sheet 0.145D 25+/-4 Asker C 1.1M 2M 5.2mm</v>
          </cell>
          <cell r="H1942">
            <v>78</v>
          </cell>
          <cell r="I1942">
            <v>78</v>
          </cell>
          <cell r="J1942">
            <v>0</v>
          </cell>
          <cell r="K1942">
            <v>78</v>
          </cell>
          <cell r="L1942" t="str">
            <v>NIKE</v>
          </cell>
          <cell r="M1942" t="str">
            <v>Pr.Sch.R</v>
          </cell>
          <cell r="N1942" t="str">
            <v>MOLDED</v>
          </cell>
          <cell r="O1942">
            <v>1</v>
          </cell>
          <cell r="P1942">
            <v>46155</v>
          </cell>
          <cell r="Q1942">
            <v>46170</v>
          </cell>
          <cell r="R1942">
            <v>46167</v>
          </cell>
          <cell r="S1942">
            <v>15</v>
          </cell>
          <cell r="T1942">
            <v>5.2</v>
          </cell>
          <cell r="U1942">
            <v>26</v>
          </cell>
          <cell r="V1942">
            <v>3</v>
          </cell>
          <cell r="W1942" t="str">
            <v>0.145D</v>
          </cell>
          <cell r="X1942" t="str">
            <v>5-2026</v>
          </cell>
          <cell r="Y1942" t="str">
            <v>Week 21</v>
          </cell>
          <cell r="Z1942">
            <v>46160</v>
          </cell>
          <cell r="AA1942">
            <v>5</v>
          </cell>
          <cell r="AB1942">
            <v>3.8460000000000001E-2</v>
          </cell>
        </row>
        <row r="1943">
          <cell r="A1943" t="str">
            <v>F-2026-05-178</v>
          </cell>
          <cell r="B1943"/>
          <cell r="C1943" t="str">
            <v>RPRO-260513-0809</v>
          </cell>
          <cell r="D1943" t="str">
            <v>Pro.sche.report 12.5</v>
          </cell>
          <cell r="E1943" t="str">
            <v>BDB-000157</v>
          </cell>
          <cell r="F1943" t="str">
            <v>PVN-003642</v>
          </cell>
          <cell r="G1943" t="str">
            <v>OrthoLite X-35-Hybrid-Nike SEEDPEARL/12-0703TPX Hybrid Flat Sheet 0.145D 25+/-4 Asker C 1.1M 2M 6.2mm</v>
          </cell>
          <cell r="H1943">
            <v>22</v>
          </cell>
          <cell r="I1943">
            <v>22</v>
          </cell>
          <cell r="J1943">
            <v>0</v>
          </cell>
          <cell r="K1943">
            <v>22</v>
          </cell>
          <cell r="L1943" t="str">
            <v>NIKE</v>
          </cell>
          <cell r="M1943" t="str">
            <v>Pr.Sch.R</v>
          </cell>
          <cell r="N1943" t="str">
            <v>MOLDED</v>
          </cell>
          <cell r="O1943">
            <v>1</v>
          </cell>
          <cell r="P1943">
            <v>46155</v>
          </cell>
          <cell r="Q1943">
            <v>46170</v>
          </cell>
          <cell r="R1943">
            <v>46167</v>
          </cell>
          <cell r="S1943">
            <v>15</v>
          </cell>
          <cell r="T1943">
            <v>6.2</v>
          </cell>
          <cell r="U1943">
            <v>22</v>
          </cell>
          <cell r="V1943">
            <v>1</v>
          </cell>
          <cell r="W1943" t="str">
            <v>0.145D</v>
          </cell>
          <cell r="X1943" t="str">
            <v>5-2026</v>
          </cell>
          <cell r="Y1943" t="str">
            <v>Week 21</v>
          </cell>
          <cell r="Z1943">
            <v>46160</v>
          </cell>
          <cell r="AA1943">
            <v>0</v>
          </cell>
          <cell r="AB1943">
            <v>4.5449999999999997E-2</v>
          </cell>
        </row>
        <row r="1944">
          <cell r="A1944" t="str">
            <v>F-2026-05-179</v>
          </cell>
          <cell r="B1944"/>
          <cell r="C1944" t="str">
            <v>RPRO-260513-0810</v>
          </cell>
          <cell r="D1944" t="str">
            <v>Pro.sche.report 12.5</v>
          </cell>
          <cell r="E1944" t="str">
            <v>BDB-000209</v>
          </cell>
          <cell r="F1944" t="str">
            <v>PVN-003462</v>
          </cell>
          <cell r="G1944" t="str">
            <v>OrthoLite HybridPlus-Recycled MINT GREEN/11-4805TPX Hybrid Flat Sheet 0.12D 25+/-4 Asker C 1.1M 2M 12mm</v>
          </cell>
          <cell r="H1944">
            <v>154</v>
          </cell>
          <cell r="I1944">
            <v>154</v>
          </cell>
          <cell r="J1944">
            <v>0</v>
          </cell>
          <cell r="K1944">
            <v>154</v>
          </cell>
          <cell r="L1944" t="str">
            <v>BROOKS</v>
          </cell>
          <cell r="M1944" t="str">
            <v>Pr.Sch.R</v>
          </cell>
          <cell r="N1944" t="str">
            <v>MOLDED</v>
          </cell>
          <cell r="O1944">
            <v>1</v>
          </cell>
          <cell r="P1944">
            <v>46155</v>
          </cell>
          <cell r="Q1944">
            <v>46170</v>
          </cell>
          <cell r="R1944">
            <v>46167</v>
          </cell>
          <cell r="S1944">
            <v>15</v>
          </cell>
          <cell r="T1944">
            <v>12</v>
          </cell>
          <cell r="U1944">
            <v>11</v>
          </cell>
          <cell r="V1944">
            <v>15</v>
          </cell>
          <cell r="W1944" t="str">
            <v>0.12D</v>
          </cell>
          <cell r="X1944" t="str">
            <v>5-2026</v>
          </cell>
          <cell r="Y1944" t="str">
            <v>Week 21</v>
          </cell>
          <cell r="Z1944">
            <v>46160</v>
          </cell>
          <cell r="AA1944">
            <v>339</v>
          </cell>
          <cell r="AB1944">
            <v>9.0910000000000005E-2</v>
          </cell>
        </row>
        <row r="1945">
          <cell r="A1945" t="str">
            <v>F-2026-05-180</v>
          </cell>
          <cell r="B1945"/>
          <cell r="C1945" t="str">
            <v>RPRO-260513-0811</v>
          </cell>
          <cell r="D1945" t="str">
            <v>Pro.sche.report 12.5</v>
          </cell>
          <cell r="E1945" t="str">
            <v>BDB-000004</v>
          </cell>
          <cell r="F1945" t="str">
            <v>PVN-000060</v>
          </cell>
          <cell r="G1945" t="str">
            <v>OrthoLite Regular GREY/17-1501TPX Flat Sheet 0.11D 25+/-4 Asker C 1.1M 2M 14mm</v>
          </cell>
          <cell r="H1945">
            <v>621</v>
          </cell>
          <cell r="I1945">
            <v>621</v>
          </cell>
          <cell r="J1945">
            <v>0</v>
          </cell>
          <cell r="K1945">
            <v>621</v>
          </cell>
          <cell r="L1945" t="str">
            <v>DANNER</v>
          </cell>
          <cell r="M1945" t="str">
            <v>Pr.Sch.R</v>
          </cell>
          <cell r="N1945" t="str">
            <v>MOLDED</v>
          </cell>
          <cell r="O1945">
            <v>1</v>
          </cell>
          <cell r="P1945">
            <v>46155</v>
          </cell>
          <cell r="Q1945">
            <v>46170</v>
          </cell>
          <cell r="R1945">
            <v>46167</v>
          </cell>
          <cell r="S1945">
            <v>15</v>
          </cell>
          <cell r="T1945">
            <v>14</v>
          </cell>
          <cell r="U1945">
            <v>9</v>
          </cell>
          <cell r="V1945">
            <v>69</v>
          </cell>
          <cell r="W1945" t="str">
            <v>0.11D</v>
          </cell>
          <cell r="X1945" t="str">
            <v>5-2026</v>
          </cell>
          <cell r="Y1945" t="str">
            <v>Week 21</v>
          </cell>
          <cell r="Z1945">
            <v>46160</v>
          </cell>
          <cell r="AA1945">
            <v>108</v>
          </cell>
          <cell r="AB1945">
            <v>0.11111</v>
          </cell>
        </row>
        <row r="1946">
          <cell r="A1946" t="str">
            <v>F-2026-05-181</v>
          </cell>
          <cell r="B1946"/>
          <cell r="C1946" t="str">
            <v>RPRO-260513-0812</v>
          </cell>
          <cell r="D1946" t="str">
            <v>Pro.sche.report 12.5</v>
          </cell>
          <cell r="E1946" t="str">
            <v>BDB-000149</v>
          </cell>
          <cell r="F1946" t="str">
            <v>PVN-002773</v>
          </cell>
          <cell r="G1946" t="str">
            <v>OrthoLite Regular-Hybrid-Nike SEEDPEARL/12-0703TPX Hybrid Flat Sheet 0.11D 25+/-4 Asker C 1.1M 2M 4mm</v>
          </cell>
          <cell r="H1946">
            <v>280</v>
          </cell>
          <cell r="I1946">
            <v>280</v>
          </cell>
          <cell r="J1946">
            <v>0</v>
          </cell>
          <cell r="K1946">
            <v>280</v>
          </cell>
          <cell r="L1946" t="str">
            <v>NIKE</v>
          </cell>
          <cell r="M1946" t="str">
            <v>Pr.Sch.R</v>
          </cell>
          <cell r="N1946" t="str">
            <v>DIE CUT</v>
          </cell>
          <cell r="O1946">
            <v>1</v>
          </cell>
          <cell r="P1946">
            <v>46155</v>
          </cell>
          <cell r="Q1946">
            <v>46170</v>
          </cell>
          <cell r="R1946">
            <v>46167</v>
          </cell>
          <cell r="S1946">
            <v>15</v>
          </cell>
          <cell r="T1946">
            <v>4</v>
          </cell>
          <cell r="U1946">
            <v>35</v>
          </cell>
          <cell r="V1946">
            <v>8</v>
          </cell>
          <cell r="W1946" t="str">
            <v>0.11D</v>
          </cell>
          <cell r="X1946" t="str">
            <v>5-2026</v>
          </cell>
          <cell r="Y1946" t="str">
            <v>Week 21</v>
          </cell>
          <cell r="Z1946">
            <v>46160</v>
          </cell>
          <cell r="AA1946">
            <v>108</v>
          </cell>
          <cell r="AB1946">
            <v>2.8570000000000002E-2</v>
          </cell>
        </row>
        <row r="1947">
          <cell r="A1947" t="str">
            <v>F-2026-05-182</v>
          </cell>
          <cell r="B1947"/>
          <cell r="C1947" t="str">
            <v>RPRO-260513-0813</v>
          </cell>
          <cell r="D1947" t="str">
            <v>Pro.sche.report 12.5</v>
          </cell>
          <cell r="E1947" t="str">
            <v>BDB-000181</v>
          </cell>
          <cell r="F1947" t="str">
            <v>PVN-003238</v>
          </cell>
          <cell r="G1947" t="str">
            <v>OrthoLite Eco LT-Hybrid-Converse SEEDPEARL/12-0703TPX Hybrid Flat Sheet 0.11D 25+/-4 Asker C 1.1M 2M 5mm</v>
          </cell>
          <cell r="H1947">
            <v>476</v>
          </cell>
          <cell r="I1947">
            <v>476</v>
          </cell>
          <cell r="J1947">
            <v>0</v>
          </cell>
          <cell r="K1947">
            <v>476</v>
          </cell>
          <cell r="L1947" t="str">
            <v>CONVERSE</v>
          </cell>
          <cell r="M1947" t="str">
            <v>Pr.Sch.R</v>
          </cell>
          <cell r="N1947" t="str">
            <v>DIE CUT</v>
          </cell>
          <cell r="O1947">
            <v>1</v>
          </cell>
          <cell r="P1947">
            <v>46155</v>
          </cell>
          <cell r="Q1947">
            <v>46170</v>
          </cell>
          <cell r="R1947">
            <v>46167</v>
          </cell>
          <cell r="S1947">
            <v>15</v>
          </cell>
          <cell r="T1947">
            <v>5</v>
          </cell>
          <cell r="U1947">
            <v>28</v>
          </cell>
          <cell r="V1947">
            <v>17</v>
          </cell>
          <cell r="W1947" t="str">
            <v>0.11D</v>
          </cell>
          <cell r="X1947" t="str">
            <v>5-2026</v>
          </cell>
          <cell r="Y1947" t="str">
            <v>Week 21</v>
          </cell>
          <cell r="Z1947">
            <v>46160</v>
          </cell>
          <cell r="AA1947">
            <v>20</v>
          </cell>
          <cell r="AB1947">
            <v>3.5709999999999999E-2</v>
          </cell>
        </row>
        <row r="1948">
          <cell r="A1948" t="str">
            <v>F-2026-05-183</v>
          </cell>
          <cell r="B1948"/>
          <cell r="C1948" t="str">
            <v>RPRO-260513-0814</v>
          </cell>
          <cell r="D1948" t="str">
            <v>Pro.sche.report 12.5</v>
          </cell>
          <cell r="E1948" t="str">
            <v>BDB-000318</v>
          </cell>
          <cell r="F1948" t="str">
            <v>PVN-004077</v>
          </cell>
          <cell r="G1948" t="str">
            <v>OrthoLite X-55 RED/19-1764TPX Flat Sheet 0.16D 25+/-4 Asker C 1.1M 2M 5.2mm</v>
          </cell>
          <cell r="H1948">
            <v>26</v>
          </cell>
          <cell r="I1948">
            <v>26</v>
          </cell>
          <cell r="J1948">
            <v>0</v>
          </cell>
          <cell r="K1948">
            <v>26</v>
          </cell>
          <cell r="L1948" t="str">
            <v>NEW BALANCE</v>
          </cell>
          <cell r="M1948" t="str">
            <v>Pr.Sch.R</v>
          </cell>
          <cell r="N1948" t="str">
            <v>MOLDED</v>
          </cell>
          <cell r="O1948">
            <v>1</v>
          </cell>
          <cell r="P1948">
            <v>46155</v>
          </cell>
          <cell r="Q1948">
            <v>46170</v>
          </cell>
          <cell r="R1948">
            <v>46167</v>
          </cell>
          <cell r="S1948">
            <v>15</v>
          </cell>
          <cell r="T1948">
            <v>5.2</v>
          </cell>
          <cell r="U1948">
            <v>26</v>
          </cell>
          <cell r="V1948">
            <v>1</v>
          </cell>
          <cell r="W1948" t="e">
            <v>#N/A</v>
          </cell>
          <cell r="X1948" t="str">
            <v>5-2026</v>
          </cell>
          <cell r="Y1948" t="str">
            <v>Week 21</v>
          </cell>
          <cell r="Z1948">
            <v>46160</v>
          </cell>
          <cell r="AA1948">
            <v>20</v>
          </cell>
          <cell r="AB1948">
            <v>3.8460000000000001E-2</v>
          </cell>
        </row>
        <row r="1022204">
          <cell r="A1022204"/>
          <cell r="B1022204"/>
          <cell r="C1022204"/>
          <cell r="D1022204"/>
          <cell r="E1022204"/>
          <cell r="F1022204"/>
          <cell r="G1022204"/>
          <cell r="H1022204"/>
          <cell r="I1022204"/>
          <cell r="J1022204"/>
          <cell r="K1022204"/>
          <cell r="L1022204"/>
          <cell r="M1022204"/>
          <cell r="N1022204"/>
          <cell r="O1022204"/>
          <cell r="P1022204"/>
          <cell r="Q1022204"/>
          <cell r="R1022204"/>
          <cell r="S1022204"/>
          <cell r="T1022204"/>
          <cell r="U1022204"/>
          <cell r="V1022204"/>
          <cell r="W1022204"/>
          <cell r="X1022204"/>
          <cell r="Y1022204"/>
          <cell r="Z1022204"/>
          <cell r="AA1022204"/>
          <cell r="AB1022204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50-2025 "/>
      <sheetName val="W51-2025"/>
      <sheetName val="W52-2025 "/>
      <sheetName val="W1-2026 (53-2025)"/>
      <sheetName val="W5-2026 _chính"/>
      <sheetName val="W2-2026"/>
      <sheetName val="W3-2026 -l1"/>
      <sheetName val="W3-2026"/>
      <sheetName val="W4-2026 -l1 "/>
      <sheetName val="W4-2026"/>
      <sheetName val="W5-2026"/>
      <sheetName val="W6-2026"/>
      <sheetName val="W7-2026"/>
      <sheetName val="W9-2026"/>
      <sheetName val="W10-2026"/>
      <sheetName val="W11-2026"/>
      <sheetName val="W12-2026"/>
      <sheetName val="W13-2026"/>
      <sheetName val="W14-2026"/>
      <sheetName val="W15-2026"/>
      <sheetName val="W16-2026"/>
      <sheetName val="W17-2026"/>
      <sheetName val="W18-2026"/>
      <sheetName val="W19-2026"/>
      <sheetName val="W20-2026"/>
      <sheetName val="Sheet2"/>
      <sheetName val="Sheet3"/>
      <sheetName val="Sheet1"/>
      <sheetName val="HANG BU "/>
      <sheetName val="Form bu Bun CT k xoa"/>
      <sheetName val="HANG BU INSOLE"/>
      <sheetName val="Form bu INSOLE-KHO"/>
      <sheetName val="Sheet4"/>
      <sheetName val="Form bu Bun CT k xoa (2)"/>
      <sheetName val="Form bu Bun CT k xoa (Sample)"/>
      <sheetName val="Form bu SAMPLE"/>
      <sheetName val="W3-2026 (2)"/>
    </sheetNames>
    <sheetDataSet>
      <sheetData sheetId="0"/>
      <sheetData sheetId="1"/>
      <sheetData sheetId="2">
        <row r="1">
          <cell r="A1">
            <v>3375</v>
          </cell>
          <cell r="B1"/>
          <cell r="C1">
            <v>3037.5</v>
          </cell>
          <cell r="D1">
            <v>6852</v>
          </cell>
          <cell r="E1">
            <v>-3477</v>
          </cell>
          <cell r="F1">
            <v>-3814.5</v>
          </cell>
          <cell r="G1" t="str">
            <v>22/12-27/12</v>
          </cell>
          <cell r="H1"/>
          <cell r="I1"/>
          <cell r="J1"/>
          <cell r="K1"/>
          <cell r="L1"/>
          <cell r="M1"/>
          <cell r="N1"/>
          <cell r="O1"/>
          <cell r="P1"/>
          <cell r="Q1"/>
          <cell r="R1"/>
          <cell r="S1"/>
          <cell r="T1"/>
          <cell r="U1"/>
          <cell r="V1" t="str">
            <v>OK</v>
          </cell>
          <cell r="W1"/>
          <cell r="X1" t="str">
            <v>done</v>
          </cell>
          <cell r="Y1" t="str">
            <v>Sản xuất đạt được</v>
          </cell>
          <cell r="Z1" t="str">
            <v>Chênh lệch
so với mục tiêu</v>
          </cell>
        </row>
        <row r="2">
          <cell r="A2">
            <v>46013</v>
          </cell>
          <cell r="B2"/>
          <cell r="C2" t="str">
            <v>thu 2</v>
          </cell>
          <cell r="D2">
            <v>234</v>
          </cell>
          <cell r="E2"/>
          <cell r="F2">
            <v>175</v>
          </cell>
          <cell r="G2"/>
          <cell r="H2">
            <v>46013</v>
          </cell>
          <cell r="I2" t="str">
            <v>thu 2</v>
          </cell>
          <cell r="J2">
            <v>198</v>
          </cell>
          <cell r="K2"/>
          <cell r="L2">
            <v>97</v>
          </cell>
          <cell r="M2"/>
          <cell r="N2">
            <v>46013</v>
          </cell>
          <cell r="O2" t="str">
            <v>thu 2</v>
          </cell>
          <cell r="P2">
            <v>57.6</v>
          </cell>
          <cell r="Q2"/>
          <cell r="R2">
            <v>98</v>
          </cell>
          <cell r="S2"/>
          <cell r="T2">
            <v>370</v>
          </cell>
          <cell r="U2"/>
          <cell r="V2">
            <v>46013</v>
          </cell>
          <cell r="W2">
            <v>385</v>
          </cell>
          <cell r="X2"/>
          <cell r="Y2" t="e">
            <v>#REF!</v>
          </cell>
          <cell r="Z2" t="e">
            <v>#REF!</v>
          </cell>
          <cell r="AA2" t="str">
            <v>RỚT</v>
          </cell>
          <cell r="AB2"/>
          <cell r="AC2"/>
        </row>
        <row r="3">
          <cell r="A3">
            <v>46014</v>
          </cell>
          <cell r="B3"/>
          <cell r="C3" t="str">
            <v>thu 3</v>
          </cell>
          <cell r="D3">
            <v>234</v>
          </cell>
          <cell r="E3">
            <v>468</v>
          </cell>
          <cell r="F3">
            <v>348</v>
          </cell>
          <cell r="G3">
            <v>523</v>
          </cell>
          <cell r="H3">
            <v>46014</v>
          </cell>
          <cell r="I3" t="str">
            <v>thu 3</v>
          </cell>
          <cell r="J3">
            <v>198</v>
          </cell>
          <cell r="K3">
            <v>396</v>
          </cell>
          <cell r="L3">
            <v>195</v>
          </cell>
          <cell r="M3">
            <v>292</v>
          </cell>
          <cell r="N3">
            <v>46014</v>
          </cell>
          <cell r="O3" t="str">
            <v>thu 3</v>
          </cell>
          <cell r="P3">
            <v>57.6</v>
          </cell>
          <cell r="Q3">
            <v>115.2</v>
          </cell>
          <cell r="R3">
            <v>197</v>
          </cell>
          <cell r="S3">
            <v>295</v>
          </cell>
          <cell r="T3">
            <v>740</v>
          </cell>
          <cell r="U3">
            <v>1110</v>
          </cell>
          <cell r="V3">
            <v>46014</v>
          </cell>
          <cell r="W3">
            <v>770</v>
          </cell>
          <cell r="X3">
            <v>1155</v>
          </cell>
          <cell r="Y3" t="e">
            <v>#REF!</v>
          </cell>
          <cell r="Z3" t="e">
            <v>#REF!</v>
          </cell>
          <cell r="AA3" t="e">
            <v>#REF!</v>
          </cell>
          <cell r="AB3"/>
          <cell r="AC3" t="e">
            <v>#REF!</v>
          </cell>
        </row>
        <row r="4">
          <cell r="A4">
            <v>46015</v>
          </cell>
          <cell r="B4"/>
          <cell r="C4" t="str">
            <v>thu 4</v>
          </cell>
          <cell r="D4">
            <v>234</v>
          </cell>
          <cell r="E4">
            <v>702</v>
          </cell>
          <cell r="F4">
            <v>348</v>
          </cell>
          <cell r="G4">
            <v>871</v>
          </cell>
          <cell r="H4">
            <v>46015</v>
          </cell>
          <cell r="I4" t="str">
            <v>thu 4</v>
          </cell>
          <cell r="J4">
            <v>198</v>
          </cell>
          <cell r="K4">
            <v>0</v>
          </cell>
          <cell r="L4">
            <v>195</v>
          </cell>
          <cell r="M4">
            <v>487</v>
          </cell>
          <cell r="N4">
            <v>46015</v>
          </cell>
          <cell r="O4" t="str">
            <v>thu 4</v>
          </cell>
          <cell r="P4">
            <v>57.6</v>
          </cell>
          <cell r="Q4">
            <v>0</v>
          </cell>
          <cell r="R4">
            <v>197</v>
          </cell>
          <cell r="S4">
            <v>492</v>
          </cell>
          <cell r="T4">
            <v>740</v>
          </cell>
          <cell r="U4">
            <v>1850</v>
          </cell>
          <cell r="V4">
            <v>46015</v>
          </cell>
          <cell r="W4">
            <v>770</v>
          </cell>
          <cell r="X4">
            <v>1925</v>
          </cell>
          <cell r="Y4" t="e">
            <v>#REF!</v>
          </cell>
          <cell r="Z4" t="e">
            <v>#REF!</v>
          </cell>
          <cell r="AA4" t="e">
            <v>#REF!</v>
          </cell>
          <cell r="AB4"/>
          <cell r="AC4" t="e">
            <v>#REF!</v>
          </cell>
        </row>
        <row r="5">
          <cell r="A5">
            <v>46016</v>
          </cell>
          <cell r="B5"/>
          <cell r="C5" t="str">
            <v>thu 5</v>
          </cell>
          <cell r="D5">
            <v>234</v>
          </cell>
          <cell r="E5">
            <v>936</v>
          </cell>
          <cell r="F5">
            <v>348</v>
          </cell>
          <cell r="G5">
            <v>1219</v>
          </cell>
          <cell r="H5">
            <v>46016</v>
          </cell>
          <cell r="I5" t="str">
            <v>thu 5</v>
          </cell>
          <cell r="J5">
            <v>198</v>
          </cell>
          <cell r="K5">
            <v>0</v>
          </cell>
          <cell r="L5">
            <v>195</v>
          </cell>
          <cell r="M5">
            <v>682</v>
          </cell>
          <cell r="N5">
            <v>46016</v>
          </cell>
          <cell r="O5" t="str">
            <v>thu 5</v>
          </cell>
          <cell r="P5">
            <v>57.6</v>
          </cell>
          <cell r="Q5">
            <v>0</v>
          </cell>
          <cell r="R5">
            <v>197</v>
          </cell>
          <cell r="S5">
            <v>689</v>
          </cell>
          <cell r="T5">
            <v>740</v>
          </cell>
          <cell r="U5">
            <v>2590</v>
          </cell>
          <cell r="V5">
            <v>46016</v>
          </cell>
          <cell r="W5">
            <v>770</v>
          </cell>
          <cell r="X5">
            <v>2695</v>
          </cell>
          <cell r="Y5" t="e">
            <v>#REF!</v>
          </cell>
          <cell r="Z5" t="e">
            <v>#REF!</v>
          </cell>
          <cell r="AA5" t="e">
            <v>#REF!</v>
          </cell>
          <cell r="AB5"/>
          <cell r="AC5" t="e">
            <v>#REF!</v>
          </cell>
        </row>
        <row r="6">
          <cell r="A6">
            <v>46017</v>
          </cell>
          <cell r="B6"/>
          <cell r="C6" t="str">
            <v>thu 6</v>
          </cell>
          <cell r="D6">
            <v>117</v>
          </cell>
          <cell r="E6">
            <v>1053</v>
          </cell>
          <cell r="F6">
            <v>229</v>
          </cell>
          <cell r="G6">
            <v>1448</v>
          </cell>
          <cell r="H6">
            <v>46017</v>
          </cell>
          <cell r="I6" t="str">
            <v>thu 6</v>
          </cell>
          <cell r="J6">
            <v>198</v>
          </cell>
          <cell r="K6">
            <v>0</v>
          </cell>
          <cell r="L6">
            <v>193</v>
          </cell>
          <cell r="M6">
            <v>875</v>
          </cell>
          <cell r="N6">
            <v>46017</v>
          </cell>
          <cell r="O6" t="str">
            <v>thu 6</v>
          </cell>
          <cell r="P6">
            <v>57.6</v>
          </cell>
          <cell r="Q6">
            <v>0</v>
          </cell>
          <cell r="R6">
            <v>198</v>
          </cell>
          <cell r="S6">
            <v>887</v>
          </cell>
          <cell r="T6">
            <v>620</v>
          </cell>
          <cell r="U6">
            <v>3210</v>
          </cell>
          <cell r="V6">
            <v>46017</v>
          </cell>
          <cell r="W6">
            <v>770</v>
          </cell>
          <cell r="X6">
            <v>3465</v>
          </cell>
          <cell r="Y6" t="e">
            <v>#REF!</v>
          </cell>
          <cell r="Z6" t="e">
            <v>#REF!</v>
          </cell>
          <cell r="AA6" t="e">
            <v>#REF!</v>
          </cell>
          <cell r="AB6"/>
          <cell r="AC6" t="e">
            <v>#REF!</v>
          </cell>
        </row>
        <row r="7">
          <cell r="A7">
            <v>46018</v>
          </cell>
          <cell r="B7"/>
          <cell r="C7" t="str">
            <v>thu 7</v>
          </cell>
          <cell r="D7">
            <v>234</v>
          </cell>
          <cell r="E7">
            <v>1287</v>
          </cell>
          <cell r="F7"/>
          <cell r="G7">
            <v>1448</v>
          </cell>
          <cell r="H7">
            <v>46018</v>
          </cell>
          <cell r="I7" t="str">
            <v>thu 7</v>
          </cell>
          <cell r="J7">
            <v>99</v>
          </cell>
          <cell r="K7">
            <v>0</v>
          </cell>
          <cell r="L7"/>
          <cell r="M7">
            <v>875</v>
          </cell>
          <cell r="N7">
            <v>46018</v>
          </cell>
          <cell r="O7" t="str">
            <v>thu 7</v>
          </cell>
          <cell r="P7">
            <v>0</v>
          </cell>
          <cell r="Q7">
            <v>0</v>
          </cell>
          <cell r="R7"/>
          <cell r="S7">
            <v>887</v>
          </cell>
          <cell r="T7">
            <v>0</v>
          </cell>
          <cell r="U7">
            <v>3210</v>
          </cell>
          <cell r="V7">
            <v>46018</v>
          </cell>
          <cell r="W7">
            <v>770</v>
          </cell>
          <cell r="X7">
            <v>4235</v>
          </cell>
          <cell r="Y7" t="e">
            <v>#REF!</v>
          </cell>
          <cell r="Z7" t="e">
            <v>#REF!</v>
          </cell>
          <cell r="AA7"/>
          <cell r="AB7"/>
          <cell r="AC7"/>
        </row>
        <row r="8">
          <cell r="A8">
            <v>46019</v>
          </cell>
          <cell r="B8"/>
          <cell r="C8" t="str">
            <v>CN</v>
          </cell>
          <cell r="D8"/>
          <cell r="E8"/>
          <cell r="F8"/>
          <cell r="G8">
            <v>1448</v>
          </cell>
          <cell r="H8">
            <v>46019</v>
          </cell>
          <cell r="I8" t="str">
            <v>CN</v>
          </cell>
          <cell r="J8"/>
          <cell r="K8"/>
          <cell r="L8"/>
          <cell r="M8">
            <v>875</v>
          </cell>
          <cell r="N8">
            <v>46019</v>
          </cell>
          <cell r="O8" t="str">
            <v>CN</v>
          </cell>
          <cell r="P8"/>
          <cell r="Q8"/>
          <cell r="R8"/>
          <cell r="S8"/>
          <cell r="T8"/>
          <cell r="U8">
            <v>3210</v>
          </cell>
          <cell r="V8">
            <v>46019</v>
          </cell>
          <cell r="W8">
            <v>0</v>
          </cell>
          <cell r="X8">
            <v>4235</v>
          </cell>
          <cell r="Y8" t="e">
            <v>#REF!</v>
          </cell>
          <cell r="Z8" t="e">
            <v>#REF!</v>
          </cell>
          <cell r="AA8"/>
          <cell r="AB8"/>
          <cell r="AC8"/>
          <cell r="AD8"/>
          <cell r="AE8"/>
          <cell r="AI8"/>
        </row>
        <row r="9">
          <cell r="A9">
            <v>5005</v>
          </cell>
          <cell r="B9"/>
          <cell r="C9">
            <v>2625</v>
          </cell>
          <cell r="D9"/>
          <cell r="E9">
            <v>1957.7142857142858</v>
          </cell>
          <cell r="F9">
            <v>-761.33333333333337</v>
          </cell>
          <cell r="G9" t="str">
            <v>Kế Hoạch Sản Xuất 
Production Planning
HANG ASSIC TACH 6MM, LAY 144MM</v>
          </cell>
          <cell r="H9">
            <v>-191482</v>
          </cell>
          <cell r="I9">
            <v>6852</v>
          </cell>
          <cell r="J9">
            <v>-3426</v>
          </cell>
          <cell r="K9">
            <v>-425.51555555555558</v>
          </cell>
          <cell r="L9"/>
          <cell r="M9">
            <v>-3426</v>
          </cell>
          <cell r="N9"/>
          <cell r="O9" t="str">
            <v>ppc/pur imp-chưa nhắc sx</v>
          </cell>
          <cell r="P9"/>
          <cell r="Q9">
            <v>45258</v>
          </cell>
          <cell r="R9" t="str">
            <v>ppc/pur imp-imp ht x</v>
          </cell>
          <cell r="S9"/>
          <cell r="T9"/>
          <cell r="U9"/>
          <cell r="V9"/>
          <cell r="Y9" t="e">
            <v>#REF!</v>
          </cell>
          <cell r="Z9" t="e">
            <v>#REF!</v>
          </cell>
        </row>
        <row r="10">
          <cell r="A10" t="str">
            <v>NO.ORDER</v>
          </cell>
          <cell r="B10" t="str">
            <v>Firm plan
(PU PVN)</v>
          </cell>
          <cell r="C10" t="str">
            <v>NGÀY SX
Date of Producing</v>
          </cell>
          <cell r="D10" t="str">
            <v>PUR.NO</v>
          </cell>
          <cell r="E10" t="str">
            <v>Bun Code</v>
          </cell>
          <cell r="F10" t="str">
            <v>PU code</v>
          </cell>
          <cell r="G10" t="str">
            <v>TÊN SẢN PHẨM
Material Name</v>
          </cell>
          <cell r="H10" t="str">
            <v>SL 
Sheet</v>
          </cell>
          <cell r="I10" t="str">
            <v>SL bun cần Tách</v>
          </cell>
          <cell r="J10" t="str">
            <v>Sl bun cần Đổ</v>
          </cell>
          <cell r="K10" t="str">
            <v>Brand</v>
          </cell>
          <cell r="L10" t="str">
            <v>POV</v>
          </cell>
          <cell r="M10" t="str">
            <v>TYPE</v>
          </cell>
          <cell r="N10" t="str">
            <v>SL cần đổ
Qty need to pour
(bun)</v>
          </cell>
          <cell r="O10" t="str">
            <v>Ghi chú
Note</v>
          </cell>
          <cell r="P10" t="str">
            <v>Status</v>
          </cell>
          <cell r="Q10" t="str">
            <v>Ngày Sản xuất hoàn thành</v>
          </cell>
          <cell r="R10" t="str">
            <v>Ngày giao hàng
ETD</v>
          </cell>
          <cell r="S10" t="str">
            <v>ETD hệ thống</v>
          </cell>
          <cell r="T10" t="str">
            <v xml:space="preserve">LOAD </v>
          </cell>
          <cell r="U10" t="str">
            <v>Out put
Thực Đổ</v>
          </cell>
          <cell r="V10" t="str">
            <v>Còn lại</v>
          </cell>
          <cell r="W10" t="str">
            <v>Sl QC check</v>
          </cell>
          <cell r="X10" t="str">
            <v>Sl đã giao</v>
          </cell>
          <cell r="Y10" t="str">
            <v>Sl chưa giao</v>
          </cell>
          <cell r="Z10" t="str">
            <v>g</v>
          </cell>
          <cell r="AA10" t="str">
            <v>note 1</v>
          </cell>
          <cell r="AB10" t="str">
            <v>note 2</v>
          </cell>
          <cell r="AC10" t="str">
            <v>note 3</v>
          </cell>
          <cell r="AD10" t="str">
            <v>note 4_diem 20.12</v>
          </cell>
          <cell r="AE10" t="str">
            <v>note 5</v>
          </cell>
          <cell r="AI10" t="str">
            <v>Note</v>
          </cell>
        </row>
        <row r="11">
          <cell r="A11"/>
          <cell r="B11"/>
          <cell r="C11">
            <v>0</v>
          </cell>
          <cell r="D11">
            <v>46012.585201851849</v>
          </cell>
          <cell r="E11"/>
          <cell r="F11"/>
          <cell r="G11" t="str">
            <v>22/12-27/12</v>
          </cell>
          <cell r="H11"/>
          <cell r="I11"/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 t="b">
            <v>1</v>
          </cell>
          <cell r="AA11"/>
          <cell r="AB11"/>
          <cell r="AC11"/>
          <cell r="AD11"/>
          <cell r="AE11"/>
          <cell r="AI11"/>
        </row>
        <row r="12">
          <cell r="A12" t="str">
            <v>F-2025-12-234</v>
          </cell>
          <cell r="B12" t="str">
            <v>RPRO-251211-0307</v>
          </cell>
          <cell r="C12" t="str">
            <v>22/12</v>
          </cell>
          <cell r="D12" t="str">
            <v>Pro.sche.report 10.12</v>
          </cell>
          <cell r="E12" t="str">
            <v>BDB-000362</v>
          </cell>
          <cell r="F12" t="str">
            <v>PVN-004259</v>
          </cell>
          <cell r="G12" t="str">
            <v>OrthoLite X-60-Hybrid SEEDPEARL/12-0703TPX Hybrid Flat Sheet 0.19D 28+/-4 Asker C 1.1M 1.7M 12mm</v>
          </cell>
          <cell r="H12">
            <v>44</v>
          </cell>
          <cell r="I12">
            <v>5</v>
          </cell>
          <cell r="J12">
            <v>5</v>
          </cell>
          <cell r="K12" t="str">
            <v>BROOKS</v>
          </cell>
          <cell r="L12" t="str">
            <v>Pr.Sch.R</v>
          </cell>
          <cell r="M12" t="str">
            <v>MOLDED</v>
          </cell>
          <cell r="N12">
            <v>7</v>
          </cell>
          <cell r="O12" t="str">
            <v>đơn cũ W51</v>
          </cell>
          <cell r="P12" t="str">
            <v>ok</v>
          </cell>
          <cell r="Q12">
            <v>46013</v>
          </cell>
          <cell r="R12">
            <v>46015</v>
          </cell>
          <cell r="S12">
            <v>46016</v>
          </cell>
          <cell r="T12" t="str">
            <v>l2</v>
          </cell>
          <cell r="U12">
            <v>7</v>
          </cell>
          <cell r="V12">
            <v>0</v>
          </cell>
          <cell r="W12" t="e">
            <v>#VALUE!</v>
          </cell>
          <cell r="X12" t="e">
            <v>#VALUE!</v>
          </cell>
          <cell r="Y12" t="e">
            <v>#VALUE!</v>
          </cell>
          <cell r="Z12" t="b">
            <v>0</v>
          </cell>
          <cell r="AA12" t="e">
            <v>#N/A</v>
          </cell>
          <cell r="AB12">
            <v>59</v>
          </cell>
          <cell r="AC12" t="e">
            <v>#N/A</v>
          </cell>
          <cell r="AD12" t="e">
            <v>#N/A</v>
          </cell>
          <cell r="AE12" t="e">
            <v>#REF!</v>
          </cell>
          <cell r="AF12">
            <v>5</v>
          </cell>
          <cell r="AG12" t="b">
            <v>1</v>
          </cell>
          <cell r="AH12" t="e">
            <v>#N/A</v>
          </cell>
          <cell r="AI12"/>
        </row>
        <row r="13">
          <cell r="A13" t="str">
            <v>F-2025-12-279</v>
          </cell>
          <cell r="B13" t="str">
            <v>RPRO-251215-0484</v>
          </cell>
          <cell r="C13" t="str">
            <v>22/12</v>
          </cell>
          <cell r="D13" t="str">
            <v>Pro.sche.report 12.12+13.12</v>
          </cell>
          <cell r="E13" t="str">
            <v>BDB-000362</v>
          </cell>
          <cell r="F13" t="str">
            <v>PVN-004259</v>
          </cell>
          <cell r="G13" t="str">
            <v>OrthoLite X-60-Hybrid SEEDPEARL/12-0703TPX Hybrid Flat Sheet 0.19D 28+/-4 Asker C 1.1M 1.7M 12mm</v>
          </cell>
          <cell r="H13">
            <v>99</v>
          </cell>
          <cell r="I13">
            <v>10</v>
          </cell>
          <cell r="J13">
            <v>10</v>
          </cell>
          <cell r="K13" t="str">
            <v>BROOKS</v>
          </cell>
          <cell r="L13" t="str">
            <v>Pr.Sch.R</v>
          </cell>
          <cell r="M13" t="str">
            <v>MOLDED</v>
          </cell>
          <cell r="N13"/>
          <cell r="O13" t="str">
            <v>đơn cũ W51</v>
          </cell>
          <cell r="P13" t="str">
            <v>ok</v>
          </cell>
          <cell r="Q13">
            <v>46013</v>
          </cell>
          <cell r="R13">
            <v>46015</v>
          </cell>
          <cell r="S13">
            <v>46016</v>
          </cell>
          <cell r="T13" t="str">
            <v>l2</v>
          </cell>
          <cell r="U13"/>
          <cell r="V13">
            <v>0</v>
          </cell>
          <cell r="W13" t="e">
            <v>#VALUE!</v>
          </cell>
          <cell r="X13" t="e">
            <v>#VALUE!</v>
          </cell>
          <cell r="Y13" t="e">
            <v>#VALUE!</v>
          </cell>
          <cell r="Z13" t="b">
            <v>0</v>
          </cell>
          <cell r="AA13" t="e">
            <v>#N/A</v>
          </cell>
          <cell r="AB13">
            <v>59</v>
          </cell>
          <cell r="AC13" t="e">
            <v>#N/A</v>
          </cell>
          <cell r="AD13" t="e">
            <v>#N/A</v>
          </cell>
          <cell r="AE13" t="e">
            <v>#REF!</v>
          </cell>
          <cell r="AF13">
            <v>10</v>
          </cell>
          <cell r="AG13" t="b">
            <v>1</v>
          </cell>
          <cell r="AH13" t="e">
            <v>#N/A</v>
          </cell>
          <cell r="AI13"/>
        </row>
        <row r="14">
          <cell r="A14"/>
          <cell r="B14"/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>
            <v>0</v>
          </cell>
          <cell r="W14"/>
          <cell r="X14"/>
          <cell r="Y14"/>
          <cell r="Z14" t="b">
            <v>1</v>
          </cell>
          <cell r="AA14"/>
          <cell r="AB14"/>
          <cell r="AC14"/>
          <cell r="AD14"/>
          <cell r="AE14"/>
          <cell r="AI14"/>
        </row>
        <row r="15">
          <cell r="A15" t="str">
            <v>F-2025-12-230</v>
          </cell>
          <cell r="B15" t="str">
            <v>RPRO-251211-0303</v>
          </cell>
          <cell r="C15" t="str">
            <v>22/12</v>
          </cell>
          <cell r="D15" t="str">
            <v>Pro.sche.report 10.12</v>
          </cell>
          <cell r="E15" t="str">
            <v>BDB-000319</v>
          </cell>
          <cell r="F15" t="str">
            <v>PVN-004081</v>
          </cell>
          <cell r="G15" t="str">
            <v>OrthoLite X-40-Hybrid-Nike SEEDPEARL/12-0703TPX Hybrid Flat Sheet 0.16D 25+/-4 Asker C 1.1M 2M 6mm</v>
          </cell>
          <cell r="H15">
            <v>391</v>
          </cell>
          <cell r="I15">
            <v>18</v>
          </cell>
          <cell r="J15">
            <v>18</v>
          </cell>
          <cell r="K15" t="str">
            <v>NIKE</v>
          </cell>
          <cell r="L15" t="str">
            <v>Pr.Sch.R</v>
          </cell>
          <cell r="M15" t="str">
            <v>MOLDED</v>
          </cell>
          <cell r="N15">
            <v>11</v>
          </cell>
          <cell r="O15" t="str">
            <v>đơn cũ W51</v>
          </cell>
          <cell r="P15" t="str">
            <v>ok</v>
          </cell>
          <cell r="Q15">
            <v>46014</v>
          </cell>
          <cell r="R15">
            <v>46016</v>
          </cell>
          <cell r="S15">
            <v>46017</v>
          </cell>
          <cell r="T15" t="str">
            <v>l2</v>
          </cell>
          <cell r="U15">
            <v>17</v>
          </cell>
          <cell r="V15">
            <v>6</v>
          </cell>
          <cell r="W15" t="e">
            <v>#VALUE!</v>
          </cell>
          <cell r="X15" t="e">
            <v>#VALUE!</v>
          </cell>
          <cell r="Y15" t="e">
            <v>#VALUE!</v>
          </cell>
          <cell r="Z15" t="b">
            <v>0</v>
          </cell>
          <cell r="AA15" t="e">
            <v>#REF!</v>
          </cell>
          <cell r="AB15">
            <v>77</v>
          </cell>
          <cell r="AC15" t="e">
            <v>#REF!</v>
          </cell>
          <cell r="AD15" t="e">
            <v>#REF!</v>
          </cell>
          <cell r="AE15" t="e">
            <v>#REF!</v>
          </cell>
          <cell r="AF15">
            <v>18</v>
          </cell>
          <cell r="AG15" t="b">
            <v>1</v>
          </cell>
          <cell r="AH15" t="e">
            <v>#N/A</v>
          </cell>
          <cell r="AI15"/>
        </row>
        <row r="16">
          <cell r="A16"/>
          <cell r="B16"/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>
            <v>0</v>
          </cell>
          <cell r="W16"/>
          <cell r="X16"/>
          <cell r="Y16"/>
          <cell r="Z16" t="b">
            <v>1</v>
          </cell>
          <cell r="AA16"/>
          <cell r="AB16"/>
          <cell r="AC16"/>
          <cell r="AD16"/>
          <cell r="AE16"/>
          <cell r="AI16"/>
        </row>
        <row r="17">
          <cell r="A17" t="str">
            <v>F-2025-12-379</v>
          </cell>
          <cell r="B17" t="str">
            <v>RPRO-251219-0292</v>
          </cell>
          <cell r="C17" t="str">
            <v>22/12</v>
          </cell>
          <cell r="D17" t="str">
            <v>Pro.sche.report 18.12</v>
          </cell>
          <cell r="E17" t="str">
            <v>BDB-000055</v>
          </cell>
          <cell r="F17" t="str">
            <v>PVN-003387</v>
          </cell>
          <cell r="G17" t="str">
            <v>OrthoLite X-40 TRUE BLUE/19-4057TPX Flat Sheet 0.16D 35+/-4 Asker C 1.1M 1.7M 13.5mm</v>
          </cell>
          <cell r="H17">
            <v>333</v>
          </cell>
          <cell r="I17">
            <v>37</v>
          </cell>
          <cell r="J17">
            <v>37</v>
          </cell>
          <cell r="K17" t="str">
            <v>ADIDAS</v>
          </cell>
          <cell r="L17" t="str">
            <v>Pr.Sch.R</v>
          </cell>
          <cell r="M17" t="str">
            <v>MOLDED</v>
          </cell>
          <cell r="N17">
            <v>33</v>
          </cell>
          <cell r="O17" t="str">
            <v xml:space="preserve">W51 đổ dư 4 bun </v>
          </cell>
          <cell r="P17" t="str">
            <v>ok</v>
          </cell>
          <cell r="Q17">
            <v>46015</v>
          </cell>
          <cell r="R17">
            <v>46017</v>
          </cell>
          <cell r="S17">
            <v>46018</v>
          </cell>
          <cell r="T17" t="str">
            <v>l1</v>
          </cell>
          <cell r="U17">
            <v>33</v>
          </cell>
          <cell r="V17">
            <v>0</v>
          </cell>
          <cell r="W17" t="e">
            <v>#VALUE!</v>
          </cell>
          <cell r="X17" t="e">
            <v>#VALUE!</v>
          </cell>
          <cell r="Y17" t="e">
            <v>#VALUE!</v>
          </cell>
          <cell r="Z17" t="b">
            <v>0</v>
          </cell>
          <cell r="AA17" t="e">
            <v>#REF!</v>
          </cell>
          <cell r="AB17">
            <v>17</v>
          </cell>
          <cell r="AC17" t="e">
            <v>#REF!</v>
          </cell>
          <cell r="AD17" t="e">
            <v>#REF!</v>
          </cell>
          <cell r="AE17" t="e">
            <v>#REF!</v>
          </cell>
          <cell r="AF17">
            <v>37</v>
          </cell>
          <cell r="AG17" t="b">
            <v>1</v>
          </cell>
          <cell r="AH17" t="e">
            <v>#N/A</v>
          </cell>
          <cell r="AI17"/>
        </row>
        <row r="18">
          <cell r="A18"/>
          <cell r="B18"/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 t="b">
            <v>1</v>
          </cell>
          <cell r="AA18"/>
          <cell r="AB18"/>
          <cell r="AC18"/>
          <cell r="AD18"/>
          <cell r="AE18"/>
          <cell r="AI18"/>
        </row>
        <row r="19">
          <cell r="A19" t="str">
            <v>F-2025-12-268</v>
          </cell>
          <cell r="B19" t="str">
            <v>RPRO-251215-0473</v>
          </cell>
          <cell r="C19" t="str">
            <v>22/12</v>
          </cell>
          <cell r="D19" t="str">
            <v>Pro.sche.report 12.12+13.12</v>
          </cell>
          <cell r="E19" t="str">
            <v>BDB-000332</v>
          </cell>
          <cell r="F19" t="str">
            <v>PVN-004146</v>
          </cell>
          <cell r="G19" t="str">
            <v>OrthoLite X-25 CASTLEROCK/18-0201TPX Flat Sheet 0.12D 20+/-4 Asker C 1.1M 2M 5.5mm</v>
          </cell>
          <cell r="H19">
            <v>25</v>
          </cell>
          <cell r="I19">
            <v>1</v>
          </cell>
          <cell r="J19">
            <v>1</v>
          </cell>
          <cell r="K19" t="str">
            <v>ON RUNNING</v>
          </cell>
          <cell r="L19" t="str">
            <v>Pr.Sch.R</v>
          </cell>
          <cell r="M19" t="str">
            <v>MOLDED</v>
          </cell>
          <cell r="N19">
            <v>1</v>
          </cell>
          <cell r="O19"/>
          <cell r="P19" t="str">
            <v>ok</v>
          </cell>
          <cell r="Q19">
            <v>46016</v>
          </cell>
          <cell r="R19">
            <v>46025</v>
          </cell>
          <cell r="S19">
            <v>46027</v>
          </cell>
          <cell r="T19" t="str">
            <v>l1</v>
          </cell>
          <cell r="U19">
            <v>1</v>
          </cell>
          <cell r="V19">
            <v>0</v>
          </cell>
          <cell r="W19" t="e">
            <v>#VALUE!</v>
          </cell>
          <cell r="X19" t="e">
            <v>#VALUE!</v>
          </cell>
          <cell r="Y19" t="e">
            <v>#VALUE!</v>
          </cell>
          <cell r="Z19" t="b">
            <v>0</v>
          </cell>
          <cell r="AA19" t="e">
            <v>#REF!</v>
          </cell>
          <cell r="AB19">
            <v>1</v>
          </cell>
          <cell r="AC19" t="e">
            <v>#REF!</v>
          </cell>
          <cell r="AD19" t="e">
            <v>#REF!</v>
          </cell>
          <cell r="AE19" t="e">
            <v>#REF!</v>
          </cell>
          <cell r="AF19">
            <v>1</v>
          </cell>
          <cell r="AG19" t="b">
            <v>1</v>
          </cell>
          <cell r="AH19" t="e">
            <v>#N/A</v>
          </cell>
          <cell r="AI19"/>
        </row>
        <row r="20">
          <cell r="A20"/>
          <cell r="B20"/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 t="b">
            <v>1</v>
          </cell>
          <cell r="AA20"/>
          <cell r="AB20"/>
          <cell r="AC20"/>
          <cell r="AD20"/>
          <cell r="AE20"/>
          <cell r="AI20"/>
        </row>
        <row r="21">
          <cell r="A21" t="str">
            <v>F-2025-12-251</v>
          </cell>
          <cell r="B21" t="str">
            <v>RPRO-251215-0456</v>
          </cell>
          <cell r="C21" t="str">
            <v>22/12</v>
          </cell>
          <cell r="D21" t="str">
            <v>MPS 12.12+13.12</v>
          </cell>
          <cell r="E21" t="str">
            <v>BDB-000077</v>
          </cell>
          <cell r="F21" t="str">
            <v>PVN-003478</v>
          </cell>
          <cell r="G21" t="str">
            <v>Ortholite X-25 SEEDPEARL/12-0703TPX Flat Sheet 0.12D 20+/-4 Asker C 1.1M 2M 4mm</v>
          </cell>
          <cell r="H21">
            <v>140</v>
          </cell>
          <cell r="I21">
            <v>4</v>
          </cell>
          <cell r="J21">
            <v>4</v>
          </cell>
          <cell r="K21"/>
          <cell r="L21" t="str">
            <v>MPS</v>
          </cell>
          <cell r="M21" t="str">
            <v>SPLITTING</v>
          </cell>
          <cell r="N21">
            <v>5</v>
          </cell>
          <cell r="O21"/>
          <cell r="P21" t="str">
            <v>ok</v>
          </cell>
          <cell r="Q21">
            <v>46016</v>
          </cell>
          <cell r="R21">
            <v>46024</v>
          </cell>
          <cell r="S21">
            <v>46025</v>
          </cell>
          <cell r="T21" t="str">
            <v>l1</v>
          </cell>
          <cell r="U21">
            <v>5</v>
          </cell>
          <cell r="V21">
            <v>0</v>
          </cell>
          <cell r="W21" t="e">
            <v>#VALUE!</v>
          </cell>
          <cell r="X21" t="e">
            <v>#VALUE!</v>
          </cell>
          <cell r="Y21" t="e">
            <v>#VALUE!</v>
          </cell>
          <cell r="Z21" t="b">
            <v>0</v>
          </cell>
          <cell r="AA21" t="e">
            <v>#REF!</v>
          </cell>
          <cell r="AB21">
            <v>2</v>
          </cell>
          <cell r="AC21" t="e">
            <v>#REF!</v>
          </cell>
          <cell r="AD21" t="e">
            <v>#REF!</v>
          </cell>
          <cell r="AE21" t="e">
            <v>#REF!</v>
          </cell>
          <cell r="AF21">
            <v>4</v>
          </cell>
          <cell r="AG21" t="b">
            <v>1</v>
          </cell>
          <cell r="AH21" t="e">
            <v>#N/A</v>
          </cell>
          <cell r="AI21"/>
        </row>
        <row r="22">
          <cell r="A22" t="str">
            <v>F-2025-12-267</v>
          </cell>
          <cell r="B22" t="str">
            <v>RPRO-251215-0472</v>
          </cell>
          <cell r="C22" t="str">
            <v>22/12</v>
          </cell>
          <cell r="D22" t="str">
            <v>Pro.sche.report 12.12+13.12</v>
          </cell>
          <cell r="E22" t="str">
            <v>BDB-000077</v>
          </cell>
          <cell r="F22" t="str">
            <v>PVN-004147</v>
          </cell>
          <cell r="G22" t="str">
            <v>OrthoLite X-25 SEEDPEARL/12-0703TPX Flat Sheet 0.12D 20+/-4 Asker C 1.1M 2M 5.5mm</v>
          </cell>
          <cell r="H22">
            <v>25</v>
          </cell>
          <cell r="I22">
            <v>1</v>
          </cell>
          <cell r="J22">
            <v>1</v>
          </cell>
          <cell r="K22" t="str">
            <v>ON RUNNING</v>
          </cell>
          <cell r="L22" t="str">
            <v>Pr.Sch.R</v>
          </cell>
          <cell r="M22" t="str">
            <v>MOLDED</v>
          </cell>
          <cell r="N22"/>
          <cell r="O22"/>
          <cell r="P22" t="str">
            <v>ok</v>
          </cell>
          <cell r="Q22">
            <v>46017</v>
          </cell>
          <cell r="R22">
            <v>46025</v>
          </cell>
          <cell r="S22">
            <v>46027</v>
          </cell>
          <cell r="T22" t="str">
            <v>l1</v>
          </cell>
          <cell r="U22"/>
          <cell r="V22">
            <v>0</v>
          </cell>
          <cell r="W22" t="e">
            <v>#VALUE!</v>
          </cell>
          <cell r="X22" t="e">
            <v>#VALUE!</v>
          </cell>
          <cell r="Y22" t="e">
            <v>#VALUE!</v>
          </cell>
          <cell r="Z22" t="b">
            <v>0</v>
          </cell>
          <cell r="AA22" t="e">
            <v>#REF!</v>
          </cell>
          <cell r="AB22">
            <v>2</v>
          </cell>
          <cell r="AC22" t="e">
            <v>#REF!</v>
          </cell>
          <cell r="AD22" t="e">
            <v>#REF!</v>
          </cell>
          <cell r="AE22" t="e">
            <v>#REF!</v>
          </cell>
          <cell r="AF22">
            <v>1</v>
          </cell>
          <cell r="AG22" t="b">
            <v>1</v>
          </cell>
          <cell r="AH22" t="e">
            <v>#N/A</v>
          </cell>
          <cell r="AI22"/>
        </row>
        <row r="23">
          <cell r="A23"/>
          <cell r="B23"/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 t="b">
            <v>1</v>
          </cell>
          <cell r="AA23"/>
          <cell r="AB23"/>
          <cell r="AC23"/>
          <cell r="AD23"/>
          <cell r="AE23"/>
          <cell r="AI23"/>
        </row>
        <row r="24">
          <cell r="A24" t="str">
            <v>F-2025-12-254</v>
          </cell>
          <cell r="B24" t="str">
            <v>RPRO-251215-0459</v>
          </cell>
          <cell r="C24" t="str">
            <v>22/12</v>
          </cell>
          <cell r="D24" t="str">
            <v>MPS 12.12+13.12</v>
          </cell>
          <cell r="E24" t="str">
            <v>BDB-000305</v>
          </cell>
          <cell r="F24" t="str">
            <v>PVN-004000</v>
          </cell>
          <cell r="G24" t="str">
            <v>OrthoLite X-35-Nike YELLOW/13-0858TPX Flat Sheet 0.145D 25+/-4 Asker C 1.1M 2M 5.5mm</v>
          </cell>
          <cell r="H24">
            <v>300</v>
          </cell>
          <cell r="I24">
            <v>12</v>
          </cell>
          <cell r="J24">
            <v>12</v>
          </cell>
          <cell r="K24"/>
          <cell r="L24" t="str">
            <v>MPS</v>
          </cell>
          <cell r="M24" t="str">
            <v>SPLITTING</v>
          </cell>
          <cell r="N24">
            <v>12</v>
          </cell>
          <cell r="O24"/>
          <cell r="P24" t="str">
            <v>ok</v>
          </cell>
          <cell r="Q24">
            <v>46016</v>
          </cell>
          <cell r="R24">
            <v>46024</v>
          </cell>
          <cell r="S24">
            <v>46025</v>
          </cell>
          <cell r="T24" t="str">
            <v>l1</v>
          </cell>
          <cell r="U24">
            <v>12</v>
          </cell>
          <cell r="V24">
            <v>0</v>
          </cell>
          <cell r="W24" t="e">
            <v>#VALUE!</v>
          </cell>
          <cell r="X24" t="e">
            <v>#VALUE!</v>
          </cell>
          <cell r="Y24" t="e">
            <v>#VALUE!</v>
          </cell>
          <cell r="Z24" t="b">
            <v>0</v>
          </cell>
          <cell r="AA24" t="e">
            <v>#REF!</v>
          </cell>
          <cell r="AB24">
            <v>0</v>
          </cell>
          <cell r="AC24">
            <v>0</v>
          </cell>
          <cell r="AD24" t="e">
            <v>#REF!</v>
          </cell>
          <cell r="AE24" t="e">
            <v>#REF!</v>
          </cell>
          <cell r="AF24">
            <v>12</v>
          </cell>
          <cell r="AG24" t="b">
            <v>1</v>
          </cell>
          <cell r="AH24" t="e">
            <v>#N/A</v>
          </cell>
          <cell r="AI24"/>
        </row>
        <row r="25">
          <cell r="A25"/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 t="b">
            <v>1</v>
          </cell>
          <cell r="AA25"/>
          <cell r="AB25"/>
          <cell r="AC25"/>
          <cell r="AD25"/>
          <cell r="AE25"/>
          <cell r="AI25"/>
        </row>
        <row r="26">
          <cell r="A26" t="str">
            <v>F-2025-10-261</v>
          </cell>
          <cell r="B26" t="str">
            <v>FPRO-251021-0013</v>
          </cell>
          <cell r="C26" t="str">
            <v>22/12-23/12</v>
          </cell>
          <cell r="D26" t="str">
            <v>Firm plan 21.10</v>
          </cell>
          <cell r="E26" t="str">
            <v>BDB-000259</v>
          </cell>
          <cell r="F26" t="str">
            <v>PVN-003684</v>
          </cell>
          <cell r="G26" t="str">
            <v>OrthoLite Nike PP002 GLACIER GRAY/14-4102TPX Flat Sheet 0.145D 25+/-4 asker C 1.1M 2M 4.2mm</v>
          </cell>
          <cell r="H26">
            <v>2000</v>
          </cell>
          <cell r="I26">
            <v>61</v>
          </cell>
          <cell r="J26">
            <v>61</v>
          </cell>
          <cell r="K26" t="str">
            <v>NIKE</v>
          </cell>
          <cell r="L26" t="str">
            <v>Forecast</v>
          </cell>
          <cell r="M26" t="str">
            <v>MOLDED</v>
          </cell>
          <cell r="N26">
            <v>61</v>
          </cell>
          <cell r="O26"/>
          <cell r="P26" t="str">
            <v>ok</v>
          </cell>
          <cell r="Q26">
            <v>46016</v>
          </cell>
          <cell r="R26">
            <v>46024</v>
          </cell>
          <cell r="S26">
            <v>46025</v>
          </cell>
          <cell r="T26" t="str">
            <v>l1</v>
          </cell>
          <cell r="U26">
            <v>61</v>
          </cell>
          <cell r="V26">
            <v>0</v>
          </cell>
          <cell r="W26" t="e">
            <v>#VALUE!</v>
          </cell>
          <cell r="X26" t="e">
            <v>#VALUE!</v>
          </cell>
          <cell r="Y26" t="e">
            <v>#VALUE!</v>
          </cell>
          <cell r="Z26" t="b">
            <v>0</v>
          </cell>
          <cell r="AA26" t="e">
            <v>#REF!</v>
          </cell>
          <cell r="AB26">
            <v>61</v>
          </cell>
          <cell r="AC26" t="e">
            <v>#REF!</v>
          </cell>
          <cell r="AD26" t="e">
            <v>#REF!</v>
          </cell>
          <cell r="AE26" t="e">
            <v>#REF!</v>
          </cell>
          <cell r="AF26">
            <v>61</v>
          </cell>
          <cell r="AG26" t="b">
            <v>1</v>
          </cell>
          <cell r="AH26" t="e">
            <v>#N/A</v>
          </cell>
          <cell r="AI26"/>
        </row>
        <row r="27">
          <cell r="A27"/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 t="b">
            <v>1</v>
          </cell>
          <cell r="AA27"/>
          <cell r="AB27"/>
          <cell r="AC27"/>
          <cell r="AD27"/>
          <cell r="AE27"/>
          <cell r="AI27"/>
        </row>
        <row r="28">
          <cell r="A28" t="str">
            <v>F-2025-12-296</v>
          </cell>
          <cell r="B28" t="str">
            <v>RPRO-251216-0451</v>
          </cell>
          <cell r="C28" t="str">
            <v>23/12</v>
          </cell>
          <cell r="D28" t="str">
            <v>Pro.sche.report 15.12</v>
          </cell>
          <cell r="E28" t="str">
            <v>BDB-000336</v>
          </cell>
          <cell r="F28" t="str">
            <v>PVN-004168</v>
          </cell>
          <cell r="G28" t="str">
            <v>OrthoLite X-40-Nike SEEDPEARL/12-0703TPX Flat Sheet 0.16D 35+/-4 Asker C 1.1M 2M 4.5mm</v>
          </cell>
          <cell r="H28">
            <v>31</v>
          </cell>
          <cell r="I28">
            <v>2</v>
          </cell>
          <cell r="J28">
            <v>2</v>
          </cell>
          <cell r="K28" t="str">
            <v>NIKE</v>
          </cell>
          <cell r="L28" t="str">
            <v>Pr.Sch.R</v>
          </cell>
          <cell r="M28" t="str">
            <v>MOLDED</v>
          </cell>
          <cell r="N28">
            <v>7</v>
          </cell>
          <cell r="O28"/>
          <cell r="P28" t="str">
            <v>ok</v>
          </cell>
          <cell r="Q28">
            <v>46017</v>
          </cell>
          <cell r="R28">
            <v>46025</v>
          </cell>
          <cell r="S28">
            <v>46027</v>
          </cell>
          <cell r="T28" t="str">
            <v>l1</v>
          </cell>
          <cell r="U28">
            <v>8</v>
          </cell>
          <cell r="V28">
            <v>1</v>
          </cell>
          <cell r="W28" t="e">
            <v>#VALUE!</v>
          </cell>
          <cell r="X28" t="e">
            <v>#VALUE!</v>
          </cell>
          <cell r="Y28" t="e">
            <v>#VALUE!</v>
          </cell>
          <cell r="Z28" t="b">
            <v>0</v>
          </cell>
          <cell r="AA28" t="e">
            <v>#REF!</v>
          </cell>
          <cell r="AB28">
            <v>0</v>
          </cell>
          <cell r="AC28">
            <v>0</v>
          </cell>
          <cell r="AD28" t="e">
            <v>#REF!</v>
          </cell>
          <cell r="AE28" t="e">
            <v>#REF!</v>
          </cell>
          <cell r="AF28">
            <v>2</v>
          </cell>
          <cell r="AG28" t="b">
            <v>1</v>
          </cell>
          <cell r="AH28" t="e">
            <v>#N/A</v>
          </cell>
          <cell r="AI28"/>
        </row>
        <row r="29">
          <cell r="A29" t="str">
            <v>F-2025-12-263</v>
          </cell>
          <cell r="B29" t="str">
            <v>RPRO-251215-0468</v>
          </cell>
          <cell r="C29" t="str">
            <v>23/12</v>
          </cell>
          <cell r="D29" t="str">
            <v>Pro.sche.report 12.12+13.12</v>
          </cell>
          <cell r="E29" t="str">
            <v>BDB-000336</v>
          </cell>
          <cell r="F29" t="str">
            <v>PVN-004168</v>
          </cell>
          <cell r="G29" t="str">
            <v>OrthoLite X-40-Nike SEEDPEARL/12-0703TPX Flat Sheet 0.16D 35+/-4 Asker C 1.1M 2M 4.5mm</v>
          </cell>
          <cell r="H29">
            <v>124</v>
          </cell>
          <cell r="I29">
            <v>5</v>
          </cell>
          <cell r="J29">
            <v>5</v>
          </cell>
          <cell r="K29" t="str">
            <v>NIKE</v>
          </cell>
          <cell r="L29" t="str">
            <v>Pr.Sch.R</v>
          </cell>
          <cell r="M29" t="str">
            <v>MOLDED</v>
          </cell>
          <cell r="N29"/>
          <cell r="O29"/>
          <cell r="P29" t="str">
            <v>ok</v>
          </cell>
          <cell r="Q29">
            <v>46017</v>
          </cell>
          <cell r="R29">
            <v>46025</v>
          </cell>
          <cell r="S29">
            <v>46027</v>
          </cell>
          <cell r="T29" t="str">
            <v>l1</v>
          </cell>
          <cell r="U29"/>
          <cell r="V29">
            <v>0</v>
          </cell>
          <cell r="W29" t="e">
            <v>#VALUE!</v>
          </cell>
          <cell r="X29" t="e">
            <v>#VALUE!</v>
          </cell>
          <cell r="Y29" t="e">
            <v>#VALUE!</v>
          </cell>
          <cell r="Z29" t="b">
            <v>0</v>
          </cell>
          <cell r="AA29" t="e">
            <v>#REF!</v>
          </cell>
          <cell r="AB29">
            <v>0</v>
          </cell>
          <cell r="AC29">
            <v>0</v>
          </cell>
          <cell r="AD29" t="e">
            <v>#REF!</v>
          </cell>
          <cell r="AE29" t="e">
            <v>#REF!</v>
          </cell>
          <cell r="AF29">
            <v>5</v>
          </cell>
          <cell r="AG29" t="b">
            <v>1</v>
          </cell>
          <cell r="AH29" t="e">
            <v>#N/A</v>
          </cell>
          <cell r="AI29"/>
        </row>
        <row r="30">
          <cell r="A30"/>
          <cell r="B30"/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 t="b">
            <v>1</v>
          </cell>
          <cell r="AA30"/>
          <cell r="AB30"/>
          <cell r="AC30"/>
          <cell r="AD30"/>
          <cell r="AE30"/>
          <cell r="AI30"/>
        </row>
        <row r="31">
          <cell r="A31" t="str">
            <v>F-2025-12-256</v>
          </cell>
          <cell r="B31" t="str">
            <v>RPRO-251215-0461</v>
          </cell>
          <cell r="C31" t="str">
            <v>23/12</v>
          </cell>
          <cell r="D31" t="str">
            <v>Pro.sche.report 12.12+13.12</v>
          </cell>
          <cell r="E31" t="str">
            <v>BDB-000157</v>
          </cell>
          <cell r="F31" t="str">
            <v>PVN-003642</v>
          </cell>
          <cell r="G31" t="str">
            <v>OrthoLite X-35-Hybrid-Nike SEEDPEARL/12-0703TPX Hybrid Flat Sheet 0.145D 25+/-4 Asker C 1.1M 2M 6.2mm</v>
          </cell>
          <cell r="H31">
            <v>176</v>
          </cell>
          <cell r="I31">
            <v>8</v>
          </cell>
          <cell r="J31">
            <v>8</v>
          </cell>
          <cell r="K31" t="str">
            <v>NIKE</v>
          </cell>
          <cell r="L31" t="str">
            <v>Pr.Sch.R</v>
          </cell>
          <cell r="M31" t="str">
            <v>MOLDED</v>
          </cell>
          <cell r="N31">
            <v>8</v>
          </cell>
          <cell r="O31"/>
          <cell r="P31" t="str">
            <v>ok</v>
          </cell>
          <cell r="Q31">
            <v>46017</v>
          </cell>
          <cell r="R31">
            <v>46025</v>
          </cell>
          <cell r="S31">
            <v>46027</v>
          </cell>
          <cell r="T31" t="str">
            <v>l1</v>
          </cell>
          <cell r="U31">
            <v>8</v>
          </cell>
          <cell r="V31">
            <v>0</v>
          </cell>
          <cell r="W31" t="e">
            <v>#VALUE!</v>
          </cell>
          <cell r="X31" t="e">
            <v>#VALUE!</v>
          </cell>
          <cell r="Y31" t="e">
            <v>#VALUE!</v>
          </cell>
          <cell r="Z31" t="b">
            <v>0</v>
          </cell>
          <cell r="AA31" t="e">
            <v>#REF!</v>
          </cell>
          <cell r="AB31">
            <v>93</v>
          </cell>
          <cell r="AC31" t="e">
            <v>#REF!</v>
          </cell>
          <cell r="AD31" t="e">
            <v>#REF!</v>
          </cell>
          <cell r="AE31" t="e">
            <v>#REF!</v>
          </cell>
          <cell r="AF31">
            <v>8</v>
          </cell>
          <cell r="AG31" t="b">
            <v>1</v>
          </cell>
          <cell r="AH31" t="e">
            <v>#N/A</v>
          </cell>
          <cell r="AI31"/>
        </row>
        <row r="32">
          <cell r="A32"/>
          <cell r="B32"/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 t="b">
            <v>1</v>
          </cell>
          <cell r="AA32"/>
          <cell r="AB32"/>
          <cell r="AC32"/>
          <cell r="AD32"/>
          <cell r="AE32"/>
          <cell r="AI32"/>
        </row>
        <row r="33">
          <cell r="A33" t="str">
            <v>F-2025-12-275</v>
          </cell>
          <cell r="B33" t="str">
            <v>RPRO-251215-0480</v>
          </cell>
          <cell r="C33" t="str">
            <v>23/12</v>
          </cell>
          <cell r="D33" t="str">
            <v>Pro.sche.report 12.12+13.12</v>
          </cell>
          <cell r="E33" t="str">
            <v>BDB-000319</v>
          </cell>
          <cell r="F33" t="str">
            <v>PVN-004081</v>
          </cell>
          <cell r="G33" t="str">
            <v>OrthoLite X-40-Hybrid-Nike SEEDPEARL/12-0703TPX Hybrid Flat Sheet 0.16D 25+/-4 Asker C 1.1M 2M 6mm</v>
          </cell>
          <cell r="H33">
            <v>690</v>
          </cell>
          <cell r="I33">
            <v>31</v>
          </cell>
          <cell r="J33">
            <v>31</v>
          </cell>
          <cell r="K33" t="str">
            <v>NIKE</v>
          </cell>
          <cell r="L33" t="str">
            <v>Pr.Sch.R</v>
          </cell>
          <cell r="M33" t="str">
            <v>MOLDED</v>
          </cell>
          <cell r="N33">
            <v>31</v>
          </cell>
          <cell r="O33"/>
          <cell r="P33" t="str">
            <v>ok</v>
          </cell>
          <cell r="Q33">
            <v>46017</v>
          </cell>
          <cell r="R33">
            <v>46025</v>
          </cell>
          <cell r="S33">
            <v>46027</v>
          </cell>
          <cell r="T33" t="str">
            <v>l1</v>
          </cell>
          <cell r="U33">
            <v>31</v>
          </cell>
          <cell r="V33">
            <v>0</v>
          </cell>
          <cell r="W33" t="e">
            <v>#VALUE!</v>
          </cell>
          <cell r="X33" t="e">
            <v>#VALUE!</v>
          </cell>
          <cell r="Y33" t="e">
            <v>#VALUE!</v>
          </cell>
          <cell r="Z33" t="b">
            <v>0</v>
          </cell>
          <cell r="AA33" t="e">
            <v>#REF!</v>
          </cell>
          <cell r="AB33">
            <v>77</v>
          </cell>
          <cell r="AC33" t="e">
            <v>#REF!</v>
          </cell>
          <cell r="AD33" t="e">
            <v>#REF!</v>
          </cell>
          <cell r="AE33" t="e">
            <v>#REF!</v>
          </cell>
          <cell r="AF33">
            <v>31</v>
          </cell>
          <cell r="AG33" t="b">
            <v>1</v>
          </cell>
          <cell r="AH33" t="e">
            <v>#N/A</v>
          </cell>
          <cell r="AI33"/>
        </row>
        <row r="34">
          <cell r="A34"/>
          <cell r="B34"/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 t="b">
            <v>1</v>
          </cell>
          <cell r="AA34"/>
          <cell r="AB34"/>
          <cell r="AC34"/>
          <cell r="AD34"/>
          <cell r="AE34"/>
          <cell r="AI34"/>
        </row>
        <row r="35">
          <cell r="A35" t="str">
            <v>F-2025-12-259</v>
          </cell>
          <cell r="B35" t="str">
            <v>RPRO-251215-0464</v>
          </cell>
          <cell r="C35" t="str">
            <v>23/12</v>
          </cell>
          <cell r="D35" t="str">
            <v>Pro.sche.report 12.12+13.12</v>
          </cell>
          <cell r="E35" t="str">
            <v>BDB-000052</v>
          </cell>
          <cell r="F35" t="str">
            <v>PVN-003603</v>
          </cell>
          <cell r="G35" t="str">
            <v>OrthoLite X-40 TRUE BLUE/19-4057TPX Flat Sheet 0.16D 25+/-4 Asker C 1.1M 1.47M 12mm</v>
          </cell>
          <cell r="H35">
            <v>792</v>
          </cell>
          <cell r="I35">
            <v>69</v>
          </cell>
          <cell r="J35">
            <v>69</v>
          </cell>
          <cell r="K35" t="str">
            <v>ASICS</v>
          </cell>
          <cell r="L35" t="str">
            <v>Pr.Sch.R</v>
          </cell>
          <cell r="M35" t="str">
            <v>MOLDED</v>
          </cell>
          <cell r="N35">
            <v>69</v>
          </cell>
          <cell r="O35"/>
          <cell r="P35" t="str">
            <v>ok</v>
          </cell>
          <cell r="Q35">
            <v>46017</v>
          </cell>
          <cell r="R35">
            <v>46025</v>
          </cell>
          <cell r="S35">
            <v>46027</v>
          </cell>
          <cell r="T35" t="str">
            <v>l1</v>
          </cell>
          <cell r="U35">
            <v>66</v>
          </cell>
          <cell r="V35">
            <v>-3</v>
          </cell>
          <cell r="W35" t="e">
            <v>#VALUE!</v>
          </cell>
          <cell r="X35" t="e">
            <v>#VALUE!</v>
          </cell>
          <cell r="Y35" t="e">
            <v>#VALUE!</v>
          </cell>
          <cell r="Z35" t="b">
            <v>0</v>
          </cell>
          <cell r="AA35" t="e">
            <v>#REF!</v>
          </cell>
          <cell r="AB35">
            <v>2</v>
          </cell>
          <cell r="AC35" t="e">
            <v>#REF!</v>
          </cell>
          <cell r="AD35" t="e">
            <v>#REF!</v>
          </cell>
          <cell r="AE35" t="e">
            <v>#REF!</v>
          </cell>
          <cell r="AF35">
            <v>69</v>
          </cell>
          <cell r="AG35" t="b">
            <v>1</v>
          </cell>
          <cell r="AH35" t="e">
            <v>#N/A</v>
          </cell>
          <cell r="AI35"/>
        </row>
        <row r="36">
          <cell r="A36"/>
          <cell r="B36"/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 t="b">
            <v>1</v>
          </cell>
          <cell r="AA36"/>
          <cell r="AB36"/>
          <cell r="AC36"/>
          <cell r="AD36"/>
          <cell r="AE36"/>
          <cell r="AI36"/>
        </row>
        <row r="37">
          <cell r="A37" t="str">
            <v>F-2025-12-271</v>
          </cell>
          <cell r="B37" t="str">
            <v>RPRO-251215-0476</v>
          </cell>
          <cell r="C37" t="str">
            <v>23/12</v>
          </cell>
          <cell r="D37" t="str">
            <v>Pro.sche.report 12.12+13.12</v>
          </cell>
          <cell r="E37" t="str">
            <v>BDB-000325</v>
          </cell>
          <cell r="F37" t="str">
            <v>PVN-004115</v>
          </cell>
          <cell r="G37" t="str">
            <v>OrthoLite X-40 TRUE BLUE/19-4057TPX Flat Sheet 0.16D 35+/-4 Asker C 1.1M 2M 4mm</v>
          </cell>
          <cell r="H37">
            <v>70</v>
          </cell>
          <cell r="I37">
            <v>2</v>
          </cell>
          <cell r="J37">
            <v>2</v>
          </cell>
          <cell r="K37" t="str">
            <v>ASICS</v>
          </cell>
          <cell r="L37" t="str">
            <v>Pr.Sch.R</v>
          </cell>
          <cell r="M37" t="str">
            <v>MOLDED</v>
          </cell>
          <cell r="N37">
            <v>2</v>
          </cell>
          <cell r="O37"/>
          <cell r="P37" t="str">
            <v>ok</v>
          </cell>
          <cell r="Q37">
            <v>46017</v>
          </cell>
          <cell r="R37">
            <v>46025</v>
          </cell>
          <cell r="S37">
            <v>46027</v>
          </cell>
          <cell r="T37" t="str">
            <v>l1</v>
          </cell>
          <cell r="U37">
            <v>2</v>
          </cell>
          <cell r="V37">
            <v>0</v>
          </cell>
          <cell r="W37" t="e">
            <v>#VALUE!</v>
          </cell>
          <cell r="X37" t="e">
            <v>#VALUE!</v>
          </cell>
          <cell r="Y37" t="e">
            <v>#VALUE!</v>
          </cell>
          <cell r="Z37" t="b">
            <v>0</v>
          </cell>
          <cell r="AA37" t="e">
            <v>#REF!</v>
          </cell>
          <cell r="AB37">
            <v>0</v>
          </cell>
          <cell r="AC37">
            <v>0</v>
          </cell>
          <cell r="AD37" t="e">
            <v>#REF!</v>
          </cell>
          <cell r="AE37" t="e">
            <v>#REF!</v>
          </cell>
          <cell r="AF37">
            <v>2</v>
          </cell>
          <cell r="AG37" t="b">
            <v>1</v>
          </cell>
          <cell r="AH37" t="e">
            <v>#N/A</v>
          </cell>
          <cell r="AI37"/>
        </row>
        <row r="38">
          <cell r="A38"/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 t="b">
            <v>1</v>
          </cell>
          <cell r="AA38"/>
          <cell r="AB38"/>
          <cell r="AC38"/>
          <cell r="AD38"/>
          <cell r="AE38"/>
          <cell r="AI38"/>
        </row>
        <row r="39">
          <cell r="A39" t="str">
            <v>F-2025-12-297</v>
          </cell>
          <cell r="B39" t="str">
            <v>RPRO-251216-0452</v>
          </cell>
          <cell r="C39" t="str">
            <v>23/12</v>
          </cell>
          <cell r="D39" t="str">
            <v>Pro.sche.report 15.12</v>
          </cell>
          <cell r="E39" t="str">
            <v>BDB-000055</v>
          </cell>
          <cell r="F39" t="str">
            <v>PVN-004155</v>
          </cell>
          <cell r="G39" t="str">
            <v>OrthoLite X-40 TRUE BLUE/19-4057TPX Flat Sheet 0.16D 35+/-4 Asker C 1.1M 1.7M 3.2mm</v>
          </cell>
          <cell r="H39">
            <v>516</v>
          </cell>
          <cell r="I39">
            <v>13</v>
          </cell>
          <cell r="J39">
            <v>13</v>
          </cell>
          <cell r="K39" t="str">
            <v>ADIDAS</v>
          </cell>
          <cell r="L39" t="str">
            <v>Pr.Sch.R</v>
          </cell>
          <cell r="M39" t="str">
            <v>MOLDED</v>
          </cell>
          <cell r="N39">
            <v>77</v>
          </cell>
          <cell r="O39"/>
          <cell r="P39" t="str">
            <v>ok</v>
          </cell>
          <cell r="Q39">
            <v>46017</v>
          </cell>
          <cell r="R39">
            <v>46025</v>
          </cell>
          <cell r="S39">
            <v>46027</v>
          </cell>
          <cell r="T39" t="str">
            <v>l1</v>
          </cell>
          <cell r="U39">
            <v>77</v>
          </cell>
          <cell r="V39">
            <v>0</v>
          </cell>
          <cell r="W39" t="e">
            <v>#VALUE!</v>
          </cell>
          <cell r="X39" t="e">
            <v>#VALUE!</v>
          </cell>
          <cell r="Y39" t="e">
            <v>#VALUE!</v>
          </cell>
          <cell r="Z39" t="b">
            <v>0</v>
          </cell>
          <cell r="AA39" t="e">
            <v>#REF!</v>
          </cell>
          <cell r="AB39">
            <v>17</v>
          </cell>
          <cell r="AC39" t="e">
            <v>#REF!</v>
          </cell>
          <cell r="AD39" t="e">
            <v>#REF!</v>
          </cell>
          <cell r="AE39" t="e">
            <v>#REF!</v>
          </cell>
          <cell r="AF39">
            <v>13</v>
          </cell>
          <cell r="AG39" t="b">
            <v>1</v>
          </cell>
          <cell r="AH39" t="e">
            <v>#N/A</v>
          </cell>
          <cell r="AI39"/>
        </row>
        <row r="40">
          <cell r="A40" t="str">
            <v>F-2025-12-300</v>
          </cell>
          <cell r="B40" t="str">
            <v>RPRO-251216-0455</v>
          </cell>
          <cell r="C40" t="str">
            <v>23/12-24/12</v>
          </cell>
          <cell r="D40" t="str">
            <v>Pro.sche.report 15.12</v>
          </cell>
          <cell r="E40" t="str">
            <v>BDB-000055</v>
          </cell>
          <cell r="F40" t="str">
            <v>PVN-003326</v>
          </cell>
          <cell r="G40" t="str">
            <v>OrthoLite X-40 TRUE BLUE/19-4057TPX Flat Sheet 0.16D 35+/-4 Asker C 1.1M 1.7M 14mm</v>
          </cell>
          <cell r="H40">
            <v>504</v>
          </cell>
          <cell r="I40">
            <v>56</v>
          </cell>
          <cell r="J40">
            <v>56</v>
          </cell>
          <cell r="K40" t="str">
            <v>ADIDAS</v>
          </cell>
          <cell r="L40" t="str">
            <v>Pr.Sch.R</v>
          </cell>
          <cell r="M40" t="str">
            <v>MOLDED</v>
          </cell>
          <cell r="N40"/>
          <cell r="O40"/>
          <cell r="P40" t="str">
            <v>ok</v>
          </cell>
          <cell r="Q40">
            <v>46017</v>
          </cell>
          <cell r="R40">
            <v>46025</v>
          </cell>
          <cell r="S40">
            <v>46027</v>
          </cell>
          <cell r="T40" t="str">
            <v>l1</v>
          </cell>
          <cell r="U40"/>
          <cell r="V40">
            <v>0</v>
          </cell>
          <cell r="W40" t="e">
            <v>#VALUE!</v>
          </cell>
          <cell r="X40" t="e">
            <v>#VALUE!</v>
          </cell>
          <cell r="Y40" t="e">
            <v>#VALUE!</v>
          </cell>
          <cell r="Z40" t="b">
            <v>0</v>
          </cell>
          <cell r="AA40" t="e">
            <v>#REF!</v>
          </cell>
          <cell r="AB40">
            <v>17</v>
          </cell>
          <cell r="AC40" t="e">
            <v>#REF!</v>
          </cell>
          <cell r="AD40" t="e">
            <v>#REF!</v>
          </cell>
          <cell r="AE40" t="e">
            <v>#REF!</v>
          </cell>
          <cell r="AF40">
            <v>56</v>
          </cell>
          <cell r="AG40" t="b">
            <v>1</v>
          </cell>
          <cell r="AH40" t="e">
            <v>#N/A</v>
          </cell>
          <cell r="AI40"/>
        </row>
        <row r="41">
          <cell r="A41" t="str">
            <v>F-2025-12-276</v>
          </cell>
          <cell r="B41" t="str">
            <v>RPRO-251215-0481</v>
          </cell>
          <cell r="C41" t="str">
            <v>24/12</v>
          </cell>
          <cell r="D41" t="str">
            <v>Pro.sche.report 12.12+13.12</v>
          </cell>
          <cell r="E41" t="str">
            <v>BDB-000055</v>
          </cell>
          <cell r="F41" t="str">
            <v>PVN-004155</v>
          </cell>
          <cell r="G41" t="str">
            <v>OrthoLite X-40 TRUE BLUE/19-4057TPX Flat Sheet 0.16D 35+/-4 Asker C 1.1M 1.7M 3.2mm</v>
          </cell>
          <cell r="H41">
            <v>301</v>
          </cell>
          <cell r="I41">
            <v>8</v>
          </cell>
          <cell r="J41">
            <v>8</v>
          </cell>
          <cell r="K41" t="str">
            <v>ADIDAS</v>
          </cell>
          <cell r="L41" t="str">
            <v>Pr.Sch.R</v>
          </cell>
          <cell r="M41" t="str">
            <v>MOLDED</v>
          </cell>
          <cell r="N41"/>
          <cell r="O41"/>
          <cell r="P41" t="str">
            <v>ok</v>
          </cell>
          <cell r="Q41">
            <v>46017</v>
          </cell>
          <cell r="R41">
            <v>46025</v>
          </cell>
          <cell r="S41">
            <v>46027</v>
          </cell>
          <cell r="T41" t="str">
            <v>l1</v>
          </cell>
          <cell r="U41"/>
          <cell r="V41">
            <v>0</v>
          </cell>
          <cell r="W41" t="e">
            <v>#VALUE!</v>
          </cell>
          <cell r="X41" t="e">
            <v>#VALUE!</v>
          </cell>
          <cell r="Y41" t="e">
            <v>#VALUE!</v>
          </cell>
          <cell r="Z41" t="b">
            <v>0</v>
          </cell>
          <cell r="AA41" t="e">
            <v>#REF!</v>
          </cell>
          <cell r="AB41">
            <v>17</v>
          </cell>
          <cell r="AC41" t="e">
            <v>#REF!</v>
          </cell>
          <cell r="AD41" t="e">
            <v>#REF!</v>
          </cell>
          <cell r="AE41" t="e">
            <v>#REF!</v>
          </cell>
          <cell r="AF41">
            <v>8</v>
          </cell>
          <cell r="AG41" t="b">
            <v>1</v>
          </cell>
          <cell r="AH41" t="e">
            <v>#N/A</v>
          </cell>
          <cell r="AI41"/>
        </row>
        <row r="42">
          <cell r="A42"/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 t="b">
            <v>1</v>
          </cell>
          <cell r="AA42"/>
          <cell r="AB42"/>
          <cell r="AC42"/>
          <cell r="AD42"/>
          <cell r="AE42"/>
          <cell r="AI42"/>
        </row>
        <row r="43">
          <cell r="A43" t="str">
            <v>F-2025-12-317-1</v>
          </cell>
          <cell r="B43" t="str">
            <v>FPRO-251216-0005</v>
          </cell>
          <cell r="C43" t="str">
            <v>24/12</v>
          </cell>
          <cell r="D43" t="str">
            <v>Firm plan 16.12</v>
          </cell>
          <cell r="E43" t="str">
            <v>BDB-000362</v>
          </cell>
          <cell r="F43" t="str">
            <v>PVN-004259</v>
          </cell>
          <cell r="G43" t="str">
            <v>OrthoLite X-60-Hybrid SEEDPEARL/12-0703TPX Hybrid Flat Sheet 0.19D 28+/-4 Asker C 1.1M 1.7M 12mm</v>
          </cell>
          <cell r="H43">
            <v>600</v>
          </cell>
          <cell r="I43">
            <v>55</v>
          </cell>
          <cell r="J43">
            <v>55</v>
          </cell>
          <cell r="K43" t="str">
            <v>BROOKS</v>
          </cell>
          <cell r="L43" t="str">
            <v>Forecast</v>
          </cell>
          <cell r="M43" t="str">
            <v>MOLDED</v>
          </cell>
          <cell r="N43">
            <v>55</v>
          </cell>
          <cell r="O43"/>
          <cell r="P43" t="str">
            <v>ok</v>
          </cell>
          <cell r="Q43">
            <v>46017</v>
          </cell>
          <cell r="R43">
            <v>46025</v>
          </cell>
          <cell r="S43">
            <v>46027</v>
          </cell>
          <cell r="T43" t="str">
            <v>l1</v>
          </cell>
          <cell r="U43">
            <v>55</v>
          </cell>
          <cell r="V43">
            <v>0</v>
          </cell>
          <cell r="W43" t="e">
            <v>#VALUE!</v>
          </cell>
          <cell r="X43" t="e">
            <v>#VALUE!</v>
          </cell>
          <cell r="Y43" t="e">
            <v>#VALUE!</v>
          </cell>
          <cell r="Z43" t="b">
            <v>0</v>
          </cell>
          <cell r="AA43" t="e">
            <v>#N/A</v>
          </cell>
          <cell r="AB43">
            <v>59</v>
          </cell>
          <cell r="AC43" t="e">
            <v>#N/A</v>
          </cell>
          <cell r="AD43" t="e">
            <v>#N/A</v>
          </cell>
          <cell r="AE43" t="e">
            <v>#REF!</v>
          </cell>
          <cell r="AF43">
            <v>55</v>
          </cell>
          <cell r="AG43" t="b">
            <v>1</v>
          </cell>
          <cell r="AH43" t="e">
            <v>#N/A</v>
          </cell>
          <cell r="AI43"/>
        </row>
        <row r="44">
          <cell r="A44"/>
          <cell r="B44"/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 t="b">
            <v>1</v>
          </cell>
          <cell r="AA44"/>
          <cell r="AB44"/>
          <cell r="AC44"/>
          <cell r="AD44"/>
          <cell r="AE44"/>
          <cell r="AI44"/>
        </row>
        <row r="45">
          <cell r="A45" t="str">
            <v>F-2025-12-273</v>
          </cell>
          <cell r="B45" t="str">
            <v>RPRO-251215-0478</v>
          </cell>
          <cell r="C45" t="str">
            <v>24/12</v>
          </cell>
          <cell r="D45" t="str">
            <v>Pro.sche.report 12.12+13.12</v>
          </cell>
          <cell r="E45" t="str">
            <v>BDB-000347</v>
          </cell>
          <cell r="F45" t="str">
            <v>PVN-004192</v>
          </cell>
          <cell r="G45" t="str">
            <v>OrthoLite X-55-Hybrid SEEDPEARL/12-0703TPX Hybrid Flat Sheet 0.16D 25+/-4 Asker C 1.1M 2M 12mm</v>
          </cell>
          <cell r="H45">
            <v>770</v>
          </cell>
          <cell r="I45">
            <v>71</v>
          </cell>
          <cell r="J45">
            <v>71</v>
          </cell>
          <cell r="K45" t="str">
            <v>BROOKS</v>
          </cell>
          <cell r="L45" t="str">
            <v>Pr.Sch.R</v>
          </cell>
          <cell r="M45" t="str">
            <v>MOLDED</v>
          </cell>
          <cell r="N45">
            <v>71</v>
          </cell>
          <cell r="O45"/>
          <cell r="P45">
            <v>71</v>
          </cell>
          <cell r="Q45">
            <v>46017</v>
          </cell>
          <cell r="R45">
            <v>46025</v>
          </cell>
          <cell r="S45">
            <v>46027</v>
          </cell>
          <cell r="T45" t="str">
            <v>l1</v>
          </cell>
          <cell r="U45"/>
          <cell r="V45">
            <v>-71</v>
          </cell>
          <cell r="W45" t="e">
            <v>#VALUE!</v>
          </cell>
          <cell r="X45" t="e">
            <v>#VALUE!</v>
          </cell>
          <cell r="Y45" t="e">
            <v>#VALUE!</v>
          </cell>
          <cell r="Z45" t="b">
            <v>0</v>
          </cell>
          <cell r="AA45" t="e">
            <v>#REF!</v>
          </cell>
          <cell r="AB45">
            <v>0</v>
          </cell>
          <cell r="AC45">
            <v>0</v>
          </cell>
          <cell r="AD45" t="e">
            <v>#REF!</v>
          </cell>
          <cell r="AE45" t="e">
            <v>#REF!</v>
          </cell>
          <cell r="AF45">
            <v>71</v>
          </cell>
          <cell r="AG45" t="b">
            <v>1</v>
          </cell>
          <cell r="AH45" t="e">
            <v>#N/A</v>
          </cell>
          <cell r="AI45"/>
        </row>
        <row r="46">
          <cell r="A46"/>
          <cell r="B46"/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 t="b">
            <v>1</v>
          </cell>
          <cell r="AA46"/>
          <cell r="AB46"/>
          <cell r="AC46"/>
          <cell r="AD46"/>
          <cell r="AE46"/>
          <cell r="AI46"/>
        </row>
        <row r="47">
          <cell r="A47" t="str">
            <v>F-2025-12-288</v>
          </cell>
          <cell r="B47" t="str">
            <v>RPRO-251216-0443</v>
          </cell>
          <cell r="C47" t="str">
            <v>24/12-25/12</v>
          </cell>
          <cell r="D47" t="str">
            <v>MPS 15.12</v>
          </cell>
          <cell r="E47" t="str">
            <v>BDB-000056</v>
          </cell>
          <cell r="F47" t="str">
            <v>PVN-001983</v>
          </cell>
          <cell r="G47" t="str">
            <v>OrthoLite X-40 SEEDPEARL/12-0703TPX Flat Sheet 0.16D 25+/-4 Asker C 1.1M 1.7M 5mm</v>
          </cell>
          <cell r="H47">
            <v>2156</v>
          </cell>
          <cell r="I47">
            <v>77</v>
          </cell>
          <cell r="J47">
            <v>77</v>
          </cell>
          <cell r="K47"/>
          <cell r="L47" t="str">
            <v>MPS</v>
          </cell>
          <cell r="M47" t="str">
            <v>SPLITTING</v>
          </cell>
          <cell r="N47">
            <v>77</v>
          </cell>
          <cell r="O47"/>
          <cell r="P47" t="str">
            <v>ok</v>
          </cell>
          <cell r="Q47">
            <v>46017</v>
          </cell>
          <cell r="R47">
            <v>46025</v>
          </cell>
          <cell r="S47">
            <v>46027</v>
          </cell>
          <cell r="T47" t="str">
            <v>l1</v>
          </cell>
          <cell r="U47">
            <v>81</v>
          </cell>
          <cell r="V47">
            <v>4</v>
          </cell>
          <cell r="W47" t="e">
            <v>#VALUE!</v>
          </cell>
          <cell r="X47" t="e">
            <v>#VALUE!</v>
          </cell>
          <cell r="Y47" t="e">
            <v>#VALUE!</v>
          </cell>
          <cell r="Z47" t="b">
            <v>0</v>
          </cell>
          <cell r="AA47" t="e">
            <v>#REF!</v>
          </cell>
          <cell r="AB47">
            <v>0</v>
          </cell>
          <cell r="AC47">
            <v>0</v>
          </cell>
          <cell r="AD47" t="e">
            <v>#REF!</v>
          </cell>
          <cell r="AE47" t="e">
            <v>#REF!</v>
          </cell>
          <cell r="AF47">
            <v>77</v>
          </cell>
          <cell r="AG47" t="b">
            <v>1</v>
          </cell>
          <cell r="AH47" t="e">
            <v>#N/A</v>
          </cell>
          <cell r="AI47"/>
        </row>
        <row r="48">
          <cell r="A48"/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 t="b">
            <v>1</v>
          </cell>
          <cell r="AA48"/>
          <cell r="AB48"/>
          <cell r="AC48"/>
          <cell r="AD48"/>
          <cell r="AE48"/>
          <cell r="AI48"/>
        </row>
        <row r="49">
          <cell r="A49" t="str">
            <v>F-2025-12-295</v>
          </cell>
          <cell r="B49" t="str">
            <v>RPRO-251216-0450</v>
          </cell>
          <cell r="C49" t="str">
            <v>25/12</v>
          </cell>
          <cell r="D49" t="str">
            <v>Pro.sche.report 15.12</v>
          </cell>
          <cell r="E49" t="str">
            <v>BDB-000076</v>
          </cell>
          <cell r="F49" t="str">
            <v>PVN-003448</v>
          </cell>
          <cell r="G49" t="str">
            <v>OrthoLite X-25 BILLIARD/16-5427TPX Flat Sheet 0.12D 20+/-4 Asker C 1.1M 2M 6.2mm</v>
          </cell>
          <cell r="H49">
            <v>44</v>
          </cell>
          <cell r="I49">
            <v>2</v>
          </cell>
          <cell r="J49">
            <v>2</v>
          </cell>
          <cell r="K49" t="str">
            <v>ADIDAS</v>
          </cell>
          <cell r="L49" t="str">
            <v>Pr.Sch.R</v>
          </cell>
          <cell r="M49" t="str">
            <v>MOLDED</v>
          </cell>
          <cell r="N49">
            <v>11</v>
          </cell>
          <cell r="O49"/>
          <cell r="P49" t="str">
            <v>ok</v>
          </cell>
          <cell r="Q49">
            <v>46017</v>
          </cell>
          <cell r="R49">
            <v>46025</v>
          </cell>
          <cell r="S49">
            <v>46027</v>
          </cell>
          <cell r="T49" t="str">
            <v>l1</v>
          </cell>
          <cell r="U49">
            <v>8</v>
          </cell>
          <cell r="V49">
            <v>-3</v>
          </cell>
          <cell r="W49" t="e">
            <v>#VALUE!</v>
          </cell>
          <cell r="X49" t="e">
            <v>#VALUE!</v>
          </cell>
          <cell r="Y49" t="e">
            <v>#VALUE!</v>
          </cell>
          <cell r="Z49" t="b">
            <v>0</v>
          </cell>
          <cell r="AA49" t="e">
            <v>#REF!</v>
          </cell>
          <cell r="AB49">
            <v>46</v>
          </cell>
          <cell r="AC49" t="e">
            <v>#REF!</v>
          </cell>
          <cell r="AD49" t="e">
            <v>#REF!</v>
          </cell>
          <cell r="AE49" t="e">
            <v>#REF!</v>
          </cell>
          <cell r="AF49">
            <v>2</v>
          </cell>
          <cell r="AG49" t="b">
            <v>1</v>
          </cell>
          <cell r="AH49" t="e">
            <v>#N/A</v>
          </cell>
          <cell r="AI49"/>
        </row>
        <row r="50">
          <cell r="A50" t="str">
            <v>F-2025-12-303</v>
          </cell>
          <cell r="B50" t="str">
            <v>RPRO-251216-0458</v>
          </cell>
          <cell r="C50" t="str">
            <v>25/12</v>
          </cell>
          <cell r="D50" t="str">
            <v>Pro.sche.report 15.12</v>
          </cell>
          <cell r="E50" t="str">
            <v>BDB-000076</v>
          </cell>
          <cell r="F50" t="str">
            <v>PVN-003341</v>
          </cell>
          <cell r="G50" t="str">
            <v>OrthoLite X-25 BILLIARD/16-5427TPX Flat Sheet 0.12D 20+/-4 Asker C 1.1M 2M 6mm</v>
          </cell>
          <cell r="H50">
            <v>138</v>
          </cell>
          <cell r="I50">
            <v>7</v>
          </cell>
          <cell r="J50">
            <v>7</v>
          </cell>
          <cell r="K50" t="str">
            <v>LOTTO</v>
          </cell>
          <cell r="L50" t="str">
            <v>Pr.Sch.R</v>
          </cell>
          <cell r="M50" t="str">
            <v>MOLDED</v>
          </cell>
          <cell r="N50"/>
          <cell r="O50"/>
          <cell r="P50" t="str">
            <v>ok</v>
          </cell>
          <cell r="Q50">
            <v>46017</v>
          </cell>
          <cell r="R50">
            <v>46025</v>
          </cell>
          <cell r="S50">
            <v>46027</v>
          </cell>
          <cell r="T50" t="str">
            <v>l1</v>
          </cell>
          <cell r="U50"/>
          <cell r="V50">
            <v>0</v>
          </cell>
          <cell r="W50" t="e">
            <v>#VALUE!</v>
          </cell>
          <cell r="X50" t="e">
            <v>#VALUE!</v>
          </cell>
          <cell r="Y50" t="e">
            <v>#VALUE!</v>
          </cell>
          <cell r="Z50" t="b">
            <v>0</v>
          </cell>
          <cell r="AA50" t="e">
            <v>#REF!</v>
          </cell>
          <cell r="AB50">
            <v>46</v>
          </cell>
          <cell r="AC50" t="e">
            <v>#REF!</v>
          </cell>
          <cell r="AD50" t="e">
            <v>#REF!</v>
          </cell>
          <cell r="AE50" t="e">
            <v>#REF!</v>
          </cell>
          <cell r="AF50">
            <v>7</v>
          </cell>
          <cell r="AG50" t="b">
            <v>1</v>
          </cell>
          <cell r="AH50" t="e">
            <v>#N/A</v>
          </cell>
          <cell r="AI50"/>
        </row>
        <row r="51">
          <cell r="A51" t="str">
            <v>F-2025-12-334</v>
          </cell>
          <cell r="B51" t="str">
            <v>RPRO-251217-0340</v>
          </cell>
          <cell r="C51" t="str">
            <v>25/12</v>
          </cell>
          <cell r="D51" t="str">
            <v>Pro.sche.report 16.12</v>
          </cell>
          <cell r="E51" t="str">
            <v>BDB-000076</v>
          </cell>
          <cell r="F51" t="str">
            <v>PVN-003740</v>
          </cell>
          <cell r="G51" t="str">
            <v>OrthoLite X-25 BILLIARD/16-5427TPX Flat Sheet 0.12D 20+/-4 Asker C 1.1M 2M 10.5mm</v>
          </cell>
          <cell r="H51">
            <v>12</v>
          </cell>
          <cell r="I51">
            <v>1</v>
          </cell>
          <cell r="J51">
            <v>1</v>
          </cell>
          <cell r="K51" t="str">
            <v>FOOTJOY</v>
          </cell>
          <cell r="L51" t="str">
            <v>Pr.Sch.R</v>
          </cell>
          <cell r="M51" t="str">
            <v>MOLDED</v>
          </cell>
          <cell r="N51"/>
          <cell r="O51"/>
          <cell r="P51" t="str">
            <v>ok</v>
          </cell>
          <cell r="Q51">
            <v>46025</v>
          </cell>
          <cell r="R51">
            <v>46028</v>
          </cell>
          <cell r="S51">
            <v>46029</v>
          </cell>
          <cell r="T51" t="str">
            <v>l1</v>
          </cell>
          <cell r="U51"/>
          <cell r="V51">
            <v>0</v>
          </cell>
          <cell r="W51" t="e">
            <v>#VALUE!</v>
          </cell>
          <cell r="X51" t="e">
            <v>#VALUE!</v>
          </cell>
          <cell r="Y51" t="e">
            <v>#VALUE!</v>
          </cell>
          <cell r="Z51" t="b">
            <v>0</v>
          </cell>
          <cell r="AA51" t="e">
            <v>#REF!</v>
          </cell>
          <cell r="AB51">
            <v>46</v>
          </cell>
          <cell r="AC51" t="e">
            <v>#REF!</v>
          </cell>
          <cell r="AD51" t="e">
            <v>#REF!</v>
          </cell>
          <cell r="AE51" t="e">
            <v>#REF!</v>
          </cell>
          <cell r="AF51">
            <v>1</v>
          </cell>
          <cell r="AG51" t="b">
            <v>1</v>
          </cell>
          <cell r="AH51" t="e">
            <v>#N/A</v>
          </cell>
          <cell r="AI51"/>
        </row>
        <row r="52">
          <cell r="A52" t="str">
            <v>F-2025-12-336</v>
          </cell>
          <cell r="B52" t="str">
            <v>RPRO-251217-0342</v>
          </cell>
          <cell r="C52" t="str">
            <v>25/12</v>
          </cell>
          <cell r="D52" t="str">
            <v>Pro.sche.report 16.12</v>
          </cell>
          <cell r="E52" t="str">
            <v>BDB-000076</v>
          </cell>
          <cell r="F52" t="str">
            <v>PVN-003494</v>
          </cell>
          <cell r="G52" t="str">
            <v>OrthoLite X-25 BILLIARD/16-5427TPX Flat Sheet 0.12D 20+/-4 Asker C 1.1M 2M 5.5mm</v>
          </cell>
          <cell r="H52">
            <v>25</v>
          </cell>
          <cell r="I52">
            <v>1</v>
          </cell>
          <cell r="J52">
            <v>1</v>
          </cell>
          <cell r="K52" t="str">
            <v>ON RUNNING</v>
          </cell>
          <cell r="L52" t="str">
            <v>Pr.Sch.R</v>
          </cell>
          <cell r="M52" t="str">
            <v>MOLDED</v>
          </cell>
          <cell r="N52"/>
          <cell r="O52" t="str">
            <v>ppc/pur imp-đã nhắc sx</v>
          </cell>
          <cell r="P52" t="str">
            <v>ok</v>
          </cell>
          <cell r="Q52">
            <v>46024</v>
          </cell>
          <cell r="R52">
            <v>46026</v>
          </cell>
          <cell r="S52">
            <v>46027</v>
          </cell>
          <cell r="T52" t="str">
            <v>l1</v>
          </cell>
          <cell r="U52"/>
          <cell r="V52">
            <v>0</v>
          </cell>
          <cell r="W52" t="e">
            <v>#VALUE!</v>
          </cell>
          <cell r="X52" t="e">
            <v>#VALUE!</v>
          </cell>
          <cell r="Y52" t="e">
            <v>#VALUE!</v>
          </cell>
          <cell r="Z52" t="b">
            <v>0</v>
          </cell>
          <cell r="AA52" t="e">
            <v>#REF!</v>
          </cell>
          <cell r="AB52">
            <v>46</v>
          </cell>
          <cell r="AC52" t="e">
            <v>#REF!</v>
          </cell>
          <cell r="AD52" t="e">
            <v>#REF!</v>
          </cell>
          <cell r="AE52" t="e">
            <v>#REF!</v>
          </cell>
          <cell r="AF52">
            <v>1</v>
          </cell>
          <cell r="AG52" t="b">
            <v>1</v>
          </cell>
          <cell r="AH52" t="e">
            <v>#N/A</v>
          </cell>
          <cell r="AI52"/>
        </row>
        <row r="53">
          <cell r="A53"/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 t="b">
            <v>1</v>
          </cell>
          <cell r="AA53"/>
          <cell r="AB53"/>
          <cell r="AC53"/>
          <cell r="AD53"/>
          <cell r="AE53"/>
          <cell r="AI53"/>
        </row>
        <row r="54">
          <cell r="A54" t="str">
            <v>F-2025-11-329</v>
          </cell>
          <cell r="B54" t="str">
            <v>FPRO-251117-0010</v>
          </cell>
          <cell r="C54" t="str">
            <v>25/12</v>
          </cell>
          <cell r="D54" t="str">
            <v>Firm plan 17.11</v>
          </cell>
          <cell r="E54" t="str">
            <v>BDB-000051</v>
          </cell>
          <cell r="F54" t="str">
            <v>PVN-003319</v>
          </cell>
          <cell r="G54" t="str">
            <v>OrthoLite X-40 TRUE BLUE/19-4057TPX Flat Sheet 0.16D 25+/-4 Asker C 1.1M 1.7M 12mm</v>
          </cell>
          <cell r="H54">
            <v>300</v>
          </cell>
          <cell r="I54">
            <v>27</v>
          </cell>
          <cell r="J54">
            <v>27</v>
          </cell>
          <cell r="K54" t="str">
            <v>ASICS</v>
          </cell>
          <cell r="L54" t="str">
            <v>Forecast</v>
          </cell>
          <cell r="M54" t="str">
            <v>MOLDED</v>
          </cell>
          <cell r="N54">
            <v>27</v>
          </cell>
          <cell r="O54"/>
          <cell r="P54" t="str">
            <v>ok</v>
          </cell>
          <cell r="Q54">
            <v>46024</v>
          </cell>
          <cell r="R54">
            <v>46027</v>
          </cell>
          <cell r="S54">
            <v>46028</v>
          </cell>
          <cell r="T54" t="str">
            <v>l1</v>
          </cell>
          <cell r="U54">
            <v>34</v>
          </cell>
          <cell r="V54">
            <v>7</v>
          </cell>
          <cell r="W54" t="e">
            <v>#VALUE!</v>
          </cell>
          <cell r="X54" t="e">
            <v>#VALUE!</v>
          </cell>
          <cell r="Y54" t="e">
            <v>#VALUE!</v>
          </cell>
          <cell r="Z54" t="b">
            <v>0</v>
          </cell>
          <cell r="AA54" t="e">
            <v>#REF!</v>
          </cell>
          <cell r="AB54">
            <v>0</v>
          </cell>
          <cell r="AC54">
            <v>0</v>
          </cell>
          <cell r="AD54" t="e">
            <v>#REF!</v>
          </cell>
          <cell r="AE54" t="e">
            <v>#REF!</v>
          </cell>
          <cell r="AF54">
            <v>27</v>
          </cell>
          <cell r="AG54" t="b">
            <v>1</v>
          </cell>
          <cell r="AH54" t="e">
            <v>#N/A</v>
          </cell>
          <cell r="AI54"/>
        </row>
        <row r="55">
          <cell r="A55"/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 t="b">
            <v>1</v>
          </cell>
          <cell r="AA55"/>
          <cell r="AB55"/>
          <cell r="AC55"/>
          <cell r="AD55"/>
          <cell r="AE55"/>
          <cell r="AI55"/>
        </row>
        <row r="56">
          <cell r="A56" t="str">
            <v>F-2025-12-132</v>
          </cell>
          <cell r="B56" t="str">
            <v>RPRO-251204-0977</v>
          </cell>
          <cell r="C56" t="str">
            <v>25/12</v>
          </cell>
          <cell r="D56" t="str">
            <v>Pro.sche.report 03.12</v>
          </cell>
          <cell r="E56" t="str">
            <v>BDB-000339</v>
          </cell>
          <cell r="F56" t="str">
            <v>PVN-004178</v>
          </cell>
          <cell r="G56" t="str">
            <v>OrthoLite Float NEUTRAL GRAY/17-4402TPX Flat Sheet 0.12D 21+/-4 Asker C 1.1M 2M 5.5mm</v>
          </cell>
          <cell r="H56">
            <v>925</v>
          </cell>
          <cell r="I56">
            <v>37</v>
          </cell>
          <cell r="J56">
            <v>37</v>
          </cell>
          <cell r="K56" t="str">
            <v>PUMA</v>
          </cell>
          <cell r="L56" t="str">
            <v>Pr.Sch.R</v>
          </cell>
          <cell r="M56" t="str">
            <v>MOLDED</v>
          </cell>
          <cell r="N56">
            <v>37</v>
          </cell>
          <cell r="O56"/>
          <cell r="P56" t="str">
            <v>ok</v>
          </cell>
          <cell r="Q56">
            <v>46024</v>
          </cell>
          <cell r="R56">
            <v>46027</v>
          </cell>
          <cell r="S56">
            <v>46028</v>
          </cell>
          <cell r="T56" t="str">
            <v>l1</v>
          </cell>
          <cell r="U56">
            <v>37</v>
          </cell>
          <cell r="V56">
            <v>0</v>
          </cell>
          <cell r="W56" t="e">
            <v>#VALUE!</v>
          </cell>
          <cell r="X56" t="e">
            <v>#VALUE!</v>
          </cell>
          <cell r="Y56" t="e">
            <v>#VALUE!</v>
          </cell>
          <cell r="Z56" t="b">
            <v>0</v>
          </cell>
          <cell r="AA56" t="e">
            <v>#REF!</v>
          </cell>
          <cell r="AB56">
            <v>16</v>
          </cell>
          <cell r="AC56" t="e">
            <v>#REF!</v>
          </cell>
          <cell r="AD56" t="e">
            <v>#REF!</v>
          </cell>
          <cell r="AE56" t="e">
            <v>#REF!</v>
          </cell>
          <cell r="AF56">
            <v>37</v>
          </cell>
          <cell r="AG56" t="b">
            <v>1</v>
          </cell>
          <cell r="AH56" t="e">
            <v>#N/A</v>
          </cell>
          <cell r="AI56"/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 t="b">
            <v>1</v>
          </cell>
          <cell r="AA57"/>
          <cell r="AB57"/>
          <cell r="AC57"/>
          <cell r="AD57"/>
          <cell r="AE57"/>
          <cell r="AI57"/>
        </row>
        <row r="58">
          <cell r="A58" t="str">
            <v>F-2025-12-49</v>
          </cell>
          <cell r="B58" t="str">
            <v>FPRO-251201-0027</v>
          </cell>
          <cell r="C58" t="str">
            <v>25/12-26/12</v>
          </cell>
          <cell r="D58" t="str">
            <v>Firm plan 1.12</v>
          </cell>
          <cell r="E58" t="str">
            <v>BDB-000157</v>
          </cell>
          <cell r="F58" t="str">
            <v>PVN-003573</v>
          </cell>
          <cell r="G58" t="str">
            <v>OrthoLite X-35-Hybrid-Nike SEEDPEARL/12-0703TPX Hybrid 0.145D 25+/-4 Asker C 1.1M 2M 4.2mm</v>
          </cell>
          <cell r="H58">
            <v>3000</v>
          </cell>
          <cell r="I58">
            <v>91</v>
          </cell>
          <cell r="J58">
            <v>91</v>
          </cell>
          <cell r="K58" t="str">
            <v>NIKE</v>
          </cell>
          <cell r="L58" t="str">
            <v>Forecast</v>
          </cell>
          <cell r="M58" t="str">
            <v>MOLDED</v>
          </cell>
          <cell r="N58">
            <v>94</v>
          </cell>
          <cell r="O58"/>
          <cell r="P58" t="str">
            <v>ok</v>
          </cell>
          <cell r="Q58">
            <v>46024</v>
          </cell>
          <cell r="R58">
            <v>46027</v>
          </cell>
          <cell r="S58">
            <v>46028</v>
          </cell>
          <cell r="T58" t="str">
            <v>l1</v>
          </cell>
          <cell r="U58">
            <v>109</v>
          </cell>
          <cell r="V58">
            <v>15</v>
          </cell>
          <cell r="W58" t="e">
            <v>#VALUE!</v>
          </cell>
          <cell r="X58" t="e">
            <v>#VALUE!</v>
          </cell>
          <cell r="Y58" t="e">
            <v>#VALUE!</v>
          </cell>
          <cell r="Z58" t="b">
            <v>0</v>
          </cell>
          <cell r="AA58" t="e">
            <v>#REF!</v>
          </cell>
          <cell r="AB58">
            <v>93</v>
          </cell>
          <cell r="AC58" t="e">
            <v>#REF!</v>
          </cell>
          <cell r="AD58" t="e">
            <v>#REF!</v>
          </cell>
          <cell r="AE58" t="e">
            <v>#REF!</v>
          </cell>
          <cell r="AF58">
            <v>91</v>
          </cell>
          <cell r="AG58" t="b">
            <v>1</v>
          </cell>
          <cell r="AH58" t="e">
            <v>#N/A</v>
          </cell>
          <cell r="AI58"/>
        </row>
        <row r="59">
          <cell r="A59" t="str">
            <v>F-2025-12-355</v>
          </cell>
          <cell r="B59" t="str">
            <v>RPRO-251218-0346</v>
          </cell>
          <cell r="C59" t="str">
            <v>26/12</v>
          </cell>
          <cell r="D59" t="str">
            <v>Pro.sche.report 17.12</v>
          </cell>
          <cell r="E59" t="str">
            <v>BDB-000157</v>
          </cell>
          <cell r="F59" t="str">
            <v>PVN-004083</v>
          </cell>
          <cell r="G59" t="str">
            <v>OrthoLite X-35-Hybrid-Nike SEEDPEARL/12-0703TPX Hybrid Flat Sheet 0.145D 25+/-4 Asker C 1.1M 2M 4mm</v>
          </cell>
          <cell r="H59">
            <v>105</v>
          </cell>
          <cell r="I59">
            <v>3</v>
          </cell>
          <cell r="J59">
            <v>3</v>
          </cell>
          <cell r="K59" t="str">
            <v>NIKE</v>
          </cell>
          <cell r="L59" t="str">
            <v>Pr.Sch.R</v>
          </cell>
          <cell r="M59" t="str">
            <v>DIE CUT</v>
          </cell>
          <cell r="N59"/>
          <cell r="O59"/>
          <cell r="P59" t="str">
            <v>ok</v>
          </cell>
          <cell r="Q59">
            <v>46027</v>
          </cell>
          <cell r="R59">
            <v>46029</v>
          </cell>
          <cell r="S59">
            <v>46030</v>
          </cell>
          <cell r="T59" t="str">
            <v>l1</v>
          </cell>
          <cell r="U59"/>
          <cell r="V59">
            <v>0</v>
          </cell>
          <cell r="W59" t="e">
            <v>#VALUE!</v>
          </cell>
          <cell r="X59" t="e">
            <v>#VALUE!</v>
          </cell>
          <cell r="Y59" t="e">
            <v>#VALUE!</v>
          </cell>
          <cell r="Z59" t="b">
            <v>0</v>
          </cell>
          <cell r="AA59" t="e">
            <v>#REF!</v>
          </cell>
          <cell r="AB59">
            <v>93</v>
          </cell>
          <cell r="AC59" t="e">
            <v>#REF!</v>
          </cell>
          <cell r="AD59" t="e">
            <v>#REF!</v>
          </cell>
          <cell r="AE59" t="e">
            <v>#REF!</v>
          </cell>
          <cell r="AF59">
            <v>3</v>
          </cell>
          <cell r="AG59" t="b">
            <v>1</v>
          </cell>
          <cell r="AH59" t="e">
            <v>#N/A</v>
          </cell>
          <cell r="AI59"/>
        </row>
        <row r="60">
          <cell r="A60"/>
          <cell r="B60"/>
          <cell r="C60"/>
          <cell r="D60"/>
          <cell r="E60"/>
          <cell r="F60"/>
          <cell r="G60" t="str">
            <v>RELEASE ĐỢT 1</v>
          </cell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>
            <v>0</v>
          </cell>
          <cell r="W60"/>
          <cell r="X60"/>
          <cell r="Y60"/>
          <cell r="Z60" t="b">
            <v>1</v>
          </cell>
          <cell r="AA60"/>
          <cell r="AB60"/>
          <cell r="AC60"/>
          <cell r="AD60"/>
          <cell r="AE60"/>
          <cell r="AI60"/>
          <cell r="AJ60"/>
          <cell r="AK60"/>
          <cell r="AL60"/>
        </row>
        <row r="61">
          <cell r="A61" t="str">
            <v>F-2025-12-376</v>
          </cell>
          <cell r="B61" t="str">
            <v>RPRO-251219-0289</v>
          </cell>
          <cell r="C61" t="str">
            <v>26/12</v>
          </cell>
          <cell r="D61" t="str">
            <v>Pro.sche.report 18.12</v>
          </cell>
          <cell r="E61" t="str">
            <v>BDB-000055</v>
          </cell>
          <cell r="F61" t="str">
            <v>PVN-003326</v>
          </cell>
          <cell r="G61" t="str">
            <v>OrthoLite X-40 TRUE BLUE/19-4057TPX Flat Sheet 0.16D 35+/-4 Asker C 1.1M 1.7M 14mm</v>
          </cell>
          <cell r="H61">
            <v>36</v>
          </cell>
          <cell r="I61">
            <v>4</v>
          </cell>
          <cell r="J61">
            <v>4</v>
          </cell>
          <cell r="K61" t="str">
            <v>ADIDAS</v>
          </cell>
          <cell r="L61" t="str">
            <v>Pr.Sch.R</v>
          </cell>
          <cell r="M61" t="str">
            <v>MOLDED</v>
          </cell>
          <cell r="N61">
            <v>4</v>
          </cell>
          <cell r="O61"/>
          <cell r="P61" t="str">
            <v>ok</v>
          </cell>
          <cell r="Q61">
            <v>46025</v>
          </cell>
          <cell r="R61">
            <v>46028</v>
          </cell>
          <cell r="S61">
            <v>46029</v>
          </cell>
          <cell r="T61" t="str">
            <v>l2</v>
          </cell>
          <cell r="U61">
            <v>7</v>
          </cell>
          <cell r="V61">
            <v>3</v>
          </cell>
          <cell r="W61" t="e">
            <v>#VALUE!</v>
          </cell>
          <cell r="X61" t="e">
            <v>#VALUE!</v>
          </cell>
          <cell r="Y61" t="e">
            <v>#VALUE!</v>
          </cell>
          <cell r="Z61" t="b">
            <v>0</v>
          </cell>
          <cell r="AA61" t="e">
            <v>#REF!</v>
          </cell>
          <cell r="AB61">
            <v>17</v>
          </cell>
          <cell r="AC61" t="e">
            <v>#REF!</v>
          </cell>
          <cell r="AD61" t="e">
            <v>#REF!</v>
          </cell>
          <cell r="AE61" t="e">
            <v>#REF!</v>
          </cell>
          <cell r="AF61">
            <v>4</v>
          </cell>
          <cell r="AG61" t="b">
            <v>1</v>
          </cell>
          <cell r="AH61" t="e">
            <v>#N/A</v>
          </cell>
          <cell r="AI61"/>
        </row>
        <row r="62">
          <cell r="A62"/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 t="b">
            <v>1</v>
          </cell>
          <cell r="AA62"/>
          <cell r="AB62"/>
          <cell r="AC62"/>
          <cell r="AD62"/>
          <cell r="AE62"/>
          <cell r="AI62"/>
        </row>
        <row r="63">
          <cell r="A63" t="str">
            <v>F-2025-12-354</v>
          </cell>
          <cell r="B63" t="str">
            <v>RPRO-251218-0345</v>
          </cell>
          <cell r="C63" t="str">
            <v>26/12</v>
          </cell>
          <cell r="D63" t="str">
            <v>Pro.sche.report 17.12</v>
          </cell>
          <cell r="E63" t="str">
            <v>BDB-000220</v>
          </cell>
          <cell r="F63" t="str">
            <v>PVN-003656</v>
          </cell>
          <cell r="G63" t="str">
            <v>OrthoLite X-25 BILLIARD/16-5427TPX Flat Sheet 0.12D 20+/-4 Asker C 1.1M 1.47M 3mm</v>
          </cell>
          <cell r="H63">
            <v>46</v>
          </cell>
          <cell r="I63">
            <v>2</v>
          </cell>
          <cell r="J63">
            <v>2</v>
          </cell>
          <cell r="K63" t="str">
            <v>FOOTJOY</v>
          </cell>
          <cell r="L63" t="str">
            <v>Pr.Sch.R</v>
          </cell>
          <cell r="M63" t="str">
            <v>DIE CUT</v>
          </cell>
          <cell r="N63">
            <v>2</v>
          </cell>
          <cell r="O63"/>
          <cell r="P63" t="str">
            <v>ok</v>
          </cell>
          <cell r="Q63">
            <v>46025</v>
          </cell>
          <cell r="R63">
            <v>46028</v>
          </cell>
          <cell r="S63">
            <v>46029</v>
          </cell>
          <cell r="T63" t="str">
            <v>l2</v>
          </cell>
          <cell r="U63">
            <v>3</v>
          </cell>
          <cell r="V63">
            <v>1</v>
          </cell>
          <cell r="W63" t="e">
            <v>#VALUE!</v>
          </cell>
          <cell r="X63" t="e">
            <v>#VALUE!</v>
          </cell>
          <cell r="Y63" t="e">
            <v>#VALUE!</v>
          </cell>
          <cell r="Z63" t="b">
            <v>0</v>
          </cell>
          <cell r="AA63" t="e">
            <v>#REF!</v>
          </cell>
          <cell r="AB63">
            <v>0</v>
          </cell>
          <cell r="AC63">
            <v>0</v>
          </cell>
          <cell r="AD63" t="e">
            <v>#REF!</v>
          </cell>
          <cell r="AE63" t="e">
            <v>#REF!</v>
          </cell>
          <cell r="AF63">
            <v>2</v>
          </cell>
          <cell r="AG63" t="b">
            <v>1</v>
          </cell>
          <cell r="AH63" t="e">
            <v>#N/A</v>
          </cell>
          <cell r="AI63"/>
        </row>
        <row r="64">
          <cell r="A64"/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 t="b">
            <v>1</v>
          </cell>
          <cell r="AA64"/>
          <cell r="AB64"/>
          <cell r="AC64"/>
          <cell r="AD64"/>
          <cell r="AE64"/>
          <cell r="AI64"/>
        </row>
        <row r="65">
          <cell r="A65" t="str">
            <v>F-2025-12-353</v>
          </cell>
          <cell r="B65" t="str">
            <v>RPRO-251218-0344</v>
          </cell>
          <cell r="C65" t="str">
            <v>26/12</v>
          </cell>
          <cell r="D65" t="str">
            <v>Pro.sche.report 17.12</v>
          </cell>
          <cell r="E65" t="str">
            <v>BDB-000213</v>
          </cell>
          <cell r="F65" t="str">
            <v>PVN-003752</v>
          </cell>
          <cell r="G65" t="str">
            <v>OrthoLite X-25-Hybrid SEEDPEARL/12-0703TPX Hybrid Flat Sheet 0.12D 20+/-4 Asker C 1.1M 1.47M 4.5mm</v>
          </cell>
          <cell r="H65">
            <v>31</v>
          </cell>
          <cell r="I65">
            <v>2</v>
          </cell>
          <cell r="J65">
            <v>2</v>
          </cell>
          <cell r="K65" t="str">
            <v>ON RUNNING</v>
          </cell>
          <cell r="L65" t="str">
            <v>Pr.Sch.R</v>
          </cell>
          <cell r="M65" t="str">
            <v>MOLDED</v>
          </cell>
          <cell r="N65">
            <v>2</v>
          </cell>
          <cell r="O65"/>
          <cell r="P65" t="str">
            <v>ok</v>
          </cell>
          <cell r="Q65">
            <v>46027</v>
          </cell>
          <cell r="R65">
            <v>46029</v>
          </cell>
          <cell r="S65">
            <v>46030</v>
          </cell>
          <cell r="T65" t="str">
            <v>l2</v>
          </cell>
          <cell r="U65">
            <v>2</v>
          </cell>
          <cell r="V65">
            <v>0</v>
          </cell>
          <cell r="W65" t="e">
            <v>#VALUE!</v>
          </cell>
          <cell r="X65" t="e">
            <v>#VALUE!</v>
          </cell>
          <cell r="Y65" t="e">
            <v>#VALUE!</v>
          </cell>
          <cell r="Z65" t="b">
            <v>0</v>
          </cell>
          <cell r="AA65" t="e">
            <v>#REF!</v>
          </cell>
          <cell r="AB65">
            <v>18</v>
          </cell>
          <cell r="AC65" t="e">
            <v>#REF!</v>
          </cell>
          <cell r="AD65" t="e">
            <v>#REF!</v>
          </cell>
          <cell r="AE65" t="e">
            <v>#REF!</v>
          </cell>
          <cell r="AF65">
            <v>2</v>
          </cell>
          <cell r="AG65" t="b">
            <v>1</v>
          </cell>
          <cell r="AH65" t="e">
            <v>#N/A</v>
          </cell>
          <cell r="AI65"/>
        </row>
        <row r="66">
          <cell r="A66"/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 t="b">
            <v>1</v>
          </cell>
          <cell r="AA66"/>
          <cell r="AB66"/>
          <cell r="AC66"/>
          <cell r="AD66"/>
          <cell r="AE66"/>
          <cell r="AI66"/>
        </row>
        <row r="67">
          <cell r="A67" t="str">
            <v>F-2025-12-329</v>
          </cell>
          <cell r="B67" t="str">
            <v>RPRO-251217-0335</v>
          </cell>
          <cell r="C67" t="str">
            <v>26/12</v>
          </cell>
          <cell r="D67" t="str">
            <v>Pro.sche.report 16.12</v>
          </cell>
          <cell r="E67" t="str">
            <v>BDB-000076</v>
          </cell>
          <cell r="F67" t="str">
            <v>PVN-003448</v>
          </cell>
          <cell r="G67" t="str">
            <v>OrthoLite X-25 BILLIARD/16-5427TPX Flat Sheet 0.12D 20+/-4 Asker C 1.1M 2M 6.2mm</v>
          </cell>
          <cell r="H67">
            <v>1000</v>
          </cell>
          <cell r="I67">
            <v>46</v>
          </cell>
          <cell r="J67">
            <v>46</v>
          </cell>
          <cell r="K67" t="str">
            <v>ADIDAS</v>
          </cell>
          <cell r="L67" t="str">
            <v>Pr.Sch.R</v>
          </cell>
          <cell r="M67" t="str">
            <v>MOLDED</v>
          </cell>
          <cell r="N67">
            <v>131</v>
          </cell>
          <cell r="O67" t="str">
            <v>ppc/pur imp-imp ht x-đã nhắc sx</v>
          </cell>
          <cell r="P67" t="str">
            <v>ok</v>
          </cell>
          <cell r="Q67">
            <v>46025</v>
          </cell>
          <cell r="R67">
            <v>46027</v>
          </cell>
          <cell r="S67">
            <v>46028</v>
          </cell>
          <cell r="T67" t="str">
            <v>l2</v>
          </cell>
          <cell r="U67">
            <v>131</v>
          </cell>
          <cell r="V67">
            <v>0</v>
          </cell>
          <cell r="W67" t="e">
            <v>#VALUE!</v>
          </cell>
          <cell r="X67" t="e">
            <v>#VALUE!</v>
          </cell>
          <cell r="Y67" t="e">
            <v>#VALUE!</v>
          </cell>
          <cell r="Z67" t="b">
            <v>0</v>
          </cell>
          <cell r="AA67" t="e">
            <v>#REF!</v>
          </cell>
          <cell r="AB67">
            <v>46</v>
          </cell>
          <cell r="AC67" t="e">
            <v>#REF!</v>
          </cell>
          <cell r="AD67" t="e">
            <v>#REF!</v>
          </cell>
          <cell r="AE67" t="e">
            <v>#REF!</v>
          </cell>
          <cell r="AF67">
            <v>46</v>
          </cell>
          <cell r="AG67" t="b">
            <v>1</v>
          </cell>
          <cell r="AH67" t="e">
            <v>#N/A</v>
          </cell>
          <cell r="AI67" t="str">
            <v>Thứ 2 giao hàng</v>
          </cell>
        </row>
        <row r="68">
          <cell r="A68" t="str">
            <v>F-2025-12-351</v>
          </cell>
          <cell r="B68" t="str">
            <v>RPRO-251218-0342</v>
          </cell>
          <cell r="C68" t="str">
            <v>26/12</v>
          </cell>
          <cell r="D68" t="str">
            <v>Pro.sche.report 17.12</v>
          </cell>
          <cell r="E68" t="str">
            <v>BDB-000076</v>
          </cell>
          <cell r="F68" t="str">
            <v>PVN-003745</v>
          </cell>
          <cell r="G68" t="str">
            <v>OrthoLite X-25 BILLIARD/16-5427TPX Flat Sheet 0.12D 20+/-4 Asker C 1.1M 2M 16mm</v>
          </cell>
          <cell r="H68">
            <v>680</v>
          </cell>
          <cell r="I68">
            <v>85</v>
          </cell>
          <cell r="J68">
            <v>85</v>
          </cell>
          <cell r="K68" t="str">
            <v>FOOTJOY</v>
          </cell>
          <cell r="L68" t="str">
            <v>Pr.Sch.R</v>
          </cell>
          <cell r="M68" t="str">
            <v>MOLDED</v>
          </cell>
          <cell r="N68"/>
          <cell r="O68" t="str">
            <v>ppc/pur imp-imp ht x-đã nhắc sx</v>
          </cell>
          <cell r="P68" t="str">
            <v>ok</v>
          </cell>
          <cell r="Q68">
            <v>46025</v>
          </cell>
          <cell r="R68">
            <v>46027</v>
          </cell>
          <cell r="S68">
            <v>46028</v>
          </cell>
          <cell r="T68" t="str">
            <v>l2</v>
          </cell>
          <cell r="U68"/>
          <cell r="V68">
            <v>0</v>
          </cell>
          <cell r="W68" t="e">
            <v>#VALUE!</v>
          </cell>
          <cell r="X68" t="e">
            <v>#VALUE!</v>
          </cell>
          <cell r="Y68" t="e">
            <v>#VALUE!</v>
          </cell>
          <cell r="Z68" t="b">
            <v>0</v>
          </cell>
          <cell r="AA68" t="e">
            <v>#REF!</v>
          </cell>
          <cell r="AB68">
            <v>46</v>
          </cell>
          <cell r="AC68" t="e">
            <v>#REF!</v>
          </cell>
          <cell r="AD68" t="e">
            <v>#REF!</v>
          </cell>
          <cell r="AE68" t="e">
            <v>#REF!</v>
          </cell>
          <cell r="AF68">
            <v>85</v>
          </cell>
          <cell r="AG68" t="b">
            <v>1</v>
          </cell>
          <cell r="AH68" t="e">
            <v>#N/A</v>
          </cell>
          <cell r="AI68" t="str">
            <v>Thứ 2 giao hàng</v>
          </cell>
        </row>
        <row r="69">
          <cell r="A69"/>
          <cell r="B69"/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 t="b">
            <v>1</v>
          </cell>
          <cell r="AA69"/>
          <cell r="AB69"/>
          <cell r="AC69"/>
          <cell r="AD69"/>
          <cell r="AE69"/>
          <cell r="AI69"/>
        </row>
        <row r="70">
          <cell r="A70" t="str">
            <v>F-2025-12-265</v>
          </cell>
          <cell r="B70" t="str">
            <v>RPRO-251215-0470</v>
          </cell>
          <cell r="C70" t="str">
            <v>26/12-2/1</v>
          </cell>
          <cell r="D70" t="str">
            <v>Pro.sche.report 12.12+13.12</v>
          </cell>
          <cell r="E70" t="str">
            <v>BDB-000217</v>
          </cell>
          <cell r="F70" t="str">
            <v>PVN-003539</v>
          </cell>
          <cell r="G70" t="str">
            <v>OrthoLite X-40-Hybrid SEEDPEARL/12-0703TPX Hybrid Flat Sheet 0.16D 35+/-4 Asker C 1.1M 1.7M 6.2mm</v>
          </cell>
          <cell r="H70">
            <v>990</v>
          </cell>
          <cell r="I70">
            <v>45</v>
          </cell>
          <cell r="J70">
            <v>45</v>
          </cell>
          <cell r="K70" t="str">
            <v>BROOKS</v>
          </cell>
          <cell r="L70" t="str">
            <v>Pr.Sch.R</v>
          </cell>
          <cell r="M70" t="str">
            <v>MOLDED</v>
          </cell>
          <cell r="N70">
            <v>45</v>
          </cell>
          <cell r="O70"/>
          <cell r="P70">
            <v>45</v>
          </cell>
          <cell r="Q70">
            <v>46027</v>
          </cell>
          <cell r="R70">
            <v>46029</v>
          </cell>
          <cell r="S70">
            <v>46030</v>
          </cell>
          <cell r="T70" t="str">
            <v>l2</v>
          </cell>
          <cell r="U70"/>
          <cell r="V70">
            <v>-45</v>
          </cell>
          <cell r="W70" t="e">
            <v>#VALUE!</v>
          </cell>
          <cell r="X70" t="e">
            <v>#VALUE!</v>
          </cell>
          <cell r="Y70" t="e">
            <v>#VALUE!</v>
          </cell>
          <cell r="Z70" t="b">
            <v>0</v>
          </cell>
          <cell r="AA70" t="e">
            <v>#REF!</v>
          </cell>
          <cell r="AB70">
            <v>48</v>
          </cell>
          <cell r="AC70" t="e">
            <v>#REF!</v>
          </cell>
          <cell r="AD70" t="e">
            <v>#REF!</v>
          </cell>
          <cell r="AE70" t="e">
            <v>#REF!</v>
          </cell>
          <cell r="AF70">
            <v>45</v>
          </cell>
          <cell r="AG70" t="b">
            <v>1</v>
          </cell>
          <cell r="AH70" t="e">
            <v>#N/A</v>
          </cell>
          <cell r="AI70"/>
        </row>
        <row r="71">
          <cell r="A71"/>
          <cell r="B71"/>
          <cell r="C71"/>
          <cell r="D71"/>
          <cell r="E71"/>
          <cell r="F71"/>
          <cell r="G71" t="str">
            <v>RELEASE ĐỢT 2</v>
          </cell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>
            <v>0</v>
          </cell>
          <cell r="W71"/>
          <cell r="X71"/>
          <cell r="Y71"/>
          <cell r="Z71" t="b">
            <v>1</v>
          </cell>
          <cell r="AA71"/>
          <cell r="AB71"/>
          <cell r="AC71"/>
          <cell r="AD71"/>
          <cell r="AE71"/>
          <cell r="AI71"/>
          <cell r="AJ71"/>
          <cell r="AK71"/>
          <cell r="AL71"/>
        </row>
        <row r="72">
          <cell r="A72"/>
          <cell r="B72"/>
          <cell r="C72"/>
          <cell r="D72"/>
          <cell r="E72"/>
          <cell r="F72"/>
          <cell r="G72"/>
          <cell r="H72">
            <v>17419</v>
          </cell>
          <cell r="I72">
            <v>899</v>
          </cell>
          <cell r="J72">
            <v>899</v>
          </cell>
          <cell r="K72"/>
          <cell r="L72"/>
          <cell r="M72"/>
          <cell r="N72">
            <v>880</v>
          </cell>
          <cell r="O72">
            <v>5</v>
          </cell>
          <cell r="P72"/>
          <cell r="Q72"/>
          <cell r="R72"/>
          <cell r="S72"/>
          <cell r="T72"/>
          <cell r="U72"/>
          <cell r="V72">
            <v>-880</v>
          </cell>
          <cell r="W72"/>
          <cell r="X72"/>
          <cell r="Y72"/>
          <cell r="Z72" t="b">
            <v>1</v>
          </cell>
          <cell r="AA72"/>
          <cell r="AB72"/>
          <cell r="AC72"/>
          <cell r="AD72"/>
          <cell r="AE72"/>
          <cell r="AF72"/>
          <cell r="AG72"/>
          <cell r="AI72"/>
        </row>
        <row r="73">
          <cell r="A73" t="str">
            <v>F-2025-12-217</v>
          </cell>
          <cell r="B73" t="str">
            <v>RPRO-251210-0470</v>
          </cell>
          <cell r="C73" t="str">
            <v>22/12</v>
          </cell>
          <cell r="D73" t="str">
            <v>Pro.sche.report 09.12</v>
          </cell>
          <cell r="E73" t="str">
            <v>BDB-000145</v>
          </cell>
          <cell r="F73" t="str">
            <v>PVN-002811</v>
          </cell>
          <cell r="G73" t="str">
            <v>OrthoLite Regular-Hybrid-Nike YELLOW/13-0858TPX Hybrid Flat Sheet 0.11D 25+/-4 Asker C 1.1M 1.7M 2mm</v>
          </cell>
          <cell r="H73">
            <v>140</v>
          </cell>
          <cell r="I73">
            <v>3</v>
          </cell>
          <cell r="J73">
            <v>3</v>
          </cell>
          <cell r="K73" t="str">
            <v>NIKE</v>
          </cell>
          <cell r="L73" t="str">
            <v>Pr.Sch.R</v>
          </cell>
          <cell r="M73" t="str">
            <v>DIE CUT</v>
          </cell>
          <cell r="N73">
            <v>3</v>
          </cell>
          <cell r="O73" t="str">
            <v>đơn cũ W51</v>
          </cell>
          <cell r="P73" t="str">
            <v>ok</v>
          </cell>
          <cell r="Q73">
            <v>46013</v>
          </cell>
          <cell r="R73">
            <v>46015</v>
          </cell>
          <cell r="S73">
            <v>46016</v>
          </cell>
          <cell r="T73" t="str">
            <v>l2</v>
          </cell>
          <cell r="U73">
            <v>3</v>
          </cell>
          <cell r="V73">
            <v>0</v>
          </cell>
          <cell r="W73" t="e">
            <v>#VALUE!</v>
          </cell>
          <cell r="X73" t="e">
            <v>#VALUE!</v>
          </cell>
          <cell r="Y73" t="e">
            <v>#VALUE!</v>
          </cell>
          <cell r="Z73" t="b">
            <v>0</v>
          </cell>
          <cell r="AA73" t="e">
            <v>#REF!</v>
          </cell>
          <cell r="AB73">
            <v>3</v>
          </cell>
          <cell r="AC73" t="e">
            <v>#REF!</v>
          </cell>
          <cell r="AD73" t="e">
            <v>#REF!</v>
          </cell>
          <cell r="AE73" t="e">
            <v>#REF!</v>
          </cell>
          <cell r="AF73">
            <v>3</v>
          </cell>
          <cell r="AG73" t="b">
            <v>1</v>
          </cell>
          <cell r="AH73" t="e">
            <v>#N/A</v>
          </cell>
          <cell r="AI73"/>
        </row>
        <row r="74">
          <cell r="A74"/>
          <cell r="B74"/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>
            <v>0</v>
          </cell>
          <cell r="W74"/>
          <cell r="X74"/>
          <cell r="Y74"/>
          <cell r="Z74" t="b">
            <v>1</v>
          </cell>
          <cell r="AA74"/>
          <cell r="AB74"/>
          <cell r="AC74"/>
          <cell r="AD74"/>
          <cell r="AE74"/>
          <cell r="AI74"/>
        </row>
        <row r="75">
          <cell r="A75" t="str">
            <v>OIN-2025.12.12-01</v>
          </cell>
          <cell r="B75" t="str">
            <v>RPRO-251216-0401</v>
          </cell>
          <cell r="C75" t="str">
            <v>22/12</v>
          </cell>
          <cell r="D75" t="str">
            <v>OIN 16.12</v>
          </cell>
          <cell r="E75" t="str">
            <v>BDB-000102</v>
          </cell>
          <cell r="F75" t="str">
            <v>PVN-003821</v>
          </cell>
          <cell r="G75" t="str">
            <v>[118-467] Eco Lite Hybrid 35+/-4 Asker C 0.13D Lime Green 14-0452 Tpx 1.10M X 2.00M 47mm</v>
          </cell>
          <cell r="H75">
            <v>6</v>
          </cell>
          <cell r="I75">
            <v>2</v>
          </cell>
          <cell r="J75">
            <v>2</v>
          </cell>
          <cell r="K75" t="str">
            <v>Geox</v>
          </cell>
          <cell r="L75" t="str">
            <v>PO-6328-SO-251212-0042</v>
          </cell>
          <cell r="M75" t="str">
            <v>FLAT SHEET</v>
          </cell>
          <cell r="N75">
            <v>2</v>
          </cell>
          <cell r="O75" t="str">
            <v>đơn cũ W51- HANG CONT</v>
          </cell>
          <cell r="P75" t="str">
            <v>ok</v>
          </cell>
          <cell r="Q75">
            <v>46013</v>
          </cell>
          <cell r="R75">
            <v>46015</v>
          </cell>
          <cell r="S75">
            <v>46016</v>
          </cell>
          <cell r="T75" t="str">
            <v>l2</v>
          </cell>
          <cell r="U75">
            <v>2</v>
          </cell>
          <cell r="V75">
            <v>0</v>
          </cell>
          <cell r="W75" t="e">
            <v>#VALUE!</v>
          </cell>
          <cell r="X75" t="e">
            <v>#VALUE!</v>
          </cell>
          <cell r="Y75" t="e">
            <v>#VALUE!</v>
          </cell>
          <cell r="Z75" t="b">
            <v>0</v>
          </cell>
          <cell r="AA75" t="e">
            <v>#REF!</v>
          </cell>
          <cell r="AB75">
            <v>2</v>
          </cell>
          <cell r="AC75" t="e">
            <v>#REF!</v>
          </cell>
          <cell r="AD75" t="e">
            <v>#REF!</v>
          </cell>
          <cell r="AE75" t="e">
            <v>#REF!</v>
          </cell>
          <cell r="AF75">
            <v>2</v>
          </cell>
          <cell r="AG75" t="b">
            <v>1</v>
          </cell>
          <cell r="AH75" t="e">
            <v>#N/A</v>
          </cell>
          <cell r="AI75"/>
        </row>
        <row r="76">
          <cell r="A76"/>
          <cell r="B76"/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>
            <v>0</v>
          </cell>
          <cell r="W76"/>
          <cell r="X76"/>
          <cell r="Y76"/>
          <cell r="Z76" t="b">
            <v>1</v>
          </cell>
          <cell r="AA76"/>
          <cell r="AB76"/>
          <cell r="AC76"/>
          <cell r="AD76"/>
          <cell r="AE76"/>
          <cell r="AI76"/>
        </row>
        <row r="77">
          <cell r="A77" t="str">
            <v>F-2025-12-235</v>
          </cell>
          <cell r="B77" t="str">
            <v>RPRO-251212-0134</v>
          </cell>
          <cell r="C77" t="str">
            <v>22/12</v>
          </cell>
          <cell r="D77" t="str">
            <v>MPS 11.12</v>
          </cell>
          <cell r="E77" t="str">
            <v>BDB-000101</v>
          </cell>
          <cell r="F77" t="str">
            <v>PVN-003628</v>
          </cell>
          <cell r="G77" t="str">
            <v>OrthoLite Eco LT-Hybrid FOSSIL/17-0909TPX Hybrid Flat Sheet 0.13D 35+/-4 Asker C 1.1M 2M 2.5mm</v>
          </cell>
          <cell r="H77">
            <v>168</v>
          </cell>
          <cell r="I77">
            <v>4</v>
          </cell>
          <cell r="J77">
            <v>4</v>
          </cell>
          <cell r="K77"/>
          <cell r="L77" t="str">
            <v>MPS</v>
          </cell>
          <cell r="M77" t="str">
            <v>SPLITTING</v>
          </cell>
          <cell r="N77">
            <v>4</v>
          </cell>
          <cell r="O77" t="str">
            <v>đơn cũ W51</v>
          </cell>
          <cell r="P77" t="str">
            <v>ok</v>
          </cell>
          <cell r="Q77">
            <v>46015</v>
          </cell>
          <cell r="R77">
            <v>46017</v>
          </cell>
          <cell r="S77">
            <v>46018</v>
          </cell>
          <cell r="T77" t="str">
            <v>l2</v>
          </cell>
          <cell r="U77">
            <v>4</v>
          </cell>
          <cell r="V77">
            <v>0</v>
          </cell>
          <cell r="W77" t="e">
            <v>#VALUE!</v>
          </cell>
          <cell r="X77" t="e">
            <v>#VALUE!</v>
          </cell>
          <cell r="Y77" t="e">
            <v>#VALUE!</v>
          </cell>
          <cell r="Z77" t="b">
            <v>0</v>
          </cell>
          <cell r="AA77" t="e">
            <v>#REF!</v>
          </cell>
          <cell r="AB77">
            <v>4</v>
          </cell>
          <cell r="AC77" t="e">
            <v>#REF!</v>
          </cell>
          <cell r="AD77" t="e">
            <v>#REF!</v>
          </cell>
          <cell r="AE77" t="e">
            <v>#REF!</v>
          </cell>
          <cell r="AF77">
            <v>4</v>
          </cell>
          <cell r="AG77" t="b">
            <v>1</v>
          </cell>
          <cell r="AH77" t="e">
            <v>#N/A</v>
          </cell>
          <cell r="AI77"/>
        </row>
        <row r="78">
          <cell r="A78"/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>
            <v>0</v>
          </cell>
          <cell r="W78"/>
          <cell r="X78"/>
          <cell r="Y78"/>
          <cell r="Z78" t="b">
            <v>1</v>
          </cell>
          <cell r="AA78"/>
          <cell r="AB78"/>
          <cell r="AC78"/>
          <cell r="AD78"/>
          <cell r="AE78"/>
          <cell r="AI78"/>
        </row>
        <row r="79">
          <cell r="A79" t="str">
            <v>F-2025-12-339</v>
          </cell>
          <cell r="B79" t="str">
            <v>RPRO-251217-0345</v>
          </cell>
          <cell r="C79" t="str">
            <v>22/12</v>
          </cell>
          <cell r="D79" t="str">
            <v>Pro.sche.report 16.12</v>
          </cell>
          <cell r="E79" t="str">
            <v>BDB-000123</v>
          </cell>
          <cell r="F79" t="str">
            <v>PVN-003987</v>
          </cell>
          <cell r="G79" t="str">
            <v>OrthoLite Ultra-Hybrid SEEDPEARL/12-0703TPX Hybrid Flat Sheet 0.085D 25+/-4 Asker C 1.1M 2M 6.2mm</v>
          </cell>
          <cell r="H79">
            <v>44</v>
          </cell>
          <cell r="I79">
            <v>2</v>
          </cell>
          <cell r="J79">
            <v>2</v>
          </cell>
          <cell r="K79" t="str">
            <v>ADIDAS</v>
          </cell>
          <cell r="L79" t="str">
            <v>Pr.Sch.R</v>
          </cell>
          <cell r="M79" t="str">
            <v>MOLDED</v>
          </cell>
          <cell r="N79">
            <v>299</v>
          </cell>
          <cell r="O79" t="str">
            <v xml:space="preserve">W51 có đổ trưc tồn 109 bun </v>
          </cell>
          <cell r="P79" t="str">
            <v>ok</v>
          </cell>
          <cell r="Q79">
            <v>46014</v>
          </cell>
          <cell r="R79">
            <v>46016</v>
          </cell>
          <cell r="S79">
            <v>46017</v>
          </cell>
          <cell r="T79" t="str">
            <v>l1</v>
          </cell>
          <cell r="U79">
            <v>299</v>
          </cell>
          <cell r="V79">
            <v>0</v>
          </cell>
          <cell r="W79" t="e">
            <v>#VALUE!</v>
          </cell>
          <cell r="X79" t="e">
            <v>#VALUE!</v>
          </cell>
          <cell r="Y79" t="e">
            <v>#VALUE!</v>
          </cell>
          <cell r="Z79" t="b">
            <v>0</v>
          </cell>
          <cell r="AA79" t="e">
            <v>#REF!</v>
          </cell>
          <cell r="AB79">
            <v>924</v>
          </cell>
          <cell r="AC79" t="e">
            <v>#REF!</v>
          </cell>
          <cell r="AD79" t="e">
            <v>#REF!</v>
          </cell>
          <cell r="AE79" t="e">
            <v>#REF!</v>
          </cell>
          <cell r="AF79">
            <v>2</v>
          </cell>
          <cell r="AG79" t="b">
            <v>1</v>
          </cell>
          <cell r="AH79" t="e">
            <v>#N/A</v>
          </cell>
          <cell r="AI79"/>
        </row>
        <row r="80">
          <cell r="A80" t="str">
            <v>F-2025-12-291</v>
          </cell>
          <cell r="B80" t="str">
            <v>RPRO-251216-0446</v>
          </cell>
          <cell r="C80" t="str">
            <v>22/12</v>
          </cell>
          <cell r="D80" t="str">
            <v>MPS 15.12</v>
          </cell>
          <cell r="E80" t="str">
            <v>BDB-000123</v>
          </cell>
          <cell r="F80" t="str">
            <v>PVN-003315</v>
          </cell>
          <cell r="G80" t="str">
            <v>OrthoLite Ultra-Hybrid SEEDPEARL/12-0703TPX Hybrid 0.085D 25+/-4 Asker C 1.1M 2M 3.5mm</v>
          </cell>
          <cell r="H80">
            <v>400</v>
          </cell>
          <cell r="I80">
            <v>10</v>
          </cell>
          <cell r="J80">
            <v>10</v>
          </cell>
          <cell r="K80"/>
          <cell r="L80" t="str">
            <v>MPS</v>
          </cell>
          <cell r="M80" t="str">
            <v>SPLITTING</v>
          </cell>
          <cell r="N80" t="str">
            <v>408-109</v>
          </cell>
          <cell r="O80"/>
          <cell r="P80" t="str">
            <v>ok</v>
          </cell>
          <cell r="Q80">
            <v>46015</v>
          </cell>
          <cell r="R80">
            <v>46017</v>
          </cell>
          <cell r="S80">
            <v>46018</v>
          </cell>
          <cell r="T80" t="str">
            <v>l1</v>
          </cell>
          <cell r="U80"/>
          <cell r="V80" t="e">
            <v>#VALUE!</v>
          </cell>
          <cell r="W80" t="e">
            <v>#VALUE!</v>
          </cell>
          <cell r="X80" t="e">
            <v>#VALUE!</v>
          </cell>
          <cell r="Y80" t="e">
            <v>#VALUE!</v>
          </cell>
          <cell r="Z80" t="b">
            <v>0</v>
          </cell>
          <cell r="AA80" t="e">
            <v>#REF!</v>
          </cell>
          <cell r="AB80">
            <v>924</v>
          </cell>
          <cell r="AC80" t="e">
            <v>#REF!</v>
          </cell>
          <cell r="AD80" t="e">
            <v>#REF!</v>
          </cell>
          <cell r="AE80" t="e">
            <v>#REF!</v>
          </cell>
          <cell r="AF80">
            <v>10</v>
          </cell>
          <cell r="AG80" t="b">
            <v>1</v>
          </cell>
          <cell r="AH80" t="e">
            <v>#N/A</v>
          </cell>
          <cell r="AI80"/>
        </row>
        <row r="81">
          <cell r="A81" t="str">
            <v>F-2025-11-426</v>
          </cell>
          <cell r="B81" t="str">
            <v>FPRO-251119-0007</v>
          </cell>
          <cell r="C81" t="str">
            <v>22/12-23/12</v>
          </cell>
          <cell r="D81" t="str">
            <v>Firm plan 19.11</v>
          </cell>
          <cell r="E81" t="str">
            <v>BDB-000123</v>
          </cell>
          <cell r="F81" t="str">
            <v>PVN-003298</v>
          </cell>
          <cell r="G81" t="str">
            <v>OrthoLite Ultra-Hybrid SEEDPEARL/12-0703TPX Hybrid 0.085D 25+/-4 Asker C 1.1M 2M 4mm</v>
          </cell>
          <cell r="H81">
            <v>7000</v>
          </cell>
          <cell r="I81">
            <v>200</v>
          </cell>
          <cell r="J81">
            <v>200</v>
          </cell>
          <cell r="K81" t="str">
            <v>SALOMON</v>
          </cell>
          <cell r="L81" t="str">
            <v>Forecast</v>
          </cell>
          <cell r="M81" t="str">
            <v>LAMINATING</v>
          </cell>
          <cell r="N81"/>
          <cell r="O81"/>
          <cell r="P81" t="str">
            <v>ok</v>
          </cell>
          <cell r="Q81">
            <v>46016</v>
          </cell>
          <cell r="R81">
            <v>46024</v>
          </cell>
          <cell r="S81">
            <v>46025</v>
          </cell>
          <cell r="T81" t="str">
            <v>l1</v>
          </cell>
          <cell r="U81"/>
          <cell r="V81">
            <v>0</v>
          </cell>
          <cell r="W81" t="e">
            <v>#VALUE!</v>
          </cell>
          <cell r="X81" t="e">
            <v>#VALUE!</v>
          </cell>
          <cell r="Y81" t="e">
            <v>#VALUE!</v>
          </cell>
          <cell r="Z81" t="b">
            <v>0</v>
          </cell>
          <cell r="AA81" t="e">
            <v>#REF!</v>
          </cell>
          <cell r="AB81">
            <v>924</v>
          </cell>
          <cell r="AC81" t="e">
            <v>#REF!</v>
          </cell>
          <cell r="AD81" t="e">
            <v>#REF!</v>
          </cell>
          <cell r="AE81" t="e">
            <v>#REF!</v>
          </cell>
          <cell r="AF81">
            <v>200</v>
          </cell>
          <cell r="AG81" t="b">
            <v>1</v>
          </cell>
          <cell r="AH81" t="e">
            <v>#N/A</v>
          </cell>
          <cell r="AI81"/>
        </row>
        <row r="82">
          <cell r="A82" t="str">
            <v>F-2025-09-237</v>
          </cell>
          <cell r="B82" t="str">
            <v>FPRO-250917-0016</v>
          </cell>
          <cell r="C82" t="str">
            <v>23/12</v>
          </cell>
          <cell r="D82" t="str">
            <v>Firn plan 17.9</v>
          </cell>
          <cell r="E82" t="str">
            <v>BDB-000123</v>
          </cell>
          <cell r="F82" t="str">
            <v>PVN-003299</v>
          </cell>
          <cell r="G82" t="str">
            <v>OrthoLite Ultra-Hybrid SEEDPEARL/12-0703TPX Hybrid 0.085D 25+/-4 Asker C 1.1M 2M 3mm</v>
          </cell>
          <cell r="H82">
            <v>7000</v>
          </cell>
          <cell r="I82">
            <v>153</v>
          </cell>
          <cell r="J82">
            <v>153</v>
          </cell>
          <cell r="K82" t="str">
            <v>ADIDAS</v>
          </cell>
          <cell r="L82" t="str">
            <v>Forecast</v>
          </cell>
          <cell r="M82" t="str">
            <v>SPLITTING</v>
          </cell>
          <cell r="N82"/>
          <cell r="O82"/>
          <cell r="P82" t="str">
            <v>ok</v>
          </cell>
          <cell r="Q82">
            <v>46016</v>
          </cell>
          <cell r="R82">
            <v>46024</v>
          </cell>
          <cell r="S82">
            <v>46025</v>
          </cell>
          <cell r="T82" t="str">
            <v>l1</v>
          </cell>
          <cell r="U82"/>
          <cell r="V82">
            <v>0</v>
          </cell>
          <cell r="W82" t="e">
            <v>#VALUE!</v>
          </cell>
          <cell r="X82" t="e">
            <v>#VALUE!</v>
          </cell>
          <cell r="Y82" t="e">
            <v>#VALUE!</v>
          </cell>
          <cell r="Z82" t="b">
            <v>0</v>
          </cell>
          <cell r="AA82" t="e">
            <v>#REF!</v>
          </cell>
          <cell r="AB82">
            <v>924</v>
          </cell>
          <cell r="AC82" t="e">
            <v>#REF!</v>
          </cell>
          <cell r="AD82" t="e">
            <v>#REF!</v>
          </cell>
          <cell r="AE82" t="e">
            <v>#REF!</v>
          </cell>
          <cell r="AF82">
            <v>153</v>
          </cell>
          <cell r="AG82" t="b">
            <v>1</v>
          </cell>
          <cell r="AH82" t="e">
            <v>#N/A</v>
          </cell>
          <cell r="AI82"/>
        </row>
        <row r="83">
          <cell r="A83" t="str">
            <v>F-2025-12-299</v>
          </cell>
          <cell r="B83" t="str">
            <v>RPRO-251216-0454</v>
          </cell>
          <cell r="C83" t="str">
            <v>23/12</v>
          </cell>
          <cell r="D83" t="str">
            <v>Pro.sche.report 15.12</v>
          </cell>
          <cell r="E83" t="str">
            <v>BDB-000123</v>
          </cell>
          <cell r="F83" t="str">
            <v>PVN-002884</v>
          </cell>
          <cell r="G83" t="str">
            <v>OrthoLite Ultra-Hybrid SEEDPEARL/12-0703TPX Hybrid Flat Sheet 0.085D 25+/-4 Asker C 1.1M 2M 10mm</v>
          </cell>
          <cell r="H83">
            <v>299</v>
          </cell>
          <cell r="I83">
            <v>23</v>
          </cell>
          <cell r="J83">
            <v>23</v>
          </cell>
          <cell r="K83" t="str">
            <v>ADIDAS</v>
          </cell>
          <cell r="L83" t="str">
            <v>Pr.Sch.R</v>
          </cell>
          <cell r="M83" t="str">
            <v>MOLDED</v>
          </cell>
          <cell r="N83"/>
          <cell r="O83"/>
          <cell r="P83" t="str">
            <v>ok</v>
          </cell>
          <cell r="Q83">
            <v>46017</v>
          </cell>
          <cell r="R83">
            <v>46025</v>
          </cell>
          <cell r="S83">
            <v>46027</v>
          </cell>
          <cell r="T83" t="str">
            <v>l1</v>
          </cell>
          <cell r="U83"/>
          <cell r="V83">
            <v>0</v>
          </cell>
          <cell r="W83" t="e">
            <v>#VALUE!</v>
          </cell>
          <cell r="X83" t="e">
            <v>#VALUE!</v>
          </cell>
          <cell r="Y83" t="e">
            <v>#VALUE!</v>
          </cell>
          <cell r="Z83" t="b">
            <v>0</v>
          </cell>
          <cell r="AA83" t="e">
            <v>#REF!</v>
          </cell>
          <cell r="AB83">
            <v>924</v>
          </cell>
          <cell r="AC83" t="e">
            <v>#REF!</v>
          </cell>
          <cell r="AD83" t="e">
            <v>#REF!</v>
          </cell>
          <cell r="AE83" t="e">
            <v>#REF!</v>
          </cell>
          <cell r="AF83">
            <v>23</v>
          </cell>
          <cell r="AG83" t="b">
            <v>1</v>
          </cell>
          <cell r="AH83" t="e">
            <v>#N/A</v>
          </cell>
          <cell r="AI83"/>
        </row>
        <row r="84">
          <cell r="A84" t="str">
            <v>F-2025-12-272</v>
          </cell>
          <cell r="B84" t="str">
            <v>RPRO-251215-0477</v>
          </cell>
          <cell r="C84" t="str">
            <v>23/12</v>
          </cell>
          <cell r="D84" t="str">
            <v>Pro.sche.report 12.12+13.12</v>
          </cell>
          <cell r="E84" t="str">
            <v>BDB-000123</v>
          </cell>
          <cell r="F84" t="str">
            <v>PVN-002539</v>
          </cell>
          <cell r="G84" t="str">
            <v>OrthoLite Ultra-Hybrid SEEDPEARL/12-0703TPX Hybrid Flat Sheet 0.085D 25+/-4 Asker C 1.1M 2M 5mm</v>
          </cell>
          <cell r="H84">
            <v>392</v>
          </cell>
          <cell r="I84">
            <v>14</v>
          </cell>
          <cell r="J84">
            <v>14</v>
          </cell>
          <cell r="K84" t="str">
            <v>BROOKS</v>
          </cell>
          <cell r="L84" t="str">
            <v>Pr.Sch.R</v>
          </cell>
          <cell r="M84" t="str">
            <v>DIE CUT</v>
          </cell>
          <cell r="N84"/>
          <cell r="O84"/>
          <cell r="P84" t="str">
            <v>ok</v>
          </cell>
          <cell r="Q84">
            <v>46017</v>
          </cell>
          <cell r="R84">
            <v>46025</v>
          </cell>
          <cell r="S84">
            <v>46027</v>
          </cell>
          <cell r="T84" t="str">
            <v>l1</v>
          </cell>
          <cell r="U84"/>
          <cell r="V84">
            <v>0</v>
          </cell>
          <cell r="W84" t="e">
            <v>#VALUE!</v>
          </cell>
          <cell r="X84" t="e">
            <v>#VALUE!</v>
          </cell>
          <cell r="Y84" t="e">
            <v>#VALUE!</v>
          </cell>
          <cell r="Z84" t="b">
            <v>0</v>
          </cell>
          <cell r="AA84" t="e">
            <v>#REF!</v>
          </cell>
          <cell r="AB84">
            <v>924</v>
          </cell>
          <cell r="AC84" t="e">
            <v>#REF!</v>
          </cell>
          <cell r="AD84" t="e">
            <v>#REF!</v>
          </cell>
          <cell r="AE84" t="e">
            <v>#REF!</v>
          </cell>
          <cell r="AF84">
            <v>14</v>
          </cell>
          <cell r="AG84" t="b">
            <v>1</v>
          </cell>
          <cell r="AH84" t="e">
            <v>#N/A</v>
          </cell>
          <cell r="AI84"/>
        </row>
        <row r="85">
          <cell r="A85" t="str">
            <v>F-2025-12-378</v>
          </cell>
          <cell r="B85" t="str">
            <v>RPRO-251219-0291</v>
          </cell>
          <cell r="C85" t="str">
            <v>23/12</v>
          </cell>
          <cell r="D85" t="str">
            <v>Pro.sche.report 18.12</v>
          </cell>
          <cell r="E85" t="str">
            <v>BDB-000123</v>
          </cell>
          <cell r="F85" t="str">
            <v>PVN-002884</v>
          </cell>
          <cell r="G85" t="str">
            <v>OrthoLite Ultra-Hybrid SEEDPEARL/12-0703TPX Hybrid Flat Sheet 0.085D 25+/-4 Asker C 1.1M 2M 10mm</v>
          </cell>
          <cell r="H85">
            <v>78</v>
          </cell>
          <cell r="I85">
            <v>6</v>
          </cell>
          <cell r="J85">
            <v>6</v>
          </cell>
          <cell r="K85" t="str">
            <v>ADIDAS</v>
          </cell>
          <cell r="L85" t="str">
            <v>Pr.Sch.R</v>
          </cell>
          <cell r="M85" t="str">
            <v>MOLDED</v>
          </cell>
          <cell r="N85"/>
          <cell r="O85"/>
          <cell r="P85" t="str">
            <v>ok</v>
          </cell>
          <cell r="Q85">
            <v>46017</v>
          </cell>
          <cell r="R85">
            <v>46025</v>
          </cell>
          <cell r="S85">
            <v>46027</v>
          </cell>
          <cell r="T85" t="str">
            <v>l1</v>
          </cell>
          <cell r="U85"/>
          <cell r="V85">
            <v>0</v>
          </cell>
          <cell r="W85" t="e">
            <v>#VALUE!</v>
          </cell>
          <cell r="X85" t="e">
            <v>#VALUE!</v>
          </cell>
          <cell r="Y85" t="e">
            <v>#VALUE!</v>
          </cell>
          <cell r="Z85" t="b">
            <v>0</v>
          </cell>
          <cell r="AA85" t="e">
            <v>#REF!</v>
          </cell>
          <cell r="AB85">
            <v>924</v>
          </cell>
          <cell r="AC85" t="e">
            <v>#REF!</v>
          </cell>
          <cell r="AD85" t="e">
            <v>#REF!</v>
          </cell>
          <cell r="AE85" t="e">
            <v>#REF!</v>
          </cell>
          <cell r="AF85">
            <v>6</v>
          </cell>
          <cell r="AG85" t="b">
            <v>1</v>
          </cell>
          <cell r="AH85" t="e">
            <v>#N/A</v>
          </cell>
          <cell r="AI85"/>
        </row>
        <row r="86">
          <cell r="A86"/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 t="b">
            <v>1</v>
          </cell>
          <cell r="AA86"/>
          <cell r="AB86"/>
          <cell r="AC86"/>
          <cell r="AD86"/>
          <cell r="AE86"/>
          <cell r="AI86"/>
        </row>
        <row r="87">
          <cell r="A87" t="str">
            <v>F-2025-12-328</v>
          </cell>
          <cell r="B87" t="str">
            <v>RPRO-251217-0334</v>
          </cell>
          <cell r="C87" t="str">
            <v>23/12</v>
          </cell>
          <cell r="D87" t="str">
            <v>MPS 16.12</v>
          </cell>
          <cell r="E87" t="str">
            <v>BDB-000123</v>
          </cell>
          <cell r="F87" t="str">
            <v>PVN-003300</v>
          </cell>
          <cell r="G87" t="str">
            <v>OrthoLite Ultra-Hybrid SEEDPEARL/12-0703TPX Hybrid Flat Sheet 0.085D 25+/-4 Asker C 1.1M 2M 2mm</v>
          </cell>
          <cell r="H87">
            <v>630</v>
          </cell>
          <cell r="I87">
            <v>10</v>
          </cell>
          <cell r="J87">
            <v>10</v>
          </cell>
          <cell r="K87"/>
          <cell r="L87" t="str">
            <v>MPS</v>
          </cell>
          <cell r="M87" t="str">
            <v>SPLITTING</v>
          </cell>
          <cell r="N87">
            <v>25</v>
          </cell>
          <cell r="O87"/>
          <cell r="P87" t="str">
            <v>ok</v>
          </cell>
          <cell r="Q87">
            <v>46015</v>
          </cell>
          <cell r="R87">
            <v>46017</v>
          </cell>
          <cell r="S87">
            <v>46018</v>
          </cell>
          <cell r="T87" t="str">
            <v>l1</v>
          </cell>
          <cell r="U87">
            <v>22</v>
          </cell>
          <cell r="V87">
            <v>-3</v>
          </cell>
          <cell r="W87" t="e">
            <v>#VALUE!</v>
          </cell>
          <cell r="X87" t="e">
            <v>#VALUE!</v>
          </cell>
          <cell r="Y87" t="e">
            <v>#VALUE!</v>
          </cell>
          <cell r="Z87" t="b">
            <v>0</v>
          </cell>
          <cell r="AA87" t="e">
            <v>#REF!</v>
          </cell>
          <cell r="AB87">
            <v>924</v>
          </cell>
          <cell r="AC87" t="e">
            <v>#REF!</v>
          </cell>
          <cell r="AD87" t="e">
            <v>#REF!</v>
          </cell>
          <cell r="AE87" t="e">
            <v>#REF!</v>
          </cell>
          <cell r="AF87">
            <v>10</v>
          </cell>
          <cell r="AG87" t="b">
            <v>1</v>
          </cell>
          <cell r="AH87" t="e">
            <v>#N/A</v>
          </cell>
          <cell r="AI87"/>
        </row>
        <row r="88">
          <cell r="A88" t="str">
            <v>F-2025-12-250</v>
          </cell>
          <cell r="B88" t="str">
            <v>RPRO-251215-0455</v>
          </cell>
          <cell r="C88" t="str">
            <v>23/12</v>
          </cell>
          <cell r="D88" t="str">
            <v>MPS 12.12+13.12</v>
          </cell>
          <cell r="E88" t="str">
            <v>BDB-000123</v>
          </cell>
          <cell r="F88" t="str">
            <v>PVN-003300</v>
          </cell>
          <cell r="G88" t="str">
            <v>OrthoLite Ultra-Hybrid SEEDPEARL/12-0703TPX Hybrid Flat Sheet 0.085D 25+/-4 Asker C 1.1M 2M 2mm</v>
          </cell>
          <cell r="H88">
            <v>280</v>
          </cell>
          <cell r="I88">
            <v>5</v>
          </cell>
          <cell r="J88">
            <v>5</v>
          </cell>
          <cell r="K88"/>
          <cell r="L88" t="str">
            <v>MPS</v>
          </cell>
          <cell r="M88" t="str">
            <v>SPLITTING</v>
          </cell>
          <cell r="N88"/>
          <cell r="O88"/>
          <cell r="P88" t="str">
            <v>ok</v>
          </cell>
          <cell r="Q88">
            <v>46015</v>
          </cell>
          <cell r="R88">
            <v>46017</v>
          </cell>
          <cell r="S88">
            <v>46018</v>
          </cell>
          <cell r="T88" t="str">
            <v>l1</v>
          </cell>
          <cell r="U88"/>
          <cell r="V88">
            <v>0</v>
          </cell>
          <cell r="W88" t="e">
            <v>#VALUE!</v>
          </cell>
          <cell r="X88" t="e">
            <v>#VALUE!</v>
          </cell>
          <cell r="Y88" t="e">
            <v>#VALUE!</v>
          </cell>
          <cell r="Z88" t="b">
            <v>0</v>
          </cell>
          <cell r="AA88" t="e">
            <v>#REF!</v>
          </cell>
          <cell r="AB88">
            <v>924</v>
          </cell>
          <cell r="AC88" t="e">
            <v>#REF!</v>
          </cell>
          <cell r="AD88" t="e">
            <v>#REF!</v>
          </cell>
          <cell r="AE88" t="e">
            <v>#REF!</v>
          </cell>
          <cell r="AF88">
            <v>5</v>
          </cell>
          <cell r="AG88" t="b">
            <v>1</v>
          </cell>
          <cell r="AH88" t="e">
            <v>#N/A</v>
          </cell>
          <cell r="AI88"/>
        </row>
        <row r="89">
          <cell r="A89" t="str">
            <v>F-2025-12-345</v>
          </cell>
          <cell r="B89" t="str">
            <v>RPRO-251218-0336</v>
          </cell>
          <cell r="C89" t="str">
            <v>23/12</v>
          </cell>
          <cell r="D89" t="str">
            <v>MPS 17.12</v>
          </cell>
          <cell r="E89" t="str">
            <v>BDB-000123</v>
          </cell>
          <cell r="F89" t="str">
            <v>PVN-003300</v>
          </cell>
          <cell r="G89" t="str">
            <v>OrthoLite Ultra-Hybrid SEEDPEARL/12-0703TPX Hybrid Flat Sheet 0.085D 25+/-4 Asker C 1.1M 2M 2mm</v>
          </cell>
          <cell r="H89">
            <v>630</v>
          </cell>
          <cell r="I89">
            <v>10</v>
          </cell>
          <cell r="J89">
            <v>10</v>
          </cell>
          <cell r="K89"/>
          <cell r="L89" t="str">
            <v>MPS</v>
          </cell>
          <cell r="M89" t="str">
            <v>SPLITTING</v>
          </cell>
          <cell r="N89"/>
          <cell r="O89"/>
          <cell r="P89" t="str">
            <v>ok</v>
          </cell>
          <cell r="Q89">
            <v>46015</v>
          </cell>
          <cell r="R89">
            <v>46017</v>
          </cell>
          <cell r="S89">
            <v>46018</v>
          </cell>
          <cell r="T89" t="str">
            <v>l1</v>
          </cell>
          <cell r="U89"/>
          <cell r="V89">
            <v>0</v>
          </cell>
          <cell r="W89" t="e">
            <v>#VALUE!</v>
          </cell>
          <cell r="X89" t="e">
            <v>#VALUE!</v>
          </cell>
          <cell r="Y89" t="e">
            <v>#VALUE!</v>
          </cell>
          <cell r="Z89" t="b">
            <v>0</v>
          </cell>
          <cell r="AA89" t="e">
            <v>#REF!</v>
          </cell>
          <cell r="AB89">
            <v>924</v>
          </cell>
          <cell r="AC89" t="e">
            <v>#REF!</v>
          </cell>
          <cell r="AD89" t="e">
            <v>#REF!</v>
          </cell>
          <cell r="AE89" t="e">
            <v>#REF!</v>
          </cell>
          <cell r="AF89">
            <v>10</v>
          </cell>
          <cell r="AG89" t="b">
            <v>1</v>
          </cell>
          <cell r="AH89" t="e">
            <v>#N/A</v>
          </cell>
          <cell r="AI89"/>
        </row>
        <row r="90">
          <cell r="A90"/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 t="b">
            <v>1</v>
          </cell>
          <cell r="AA90"/>
          <cell r="AB90"/>
          <cell r="AC90"/>
          <cell r="AD90"/>
          <cell r="AE90"/>
          <cell r="AI90"/>
        </row>
        <row r="91">
          <cell r="A91" t="str">
            <v>F-2025-12-253</v>
          </cell>
          <cell r="B91" t="str">
            <v>RPRO-251215-0458</v>
          </cell>
          <cell r="C91" t="str">
            <v>23/12</v>
          </cell>
          <cell r="D91" t="str">
            <v>MPS 12.12+13.12</v>
          </cell>
          <cell r="E91" t="str">
            <v>BDB-000286</v>
          </cell>
          <cell r="F91" t="str">
            <v>PVN-003863</v>
          </cell>
          <cell r="G91" t="str">
            <v>OrthoLite Regular-Hybrid SEEDPEARL/12-0703TPX Hybrid Flat Sheet 0.13D 25+/-4 Asker C 1.1M 1.7M 2mm</v>
          </cell>
          <cell r="H91">
            <v>140</v>
          </cell>
          <cell r="I91">
            <v>3</v>
          </cell>
          <cell r="J91">
            <v>3</v>
          </cell>
          <cell r="K91"/>
          <cell r="L91" t="str">
            <v>MPS</v>
          </cell>
          <cell r="M91" t="str">
            <v>SPLITTING</v>
          </cell>
          <cell r="N91">
            <v>3</v>
          </cell>
          <cell r="O91"/>
          <cell r="P91" t="str">
            <v>ok</v>
          </cell>
          <cell r="Q91">
            <v>46016</v>
          </cell>
          <cell r="R91">
            <v>46024</v>
          </cell>
          <cell r="S91">
            <v>46025</v>
          </cell>
          <cell r="T91" t="str">
            <v>l1</v>
          </cell>
          <cell r="U91">
            <v>3</v>
          </cell>
          <cell r="V91">
            <v>0</v>
          </cell>
          <cell r="W91" t="e">
            <v>#VALUE!</v>
          </cell>
          <cell r="X91" t="e">
            <v>#VALUE!</v>
          </cell>
          <cell r="Y91" t="e">
            <v>#VALUE!</v>
          </cell>
          <cell r="Z91" t="b">
            <v>0</v>
          </cell>
          <cell r="AA91" t="e">
            <v>#REF!</v>
          </cell>
          <cell r="AB91">
            <v>0</v>
          </cell>
          <cell r="AC91">
            <v>0</v>
          </cell>
          <cell r="AD91" t="e">
            <v>#REF!</v>
          </cell>
          <cell r="AE91" t="e">
            <v>#REF!</v>
          </cell>
          <cell r="AF91">
            <v>3</v>
          </cell>
          <cell r="AG91" t="b">
            <v>1</v>
          </cell>
          <cell r="AH91" t="e">
            <v>#N/A</v>
          </cell>
          <cell r="AI91"/>
        </row>
        <row r="92">
          <cell r="A92"/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 t="b">
            <v>1</v>
          </cell>
          <cell r="AA92"/>
          <cell r="AB92"/>
          <cell r="AC92"/>
          <cell r="AD92"/>
          <cell r="AE92"/>
          <cell r="AI92"/>
        </row>
        <row r="93">
          <cell r="A93" t="str">
            <v>F-2025-12-257</v>
          </cell>
          <cell r="B93" t="str">
            <v>RPRO-251215-0462</v>
          </cell>
          <cell r="C93" t="str">
            <v>23/12</v>
          </cell>
          <cell r="D93" t="str">
            <v>Pro.sche.report 12.12+13.12</v>
          </cell>
          <cell r="E93" t="str">
            <v>BDB-000197</v>
          </cell>
          <cell r="F93" t="str">
            <v>PVN-003406</v>
          </cell>
          <cell r="G93" t="str">
            <v>OrthoLite Ultra-Hybrid SEEDPEARL/12-0703TPX Hybrid Flat Sheet 0.085D 5-10 Asker C 1.1M 2M 2mm</v>
          </cell>
          <cell r="H93">
            <v>70</v>
          </cell>
          <cell r="I93">
            <v>2</v>
          </cell>
          <cell r="J93">
            <v>2</v>
          </cell>
          <cell r="K93" t="str">
            <v>ADIDAS</v>
          </cell>
          <cell r="L93" t="str">
            <v>Pr.Sch.R</v>
          </cell>
          <cell r="M93" t="str">
            <v>DIE CUT</v>
          </cell>
          <cell r="N93">
            <v>2</v>
          </cell>
          <cell r="O93"/>
          <cell r="P93" t="str">
            <v>ok</v>
          </cell>
          <cell r="Q93">
            <v>46017</v>
          </cell>
          <cell r="R93">
            <v>46025</v>
          </cell>
          <cell r="S93">
            <v>46027</v>
          </cell>
          <cell r="T93" t="str">
            <v>l1</v>
          </cell>
          <cell r="U93">
            <v>2</v>
          </cell>
          <cell r="V93">
            <v>0</v>
          </cell>
          <cell r="W93" t="e">
            <v>#VALUE!</v>
          </cell>
          <cell r="X93" t="e">
            <v>#VALUE!</v>
          </cell>
          <cell r="Y93" t="e">
            <v>#VALUE!</v>
          </cell>
          <cell r="Z93" t="b">
            <v>0</v>
          </cell>
          <cell r="AA93" t="e">
            <v>#REF!</v>
          </cell>
          <cell r="AB93">
            <v>0</v>
          </cell>
          <cell r="AC93">
            <v>0</v>
          </cell>
          <cell r="AD93" t="e">
            <v>#REF!</v>
          </cell>
          <cell r="AE93" t="e">
            <v>#REF!</v>
          </cell>
          <cell r="AF93">
            <v>2</v>
          </cell>
          <cell r="AG93" t="b">
            <v>1</v>
          </cell>
          <cell r="AH93" t="e">
            <v>#N/A</v>
          </cell>
          <cell r="AI93"/>
        </row>
        <row r="94">
          <cell r="A94"/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 t="b">
            <v>1</v>
          </cell>
          <cell r="AA94"/>
          <cell r="AB94"/>
          <cell r="AC94"/>
          <cell r="AD94"/>
          <cell r="AE94"/>
          <cell r="AI94"/>
        </row>
        <row r="95">
          <cell r="A95" t="str">
            <v>F-2025-12-356</v>
          </cell>
          <cell r="B95" t="str">
            <v>FPRO-251218-0001-SLT LOCATION</v>
          </cell>
          <cell r="C95" t="str">
            <v>23/12</v>
          </cell>
          <cell r="D95" t="str">
            <v>Firm plan 18.12</v>
          </cell>
          <cell r="E95" t="str">
            <v>BDB-000180</v>
          </cell>
          <cell r="F95" t="str">
            <v>PVN-003236</v>
          </cell>
          <cell r="G95" t="str">
            <v>OrthoLite Eco LT-Hybrid-Converse SEEDPEARL/12-0703TPX Hybrid 0.13D 25+/-4 Asker C 1.1M 2M 5mm</v>
          </cell>
          <cell r="H95">
            <v>214</v>
          </cell>
          <cell r="I95">
            <v>8</v>
          </cell>
          <cell r="J95">
            <v>8</v>
          </cell>
          <cell r="K95" t="str">
            <v>CONVERSE</v>
          </cell>
          <cell r="L95" t="str">
            <v>Forecast</v>
          </cell>
          <cell r="M95" t="str">
            <v>DIE CUT</v>
          </cell>
          <cell r="N95">
            <v>8</v>
          </cell>
          <cell r="O95"/>
          <cell r="P95" t="str">
            <v>ok</v>
          </cell>
          <cell r="Q95">
            <v>46017</v>
          </cell>
          <cell r="R95">
            <v>46025</v>
          </cell>
          <cell r="S95">
            <v>46027</v>
          </cell>
          <cell r="T95" t="str">
            <v>l1</v>
          </cell>
          <cell r="U95">
            <v>8</v>
          </cell>
          <cell r="V95">
            <v>0</v>
          </cell>
          <cell r="W95" t="e">
            <v>#VALUE!</v>
          </cell>
          <cell r="X95" t="e">
            <v>#VALUE!</v>
          </cell>
          <cell r="Y95" t="e">
            <v>#VALUE!</v>
          </cell>
          <cell r="Z95" t="b">
            <v>0</v>
          </cell>
          <cell r="AA95" t="e">
            <v>#REF!</v>
          </cell>
          <cell r="AB95">
            <v>64</v>
          </cell>
          <cell r="AC95" t="e">
            <v>#REF!</v>
          </cell>
          <cell r="AD95" t="e">
            <v>#REF!</v>
          </cell>
          <cell r="AE95" t="e">
            <v>#REF!</v>
          </cell>
          <cell r="AF95">
            <v>8</v>
          </cell>
          <cell r="AG95" t="b">
            <v>1</v>
          </cell>
          <cell r="AH95" t="e">
            <v>#N/A</v>
          </cell>
          <cell r="AI95"/>
        </row>
        <row r="96">
          <cell r="A96"/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 t="b">
            <v>1</v>
          </cell>
          <cell r="AA96"/>
          <cell r="AB96"/>
          <cell r="AC96"/>
          <cell r="AD96"/>
          <cell r="AE96"/>
          <cell r="AI96"/>
        </row>
        <row r="97">
          <cell r="A97" t="str">
            <v>F-2025-11-332-1</v>
          </cell>
          <cell r="B97" t="str">
            <v>FPRO-251117-0013</v>
          </cell>
          <cell r="C97" t="str">
            <v>23/12</v>
          </cell>
          <cell r="D97" t="str">
            <v>Firm plan 17.11</v>
          </cell>
          <cell r="E97" t="str">
            <v>BDB-000113</v>
          </cell>
          <cell r="F97" t="str">
            <v>PVN-003414</v>
          </cell>
          <cell r="G97" t="str">
            <v>OrthoLite Regular-Hybrid SEEDPEARL/12-0703TPX Hybrid Flat Sheet 0.11D 25+/-4 Asker C 1.1M 2M 12mm</v>
          </cell>
          <cell r="H97">
            <v>2000</v>
          </cell>
          <cell r="I97">
            <v>174</v>
          </cell>
          <cell r="J97">
            <v>174</v>
          </cell>
          <cell r="K97" t="str">
            <v>ASICS</v>
          </cell>
          <cell r="L97" t="str">
            <v>Forecast</v>
          </cell>
          <cell r="M97" t="str">
            <v>MOLDED</v>
          </cell>
          <cell r="N97">
            <v>273</v>
          </cell>
          <cell r="O97" t="str">
            <v xml:space="preserve">W51 đổ dư 9 bun </v>
          </cell>
          <cell r="P97" t="str">
            <v>ok</v>
          </cell>
          <cell r="Q97">
            <v>46016</v>
          </cell>
          <cell r="R97">
            <v>46024</v>
          </cell>
          <cell r="S97">
            <v>46025</v>
          </cell>
          <cell r="T97" t="str">
            <v>l1</v>
          </cell>
          <cell r="U97">
            <v>260</v>
          </cell>
          <cell r="V97">
            <v>-13</v>
          </cell>
          <cell r="W97" t="e">
            <v>#VALUE!</v>
          </cell>
          <cell r="X97" t="e">
            <v>#VALUE!</v>
          </cell>
          <cell r="Y97" t="e">
            <v>#VALUE!</v>
          </cell>
          <cell r="Z97" t="b">
            <v>0</v>
          </cell>
          <cell r="AA97" t="e">
            <v>#REF!</v>
          </cell>
          <cell r="AB97">
            <v>778</v>
          </cell>
          <cell r="AC97" t="e">
            <v>#REF!</v>
          </cell>
          <cell r="AD97" t="e">
            <v>#REF!</v>
          </cell>
          <cell r="AE97" t="e">
            <v>#REF!</v>
          </cell>
          <cell r="AF97">
            <v>174</v>
          </cell>
          <cell r="AG97" t="b">
            <v>1</v>
          </cell>
          <cell r="AH97" t="e">
            <v>#N/A</v>
          </cell>
          <cell r="AI97"/>
        </row>
        <row r="98">
          <cell r="A98" t="str">
            <v>F-2025-11-341</v>
          </cell>
          <cell r="B98" t="str">
            <v>FPRO-251117-0022</v>
          </cell>
          <cell r="C98" t="str">
            <v>23/12-24/12</v>
          </cell>
          <cell r="D98" t="str">
            <v>Firm plan 17.11</v>
          </cell>
          <cell r="E98" t="str">
            <v>BDB-000113</v>
          </cell>
          <cell r="F98" t="str">
            <v>PVN-002465</v>
          </cell>
          <cell r="G98" t="str">
            <v>OrthoLite Regular-Hybrid SEEDPEARL/12-0703TPX Hybrid Flat Sheet 0.11D 25+/-4 Asker C 1.1M 2M 5mm</v>
          </cell>
          <cell r="H98">
            <v>3000</v>
          </cell>
          <cell r="I98">
            <v>108</v>
          </cell>
          <cell r="J98">
            <v>108</v>
          </cell>
          <cell r="K98" t="str">
            <v>ASICS</v>
          </cell>
          <cell r="L98" t="str">
            <v>Forecast</v>
          </cell>
          <cell r="M98" t="str">
            <v>DIE CUT</v>
          </cell>
          <cell r="N98" t="str">
            <v>282-9</v>
          </cell>
          <cell r="O98"/>
          <cell r="P98" t="str">
            <v>ok</v>
          </cell>
          <cell r="Q98">
            <v>46016</v>
          </cell>
          <cell r="R98">
            <v>46024</v>
          </cell>
          <cell r="S98">
            <v>46025</v>
          </cell>
          <cell r="T98" t="str">
            <v>l1</v>
          </cell>
          <cell r="U98"/>
          <cell r="V98" t="e">
            <v>#VALUE!</v>
          </cell>
          <cell r="W98" t="e">
            <v>#VALUE!</v>
          </cell>
          <cell r="X98" t="e">
            <v>#VALUE!</v>
          </cell>
          <cell r="Y98" t="e">
            <v>#VALUE!</v>
          </cell>
          <cell r="Z98" t="b">
            <v>0</v>
          </cell>
          <cell r="AA98" t="e">
            <v>#REF!</v>
          </cell>
          <cell r="AB98">
            <v>778</v>
          </cell>
          <cell r="AC98" t="e">
            <v>#REF!</v>
          </cell>
          <cell r="AD98" t="e">
            <v>#REF!</v>
          </cell>
          <cell r="AE98" t="e">
            <v>#REF!</v>
          </cell>
          <cell r="AF98">
            <v>108</v>
          </cell>
          <cell r="AG98" t="b">
            <v>1</v>
          </cell>
          <cell r="AH98" t="e">
            <v>#N/A</v>
          </cell>
          <cell r="AI98"/>
        </row>
        <row r="99">
          <cell r="A99"/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 t="b">
            <v>1</v>
          </cell>
          <cell r="AA99"/>
          <cell r="AB99"/>
          <cell r="AC99"/>
          <cell r="AD99"/>
          <cell r="AE99"/>
          <cell r="AI99"/>
        </row>
        <row r="100">
          <cell r="A100" t="str">
            <v>F-2025-12-269</v>
          </cell>
          <cell r="B100" t="str">
            <v>RPRO-251215-0474</v>
          </cell>
          <cell r="C100" t="str">
            <v>24/12</v>
          </cell>
          <cell r="D100" t="str">
            <v>Pro.sche.report 12.12+13.12</v>
          </cell>
          <cell r="E100" t="str">
            <v>BDB-000175</v>
          </cell>
          <cell r="F100" t="str">
            <v>PVN-002876</v>
          </cell>
          <cell r="G100" t="str">
            <v>OrthoLite Ultra-Hybrid-Nike SEEDPEARL/12-0703TPX Hybrid Flat Sheet 0.085D 25+/-4 Asker C 1.1M 2M 5mm</v>
          </cell>
          <cell r="H100">
            <v>308</v>
          </cell>
          <cell r="I100">
            <v>11</v>
          </cell>
          <cell r="J100">
            <v>11</v>
          </cell>
          <cell r="K100" t="str">
            <v>NIKE</v>
          </cell>
          <cell r="L100" t="str">
            <v>Pr.Sch.R</v>
          </cell>
          <cell r="M100" t="str">
            <v>MOLDED</v>
          </cell>
          <cell r="N100">
            <v>133</v>
          </cell>
          <cell r="O100"/>
          <cell r="P100" t="str">
            <v>ok</v>
          </cell>
          <cell r="Q100">
            <v>46017</v>
          </cell>
          <cell r="R100">
            <v>46025</v>
          </cell>
          <cell r="S100">
            <v>46027</v>
          </cell>
          <cell r="T100" t="str">
            <v>l1</v>
          </cell>
          <cell r="U100">
            <v>132</v>
          </cell>
          <cell r="V100">
            <v>-1</v>
          </cell>
          <cell r="W100" t="e">
            <v>#VALUE!</v>
          </cell>
          <cell r="X100" t="e">
            <v>#VALUE!</v>
          </cell>
          <cell r="Y100" t="e">
            <v>#VALUE!</v>
          </cell>
          <cell r="Z100" t="b">
            <v>0</v>
          </cell>
          <cell r="AA100" t="e">
            <v>#REF!</v>
          </cell>
          <cell r="AB100">
            <v>82</v>
          </cell>
          <cell r="AC100" t="e">
            <v>#REF!</v>
          </cell>
          <cell r="AD100" t="e">
            <v>#REF!</v>
          </cell>
          <cell r="AE100" t="e">
            <v>#REF!</v>
          </cell>
          <cell r="AF100">
            <v>11</v>
          </cell>
          <cell r="AG100" t="b">
            <v>1</v>
          </cell>
          <cell r="AH100" t="e">
            <v>#N/A</v>
          </cell>
          <cell r="AI100"/>
        </row>
        <row r="101">
          <cell r="A101" t="str">
            <v>F-2025-12-27</v>
          </cell>
          <cell r="B101" t="str">
            <v>FPRO-251201-0005</v>
          </cell>
          <cell r="C101" t="str">
            <v>24/12</v>
          </cell>
          <cell r="D101" t="str">
            <v>Firm plan 1.12</v>
          </cell>
          <cell r="E101" t="str">
            <v>BDB-000175</v>
          </cell>
          <cell r="F101" t="str">
            <v>PVN-002966</v>
          </cell>
          <cell r="G101" t="str">
            <v>OrthoLite Ultra-Hybrid-Nike SEEDPEARL/12-0703TPX Hybrid 0.085D 25+/-4 Asker C 1.1M 2M 4mm</v>
          </cell>
          <cell r="H101">
            <v>3500</v>
          </cell>
          <cell r="I101">
            <v>100</v>
          </cell>
          <cell r="J101">
            <v>100</v>
          </cell>
          <cell r="K101" t="str">
            <v>NIKE</v>
          </cell>
          <cell r="L101" t="str">
            <v>Forecast</v>
          </cell>
          <cell r="M101" t="str">
            <v>DIE CUT</v>
          </cell>
          <cell r="N101"/>
          <cell r="O101"/>
          <cell r="P101" t="str">
            <v>ok</v>
          </cell>
          <cell r="Q101">
            <v>46024</v>
          </cell>
          <cell r="R101">
            <v>46027</v>
          </cell>
          <cell r="S101">
            <v>46028</v>
          </cell>
          <cell r="T101" t="str">
            <v>l1</v>
          </cell>
          <cell r="U101"/>
          <cell r="V101">
            <v>0</v>
          </cell>
          <cell r="W101" t="e">
            <v>#VALUE!</v>
          </cell>
          <cell r="X101" t="e">
            <v>#VALUE!</v>
          </cell>
          <cell r="Y101" t="e">
            <v>#VALUE!</v>
          </cell>
          <cell r="Z101" t="b">
            <v>0</v>
          </cell>
          <cell r="AA101" t="e">
            <v>#REF!</v>
          </cell>
          <cell r="AB101">
            <v>82</v>
          </cell>
          <cell r="AC101" t="e">
            <v>#REF!</v>
          </cell>
          <cell r="AD101" t="e">
            <v>#REF!</v>
          </cell>
          <cell r="AE101" t="e">
            <v>#REF!</v>
          </cell>
          <cell r="AF101">
            <v>100</v>
          </cell>
          <cell r="AG101" t="b">
            <v>1</v>
          </cell>
          <cell r="AH101" t="e">
            <v>#N/A</v>
          </cell>
          <cell r="AI101"/>
        </row>
        <row r="102">
          <cell r="A102" t="str">
            <v>F-2025-12-43</v>
          </cell>
          <cell r="B102" t="str">
            <v>FPRO-251201-0021</v>
          </cell>
          <cell r="C102" t="str">
            <v>24/12</v>
          </cell>
          <cell r="D102" t="str">
            <v>Firm plan 1.12</v>
          </cell>
          <cell r="E102" t="str">
            <v>BDB-000175</v>
          </cell>
          <cell r="F102" t="str">
            <v>PVN-002875</v>
          </cell>
          <cell r="G102" t="str">
            <v>OrthoLite Ultra-Hybrid-Nike SEEDPEARL/12-0703TPX Hybrid 0.085D 25+/-4 Asker C 1.1M 2M 3mm</v>
          </cell>
          <cell r="H102">
            <v>1000</v>
          </cell>
          <cell r="I102">
            <v>22</v>
          </cell>
          <cell r="J102">
            <v>22</v>
          </cell>
          <cell r="K102" t="str">
            <v>NIKE</v>
          </cell>
          <cell r="L102" t="str">
            <v>Forecast</v>
          </cell>
          <cell r="M102" t="str">
            <v>DIE CUT</v>
          </cell>
          <cell r="N102"/>
          <cell r="O102"/>
          <cell r="P102" t="str">
            <v>ok</v>
          </cell>
          <cell r="Q102">
            <v>46024</v>
          </cell>
          <cell r="R102">
            <v>46027</v>
          </cell>
          <cell r="S102">
            <v>46028</v>
          </cell>
          <cell r="T102" t="str">
            <v>l1</v>
          </cell>
          <cell r="U102"/>
          <cell r="V102">
            <v>0</v>
          </cell>
          <cell r="W102" t="e">
            <v>#VALUE!</v>
          </cell>
          <cell r="X102" t="e">
            <v>#VALUE!</v>
          </cell>
          <cell r="Y102" t="e">
            <v>#VALUE!</v>
          </cell>
          <cell r="Z102" t="b">
            <v>0</v>
          </cell>
          <cell r="AA102" t="e">
            <v>#REF!</v>
          </cell>
          <cell r="AB102">
            <v>82</v>
          </cell>
          <cell r="AC102" t="e">
            <v>#REF!</v>
          </cell>
          <cell r="AD102" t="e">
            <v>#REF!</v>
          </cell>
          <cell r="AE102" t="e">
            <v>#REF!</v>
          </cell>
          <cell r="AF102">
            <v>22</v>
          </cell>
          <cell r="AG102" t="b">
            <v>1</v>
          </cell>
          <cell r="AH102" t="e">
            <v>#N/A</v>
          </cell>
          <cell r="AI102"/>
        </row>
        <row r="103">
          <cell r="A103"/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 t="b">
            <v>1</v>
          </cell>
          <cell r="AA103"/>
          <cell r="AB103"/>
          <cell r="AC103"/>
          <cell r="AD103"/>
          <cell r="AE103"/>
          <cell r="AI103"/>
        </row>
        <row r="104">
          <cell r="A104" t="str">
            <v>F-2025-12-222</v>
          </cell>
          <cell r="B104" t="str">
            <v>FPRO-251210-0001</v>
          </cell>
          <cell r="C104" t="str">
            <v>24/12</v>
          </cell>
          <cell r="D104" t="str">
            <v>Firm plan 10.12</v>
          </cell>
          <cell r="E104" t="str">
            <v>BDB-000097</v>
          </cell>
          <cell r="F104" t="str">
            <v>PVN-002478</v>
          </cell>
          <cell r="G104" t="str">
            <v>OrthoLite Eco LT-Hybrid SEEDPEARL/12-0703TPX Hybrid 0.11D 25+/-4 Asker C 1.1M 2M 4mm</v>
          </cell>
          <cell r="H104">
            <v>3500</v>
          </cell>
          <cell r="I104">
            <v>100</v>
          </cell>
          <cell r="J104">
            <v>100</v>
          </cell>
          <cell r="K104" t="str">
            <v>NEW BALANCE</v>
          </cell>
          <cell r="L104" t="str">
            <v>Forecast</v>
          </cell>
          <cell r="M104" t="str">
            <v>DIE CUT</v>
          </cell>
          <cell r="N104">
            <v>100</v>
          </cell>
          <cell r="O104"/>
          <cell r="P104" t="str">
            <v>ok</v>
          </cell>
          <cell r="Q104">
            <v>46024</v>
          </cell>
          <cell r="R104">
            <v>46027</v>
          </cell>
          <cell r="S104">
            <v>46028</v>
          </cell>
          <cell r="T104" t="str">
            <v>l1</v>
          </cell>
          <cell r="U104">
            <v>96</v>
          </cell>
          <cell r="V104">
            <v>-4</v>
          </cell>
          <cell r="W104" t="e">
            <v>#VALUE!</v>
          </cell>
          <cell r="X104" t="e">
            <v>#VALUE!</v>
          </cell>
          <cell r="Y104" t="e">
            <v>#VALUE!</v>
          </cell>
          <cell r="Z104" t="b">
            <v>0</v>
          </cell>
          <cell r="AA104" t="e">
            <v>#REF!</v>
          </cell>
          <cell r="AB104">
            <v>46</v>
          </cell>
          <cell r="AC104" t="e">
            <v>#REF!</v>
          </cell>
          <cell r="AD104" t="e">
            <v>#REF!</v>
          </cell>
          <cell r="AE104" t="e">
            <v>#REF!</v>
          </cell>
          <cell r="AF104">
            <v>100</v>
          </cell>
          <cell r="AG104" t="b">
            <v>1</v>
          </cell>
          <cell r="AH104" t="e">
            <v>#N/A</v>
          </cell>
          <cell r="AI104"/>
        </row>
        <row r="105">
          <cell r="A105"/>
          <cell r="B105"/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 t="b">
            <v>1</v>
          </cell>
          <cell r="AA105"/>
          <cell r="AB105"/>
          <cell r="AC105"/>
          <cell r="AD105"/>
          <cell r="AE105"/>
          <cell r="AI105"/>
        </row>
        <row r="106">
          <cell r="A106" t="str">
            <v>F-2025-12-290</v>
          </cell>
          <cell r="B106" t="str">
            <v>RPRO-251216-0445</v>
          </cell>
          <cell r="C106" t="str">
            <v>24/12-25/12</v>
          </cell>
          <cell r="D106" t="str">
            <v>MPS 15.12</v>
          </cell>
          <cell r="E106" t="str">
            <v>BDB-000123</v>
          </cell>
          <cell r="F106" t="str">
            <v>PVN-003299</v>
          </cell>
          <cell r="G106" t="str">
            <v>OrthoLite Ultra-Hybrid SEEDPEARL/12-0703TPX Hybrid 0.085D 25+/-4 Asker C 1.1M 2M 3mm</v>
          </cell>
          <cell r="H106">
            <v>5060</v>
          </cell>
          <cell r="I106">
            <v>111</v>
          </cell>
          <cell r="J106">
            <v>111</v>
          </cell>
          <cell r="K106"/>
          <cell r="L106" t="str">
            <v>MPS</v>
          </cell>
          <cell r="M106" t="str">
            <v>SPLITTING</v>
          </cell>
          <cell r="N106">
            <v>234</v>
          </cell>
          <cell r="O106"/>
          <cell r="P106" t="str">
            <v>ok</v>
          </cell>
          <cell r="Q106">
            <v>46024</v>
          </cell>
          <cell r="R106">
            <v>46027</v>
          </cell>
          <cell r="S106">
            <v>46028</v>
          </cell>
          <cell r="T106" t="str">
            <v>l1</v>
          </cell>
          <cell r="U106">
            <v>248</v>
          </cell>
          <cell r="V106">
            <v>14</v>
          </cell>
          <cell r="W106" t="e">
            <v>#VALUE!</v>
          </cell>
          <cell r="X106" t="e">
            <v>#VALUE!</v>
          </cell>
          <cell r="Y106" t="e">
            <v>#VALUE!</v>
          </cell>
          <cell r="Z106" t="b">
            <v>0</v>
          </cell>
          <cell r="AA106" t="e">
            <v>#REF!</v>
          </cell>
          <cell r="AB106">
            <v>924</v>
          </cell>
          <cell r="AC106" t="e">
            <v>#REF!</v>
          </cell>
          <cell r="AD106" t="e">
            <v>#REF!</v>
          </cell>
          <cell r="AE106" t="e">
            <v>#REF!</v>
          </cell>
          <cell r="AF106">
            <v>111</v>
          </cell>
          <cell r="AG106" t="b">
            <v>1</v>
          </cell>
          <cell r="AH106" t="e">
            <v>#N/A</v>
          </cell>
          <cell r="AI106"/>
        </row>
        <row r="107">
          <cell r="A107" t="str">
            <v>F-2025-12-192</v>
          </cell>
          <cell r="B107" t="str">
            <v>FPRO-251208-0002</v>
          </cell>
          <cell r="C107" t="str">
            <v>25/12</v>
          </cell>
          <cell r="D107" t="str">
            <v>Firm plan 08.12</v>
          </cell>
          <cell r="E107" t="str">
            <v>BDB-000123</v>
          </cell>
          <cell r="F107" t="str">
            <v>PVN-003298</v>
          </cell>
          <cell r="G107" t="str">
            <v>OrthoLite Ultra-Hybrid SEEDPEARL/12-0703TPX Hybrid 0.085D 25+/-4 Asker C 1.1M 2M 4mm</v>
          </cell>
          <cell r="H107">
            <v>4300</v>
          </cell>
          <cell r="I107">
            <v>123</v>
          </cell>
          <cell r="J107">
            <v>123</v>
          </cell>
          <cell r="K107" t="str">
            <v>SALOMON</v>
          </cell>
          <cell r="L107" t="str">
            <v>Forecast</v>
          </cell>
          <cell r="M107" t="str">
            <v>LAMINATING</v>
          </cell>
          <cell r="N107"/>
          <cell r="O107" t="str">
            <v>ppc/pur imp-keep etd</v>
          </cell>
          <cell r="P107" t="str">
            <v>ok</v>
          </cell>
          <cell r="Q107">
            <v>46024</v>
          </cell>
          <cell r="R107">
            <v>46027</v>
          </cell>
          <cell r="S107">
            <v>46028</v>
          </cell>
          <cell r="T107" t="str">
            <v>l1</v>
          </cell>
          <cell r="U107"/>
          <cell r="V107">
            <v>0</v>
          </cell>
          <cell r="W107" t="e">
            <v>#VALUE!</v>
          </cell>
          <cell r="X107" t="e">
            <v>#VALUE!</v>
          </cell>
          <cell r="Y107" t="e">
            <v>#VALUE!</v>
          </cell>
          <cell r="Z107" t="b">
            <v>0</v>
          </cell>
          <cell r="AA107" t="e">
            <v>#REF!</v>
          </cell>
          <cell r="AB107">
            <v>924</v>
          </cell>
          <cell r="AC107" t="e">
            <v>#REF!</v>
          </cell>
          <cell r="AD107" t="e">
            <v>#REF!</v>
          </cell>
          <cell r="AE107" t="e">
            <v>#REF!</v>
          </cell>
          <cell r="AF107">
            <v>123</v>
          </cell>
          <cell r="AG107" t="b">
            <v>1</v>
          </cell>
          <cell r="AH107" t="e">
            <v>#N/A</v>
          </cell>
          <cell r="AI107"/>
        </row>
        <row r="108">
          <cell r="A108"/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 t="b">
            <v>1</v>
          </cell>
          <cell r="AA108"/>
          <cell r="AB108"/>
          <cell r="AC108"/>
          <cell r="AD108"/>
          <cell r="AE108"/>
          <cell r="AI108"/>
        </row>
        <row r="109">
          <cell r="A109" t="str">
            <v>F-2025-12-331</v>
          </cell>
          <cell r="B109" t="str">
            <v>RPRO-251217-0337</v>
          </cell>
          <cell r="C109" t="str">
            <v>25/12</v>
          </cell>
          <cell r="D109" t="str">
            <v>Pro.sche.report 16.12</v>
          </cell>
          <cell r="E109" t="str">
            <v>BDB-000209</v>
          </cell>
          <cell r="F109" t="str">
            <v>PVN-003461</v>
          </cell>
          <cell r="G109" t="str">
            <v>OrthoLite HybridPlus-Recycled MINT GREEN/11-4805TPX Hybrid Flat Sheet 0.12D 25+/-4 Asker C 1.1M 2M 11mm</v>
          </cell>
          <cell r="H109">
            <v>108</v>
          </cell>
          <cell r="I109">
            <v>9</v>
          </cell>
          <cell r="J109">
            <v>9</v>
          </cell>
          <cell r="K109" t="str">
            <v>AKU</v>
          </cell>
          <cell r="L109" t="str">
            <v>Pr.Sch.R</v>
          </cell>
          <cell r="M109" t="str">
            <v>MOLDED</v>
          </cell>
          <cell r="N109">
            <v>141</v>
          </cell>
          <cell r="O109"/>
          <cell r="P109" t="str">
            <v>ok</v>
          </cell>
          <cell r="Q109">
            <v>46025</v>
          </cell>
          <cell r="R109">
            <v>46028</v>
          </cell>
          <cell r="S109">
            <v>46029</v>
          </cell>
          <cell r="T109" t="str">
            <v>l1</v>
          </cell>
          <cell r="U109">
            <v>149</v>
          </cell>
          <cell r="V109">
            <v>8</v>
          </cell>
          <cell r="W109" t="e">
            <v>#VALUE!</v>
          </cell>
          <cell r="X109" t="e">
            <v>#VALUE!</v>
          </cell>
          <cell r="Y109" t="e">
            <v>#VALUE!</v>
          </cell>
          <cell r="Z109" t="b">
            <v>0</v>
          </cell>
          <cell r="AA109" t="e">
            <v>#REF!</v>
          </cell>
          <cell r="AB109">
            <v>241</v>
          </cell>
          <cell r="AC109" t="e">
            <v>#REF!</v>
          </cell>
          <cell r="AD109" t="e">
            <v>#REF!</v>
          </cell>
          <cell r="AE109" t="e">
            <v>#REF!</v>
          </cell>
          <cell r="AF109">
            <v>9</v>
          </cell>
          <cell r="AG109" t="b">
            <v>1</v>
          </cell>
          <cell r="AH109" t="e">
            <v>#N/A</v>
          </cell>
          <cell r="AI109"/>
        </row>
        <row r="110">
          <cell r="A110" t="str">
            <v>F-2025-12-332</v>
          </cell>
          <cell r="B110" t="str">
            <v>RPRO-251217-0338</v>
          </cell>
          <cell r="C110" t="str">
            <v>25/12</v>
          </cell>
          <cell r="D110" t="str">
            <v>Pro.sche.report 16.12</v>
          </cell>
          <cell r="E110" t="str">
            <v>BDB-000209</v>
          </cell>
          <cell r="F110" t="str">
            <v>PVN-003462</v>
          </cell>
          <cell r="G110" t="str">
            <v>OrthoLite HybridPlus-Recycled MINT GREEN/11-4805TPX Hybrid Flat Sheet 0.12D 25+/-4 Asker C 1.1M 2M 12mm</v>
          </cell>
          <cell r="H110">
            <v>11</v>
          </cell>
          <cell r="I110">
            <v>2</v>
          </cell>
          <cell r="J110">
            <v>2</v>
          </cell>
          <cell r="K110" t="str">
            <v>BROOKS</v>
          </cell>
          <cell r="L110" t="str">
            <v>Pr.Sch.R</v>
          </cell>
          <cell r="M110" t="str">
            <v>MOLDED</v>
          </cell>
          <cell r="N110"/>
          <cell r="O110"/>
          <cell r="P110" t="str">
            <v>ok</v>
          </cell>
          <cell r="Q110">
            <v>46025</v>
          </cell>
          <cell r="R110">
            <v>46028</v>
          </cell>
          <cell r="S110">
            <v>46029</v>
          </cell>
          <cell r="T110" t="str">
            <v>l1</v>
          </cell>
          <cell r="U110"/>
          <cell r="V110">
            <v>0</v>
          </cell>
          <cell r="W110" t="e">
            <v>#VALUE!</v>
          </cell>
          <cell r="X110" t="e">
            <v>#VALUE!</v>
          </cell>
          <cell r="Y110" t="e">
            <v>#VALUE!</v>
          </cell>
          <cell r="Z110" t="b">
            <v>0</v>
          </cell>
          <cell r="AA110" t="e">
            <v>#REF!</v>
          </cell>
          <cell r="AB110">
            <v>241</v>
          </cell>
          <cell r="AC110" t="e">
            <v>#REF!</v>
          </cell>
          <cell r="AD110" t="e">
            <v>#REF!</v>
          </cell>
          <cell r="AE110" t="e">
            <v>#REF!</v>
          </cell>
          <cell r="AF110">
            <v>2</v>
          </cell>
          <cell r="AG110" t="b">
            <v>1</v>
          </cell>
          <cell r="AH110" t="e">
            <v>#N/A</v>
          </cell>
          <cell r="AI110"/>
        </row>
        <row r="111">
          <cell r="A111" t="str">
            <v>F-2025-12-195</v>
          </cell>
          <cell r="B111" t="str">
            <v>FPRO-251208-0006</v>
          </cell>
          <cell r="C111" t="str">
            <v>25/12-26/12</v>
          </cell>
          <cell r="D111" t="str">
            <v>Firm plan 08.12</v>
          </cell>
          <cell r="E111" t="str">
            <v>BDB-000209</v>
          </cell>
          <cell r="F111" t="str">
            <v>PVN-003537</v>
          </cell>
          <cell r="G111" t="str">
            <v>OrthoLite HybridPlus-Recycled MINT GREEN/11-4805TPX Hybrid 0.12D 25+/-4 Asker C 1.1M 2M 4.5mm</v>
          </cell>
          <cell r="H111">
            <v>4000</v>
          </cell>
          <cell r="I111">
            <v>130</v>
          </cell>
          <cell r="J111">
            <v>130</v>
          </cell>
          <cell r="K111" t="str">
            <v>ON RUNNING</v>
          </cell>
          <cell r="L111" t="str">
            <v>Forecast</v>
          </cell>
          <cell r="M111" t="str">
            <v>MOLDED</v>
          </cell>
          <cell r="N111"/>
          <cell r="O111"/>
          <cell r="P111" t="str">
            <v>ok</v>
          </cell>
          <cell r="Q111">
            <v>46025</v>
          </cell>
          <cell r="R111">
            <v>46028</v>
          </cell>
          <cell r="S111">
            <v>46029</v>
          </cell>
          <cell r="T111" t="str">
            <v>l1</v>
          </cell>
          <cell r="U111"/>
          <cell r="V111">
            <v>0</v>
          </cell>
          <cell r="W111" t="e">
            <v>#VALUE!</v>
          </cell>
          <cell r="X111" t="e">
            <v>#VALUE!</v>
          </cell>
          <cell r="Y111" t="e">
            <v>#VALUE!</v>
          </cell>
          <cell r="Z111" t="b">
            <v>0</v>
          </cell>
          <cell r="AA111" t="e">
            <v>#REF!</v>
          </cell>
          <cell r="AB111">
            <v>241</v>
          </cell>
          <cell r="AC111" t="e">
            <v>#REF!</v>
          </cell>
          <cell r="AD111" t="e">
            <v>#REF!</v>
          </cell>
          <cell r="AE111" t="e">
            <v>#REF!</v>
          </cell>
          <cell r="AF111">
            <v>130</v>
          </cell>
          <cell r="AG111" t="b">
            <v>1</v>
          </cell>
          <cell r="AH111" t="e">
            <v>#N/A</v>
          </cell>
          <cell r="AI111"/>
        </row>
        <row r="112">
          <cell r="A112"/>
          <cell r="B112"/>
          <cell r="C112"/>
          <cell r="D112"/>
          <cell r="E112"/>
          <cell r="F112"/>
          <cell r="G112" t="str">
            <v>RELEASE ĐỢT 1</v>
          </cell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>
            <v>0</v>
          </cell>
          <cell r="W112"/>
          <cell r="X112"/>
          <cell r="Y112"/>
          <cell r="Z112" t="b">
            <v>1</v>
          </cell>
          <cell r="AA112"/>
          <cell r="AB112"/>
          <cell r="AC112"/>
          <cell r="AD112"/>
          <cell r="AE112"/>
          <cell r="AI112"/>
          <cell r="AJ112"/>
          <cell r="AK112"/>
          <cell r="AL112"/>
        </row>
        <row r="113">
          <cell r="A113" t="str">
            <v>F-2025-12-333</v>
          </cell>
          <cell r="B113" t="str">
            <v>RPRO-251217-0339</v>
          </cell>
          <cell r="C113" t="str">
            <v>26/12</v>
          </cell>
          <cell r="D113" t="str">
            <v>Pro.sche.report 16.12</v>
          </cell>
          <cell r="E113" t="str">
            <v>BDB-000229</v>
          </cell>
          <cell r="F113" t="str">
            <v>PVN-003692</v>
          </cell>
          <cell r="G113" t="str">
            <v>OrthoLite Ultra-Hybrid SEEDPEARL/12-0703TPX Hybrid Flat Sheet 0.095D 33+/-4 Asker C 1.1M 2M 15.5mm</v>
          </cell>
          <cell r="H113">
            <v>56</v>
          </cell>
          <cell r="I113">
            <v>7</v>
          </cell>
          <cell r="J113">
            <v>7</v>
          </cell>
          <cell r="K113" t="str">
            <v>GARMONT</v>
          </cell>
          <cell r="L113" t="str">
            <v>Pr.Sch.R</v>
          </cell>
          <cell r="M113" t="str">
            <v>MOLDED</v>
          </cell>
          <cell r="N113">
            <v>7</v>
          </cell>
          <cell r="O113"/>
          <cell r="P113" t="str">
            <v>ok</v>
          </cell>
          <cell r="Q113">
            <v>46025</v>
          </cell>
          <cell r="R113">
            <v>46028</v>
          </cell>
          <cell r="S113">
            <v>46029</v>
          </cell>
          <cell r="T113" t="str">
            <v>l2</v>
          </cell>
          <cell r="U113">
            <v>7</v>
          </cell>
          <cell r="V113">
            <v>0</v>
          </cell>
          <cell r="W113" t="e">
            <v>#VALUE!</v>
          </cell>
          <cell r="X113" t="e">
            <v>#VALUE!</v>
          </cell>
          <cell r="Y113" t="e">
            <v>#VALUE!</v>
          </cell>
          <cell r="Z113" t="b">
            <v>0</v>
          </cell>
          <cell r="AA113" t="e">
            <v>#REF!</v>
          </cell>
          <cell r="AB113">
            <v>20</v>
          </cell>
          <cell r="AC113" t="e">
            <v>#REF!</v>
          </cell>
          <cell r="AD113" t="e">
            <v>#REF!</v>
          </cell>
          <cell r="AE113" t="e">
            <v>#REF!</v>
          </cell>
          <cell r="AF113">
            <v>7</v>
          </cell>
          <cell r="AG113" t="b">
            <v>1</v>
          </cell>
          <cell r="AH113" t="e">
            <v>#N/A</v>
          </cell>
          <cell r="AI113"/>
        </row>
        <row r="114">
          <cell r="A114"/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 t="b">
            <v>1</v>
          </cell>
          <cell r="AA114"/>
          <cell r="AB114"/>
          <cell r="AC114"/>
          <cell r="AD114"/>
          <cell r="AE114"/>
          <cell r="AI114"/>
        </row>
        <row r="115">
          <cell r="A115" t="str">
            <v>F-2025-12-344</v>
          </cell>
          <cell r="B115" t="str">
            <v>RPRO-251218-0335</v>
          </cell>
          <cell r="C115" t="str">
            <v>26/12</v>
          </cell>
          <cell r="D115" t="str">
            <v>MPS 17.12</v>
          </cell>
          <cell r="E115" t="str">
            <v>BDB-000123</v>
          </cell>
          <cell r="F115" t="str">
            <v>PVN-003299</v>
          </cell>
          <cell r="G115" t="str">
            <v>OrthoLite Ultra-Hybrid SEEDPEARL/12-0703TPX Hybrid 0.085D 25+/-4 Asker C 1.1M 2M 3mm</v>
          </cell>
          <cell r="H115">
            <v>276</v>
          </cell>
          <cell r="I115">
            <v>7</v>
          </cell>
          <cell r="J115">
            <v>7</v>
          </cell>
          <cell r="K115"/>
          <cell r="L115" t="str">
            <v>MPS</v>
          </cell>
          <cell r="M115" t="str">
            <v>SPLITTING</v>
          </cell>
          <cell r="N115">
            <v>7</v>
          </cell>
          <cell r="O115" t="str">
            <v>ppc/pur imp-imp ht x-đã nhắc sx</v>
          </cell>
          <cell r="P115" t="str">
            <v>ok</v>
          </cell>
          <cell r="Q115">
            <v>46027</v>
          </cell>
          <cell r="R115">
            <v>46028</v>
          </cell>
          <cell r="S115">
            <v>46029</v>
          </cell>
          <cell r="T115" t="str">
            <v>l2</v>
          </cell>
          <cell r="U115">
            <v>28</v>
          </cell>
          <cell r="V115">
            <v>21</v>
          </cell>
          <cell r="W115" t="e">
            <v>#VALUE!</v>
          </cell>
          <cell r="X115" t="e">
            <v>#VALUE!</v>
          </cell>
          <cell r="Y115" t="e">
            <v>#VALUE!</v>
          </cell>
          <cell r="Z115" t="b">
            <v>0</v>
          </cell>
          <cell r="AA115" t="e">
            <v>#REF!</v>
          </cell>
          <cell r="AB115">
            <v>924</v>
          </cell>
          <cell r="AC115" t="e">
            <v>#REF!</v>
          </cell>
          <cell r="AD115" t="e">
            <v>#REF!</v>
          </cell>
          <cell r="AE115" t="e">
            <v>#REF!</v>
          </cell>
          <cell r="AF115">
            <v>7</v>
          </cell>
          <cell r="AG115" t="b">
            <v>1</v>
          </cell>
          <cell r="AH115" t="e">
            <v>#N/A</v>
          </cell>
          <cell r="AI115" t="str">
            <v>thứ 3 giao hàng</v>
          </cell>
        </row>
        <row r="116">
          <cell r="A116"/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 t="b">
            <v>1</v>
          </cell>
          <cell r="AA116"/>
          <cell r="AB116"/>
          <cell r="AC116"/>
          <cell r="AD116"/>
          <cell r="AE116"/>
          <cell r="AI116"/>
        </row>
        <row r="117">
          <cell r="A117" t="str">
            <v>F-2025-12-352</v>
          </cell>
          <cell r="B117" t="str">
            <v>RPRO-251218-0343</v>
          </cell>
          <cell r="C117" t="str">
            <v>26/12</v>
          </cell>
          <cell r="D117" t="str">
            <v>Pro.sche.report 17.12</v>
          </cell>
          <cell r="E117" t="str">
            <v>BDB-000262</v>
          </cell>
          <cell r="F117" t="str">
            <v>PVN-003816</v>
          </cell>
          <cell r="G117" t="str">
            <v>OrthoLite Ultra-Hybrid SEEDPEARL/12-0703TPX Hybrid Flat Sheet 0.085D 78-90 Asker F 1.1M 2M 2.5mm</v>
          </cell>
          <cell r="H117">
            <v>168</v>
          </cell>
          <cell r="I117">
            <v>4</v>
          </cell>
          <cell r="J117">
            <v>4</v>
          </cell>
          <cell r="K117" t="str">
            <v>FOOTJOY</v>
          </cell>
          <cell r="L117" t="str">
            <v>Pr.Sch.R</v>
          </cell>
          <cell r="M117" t="str">
            <v>DIE CUT</v>
          </cell>
          <cell r="N117">
            <v>4</v>
          </cell>
          <cell r="O117"/>
          <cell r="P117" t="str">
            <v>ok</v>
          </cell>
          <cell r="Q117">
            <v>46027</v>
          </cell>
          <cell r="R117">
            <v>46029</v>
          </cell>
          <cell r="S117">
            <v>46030</v>
          </cell>
          <cell r="T117" t="str">
            <v>l2</v>
          </cell>
          <cell r="U117">
            <v>4</v>
          </cell>
          <cell r="V117">
            <v>0</v>
          </cell>
          <cell r="W117" t="e">
            <v>#VALUE!</v>
          </cell>
          <cell r="X117" t="e">
            <v>#VALUE!</v>
          </cell>
          <cell r="Y117" t="e">
            <v>#VALUE!</v>
          </cell>
          <cell r="Z117" t="b">
            <v>0</v>
          </cell>
          <cell r="AA117" t="e">
            <v>#REF!</v>
          </cell>
          <cell r="AB117">
            <v>0</v>
          </cell>
          <cell r="AC117">
            <v>0</v>
          </cell>
          <cell r="AD117" t="e">
            <v>#REF!</v>
          </cell>
          <cell r="AE117" t="e">
            <v>#REF!</v>
          </cell>
          <cell r="AF117">
            <v>4</v>
          </cell>
          <cell r="AG117" t="b">
            <v>1</v>
          </cell>
          <cell r="AH117" t="e">
            <v>#N/A</v>
          </cell>
          <cell r="AI117"/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 t="b">
            <v>1</v>
          </cell>
          <cell r="AA118"/>
          <cell r="AB118"/>
          <cell r="AC118"/>
          <cell r="AD118"/>
          <cell r="AE118"/>
          <cell r="AI118"/>
        </row>
        <row r="119">
          <cell r="A119" t="str">
            <v>F-2025-11-325</v>
          </cell>
          <cell r="B119" t="str">
            <v>FPRO-251117-0006</v>
          </cell>
          <cell r="C119" t="str">
            <v>26/12-2/1</v>
          </cell>
          <cell r="D119" t="str">
            <v>Firm plan 17.11</v>
          </cell>
          <cell r="E119" t="str">
            <v>BDB-000235</v>
          </cell>
          <cell r="F119" t="str">
            <v>PVN-003576</v>
          </cell>
          <cell r="G119" t="str">
            <v>OrthoLite X-55-Hybrid FOSSIL/17-0909TPX Hybrid Flat Sheet 0.16D 25+/-4 Asker C 1.1M 1.7M 12mm</v>
          </cell>
          <cell r="H119">
            <v>2500</v>
          </cell>
          <cell r="I119">
            <v>218</v>
          </cell>
          <cell r="J119">
            <v>218</v>
          </cell>
          <cell r="K119" t="str">
            <v>ASICS</v>
          </cell>
          <cell r="L119" t="str">
            <v>Forecast</v>
          </cell>
          <cell r="M119" t="str">
            <v>MOLDED</v>
          </cell>
          <cell r="N119">
            <v>218</v>
          </cell>
          <cell r="O119"/>
          <cell r="P119">
            <v>5</v>
          </cell>
          <cell r="Q119">
            <v>46027</v>
          </cell>
          <cell r="R119">
            <v>46029</v>
          </cell>
          <cell r="S119">
            <v>46030</v>
          </cell>
          <cell r="T119" t="str">
            <v>l2</v>
          </cell>
          <cell r="U119">
            <v>213</v>
          </cell>
          <cell r="V119">
            <v>-5</v>
          </cell>
          <cell r="W119" t="e">
            <v>#VALUE!</v>
          </cell>
          <cell r="X119" t="e">
            <v>#VALUE!</v>
          </cell>
          <cell r="Y119" t="e">
            <v>#VALUE!</v>
          </cell>
          <cell r="Z119" t="b">
            <v>0</v>
          </cell>
          <cell r="AA119" t="e">
            <v>#REF!</v>
          </cell>
          <cell r="AB119">
            <v>218</v>
          </cell>
          <cell r="AC119" t="e">
            <v>#REF!</v>
          </cell>
          <cell r="AD119" t="e">
            <v>#REF!</v>
          </cell>
          <cell r="AE119" t="e">
            <v>#REF!</v>
          </cell>
          <cell r="AF119">
            <v>218</v>
          </cell>
          <cell r="AG119" t="b">
            <v>1</v>
          </cell>
          <cell r="AH119" t="e">
            <v>#N/A</v>
          </cell>
          <cell r="AI119"/>
        </row>
        <row r="120">
          <cell r="A120"/>
          <cell r="B120"/>
          <cell r="C120"/>
          <cell r="D120"/>
          <cell r="E120"/>
          <cell r="F120"/>
          <cell r="G120" t="str">
            <v>RELEASE ĐỢT 2</v>
          </cell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>
            <v>0</v>
          </cell>
          <cell r="W120"/>
          <cell r="X120"/>
          <cell r="Y120"/>
          <cell r="Z120" t="b">
            <v>1</v>
          </cell>
          <cell r="AA120"/>
          <cell r="AB120"/>
          <cell r="AC120"/>
          <cell r="AD120"/>
          <cell r="AE120"/>
          <cell r="AI120"/>
          <cell r="AJ120"/>
          <cell r="AK120"/>
          <cell r="AL120"/>
        </row>
        <row r="121">
          <cell r="A121"/>
          <cell r="B121"/>
          <cell r="C121"/>
          <cell r="D121"/>
          <cell r="E121"/>
          <cell r="F121"/>
          <cell r="G121"/>
          <cell r="H121">
            <v>47278</v>
          </cell>
          <cell r="I121">
            <v>1581</v>
          </cell>
          <cell r="J121">
            <v>1581</v>
          </cell>
          <cell r="K121"/>
          <cell r="L121"/>
          <cell r="M121"/>
          <cell r="N121">
            <v>1463</v>
          </cell>
          <cell r="O121">
            <v>15</v>
          </cell>
          <cell r="P121"/>
          <cell r="Q121"/>
          <cell r="R121"/>
          <cell r="S121"/>
          <cell r="T121"/>
          <cell r="U121"/>
          <cell r="V121">
            <v>-1463</v>
          </cell>
          <cell r="W121"/>
          <cell r="X121"/>
          <cell r="Y121"/>
          <cell r="Z121" t="b">
            <v>1</v>
          </cell>
          <cell r="AA121"/>
          <cell r="AB121"/>
          <cell r="AC121"/>
          <cell r="AD121"/>
          <cell r="AE121"/>
          <cell r="AF121"/>
          <cell r="AG121"/>
          <cell r="AI121"/>
        </row>
        <row r="122">
          <cell r="A122" t="str">
            <v>OIN-2025.12.16-01</v>
          </cell>
          <cell r="B122" t="str">
            <v>RPRO-251218-0028</v>
          </cell>
          <cell r="C122" t="str">
            <v>22/12</v>
          </cell>
          <cell r="D122" t="str">
            <v>OIN</v>
          </cell>
          <cell r="E122" t="str">
            <v>BDB-000359</v>
          </cell>
          <cell r="F122" t="str">
            <v>PVN-004244</v>
          </cell>
          <cell r="G122" t="str">
            <v>[116-12579] Regular 15+/-4 Asker C 0.13D Yellow 13-0858Tpx 1.10M X 2.00M 47mm</v>
          </cell>
          <cell r="H122">
            <v>1</v>
          </cell>
          <cell r="I122">
            <v>1</v>
          </cell>
          <cell r="J122">
            <v>1</v>
          </cell>
          <cell r="K122" t="str">
            <v>CLARKS</v>
          </cell>
          <cell r="L122" t="str">
            <v>PO-6340-SO-251217-0007</v>
          </cell>
          <cell r="M122" t="str">
            <v>FLAT SHEET</v>
          </cell>
          <cell r="N122">
            <v>1</v>
          </cell>
          <cell r="O122" t="str">
            <v>đơn cũ W51- HANG CONT</v>
          </cell>
          <cell r="P122" t="str">
            <v>ok</v>
          </cell>
          <cell r="Q122">
            <v>46013</v>
          </cell>
          <cell r="R122">
            <v>46015</v>
          </cell>
          <cell r="S122">
            <v>46016</v>
          </cell>
          <cell r="T122" t="str">
            <v>l2</v>
          </cell>
          <cell r="U122">
            <v>1</v>
          </cell>
          <cell r="V122">
            <v>0</v>
          </cell>
          <cell r="W122" t="e">
            <v>#VALUE!</v>
          </cell>
          <cell r="X122" t="e">
            <v>#VALUE!</v>
          </cell>
          <cell r="Y122" t="e">
            <v>#VALUE!</v>
          </cell>
          <cell r="Z122" t="b">
            <v>0</v>
          </cell>
          <cell r="AA122" t="e">
            <v>#REF!</v>
          </cell>
          <cell r="AB122">
            <v>1</v>
          </cell>
          <cell r="AC122" t="e">
            <v>#REF!</v>
          </cell>
          <cell r="AD122" t="e">
            <v>#REF!</v>
          </cell>
          <cell r="AE122" t="e">
            <v>#REF!</v>
          </cell>
          <cell r="AF122">
            <v>1</v>
          </cell>
          <cell r="AG122" t="b">
            <v>1</v>
          </cell>
          <cell r="AH122" t="e">
            <v>#N/A</v>
          </cell>
          <cell r="AI122"/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>
            <v>0</v>
          </cell>
          <cell r="W123"/>
          <cell r="X123"/>
          <cell r="Y123"/>
          <cell r="Z123" t="b">
            <v>1</v>
          </cell>
          <cell r="AA123"/>
          <cell r="AB123"/>
          <cell r="AC123"/>
          <cell r="AD123"/>
          <cell r="AE123"/>
          <cell r="AI123"/>
        </row>
        <row r="124">
          <cell r="A124" t="str">
            <v>F-2025-10-243</v>
          </cell>
          <cell r="B124" t="str">
            <v>FPRO-251020-0024</v>
          </cell>
          <cell r="C124" t="str">
            <v>22/12</v>
          </cell>
          <cell r="D124" t="str">
            <v>Firm plan 21.10</v>
          </cell>
          <cell r="E124" t="str">
            <v>BDB-000125</v>
          </cell>
          <cell r="F124" t="str">
            <v>PVN-002413</v>
          </cell>
          <cell r="G124" t="str">
            <v>OrthoLite Regular-Nike AIR BLUE/16-4134TPX 0.11D 25+/-4 Asker C 1.1M 2M 4.2mm</v>
          </cell>
          <cell r="H124">
            <v>2500</v>
          </cell>
          <cell r="I124">
            <v>76</v>
          </cell>
          <cell r="J124">
            <v>76</v>
          </cell>
          <cell r="K124" t="str">
            <v>NIKE</v>
          </cell>
          <cell r="L124" t="str">
            <v>Forecast</v>
          </cell>
          <cell r="M124" t="str">
            <v>MOLDED</v>
          </cell>
          <cell r="N124">
            <v>5</v>
          </cell>
          <cell r="O124" t="str">
            <v>đơn cũ W51</v>
          </cell>
          <cell r="P124" t="str">
            <v>ok</v>
          </cell>
          <cell r="Q124">
            <v>46014</v>
          </cell>
          <cell r="R124">
            <v>46016</v>
          </cell>
          <cell r="S124">
            <v>46017</v>
          </cell>
          <cell r="T124" t="str">
            <v>l2</v>
          </cell>
          <cell r="U124">
            <v>5</v>
          </cell>
          <cell r="V124">
            <v>0</v>
          </cell>
          <cell r="W124" t="e">
            <v>#VALUE!</v>
          </cell>
          <cell r="X124" t="e">
            <v>#VALUE!</v>
          </cell>
          <cell r="Y124" t="e">
            <v>#VALUE!</v>
          </cell>
          <cell r="Z124" t="b">
            <v>0</v>
          </cell>
          <cell r="AA124" t="e">
            <v>#REF!</v>
          </cell>
          <cell r="AB124">
            <v>164</v>
          </cell>
          <cell r="AC124" t="e">
            <v>#REF!</v>
          </cell>
          <cell r="AD124" t="e">
            <v>#REF!</v>
          </cell>
          <cell r="AE124" t="e">
            <v>#REF!</v>
          </cell>
          <cell r="AF124">
            <v>76</v>
          </cell>
          <cell r="AG124" t="b">
            <v>1</v>
          </cell>
          <cell r="AH124" t="e">
            <v>#N/A</v>
          </cell>
          <cell r="AI124"/>
        </row>
        <row r="125">
          <cell r="A125"/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>
            <v>0</v>
          </cell>
          <cell r="W125"/>
          <cell r="X125"/>
          <cell r="Y125"/>
          <cell r="Z125" t="b">
            <v>1</v>
          </cell>
          <cell r="AA125"/>
          <cell r="AB125"/>
          <cell r="AC125"/>
          <cell r="AD125"/>
          <cell r="AE125"/>
          <cell r="AI125"/>
        </row>
        <row r="126">
          <cell r="A126" t="str">
            <v>F-2025-12-369</v>
          </cell>
          <cell r="B126" t="str">
            <v>RPRO-251219-0282</v>
          </cell>
          <cell r="C126" t="str">
            <v>22/12</v>
          </cell>
          <cell r="D126" t="str">
            <v>Pro.sche.report 18.12</v>
          </cell>
          <cell r="E126" t="str">
            <v>BDB-000011</v>
          </cell>
          <cell r="F126" t="str">
            <v>PVN-004051</v>
          </cell>
          <cell r="G126" t="str">
            <v>OrthoLite Regular AIR BLUE/16-4134TPX Flat Sheet 0.13D 35+/-4 Asker C 1.1M 2M 30mm</v>
          </cell>
          <cell r="H126">
            <v>8</v>
          </cell>
          <cell r="I126">
            <v>2</v>
          </cell>
          <cell r="J126">
            <v>2</v>
          </cell>
          <cell r="K126" t="str">
            <v>RAG-BONE</v>
          </cell>
          <cell r="L126" t="str">
            <v>Pr.Sch.R</v>
          </cell>
          <cell r="M126" t="str">
            <v>MOLDED</v>
          </cell>
          <cell r="N126">
            <v>31</v>
          </cell>
          <cell r="O126"/>
          <cell r="P126" t="str">
            <v>ok</v>
          </cell>
          <cell r="Q126">
            <v>46014</v>
          </cell>
          <cell r="R126">
            <v>46016</v>
          </cell>
          <cell r="S126">
            <v>46017</v>
          </cell>
          <cell r="T126" t="str">
            <v>l1</v>
          </cell>
          <cell r="U126">
            <v>28</v>
          </cell>
          <cell r="V126">
            <v>-3</v>
          </cell>
          <cell r="W126" t="e">
            <v>#VALUE!</v>
          </cell>
          <cell r="X126" t="e">
            <v>#VALUE!</v>
          </cell>
          <cell r="Y126" t="e">
            <v>#VALUE!</v>
          </cell>
          <cell r="Z126" t="b">
            <v>0</v>
          </cell>
          <cell r="AA126" t="e">
            <v>#REF!</v>
          </cell>
          <cell r="AB126">
            <v>98</v>
          </cell>
          <cell r="AC126" t="e">
            <v>#REF!</v>
          </cell>
          <cell r="AD126" t="e">
            <v>#REF!</v>
          </cell>
          <cell r="AE126" t="e">
            <v>#REF!</v>
          </cell>
          <cell r="AF126">
            <v>2</v>
          </cell>
          <cell r="AG126" t="b">
            <v>1</v>
          </cell>
          <cell r="AH126" t="e">
            <v>#N/A</v>
          </cell>
          <cell r="AI126"/>
        </row>
        <row r="127">
          <cell r="A127" t="str">
            <v>F-2025-12-301</v>
          </cell>
          <cell r="B127" t="str">
            <v>RPRO-251216-0456</v>
          </cell>
          <cell r="C127" t="str">
            <v>22/12</v>
          </cell>
          <cell r="D127" t="str">
            <v>Pro.sche.report 15.12</v>
          </cell>
          <cell r="E127" t="str">
            <v>BDB-000011</v>
          </cell>
          <cell r="F127" t="str">
            <v>PVN-000184</v>
          </cell>
          <cell r="G127" t="str">
            <v>OrthoLite Regular AIR BLUE/16-4134TPX Flat Sheet 0.13D 35+/-4 Asker C 1.1M 2M 14mm</v>
          </cell>
          <cell r="H127">
            <v>108</v>
          </cell>
          <cell r="I127">
            <v>12</v>
          </cell>
          <cell r="J127">
            <v>12</v>
          </cell>
          <cell r="K127" t="str">
            <v>ADIDAS</v>
          </cell>
          <cell r="L127" t="str">
            <v>Pr.Sch.R</v>
          </cell>
          <cell r="M127" t="str">
            <v>MOLDED</v>
          </cell>
          <cell r="N127"/>
          <cell r="O127"/>
          <cell r="P127" t="str">
            <v>ok</v>
          </cell>
          <cell r="Q127">
            <v>46017</v>
          </cell>
          <cell r="R127">
            <v>46025</v>
          </cell>
          <cell r="S127">
            <v>46027</v>
          </cell>
          <cell r="T127" t="str">
            <v>l1</v>
          </cell>
          <cell r="U127"/>
          <cell r="V127">
            <v>0</v>
          </cell>
          <cell r="W127" t="e">
            <v>#VALUE!</v>
          </cell>
          <cell r="X127" t="e">
            <v>#VALUE!</v>
          </cell>
          <cell r="Y127" t="e">
            <v>#VALUE!</v>
          </cell>
          <cell r="Z127" t="b">
            <v>0</v>
          </cell>
          <cell r="AA127" t="e">
            <v>#REF!</v>
          </cell>
          <cell r="AB127">
            <v>98</v>
          </cell>
          <cell r="AC127" t="e">
            <v>#REF!</v>
          </cell>
          <cell r="AD127" t="e">
            <v>#REF!</v>
          </cell>
          <cell r="AE127" t="e">
            <v>#REF!</v>
          </cell>
          <cell r="AF127">
            <v>12</v>
          </cell>
          <cell r="AG127" t="b">
            <v>1</v>
          </cell>
          <cell r="AH127" t="e">
            <v>#N/A</v>
          </cell>
          <cell r="AI127"/>
        </row>
        <row r="128">
          <cell r="A128" t="str">
            <v>F-2025-12-278</v>
          </cell>
          <cell r="B128" t="str">
            <v>RPRO-251215-0483</v>
          </cell>
          <cell r="C128" t="str">
            <v>22/12</v>
          </cell>
          <cell r="D128" t="str">
            <v>Pro.sche.report 12.12+13.12</v>
          </cell>
          <cell r="E128" t="str">
            <v>BDB-000011</v>
          </cell>
          <cell r="F128" t="str">
            <v>PVN-000127</v>
          </cell>
          <cell r="G128" t="str">
            <v>OrthoLite Regular AIR BLUE/16-4134TPX Flat Sheet 0.13D 35+/-4 Asker C 1.1M 2M 5mm (OIN)</v>
          </cell>
          <cell r="H128">
            <v>476</v>
          </cell>
          <cell r="I128">
            <v>17</v>
          </cell>
          <cell r="J128">
            <v>17</v>
          </cell>
          <cell r="K128" t="str">
            <v>ASICS</v>
          </cell>
          <cell r="L128" t="str">
            <v>Pr.Sch.R</v>
          </cell>
          <cell r="M128" t="str">
            <v>LAMINATING</v>
          </cell>
          <cell r="N128"/>
          <cell r="O128"/>
          <cell r="P128" t="str">
            <v>a Linh xác nhận ok</v>
          </cell>
          <cell r="Q128">
            <v>46017</v>
          </cell>
          <cell r="R128">
            <v>46025</v>
          </cell>
          <cell r="S128">
            <v>46027</v>
          </cell>
          <cell r="T128" t="str">
            <v>l1</v>
          </cell>
          <cell r="U128"/>
          <cell r="V128">
            <v>0</v>
          </cell>
          <cell r="W128" t="e">
            <v>#VALUE!</v>
          </cell>
          <cell r="X128" t="e">
            <v>#VALUE!</v>
          </cell>
          <cell r="Y128" t="e">
            <v>#VALUE!</v>
          </cell>
          <cell r="Z128" t="b">
            <v>0</v>
          </cell>
          <cell r="AA128" t="e">
            <v>#REF!</v>
          </cell>
          <cell r="AB128">
            <v>98</v>
          </cell>
          <cell r="AC128" t="e">
            <v>#REF!</v>
          </cell>
          <cell r="AD128" t="e">
            <v>#REF!</v>
          </cell>
          <cell r="AE128" t="e">
            <v>#REF!</v>
          </cell>
          <cell r="AF128">
            <v>17</v>
          </cell>
          <cell r="AG128" t="b">
            <v>1</v>
          </cell>
          <cell r="AH128" t="e">
            <v>#N/A</v>
          </cell>
          <cell r="AI128"/>
        </row>
        <row r="129">
          <cell r="A129"/>
          <cell r="B129"/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 t="b">
            <v>1</v>
          </cell>
          <cell r="AA129"/>
          <cell r="AB129"/>
          <cell r="AC129"/>
          <cell r="AD129"/>
          <cell r="AE129"/>
          <cell r="AI129"/>
        </row>
        <row r="130">
          <cell r="A130" t="str">
            <v>F-2025-12-274</v>
          </cell>
          <cell r="B130" t="str">
            <v>RPRO-251215-0479</v>
          </cell>
          <cell r="C130" t="str">
            <v>22/12</v>
          </cell>
          <cell r="D130" t="str">
            <v>Pro.sche.report 12.12+13.12</v>
          </cell>
          <cell r="E130" t="str">
            <v>BDB-000125</v>
          </cell>
          <cell r="F130" t="str">
            <v>PVN-001412</v>
          </cell>
          <cell r="G130" t="str">
            <v>OrthoLite Regular-Nike AIR BLUE/16-4134TPX Flat Sheet 0.11D 25+/-4 Asker C 1.1M 2M 5mm</v>
          </cell>
          <cell r="H130">
            <v>588</v>
          </cell>
          <cell r="I130">
            <v>21</v>
          </cell>
          <cell r="J130">
            <v>21</v>
          </cell>
          <cell r="K130" t="str">
            <v>NIKE</v>
          </cell>
          <cell r="L130" t="str">
            <v>Pr.Sch.R</v>
          </cell>
          <cell r="M130" t="str">
            <v>LAMINATING</v>
          </cell>
          <cell r="N130">
            <v>32</v>
          </cell>
          <cell r="O130"/>
          <cell r="P130" t="str">
            <v>ok</v>
          </cell>
          <cell r="Q130">
            <v>46014</v>
          </cell>
          <cell r="R130">
            <v>46016</v>
          </cell>
          <cell r="S130">
            <v>46017</v>
          </cell>
          <cell r="T130" t="str">
            <v>l1</v>
          </cell>
          <cell r="U130">
            <v>32</v>
          </cell>
          <cell r="V130">
            <v>0</v>
          </cell>
          <cell r="W130" t="e">
            <v>#VALUE!</v>
          </cell>
          <cell r="X130" t="e">
            <v>#VALUE!</v>
          </cell>
          <cell r="Y130" t="e">
            <v>#VALUE!</v>
          </cell>
          <cell r="Z130" t="b">
            <v>0</v>
          </cell>
          <cell r="AA130" t="e">
            <v>#REF!</v>
          </cell>
          <cell r="AB130">
            <v>164</v>
          </cell>
          <cell r="AC130" t="e">
            <v>#REF!</v>
          </cell>
          <cell r="AD130" t="e">
            <v>#REF!</v>
          </cell>
          <cell r="AE130" t="e">
            <v>#REF!</v>
          </cell>
          <cell r="AF130">
            <v>21</v>
          </cell>
          <cell r="AG130" t="b">
            <v>1</v>
          </cell>
          <cell r="AH130" t="e">
            <v>#N/A</v>
          </cell>
          <cell r="AI130"/>
        </row>
        <row r="131">
          <cell r="A131" t="str">
            <v>F-2025-12-280</v>
          </cell>
          <cell r="B131" t="str">
            <v>RPRO-251215-0485</v>
          </cell>
          <cell r="C131" t="str">
            <v>22/12</v>
          </cell>
          <cell r="D131" t="str">
            <v>Pro.sche.report 12.12+13.12</v>
          </cell>
          <cell r="E131" t="str">
            <v>BDB-000125</v>
          </cell>
          <cell r="F131" t="str">
            <v>PVN-001590</v>
          </cell>
          <cell r="G131" t="str">
            <v>OrthoLite Regular-Nike AIR BLUE/16-4134TPX Flat Sheet 0.11D 25+/-4 Asker C 1.1M 2M 4.8mm</v>
          </cell>
          <cell r="H131">
            <v>319</v>
          </cell>
          <cell r="I131">
            <v>11</v>
          </cell>
          <cell r="J131">
            <v>11</v>
          </cell>
          <cell r="K131" t="str">
            <v>NIKE</v>
          </cell>
          <cell r="L131" t="str">
            <v>Pr.Sch.R</v>
          </cell>
          <cell r="M131" t="str">
            <v>MOLDED</v>
          </cell>
          <cell r="N131"/>
          <cell r="O131"/>
          <cell r="P131" t="str">
            <v>ok</v>
          </cell>
          <cell r="Q131">
            <v>46017</v>
          </cell>
          <cell r="R131">
            <v>46025</v>
          </cell>
          <cell r="S131">
            <v>46027</v>
          </cell>
          <cell r="T131" t="str">
            <v>l1</v>
          </cell>
          <cell r="U131"/>
          <cell r="V131">
            <v>0</v>
          </cell>
          <cell r="W131" t="e">
            <v>#VALUE!</v>
          </cell>
          <cell r="X131" t="e">
            <v>#VALUE!</v>
          </cell>
          <cell r="Y131" t="e">
            <v>#VALUE!</v>
          </cell>
          <cell r="Z131" t="b">
            <v>0</v>
          </cell>
          <cell r="AA131" t="e">
            <v>#REF!</v>
          </cell>
          <cell r="AB131">
            <v>164</v>
          </cell>
          <cell r="AC131" t="e">
            <v>#REF!</v>
          </cell>
          <cell r="AD131" t="e">
            <v>#REF!</v>
          </cell>
          <cell r="AE131" t="e">
            <v>#REF!</v>
          </cell>
          <cell r="AF131">
            <v>11</v>
          </cell>
          <cell r="AG131" t="b">
            <v>1</v>
          </cell>
          <cell r="AH131" t="e">
            <v>#N/A</v>
          </cell>
          <cell r="AI131"/>
        </row>
        <row r="132">
          <cell r="A132"/>
          <cell r="B132"/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 t="b">
            <v>1</v>
          </cell>
          <cell r="AA132"/>
          <cell r="AB132"/>
          <cell r="AC132"/>
          <cell r="AD132"/>
          <cell r="AE132"/>
          <cell r="AI132"/>
        </row>
        <row r="133">
          <cell r="A133" t="str">
            <v>F-2025-12-243</v>
          </cell>
          <cell r="B133" t="str">
            <v>RPRO-251215-0448</v>
          </cell>
          <cell r="C133" t="str">
            <v>22/12</v>
          </cell>
          <cell r="D133" t="str">
            <v>MPS 12.12+13.12</v>
          </cell>
          <cell r="E133" t="str">
            <v>BDB-000348</v>
          </cell>
          <cell r="F133" t="str">
            <v>PVN-004195</v>
          </cell>
          <cell r="G133" t="str">
            <v>OrthoLite IMPERIAL SEEDPEARL/12-0703TPX Flat Sheet 0.22D 25+/-4 Asker C 1.1M 1.47M 4mm</v>
          </cell>
          <cell r="H133">
            <v>245</v>
          </cell>
          <cell r="I133">
            <v>7</v>
          </cell>
          <cell r="J133">
            <v>7</v>
          </cell>
          <cell r="K133"/>
          <cell r="L133" t="str">
            <v>MPS</v>
          </cell>
          <cell r="M133" t="str">
            <v>SPLITTING</v>
          </cell>
          <cell r="N133">
            <v>8</v>
          </cell>
          <cell r="O133"/>
          <cell r="P133" t="str">
            <v>ok</v>
          </cell>
          <cell r="Q133">
            <v>46014</v>
          </cell>
          <cell r="R133">
            <v>46017</v>
          </cell>
          <cell r="S133">
            <v>46018</v>
          </cell>
          <cell r="T133" t="str">
            <v>l1</v>
          </cell>
          <cell r="U133">
            <v>8</v>
          </cell>
          <cell r="V133">
            <v>0</v>
          </cell>
          <cell r="W133" t="e">
            <v>#VALUE!</v>
          </cell>
          <cell r="X133" t="e">
            <v>#VALUE!</v>
          </cell>
          <cell r="Y133" t="e">
            <v>#VALUE!</v>
          </cell>
          <cell r="Z133" t="b">
            <v>0</v>
          </cell>
          <cell r="AA133" t="e">
            <v>#REF!</v>
          </cell>
          <cell r="AB133">
            <v>25</v>
          </cell>
          <cell r="AC133" t="e">
            <v>#REF!</v>
          </cell>
          <cell r="AD133" t="e">
            <v>#REF!</v>
          </cell>
          <cell r="AE133" t="e">
            <v>#REF!</v>
          </cell>
          <cell r="AF133">
            <v>7</v>
          </cell>
          <cell r="AG133" t="b">
            <v>1</v>
          </cell>
          <cell r="AH133" t="e">
            <v>#N/A</v>
          </cell>
          <cell r="AI133"/>
        </row>
        <row r="134">
          <cell r="A134" t="str">
            <v>F-2025-12-244</v>
          </cell>
          <cell r="B134" t="str">
            <v>RPRO-251215-0449</v>
          </cell>
          <cell r="C134" t="str">
            <v>22/12</v>
          </cell>
          <cell r="D134" t="str">
            <v>MPS 12.12+13.12</v>
          </cell>
          <cell r="E134" t="str">
            <v>BDB-000348</v>
          </cell>
          <cell r="F134" t="str">
            <v>PVN-004210</v>
          </cell>
          <cell r="G134" t="str">
            <v>OrthoLite IMPERIAL SEEDPEARL/12-0703TPX Flat Sheet 0.22D 25+/-4 Asker C 1.1M 1.47M 5mm</v>
          </cell>
          <cell r="H134">
            <v>28</v>
          </cell>
          <cell r="I134">
            <v>1</v>
          </cell>
          <cell r="J134">
            <v>1</v>
          </cell>
          <cell r="K134"/>
          <cell r="L134" t="str">
            <v>MPS</v>
          </cell>
          <cell r="M134" t="str">
            <v>SPLITTING</v>
          </cell>
          <cell r="N134"/>
          <cell r="O134"/>
          <cell r="P134" t="str">
            <v>ok</v>
          </cell>
          <cell r="Q134">
            <v>46015</v>
          </cell>
          <cell r="R134">
            <v>46024</v>
          </cell>
          <cell r="S134">
            <v>46025</v>
          </cell>
          <cell r="T134" t="str">
            <v>l1</v>
          </cell>
          <cell r="U134"/>
          <cell r="V134">
            <v>0</v>
          </cell>
          <cell r="W134" t="e">
            <v>#VALUE!</v>
          </cell>
          <cell r="X134" t="e">
            <v>#VALUE!</v>
          </cell>
          <cell r="Y134" t="e">
            <v>#VALUE!</v>
          </cell>
          <cell r="Z134" t="b">
            <v>0</v>
          </cell>
          <cell r="AA134" t="e">
            <v>#REF!</v>
          </cell>
          <cell r="AB134">
            <v>25</v>
          </cell>
          <cell r="AC134" t="e">
            <v>#REF!</v>
          </cell>
          <cell r="AD134" t="e">
            <v>#REF!</v>
          </cell>
          <cell r="AE134" t="e">
            <v>#REF!</v>
          </cell>
          <cell r="AF134">
            <v>1</v>
          </cell>
          <cell r="AG134" t="b">
            <v>1</v>
          </cell>
          <cell r="AH134" t="e">
            <v>#N/A</v>
          </cell>
          <cell r="AI134"/>
        </row>
        <row r="135">
          <cell r="A135"/>
          <cell r="B135"/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 t="b">
            <v>1</v>
          </cell>
          <cell r="AA135"/>
          <cell r="AB135"/>
          <cell r="AC135"/>
          <cell r="AD135"/>
          <cell r="AE135"/>
          <cell r="AI135"/>
        </row>
        <row r="136">
          <cell r="A136" t="str">
            <v>F-2025-12-281</v>
          </cell>
          <cell r="B136" t="str">
            <v>RPRO-251216-0436</v>
          </cell>
          <cell r="C136" t="str">
            <v>22/12-23/12</v>
          </cell>
          <cell r="D136" t="str">
            <v>MPS 15.12</v>
          </cell>
          <cell r="E136" t="str">
            <v>BDB-000348</v>
          </cell>
          <cell r="F136" t="str">
            <v>PVN-004195</v>
          </cell>
          <cell r="G136" t="str">
            <v>OrthoLite IMPERIAL SEEDPEARL/12-0703TPX Flat Sheet 0.22D 25+/-4 Asker C 1.1M 1.47M 4mm</v>
          </cell>
          <cell r="H136">
            <v>2730</v>
          </cell>
          <cell r="I136">
            <v>78</v>
          </cell>
          <cell r="J136">
            <v>78</v>
          </cell>
          <cell r="K136"/>
          <cell r="L136" t="str">
            <v>MPS</v>
          </cell>
          <cell r="M136" t="str">
            <v>SPLITTING</v>
          </cell>
          <cell r="N136">
            <v>98</v>
          </cell>
          <cell r="O136"/>
          <cell r="P136" t="str">
            <v>ok</v>
          </cell>
          <cell r="Q136">
            <v>46015</v>
          </cell>
          <cell r="R136">
            <v>46017</v>
          </cell>
          <cell r="S136">
            <v>46018</v>
          </cell>
          <cell r="T136" t="str">
            <v>l1</v>
          </cell>
          <cell r="U136">
            <v>101</v>
          </cell>
          <cell r="V136">
            <v>3</v>
          </cell>
          <cell r="W136" t="e">
            <v>#VALUE!</v>
          </cell>
          <cell r="X136" t="e">
            <v>#VALUE!</v>
          </cell>
          <cell r="Y136" t="e">
            <v>#VALUE!</v>
          </cell>
          <cell r="Z136" t="b">
            <v>0</v>
          </cell>
          <cell r="AA136" t="e">
            <v>#REF!</v>
          </cell>
          <cell r="AB136">
            <v>25</v>
          </cell>
          <cell r="AC136" t="e">
            <v>#REF!</v>
          </cell>
          <cell r="AD136" t="e">
            <v>#REF!</v>
          </cell>
          <cell r="AE136" t="e">
            <v>#REF!</v>
          </cell>
          <cell r="AF136">
            <v>78</v>
          </cell>
          <cell r="AG136" t="b">
            <v>1</v>
          </cell>
          <cell r="AH136" t="e">
            <v>#N/A</v>
          </cell>
          <cell r="AI136"/>
        </row>
        <row r="137">
          <cell r="A137" t="str">
            <v>F-2025-12-282</v>
          </cell>
          <cell r="B137" t="str">
            <v>RPRO-251216-0437</v>
          </cell>
          <cell r="C137" t="str">
            <v>23/12</v>
          </cell>
          <cell r="D137" t="str">
            <v>MPS 15.12</v>
          </cell>
          <cell r="E137" t="str">
            <v>BDB-000348</v>
          </cell>
          <cell r="F137" t="str">
            <v>PVN-004210</v>
          </cell>
          <cell r="G137" t="str">
            <v>OrthoLite IMPERIAL SEEDPEARL/12-0703TPX Flat Sheet 0.22D 25+/-4 Asker C 1.1M 1.47M 5mm</v>
          </cell>
          <cell r="H137">
            <v>135</v>
          </cell>
          <cell r="I137">
            <v>5</v>
          </cell>
          <cell r="J137">
            <v>5</v>
          </cell>
          <cell r="K137"/>
          <cell r="L137" t="str">
            <v>MPS</v>
          </cell>
          <cell r="M137" t="str">
            <v>SPLITTING</v>
          </cell>
          <cell r="N137"/>
          <cell r="O137"/>
          <cell r="P137" t="str">
            <v>ok</v>
          </cell>
          <cell r="Q137">
            <v>46017</v>
          </cell>
          <cell r="R137">
            <v>46025</v>
          </cell>
          <cell r="S137">
            <v>46027</v>
          </cell>
          <cell r="T137" t="str">
            <v>l1</v>
          </cell>
          <cell r="U137"/>
          <cell r="V137">
            <v>0</v>
          </cell>
          <cell r="W137" t="e">
            <v>#VALUE!</v>
          </cell>
          <cell r="X137" t="e">
            <v>#VALUE!</v>
          </cell>
          <cell r="Y137" t="e">
            <v>#VALUE!</v>
          </cell>
          <cell r="Z137" t="b">
            <v>0</v>
          </cell>
          <cell r="AA137" t="e">
            <v>#REF!</v>
          </cell>
          <cell r="AB137">
            <v>25</v>
          </cell>
          <cell r="AC137" t="e">
            <v>#REF!</v>
          </cell>
          <cell r="AD137" t="e">
            <v>#REF!</v>
          </cell>
          <cell r="AE137" t="e">
            <v>#REF!</v>
          </cell>
          <cell r="AF137">
            <v>5</v>
          </cell>
          <cell r="AG137" t="b">
            <v>1</v>
          </cell>
          <cell r="AH137" t="e">
            <v>#N/A</v>
          </cell>
          <cell r="AI137"/>
        </row>
        <row r="138">
          <cell r="A138" t="str">
            <v>F-2025-12-323</v>
          </cell>
          <cell r="B138" t="str">
            <v>RPRO-251217-0329</v>
          </cell>
          <cell r="C138" t="str">
            <v>23/12</v>
          </cell>
          <cell r="D138" t="str">
            <v>MPS 16.12</v>
          </cell>
          <cell r="E138" t="str">
            <v>BDB-000348</v>
          </cell>
          <cell r="F138" t="str">
            <v>PVN-004210</v>
          </cell>
          <cell r="G138" t="str">
            <v>OrthoLite IMPERIAL SEEDPEARL/12-0703TPX Flat Sheet 0.22D 25+/-4 Asker C 1.1M 1.47M 5mm</v>
          </cell>
          <cell r="H138">
            <v>420</v>
          </cell>
          <cell r="I138">
            <v>15</v>
          </cell>
          <cell r="J138">
            <v>15</v>
          </cell>
          <cell r="K138"/>
          <cell r="L138" t="str">
            <v>MPS</v>
          </cell>
          <cell r="M138" t="str">
            <v>SPLITTING</v>
          </cell>
          <cell r="N138"/>
          <cell r="O138"/>
          <cell r="P138" t="str">
            <v>ok</v>
          </cell>
          <cell r="Q138">
            <v>46025</v>
          </cell>
          <cell r="R138">
            <v>46028</v>
          </cell>
          <cell r="S138">
            <v>46029</v>
          </cell>
          <cell r="T138" t="str">
            <v>l1</v>
          </cell>
          <cell r="U138"/>
          <cell r="V138">
            <v>0</v>
          </cell>
          <cell r="W138" t="e">
            <v>#VALUE!</v>
          </cell>
          <cell r="X138" t="e">
            <v>#VALUE!</v>
          </cell>
          <cell r="Y138" t="e">
            <v>#VALUE!</v>
          </cell>
          <cell r="Z138" t="b">
            <v>0</v>
          </cell>
          <cell r="AA138" t="e">
            <v>#REF!</v>
          </cell>
          <cell r="AB138">
            <v>25</v>
          </cell>
          <cell r="AC138" t="e">
            <v>#REF!</v>
          </cell>
          <cell r="AD138" t="e">
            <v>#REF!</v>
          </cell>
          <cell r="AE138" t="e">
            <v>#REF!</v>
          </cell>
          <cell r="AF138">
            <v>15</v>
          </cell>
          <cell r="AG138" t="b">
            <v>1</v>
          </cell>
          <cell r="AH138" t="e">
            <v>#N/A</v>
          </cell>
          <cell r="AI138"/>
        </row>
        <row r="139">
          <cell r="A139"/>
          <cell r="B139"/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 t="b">
            <v>1</v>
          </cell>
          <cell r="AA139"/>
          <cell r="AB139"/>
          <cell r="AC139"/>
          <cell r="AD139"/>
          <cell r="AE139"/>
          <cell r="AI139"/>
        </row>
        <row r="140">
          <cell r="A140" t="str">
            <v>F-2025-12-343</v>
          </cell>
          <cell r="B140" t="str">
            <v>RPRO-251218-0334</v>
          </cell>
          <cell r="C140" t="str">
            <v>23/12</v>
          </cell>
          <cell r="D140" t="str">
            <v>MPS 17.12</v>
          </cell>
          <cell r="E140" t="str">
            <v>BDB-000058</v>
          </cell>
          <cell r="F140" t="str">
            <v>PVN-001277</v>
          </cell>
          <cell r="G140" t="str">
            <v>OrthoLite Ultra GREEN/16-5932TPX Flat Sheet 0.085D 25+/-4 Asker C 1.1M 2M 4mm</v>
          </cell>
          <cell r="H140">
            <v>1400</v>
          </cell>
          <cell r="I140">
            <v>40</v>
          </cell>
          <cell r="J140">
            <v>40</v>
          </cell>
          <cell r="K140"/>
          <cell r="L140" t="str">
            <v>MPS</v>
          </cell>
          <cell r="M140" t="str">
            <v>SPLITTING</v>
          </cell>
          <cell r="N140">
            <v>40</v>
          </cell>
          <cell r="O140"/>
          <cell r="P140" t="str">
            <v>ok</v>
          </cell>
          <cell r="Q140">
            <v>46015</v>
          </cell>
          <cell r="R140">
            <v>46017</v>
          </cell>
          <cell r="S140">
            <v>46018</v>
          </cell>
          <cell r="T140" t="str">
            <v>l1</v>
          </cell>
          <cell r="U140">
            <v>40</v>
          </cell>
          <cell r="V140">
            <v>0</v>
          </cell>
          <cell r="W140" t="e">
            <v>#VALUE!</v>
          </cell>
          <cell r="X140" t="e">
            <v>#VALUE!</v>
          </cell>
          <cell r="Y140" t="e">
            <v>#VALUE!</v>
          </cell>
          <cell r="Z140" t="b">
            <v>0</v>
          </cell>
          <cell r="AA140" t="e">
            <v>#REF!</v>
          </cell>
          <cell r="AB140">
            <v>33</v>
          </cell>
          <cell r="AC140" t="e">
            <v>#REF!</v>
          </cell>
          <cell r="AD140" t="e">
            <v>#REF!</v>
          </cell>
          <cell r="AE140" t="e">
            <v>#REF!</v>
          </cell>
          <cell r="AF140">
            <v>40</v>
          </cell>
          <cell r="AG140" t="b">
            <v>1</v>
          </cell>
          <cell r="AH140" t="e">
            <v>#N/A</v>
          </cell>
          <cell r="AI140"/>
        </row>
        <row r="141">
          <cell r="A141"/>
          <cell r="B141"/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 t="b">
            <v>1</v>
          </cell>
          <cell r="AA141"/>
          <cell r="AB141"/>
          <cell r="AC141"/>
          <cell r="AD141"/>
          <cell r="AE141"/>
          <cell r="AI141"/>
        </row>
        <row r="142">
          <cell r="A142" t="str">
            <v>F-2025-12-325</v>
          </cell>
          <cell r="B142" t="str">
            <v>RPRO-251217-0331</v>
          </cell>
          <cell r="C142" t="str">
            <v>23/12</v>
          </cell>
          <cell r="D142" t="str">
            <v>MPS 16.12</v>
          </cell>
          <cell r="E142" t="str">
            <v>BDB-000058</v>
          </cell>
          <cell r="F142" t="str">
            <v>PVN-001277</v>
          </cell>
          <cell r="G142" t="str">
            <v>OrthoLite Ultra GREEN/16-5932TPX Flat Sheet 0.085D 25+/-4 Asker C 1.1M 2M 4mm</v>
          </cell>
          <cell r="H142">
            <v>525</v>
          </cell>
          <cell r="I142">
            <v>15</v>
          </cell>
          <cell r="J142">
            <v>15</v>
          </cell>
          <cell r="K142"/>
          <cell r="L142" t="str">
            <v>MPS</v>
          </cell>
          <cell r="M142" t="str">
            <v>SPLITTING</v>
          </cell>
          <cell r="N142">
            <v>61</v>
          </cell>
          <cell r="O142"/>
          <cell r="P142" t="str">
            <v>ok</v>
          </cell>
          <cell r="Q142">
            <v>46015</v>
          </cell>
          <cell r="R142">
            <v>46017</v>
          </cell>
          <cell r="S142">
            <v>46018</v>
          </cell>
          <cell r="T142" t="str">
            <v>l1</v>
          </cell>
          <cell r="U142">
            <v>61</v>
          </cell>
          <cell r="V142">
            <v>0</v>
          </cell>
          <cell r="W142" t="e">
            <v>#VALUE!</v>
          </cell>
          <cell r="X142" t="e">
            <v>#VALUE!</v>
          </cell>
          <cell r="Y142" t="e">
            <v>#VALUE!</v>
          </cell>
          <cell r="Z142" t="b">
            <v>0</v>
          </cell>
          <cell r="AA142" t="e">
            <v>#REF!</v>
          </cell>
          <cell r="AB142">
            <v>33</v>
          </cell>
          <cell r="AC142" t="e">
            <v>#REF!</v>
          </cell>
          <cell r="AD142" t="e">
            <v>#REF!</v>
          </cell>
          <cell r="AE142" t="e">
            <v>#REF!</v>
          </cell>
          <cell r="AF142">
            <v>15</v>
          </cell>
          <cell r="AG142" t="b">
            <v>1</v>
          </cell>
          <cell r="AH142" t="e">
            <v>#N/A</v>
          </cell>
          <cell r="AI142"/>
        </row>
        <row r="143">
          <cell r="A143" t="str">
            <v>F-2025-12-326</v>
          </cell>
          <cell r="B143" t="str">
            <v>RPRO-251217-0332</v>
          </cell>
          <cell r="C143" t="str">
            <v>23/12</v>
          </cell>
          <cell r="D143" t="str">
            <v>MPS 16.12</v>
          </cell>
          <cell r="E143" t="str">
            <v>BDB-000058</v>
          </cell>
          <cell r="F143" t="str">
            <v>PVN-001319</v>
          </cell>
          <cell r="G143" t="str">
            <v>OrthoLite Ultra GREEN/16-5932TPX 0.085D 25+/-4 Asker C 1.1M 2M 5mm</v>
          </cell>
          <cell r="H143">
            <v>476</v>
          </cell>
          <cell r="I143">
            <v>17</v>
          </cell>
          <cell r="J143">
            <v>17</v>
          </cell>
          <cell r="K143"/>
          <cell r="L143" t="str">
            <v>MPS</v>
          </cell>
          <cell r="M143" t="str">
            <v>SPLITTING</v>
          </cell>
          <cell r="N143"/>
          <cell r="O143"/>
          <cell r="P143" t="str">
            <v>ok</v>
          </cell>
          <cell r="Q143">
            <v>46015</v>
          </cell>
          <cell r="R143">
            <v>46017</v>
          </cell>
          <cell r="S143">
            <v>46018</v>
          </cell>
          <cell r="T143" t="str">
            <v>l1</v>
          </cell>
          <cell r="U143"/>
          <cell r="V143">
            <v>0</v>
          </cell>
          <cell r="W143" t="e">
            <v>#VALUE!</v>
          </cell>
          <cell r="X143" t="e">
            <v>#VALUE!</v>
          </cell>
          <cell r="Y143" t="e">
            <v>#VALUE!</v>
          </cell>
          <cell r="Z143" t="b">
            <v>0</v>
          </cell>
          <cell r="AA143" t="e">
            <v>#REF!</v>
          </cell>
          <cell r="AB143">
            <v>33</v>
          </cell>
          <cell r="AC143" t="e">
            <v>#REF!</v>
          </cell>
          <cell r="AD143" t="e">
            <v>#REF!</v>
          </cell>
          <cell r="AE143" t="e">
            <v>#REF!</v>
          </cell>
          <cell r="AF143">
            <v>17</v>
          </cell>
          <cell r="AG143" t="b">
            <v>1</v>
          </cell>
          <cell r="AH143" t="e">
            <v>#N/A</v>
          </cell>
          <cell r="AI143"/>
        </row>
        <row r="144">
          <cell r="A144" t="str">
            <v>F-2025-12-248</v>
          </cell>
          <cell r="B144" t="str">
            <v>RPRO-251215-0453</v>
          </cell>
          <cell r="C144" t="str">
            <v>23/12</v>
          </cell>
          <cell r="D144" t="str">
            <v>MPS 12.12+13.12</v>
          </cell>
          <cell r="E144" t="str">
            <v>BDB-000058</v>
          </cell>
          <cell r="F144" t="str">
            <v>PVN-001277</v>
          </cell>
          <cell r="G144" t="str">
            <v>OrthoLite Ultra GREEN/16-5932TPX Flat Sheet 0.085D 25+/-4 Asker C 1.1M 2M 4mm</v>
          </cell>
          <cell r="H144">
            <v>1015</v>
          </cell>
          <cell r="I144">
            <v>29</v>
          </cell>
          <cell r="J144">
            <v>29</v>
          </cell>
          <cell r="K144"/>
          <cell r="L144" t="str">
            <v>MPS</v>
          </cell>
          <cell r="M144" t="str">
            <v>SPLITTING</v>
          </cell>
          <cell r="N144"/>
          <cell r="O144"/>
          <cell r="P144" t="str">
            <v>ok</v>
          </cell>
          <cell r="Q144">
            <v>46016</v>
          </cell>
          <cell r="R144">
            <v>46024</v>
          </cell>
          <cell r="S144">
            <v>46025</v>
          </cell>
          <cell r="T144" t="str">
            <v>l1</v>
          </cell>
          <cell r="U144"/>
          <cell r="V144">
            <v>0</v>
          </cell>
          <cell r="W144" t="e">
            <v>#VALUE!</v>
          </cell>
          <cell r="X144" t="e">
            <v>#VALUE!</v>
          </cell>
          <cell r="Y144" t="e">
            <v>#VALUE!</v>
          </cell>
          <cell r="Z144" t="b">
            <v>0</v>
          </cell>
          <cell r="AA144" t="e">
            <v>#REF!</v>
          </cell>
          <cell r="AB144">
            <v>33</v>
          </cell>
          <cell r="AC144" t="e">
            <v>#REF!</v>
          </cell>
          <cell r="AD144" t="e">
            <v>#REF!</v>
          </cell>
          <cell r="AE144" t="e">
            <v>#REF!</v>
          </cell>
          <cell r="AF144">
            <v>29</v>
          </cell>
          <cell r="AG144" t="b">
            <v>1</v>
          </cell>
          <cell r="AH144" t="e">
            <v>#N/A</v>
          </cell>
          <cell r="AI144"/>
        </row>
        <row r="145">
          <cell r="A145"/>
          <cell r="B145"/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 t="b">
            <v>1</v>
          </cell>
          <cell r="AA145"/>
          <cell r="AB145"/>
          <cell r="AC145"/>
          <cell r="AD145"/>
          <cell r="AE145"/>
          <cell r="AI145"/>
        </row>
        <row r="146">
          <cell r="A146" t="str">
            <v>F-2025-12-363</v>
          </cell>
          <cell r="B146" t="str">
            <v>RPRO-251219-0276</v>
          </cell>
          <cell r="C146" t="str">
            <v>23/12</v>
          </cell>
          <cell r="D146" t="str">
            <v>MPS 18.12</v>
          </cell>
          <cell r="E146" t="str">
            <v>BDB-000200</v>
          </cell>
          <cell r="F146" t="str">
            <v>PVN-003425</v>
          </cell>
          <cell r="G146" t="str">
            <v>OrthoLite Ultra SEEDPEARL/12-0703TPX Flat Sheet 0.085D 78-90 Asker F 1.1M 2M 4mm</v>
          </cell>
          <cell r="H146">
            <v>35</v>
          </cell>
          <cell r="I146">
            <v>1</v>
          </cell>
          <cell r="J146">
            <v>1</v>
          </cell>
          <cell r="K146"/>
          <cell r="L146" t="str">
            <v>MPS</v>
          </cell>
          <cell r="M146" t="str">
            <v>SPLITTING</v>
          </cell>
          <cell r="N146">
            <v>6</v>
          </cell>
          <cell r="O146"/>
          <cell r="P146" t="str">
            <v>ok</v>
          </cell>
          <cell r="Q146">
            <v>46015</v>
          </cell>
          <cell r="R146">
            <v>46017</v>
          </cell>
          <cell r="S146">
            <v>46018</v>
          </cell>
          <cell r="T146" t="str">
            <v>l1</v>
          </cell>
          <cell r="U146">
            <v>6</v>
          </cell>
          <cell r="V146">
            <v>0</v>
          </cell>
          <cell r="W146" t="e">
            <v>#VALUE!</v>
          </cell>
          <cell r="X146" t="e">
            <v>#VALUE!</v>
          </cell>
          <cell r="Y146" t="e">
            <v>#VALUE!</v>
          </cell>
          <cell r="Z146" t="b">
            <v>0</v>
          </cell>
          <cell r="AA146" t="e">
            <v>#REF!</v>
          </cell>
          <cell r="AB146">
            <v>15</v>
          </cell>
          <cell r="AC146" t="e">
            <v>#REF!</v>
          </cell>
          <cell r="AD146" t="e">
            <v>#REF!</v>
          </cell>
          <cell r="AE146" t="e">
            <v>#REF!</v>
          </cell>
          <cell r="AF146">
            <v>1</v>
          </cell>
          <cell r="AG146" t="b">
            <v>1</v>
          </cell>
          <cell r="AH146" t="e">
            <v>#N/A</v>
          </cell>
          <cell r="AI146"/>
        </row>
        <row r="147">
          <cell r="A147" t="str">
            <v>F-2025-12-292</v>
          </cell>
          <cell r="B147" t="str">
            <v>RPRO-251216-0447</v>
          </cell>
          <cell r="C147" t="str">
            <v>23/12</v>
          </cell>
          <cell r="D147" t="str">
            <v>MPS 15.12</v>
          </cell>
          <cell r="E147" t="str">
            <v>BDB-000200</v>
          </cell>
          <cell r="F147" t="str">
            <v>PVN-003425</v>
          </cell>
          <cell r="G147" t="str">
            <v>OrthoLite Ultra SEEDPEARL/12-0703TPX Flat Sheet 0.085D 78-90 Asker F 1.1M 2M 4mm</v>
          </cell>
          <cell r="H147">
            <v>175</v>
          </cell>
          <cell r="I147">
            <v>5</v>
          </cell>
          <cell r="J147">
            <v>5</v>
          </cell>
          <cell r="K147"/>
          <cell r="L147" t="str">
            <v>MPS</v>
          </cell>
          <cell r="M147" t="str">
            <v>SPLITTING</v>
          </cell>
          <cell r="N147"/>
          <cell r="O147"/>
          <cell r="P147" t="str">
            <v>ok</v>
          </cell>
          <cell r="Q147">
            <v>46017</v>
          </cell>
          <cell r="R147">
            <v>46025</v>
          </cell>
          <cell r="S147">
            <v>46027</v>
          </cell>
          <cell r="T147" t="str">
            <v>l1</v>
          </cell>
          <cell r="U147"/>
          <cell r="V147">
            <v>0</v>
          </cell>
          <cell r="W147" t="e">
            <v>#VALUE!</v>
          </cell>
          <cell r="X147" t="e">
            <v>#VALUE!</v>
          </cell>
          <cell r="Y147" t="e">
            <v>#VALUE!</v>
          </cell>
          <cell r="Z147" t="b">
            <v>0</v>
          </cell>
          <cell r="AA147" t="e">
            <v>#REF!</v>
          </cell>
          <cell r="AB147">
            <v>15</v>
          </cell>
          <cell r="AC147" t="e">
            <v>#REF!</v>
          </cell>
          <cell r="AD147" t="e">
            <v>#REF!</v>
          </cell>
          <cell r="AE147" t="e">
            <v>#REF!</v>
          </cell>
          <cell r="AF147">
            <v>5</v>
          </cell>
          <cell r="AG147" t="b">
            <v>1</v>
          </cell>
          <cell r="AH147" t="e">
            <v>#N/A</v>
          </cell>
          <cell r="AI147"/>
        </row>
        <row r="148">
          <cell r="A148"/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 t="b">
            <v>1</v>
          </cell>
          <cell r="AA148"/>
          <cell r="AB148"/>
          <cell r="AC148"/>
          <cell r="AD148"/>
          <cell r="AE148"/>
          <cell r="AI148"/>
        </row>
        <row r="149">
          <cell r="A149" t="str">
            <v>F-2025-12-247</v>
          </cell>
          <cell r="B149" t="str">
            <v>RPRO-251215-0452</v>
          </cell>
          <cell r="C149" t="str">
            <v>23/12</v>
          </cell>
          <cell r="D149" t="str">
            <v>MPS 12.12+13.12</v>
          </cell>
          <cell r="E149" t="str">
            <v>BDB-000084</v>
          </cell>
          <cell r="F149" t="str">
            <v>PVN-001111</v>
          </cell>
          <cell r="G149" t="str">
            <v>OrthoLite Eco LT YELLOW/13-0858TPX 0.11D 25+/-4 Asker C 1.1M 2M 4mm</v>
          </cell>
          <cell r="H149">
            <v>140</v>
          </cell>
          <cell r="I149">
            <v>4</v>
          </cell>
          <cell r="J149">
            <v>4</v>
          </cell>
          <cell r="K149"/>
          <cell r="L149" t="str">
            <v>MPS</v>
          </cell>
          <cell r="M149" t="str">
            <v>SPLITTING</v>
          </cell>
          <cell r="N149">
            <v>4</v>
          </cell>
          <cell r="O149"/>
          <cell r="P149" t="str">
            <v>ok</v>
          </cell>
          <cell r="Q149">
            <v>46016</v>
          </cell>
          <cell r="R149">
            <v>46024</v>
          </cell>
          <cell r="S149">
            <v>46025</v>
          </cell>
          <cell r="T149" t="str">
            <v>l1</v>
          </cell>
          <cell r="U149">
            <v>4</v>
          </cell>
          <cell r="V149">
            <v>0</v>
          </cell>
          <cell r="W149" t="e">
            <v>#VALUE!</v>
          </cell>
          <cell r="X149" t="e">
            <v>#VALUE!</v>
          </cell>
          <cell r="Y149" t="e">
            <v>#VALUE!</v>
          </cell>
          <cell r="Z149" t="b">
            <v>0</v>
          </cell>
          <cell r="AA149" t="e">
            <v>#REF!</v>
          </cell>
          <cell r="AB149">
            <v>0</v>
          </cell>
          <cell r="AC149">
            <v>0</v>
          </cell>
          <cell r="AD149" t="e">
            <v>#REF!</v>
          </cell>
          <cell r="AE149" t="e">
            <v>#REF!</v>
          </cell>
          <cell r="AF149">
            <v>4</v>
          </cell>
          <cell r="AG149" t="b">
            <v>1</v>
          </cell>
          <cell r="AH149" t="e">
            <v>#N/A</v>
          </cell>
          <cell r="AI149"/>
        </row>
        <row r="150">
          <cell r="A150"/>
          <cell r="B150"/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 t="b">
            <v>1</v>
          </cell>
          <cell r="AA150"/>
          <cell r="AB150"/>
          <cell r="AC150"/>
          <cell r="AD150"/>
          <cell r="AE150"/>
          <cell r="AI150"/>
        </row>
        <row r="151">
          <cell r="A151" t="str">
            <v>F-2025-12-246</v>
          </cell>
          <cell r="B151" t="str">
            <v>RPRO-251215-0451</v>
          </cell>
          <cell r="C151" t="str">
            <v>23/12</v>
          </cell>
          <cell r="D151" t="str">
            <v>MPS 12.12+13.12</v>
          </cell>
          <cell r="E151" t="str">
            <v>BDB-000085</v>
          </cell>
          <cell r="F151" t="str">
            <v>PVN-001091</v>
          </cell>
          <cell r="G151" t="str">
            <v>OrthoLite Eco LT GREY/17-1501TPX Flat Sheet 0.11D 25+/-4 Asker C 1.1M 2M 4mm</v>
          </cell>
          <cell r="H151">
            <v>105</v>
          </cell>
          <cell r="I151">
            <v>3</v>
          </cell>
          <cell r="J151">
            <v>3</v>
          </cell>
          <cell r="K151"/>
          <cell r="L151" t="str">
            <v>MPS</v>
          </cell>
          <cell r="M151" t="str">
            <v>SPLITTING</v>
          </cell>
          <cell r="N151">
            <v>3</v>
          </cell>
          <cell r="O151"/>
          <cell r="P151" t="str">
            <v>ok</v>
          </cell>
          <cell r="Q151">
            <v>46016</v>
          </cell>
          <cell r="R151">
            <v>46024</v>
          </cell>
          <cell r="S151">
            <v>46025</v>
          </cell>
          <cell r="T151" t="str">
            <v>l1</v>
          </cell>
          <cell r="U151">
            <v>3</v>
          </cell>
          <cell r="V151">
            <v>0</v>
          </cell>
          <cell r="W151" t="e">
            <v>#VALUE!</v>
          </cell>
          <cell r="X151" t="e">
            <v>#VALUE!</v>
          </cell>
          <cell r="Y151" t="e">
            <v>#VALUE!</v>
          </cell>
          <cell r="Z151" t="b">
            <v>0</v>
          </cell>
          <cell r="AA151" t="e">
            <v>#REF!</v>
          </cell>
          <cell r="AB151">
            <v>0</v>
          </cell>
          <cell r="AC151">
            <v>0</v>
          </cell>
          <cell r="AD151" t="e">
            <v>#REF!</v>
          </cell>
          <cell r="AE151" t="e">
            <v>#REF!</v>
          </cell>
          <cell r="AF151">
            <v>3</v>
          </cell>
          <cell r="AG151" t="b">
            <v>1</v>
          </cell>
          <cell r="AH151" t="e">
            <v>#N/A</v>
          </cell>
          <cell r="AI151"/>
        </row>
        <row r="152">
          <cell r="A152"/>
          <cell r="B152"/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 t="b">
            <v>1</v>
          </cell>
          <cell r="AA152"/>
          <cell r="AB152"/>
          <cell r="AC152"/>
          <cell r="AD152"/>
          <cell r="AE152"/>
          <cell r="AI152"/>
        </row>
        <row r="153">
          <cell r="A153" t="str">
            <v>F-2025-12-252</v>
          </cell>
          <cell r="B153" t="str">
            <v>RPRO-251215-0457</v>
          </cell>
          <cell r="C153" t="str">
            <v>23/12</v>
          </cell>
          <cell r="D153" t="str">
            <v>MPS 12.12+13.12</v>
          </cell>
          <cell r="E153" t="str">
            <v>BDB-000242</v>
          </cell>
          <cell r="F153" t="str">
            <v>PVN-003807</v>
          </cell>
          <cell r="G153" t="str">
            <v>OrthoLite Regular GREY/17-1501TPX Flat Sheet 0.11D 5-10 Asker C 1.1M 2M 5mm</v>
          </cell>
          <cell r="H153">
            <v>56</v>
          </cell>
          <cell r="I153">
            <v>2</v>
          </cell>
          <cell r="J153">
            <v>2</v>
          </cell>
          <cell r="K153"/>
          <cell r="L153" t="str">
            <v>MPS</v>
          </cell>
          <cell r="M153" t="str">
            <v>SPLITTING</v>
          </cell>
          <cell r="N153">
            <v>8</v>
          </cell>
          <cell r="O153"/>
          <cell r="P153" t="str">
            <v>ok</v>
          </cell>
          <cell r="Q153">
            <v>46016</v>
          </cell>
          <cell r="R153">
            <v>46024</v>
          </cell>
          <cell r="S153">
            <v>46025</v>
          </cell>
          <cell r="T153" t="str">
            <v>l1</v>
          </cell>
          <cell r="U153">
            <v>2</v>
          </cell>
          <cell r="V153">
            <v>-6</v>
          </cell>
          <cell r="W153" t="e">
            <v>#VALUE!</v>
          </cell>
          <cell r="X153" t="e">
            <v>#VALUE!</v>
          </cell>
          <cell r="Y153" t="e">
            <v>#VALUE!</v>
          </cell>
          <cell r="Z153" t="b">
            <v>0</v>
          </cell>
          <cell r="AA153" t="e">
            <v>#REF!</v>
          </cell>
          <cell r="AB153">
            <v>0</v>
          </cell>
          <cell r="AC153">
            <v>0</v>
          </cell>
          <cell r="AD153" t="e">
            <v>#REF!</v>
          </cell>
          <cell r="AE153" t="e">
            <v>#REF!</v>
          </cell>
          <cell r="AF153">
            <v>2</v>
          </cell>
          <cell r="AG153" t="b">
            <v>1</v>
          </cell>
          <cell r="AH153" t="e">
            <v>#N/A</v>
          </cell>
          <cell r="AI153"/>
        </row>
        <row r="154">
          <cell r="A154" t="str">
            <v>F-2025-12-261</v>
          </cell>
          <cell r="B154" t="str">
            <v>RPRO-251215-0466</v>
          </cell>
          <cell r="C154" t="str">
            <v>23/12-24/12</v>
          </cell>
          <cell r="D154" t="str">
            <v>Pro.sche.report 12.12+13.12</v>
          </cell>
          <cell r="E154" t="str">
            <v>BDB-000242</v>
          </cell>
          <cell r="F154" t="str">
            <v>PVN-003614</v>
          </cell>
          <cell r="G154" t="str">
            <v>OrthoLite Regular GREY/17-1501TPX Flat Sheet 0.11D 5-10 Asker C 1.1M 2M 3.5mm</v>
          </cell>
          <cell r="H154">
            <v>240</v>
          </cell>
          <cell r="I154">
            <v>6</v>
          </cell>
          <cell r="J154">
            <v>6</v>
          </cell>
          <cell r="K154" t="str">
            <v>TRAVIS MATHEW</v>
          </cell>
          <cell r="L154" t="str">
            <v>Pr.Sch.R</v>
          </cell>
          <cell r="M154" t="str">
            <v>MOLDED</v>
          </cell>
          <cell r="N154"/>
          <cell r="O154"/>
          <cell r="P154" t="str">
            <v>ok</v>
          </cell>
          <cell r="Q154">
            <v>46017</v>
          </cell>
          <cell r="R154">
            <v>46025</v>
          </cell>
          <cell r="S154">
            <v>46027</v>
          </cell>
          <cell r="T154" t="str">
            <v>l1</v>
          </cell>
          <cell r="U154"/>
          <cell r="V154">
            <v>0</v>
          </cell>
          <cell r="W154" t="e">
            <v>#VALUE!</v>
          </cell>
          <cell r="X154" t="e">
            <v>#VALUE!</v>
          </cell>
          <cell r="Y154" t="e">
            <v>#VALUE!</v>
          </cell>
          <cell r="Z154" t="b">
            <v>0</v>
          </cell>
          <cell r="AA154" t="e">
            <v>#REF!</v>
          </cell>
          <cell r="AB154">
            <v>0</v>
          </cell>
          <cell r="AC154">
            <v>0</v>
          </cell>
          <cell r="AD154" t="e">
            <v>#REF!</v>
          </cell>
          <cell r="AE154" t="e">
            <v>#REF!</v>
          </cell>
          <cell r="AF154">
            <v>6</v>
          </cell>
          <cell r="AG154" t="b">
            <v>1</v>
          </cell>
          <cell r="AH154" t="e">
            <v>#N/A</v>
          </cell>
          <cell r="AI154"/>
        </row>
        <row r="155">
          <cell r="A155"/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 t="b">
            <v>1</v>
          </cell>
          <cell r="AA155"/>
          <cell r="AB155"/>
          <cell r="AC155"/>
          <cell r="AD155"/>
          <cell r="AE155"/>
          <cell r="AI155"/>
        </row>
        <row r="156">
          <cell r="A156" t="str">
            <v>F-2025-12-293</v>
          </cell>
          <cell r="B156" t="str">
            <v>RPRO-251216-0448</v>
          </cell>
          <cell r="C156" t="str">
            <v>24/12</v>
          </cell>
          <cell r="D156" t="str">
            <v>MPS 15.12</v>
          </cell>
          <cell r="E156" t="str">
            <v>BDB-000066</v>
          </cell>
          <cell r="F156" t="str">
            <v>PVN-004010</v>
          </cell>
          <cell r="G156" t="str">
            <v>OrthoLite Ultra GREY/17-1501TPX Flat Sheet 0.085D 25+/-4 Asker C 1.1M 2M 2mm</v>
          </cell>
          <cell r="H156">
            <v>210</v>
          </cell>
          <cell r="I156">
            <v>4</v>
          </cell>
          <cell r="J156">
            <v>4</v>
          </cell>
          <cell r="K156"/>
          <cell r="L156" t="str">
            <v>MPS</v>
          </cell>
          <cell r="M156" t="str">
            <v>SPLITTING</v>
          </cell>
          <cell r="N156">
            <v>4</v>
          </cell>
          <cell r="O156"/>
          <cell r="P156" t="str">
            <v>ok</v>
          </cell>
          <cell r="Q156">
            <v>46017</v>
          </cell>
          <cell r="R156">
            <v>46025</v>
          </cell>
          <cell r="S156">
            <v>46027</v>
          </cell>
          <cell r="T156" t="str">
            <v>l1</v>
          </cell>
          <cell r="U156">
            <v>4</v>
          </cell>
          <cell r="V156">
            <v>0</v>
          </cell>
          <cell r="W156" t="e">
            <v>#VALUE!</v>
          </cell>
          <cell r="X156" t="e">
            <v>#VALUE!</v>
          </cell>
          <cell r="Y156" t="e">
            <v>#VALUE!</v>
          </cell>
          <cell r="Z156" t="b">
            <v>0</v>
          </cell>
          <cell r="AA156" t="e">
            <v>#REF!</v>
          </cell>
          <cell r="AB156">
            <v>0</v>
          </cell>
          <cell r="AC156">
            <v>0</v>
          </cell>
          <cell r="AD156" t="e">
            <v>#REF!</v>
          </cell>
          <cell r="AE156" t="e">
            <v>#REF!</v>
          </cell>
          <cell r="AF156">
            <v>4</v>
          </cell>
          <cell r="AG156" t="b">
            <v>1</v>
          </cell>
          <cell r="AH156" t="e">
            <v>#N/A</v>
          </cell>
          <cell r="AI156"/>
        </row>
        <row r="157">
          <cell r="A157"/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 t="b">
            <v>1</v>
          </cell>
          <cell r="AA157"/>
          <cell r="AB157"/>
          <cell r="AC157"/>
          <cell r="AD157"/>
          <cell r="AE157"/>
          <cell r="AI157"/>
        </row>
        <row r="158">
          <cell r="A158" t="str">
            <v>F-2025-12-287</v>
          </cell>
          <cell r="B158" t="str">
            <v>RPRO-251216-0442</v>
          </cell>
          <cell r="C158" t="str">
            <v>24/12</v>
          </cell>
          <cell r="D158" t="str">
            <v>MPS 15.12</v>
          </cell>
          <cell r="E158" t="str">
            <v>BDB-000033</v>
          </cell>
          <cell r="F158" t="str">
            <v>PVN-001471</v>
          </cell>
          <cell r="G158" t="str">
            <v>OrthoLite Regular SEEDPEARL/12-0703TPX 0.13D 35+/-4 Asker C 1.1M 2M 4mm</v>
          </cell>
          <cell r="H158">
            <v>35</v>
          </cell>
          <cell r="I158">
            <v>1</v>
          </cell>
          <cell r="J158">
            <v>1</v>
          </cell>
          <cell r="K158"/>
          <cell r="L158" t="str">
            <v>MPS</v>
          </cell>
          <cell r="M158" t="str">
            <v>SPLITTING</v>
          </cell>
          <cell r="N158">
            <v>1</v>
          </cell>
          <cell r="O158"/>
          <cell r="P158" t="str">
            <v>ok</v>
          </cell>
          <cell r="Q158">
            <v>46017</v>
          </cell>
          <cell r="R158">
            <v>46025</v>
          </cell>
          <cell r="S158">
            <v>46027</v>
          </cell>
          <cell r="T158" t="str">
            <v>l1</v>
          </cell>
          <cell r="U158">
            <v>1</v>
          </cell>
          <cell r="V158">
            <v>0</v>
          </cell>
          <cell r="W158" t="e">
            <v>#VALUE!</v>
          </cell>
          <cell r="X158" t="e">
            <v>#VALUE!</v>
          </cell>
          <cell r="Y158" t="e">
            <v>#VALUE!</v>
          </cell>
          <cell r="Z158" t="b">
            <v>0</v>
          </cell>
          <cell r="AA158" t="e">
            <v>#REF!</v>
          </cell>
          <cell r="AB158">
            <v>0</v>
          </cell>
          <cell r="AC158">
            <v>0</v>
          </cell>
          <cell r="AD158" t="e">
            <v>#REF!</v>
          </cell>
          <cell r="AE158" t="e">
            <v>#REF!</v>
          </cell>
          <cell r="AF158">
            <v>1</v>
          </cell>
          <cell r="AG158" t="b">
            <v>1</v>
          </cell>
          <cell r="AH158" t="e">
            <v>#N/A</v>
          </cell>
          <cell r="AI158"/>
        </row>
        <row r="159">
          <cell r="A159"/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/>
          <cell r="Y159"/>
          <cell r="Z159" t="b">
            <v>1</v>
          </cell>
          <cell r="AA159"/>
          <cell r="AB159"/>
          <cell r="AC159"/>
          <cell r="AD159"/>
          <cell r="AE159"/>
          <cell r="AI159"/>
        </row>
        <row r="160">
          <cell r="A160" t="str">
            <v>F-2025-12-260</v>
          </cell>
          <cell r="B160" t="str">
            <v>RPRO-251215-0465</v>
          </cell>
          <cell r="C160" t="str">
            <v>24/12</v>
          </cell>
          <cell r="D160" t="str">
            <v>Pro.sche.report 12.12+13.12</v>
          </cell>
          <cell r="E160" t="str">
            <v>BDB-000010</v>
          </cell>
          <cell r="F160" t="str">
            <v>PVN-003437</v>
          </cell>
          <cell r="G160" t="str">
            <v>OrthoLite Regular AIR BLUE/16-4134TPX Flat Sheet 0.11D 25+/-4 Asker C 1.1M 2M 10.5mm</v>
          </cell>
          <cell r="H160">
            <v>108</v>
          </cell>
          <cell r="I160">
            <v>9</v>
          </cell>
          <cell r="J160">
            <v>9</v>
          </cell>
          <cell r="K160" t="str">
            <v>TRAVIS MATHEW</v>
          </cell>
          <cell r="L160" t="str">
            <v>Pr.Sch.R</v>
          </cell>
          <cell r="M160" t="str">
            <v>MOLDED</v>
          </cell>
          <cell r="N160">
            <v>9</v>
          </cell>
          <cell r="O160"/>
          <cell r="P160" t="str">
            <v>ok</v>
          </cell>
          <cell r="Q160">
            <v>46017</v>
          </cell>
          <cell r="R160">
            <v>46025</v>
          </cell>
          <cell r="S160">
            <v>46027</v>
          </cell>
          <cell r="T160" t="str">
            <v>l1</v>
          </cell>
          <cell r="U160">
            <v>7</v>
          </cell>
          <cell r="V160">
            <v>-2</v>
          </cell>
          <cell r="W160" t="e">
            <v>#VALUE!</v>
          </cell>
          <cell r="X160" t="e">
            <v>#VALUE!</v>
          </cell>
          <cell r="Y160" t="e">
            <v>#VALUE!</v>
          </cell>
          <cell r="Z160" t="b">
            <v>0</v>
          </cell>
          <cell r="AA160" t="e">
            <v>#REF!</v>
          </cell>
          <cell r="AB160">
            <v>0</v>
          </cell>
          <cell r="AC160">
            <v>0</v>
          </cell>
          <cell r="AD160" t="e">
            <v>#REF!</v>
          </cell>
          <cell r="AE160" t="e">
            <v>#REF!</v>
          </cell>
          <cell r="AF160">
            <v>9</v>
          </cell>
          <cell r="AG160" t="b">
            <v>1</v>
          </cell>
          <cell r="AH160" t="e">
            <v>#N/A</v>
          </cell>
          <cell r="AI160"/>
        </row>
        <row r="161">
          <cell r="A161"/>
          <cell r="B161"/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  <cell r="X161"/>
          <cell r="Y161"/>
          <cell r="Z161" t="b">
            <v>1</v>
          </cell>
          <cell r="AA161"/>
          <cell r="AB161"/>
          <cell r="AC161"/>
          <cell r="AD161"/>
          <cell r="AE161"/>
          <cell r="AI161"/>
        </row>
        <row r="162">
          <cell r="A162" t="str">
            <v>F-2025-12-270</v>
          </cell>
          <cell r="B162" t="str">
            <v>RPRO-251215-0475</v>
          </cell>
          <cell r="C162" t="str">
            <v>24/12</v>
          </cell>
          <cell r="D162" t="str">
            <v>Pro.sche.report 12.12+13.12</v>
          </cell>
          <cell r="E162" t="str">
            <v>BDB-000317</v>
          </cell>
          <cell r="F162" t="str">
            <v>PVN-004076</v>
          </cell>
          <cell r="G162" t="str">
            <v>OrthoLite Regular NEUTRAL GRAY/17-4402TPX Flat Sheet 0.13D 15+/-4 Asker C 1.1M 2M 24mm</v>
          </cell>
          <cell r="H162">
            <v>35</v>
          </cell>
          <cell r="I162">
            <v>7</v>
          </cell>
          <cell r="J162">
            <v>7</v>
          </cell>
          <cell r="K162" t="str">
            <v>ASICS</v>
          </cell>
          <cell r="L162" t="str">
            <v>Pr.Sch.R</v>
          </cell>
          <cell r="M162" t="str">
            <v>MOLDED</v>
          </cell>
          <cell r="N162">
            <v>8</v>
          </cell>
          <cell r="O162"/>
          <cell r="P162" t="str">
            <v>ok</v>
          </cell>
          <cell r="Q162">
            <v>46017</v>
          </cell>
          <cell r="R162">
            <v>46025</v>
          </cell>
          <cell r="S162">
            <v>46027</v>
          </cell>
          <cell r="T162" t="str">
            <v>l1</v>
          </cell>
          <cell r="U162">
            <v>6</v>
          </cell>
          <cell r="V162">
            <v>-2</v>
          </cell>
          <cell r="W162" t="e">
            <v>#VALUE!</v>
          </cell>
          <cell r="X162" t="e">
            <v>#VALUE!</v>
          </cell>
          <cell r="Y162" t="e">
            <v>#VALUE!</v>
          </cell>
          <cell r="Z162" t="b">
            <v>0</v>
          </cell>
          <cell r="AA162" t="e">
            <v>#REF!</v>
          </cell>
          <cell r="AB162">
            <v>0</v>
          </cell>
          <cell r="AC162">
            <v>0</v>
          </cell>
          <cell r="AD162" t="e">
            <v>#REF!</v>
          </cell>
          <cell r="AE162" t="e">
            <v>#REF!</v>
          </cell>
          <cell r="AF162">
            <v>7</v>
          </cell>
          <cell r="AG162" t="b">
            <v>1</v>
          </cell>
          <cell r="AH162" t="e">
            <v>#N/A</v>
          </cell>
          <cell r="AI162"/>
        </row>
        <row r="163">
          <cell r="A163" t="str">
            <v>F-2025-12-335</v>
          </cell>
          <cell r="B163" t="str">
            <v>RPRO-251217-0341</v>
          </cell>
          <cell r="C163" t="str">
            <v>24/12</v>
          </cell>
          <cell r="D163" t="str">
            <v>Pro.sche.report 16.12</v>
          </cell>
          <cell r="E163" t="str">
            <v>BDB-000317</v>
          </cell>
          <cell r="F163" t="str">
            <v>PVN-004076</v>
          </cell>
          <cell r="G163" t="str">
            <v>OrthoLite Regular NEUTRAL GRAY/17-4402TPX Flat Sheet 0.13D 15+/-4 Asker C 1.1M 2M 24mm</v>
          </cell>
          <cell r="H163">
            <v>5</v>
          </cell>
          <cell r="I163">
            <v>1</v>
          </cell>
          <cell r="J163">
            <v>1</v>
          </cell>
          <cell r="K163" t="str">
            <v>ASICS</v>
          </cell>
          <cell r="L163" t="str">
            <v>Pr.Sch.R</v>
          </cell>
          <cell r="M163" t="str">
            <v>MOLDED</v>
          </cell>
          <cell r="N163"/>
          <cell r="O163"/>
          <cell r="P163" t="str">
            <v>ok</v>
          </cell>
          <cell r="Q163">
            <v>46025</v>
          </cell>
          <cell r="R163">
            <v>46028</v>
          </cell>
          <cell r="S163">
            <v>46029</v>
          </cell>
          <cell r="T163" t="str">
            <v>l1</v>
          </cell>
          <cell r="U163"/>
          <cell r="V163">
            <v>0</v>
          </cell>
          <cell r="W163" t="e">
            <v>#VALUE!</v>
          </cell>
          <cell r="X163" t="e">
            <v>#VALUE!</v>
          </cell>
          <cell r="Y163" t="e">
            <v>#VALUE!</v>
          </cell>
          <cell r="Z163" t="b">
            <v>0</v>
          </cell>
          <cell r="AA163" t="e">
            <v>#REF!</v>
          </cell>
          <cell r="AB163">
            <v>0</v>
          </cell>
          <cell r="AC163">
            <v>0</v>
          </cell>
          <cell r="AD163" t="e">
            <v>#REF!</v>
          </cell>
          <cell r="AE163" t="e">
            <v>#REF!</v>
          </cell>
          <cell r="AF163">
            <v>1</v>
          </cell>
          <cell r="AG163" t="b">
            <v>1</v>
          </cell>
          <cell r="AH163" t="e">
            <v>#N/A</v>
          </cell>
          <cell r="AI163"/>
        </row>
        <row r="164">
          <cell r="A164"/>
          <cell r="B164"/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 t="b">
            <v>1</v>
          </cell>
          <cell r="AA164"/>
          <cell r="AB164"/>
          <cell r="AC164"/>
          <cell r="AD164"/>
          <cell r="AE164"/>
          <cell r="AI164"/>
        </row>
        <row r="165">
          <cell r="A165" t="str">
            <v>F-2025-12-245</v>
          </cell>
          <cell r="B165" t="str">
            <v>RPRO-251215-0450</v>
          </cell>
          <cell r="C165" t="str">
            <v>24/12</v>
          </cell>
          <cell r="D165" t="str">
            <v>MPS 12.12+13.12</v>
          </cell>
          <cell r="E165" t="str">
            <v>BDB-000083</v>
          </cell>
          <cell r="F165" t="str">
            <v>PVN-000935</v>
          </cell>
          <cell r="G165" t="str">
            <v>OrthoLite Eco LT 300C(ADIDAS BLUEBIRD) Flat Sheet 0.11D 25+/-4 Asker C 1.1M 2M 4mm</v>
          </cell>
          <cell r="H165">
            <v>105</v>
          </cell>
          <cell r="I165">
            <v>3</v>
          </cell>
          <cell r="J165">
            <v>3</v>
          </cell>
          <cell r="K165"/>
          <cell r="L165" t="str">
            <v>MPS</v>
          </cell>
          <cell r="M165" t="str">
            <v>SPLITTING</v>
          </cell>
          <cell r="N165">
            <v>13</v>
          </cell>
          <cell r="O165"/>
          <cell r="P165" t="str">
            <v>ok</v>
          </cell>
          <cell r="Q165">
            <v>46016</v>
          </cell>
          <cell r="R165">
            <v>46024</v>
          </cell>
          <cell r="S165">
            <v>46025</v>
          </cell>
          <cell r="T165" t="str">
            <v>l1</v>
          </cell>
          <cell r="U165">
            <v>9</v>
          </cell>
          <cell r="V165">
            <v>-4</v>
          </cell>
          <cell r="W165" t="e">
            <v>#VALUE!</v>
          </cell>
          <cell r="X165" t="e">
            <v>#VALUE!</v>
          </cell>
          <cell r="Y165" t="e">
            <v>#VALUE!</v>
          </cell>
          <cell r="Z165" t="b">
            <v>0</v>
          </cell>
          <cell r="AA165" t="e">
            <v>#REF!</v>
          </cell>
          <cell r="AB165">
            <v>9</v>
          </cell>
          <cell r="AC165" t="e">
            <v>#REF!</v>
          </cell>
          <cell r="AD165" t="e">
            <v>#REF!</v>
          </cell>
          <cell r="AE165" t="e">
            <v>#REF!</v>
          </cell>
          <cell r="AF165">
            <v>3</v>
          </cell>
          <cell r="AG165" t="b">
            <v>1</v>
          </cell>
          <cell r="AH165" t="e">
            <v>#N/A</v>
          </cell>
          <cell r="AI165"/>
        </row>
        <row r="166">
          <cell r="A166" t="str">
            <v>F-2025-12-286</v>
          </cell>
          <cell r="B166" t="str">
            <v>RPRO-251216-0441</v>
          </cell>
          <cell r="C166" t="str">
            <v>24/12</v>
          </cell>
          <cell r="D166" t="str">
            <v>MPS 15.12</v>
          </cell>
          <cell r="E166" t="str">
            <v>BDB-000083</v>
          </cell>
          <cell r="F166" t="str">
            <v>PVN-000935</v>
          </cell>
          <cell r="G166" t="str">
            <v>OrthoLite Eco LT 300C(ADIDAS BLUEBIRD) Flat Sheet 0.11D 25+/-4 Asker C 1.1M 2M 4mm</v>
          </cell>
          <cell r="H166">
            <v>175</v>
          </cell>
          <cell r="I166">
            <v>5</v>
          </cell>
          <cell r="J166">
            <v>5</v>
          </cell>
          <cell r="K166"/>
          <cell r="L166" t="str">
            <v>MPS</v>
          </cell>
          <cell r="M166" t="str">
            <v>SPLITTING</v>
          </cell>
          <cell r="N166"/>
          <cell r="O166"/>
          <cell r="P166" t="str">
            <v>ok</v>
          </cell>
          <cell r="Q166">
            <v>46017</v>
          </cell>
          <cell r="R166">
            <v>46025</v>
          </cell>
          <cell r="S166">
            <v>46027</v>
          </cell>
          <cell r="T166" t="str">
            <v>l1</v>
          </cell>
          <cell r="U166"/>
          <cell r="V166">
            <v>0</v>
          </cell>
          <cell r="W166" t="e">
            <v>#VALUE!</v>
          </cell>
          <cell r="X166" t="e">
            <v>#VALUE!</v>
          </cell>
          <cell r="Y166" t="e">
            <v>#VALUE!</v>
          </cell>
          <cell r="Z166" t="b">
            <v>0</v>
          </cell>
          <cell r="AA166" t="e">
            <v>#REF!</v>
          </cell>
          <cell r="AB166">
            <v>9</v>
          </cell>
          <cell r="AC166" t="e">
            <v>#REF!</v>
          </cell>
          <cell r="AD166" t="e">
            <v>#REF!</v>
          </cell>
          <cell r="AE166" t="e">
            <v>#REF!</v>
          </cell>
          <cell r="AF166">
            <v>5</v>
          </cell>
          <cell r="AG166" t="b">
            <v>1</v>
          </cell>
          <cell r="AH166" t="e">
            <v>#N/A</v>
          </cell>
          <cell r="AI166"/>
        </row>
        <row r="167">
          <cell r="A167" t="str">
            <v>F-2025-12-294</v>
          </cell>
          <cell r="B167" t="str">
            <v>RPRO-251216-0449</v>
          </cell>
          <cell r="C167" t="str">
            <v>24/12</v>
          </cell>
          <cell r="D167" t="str">
            <v>Pro.sche.report 15.12</v>
          </cell>
          <cell r="E167" t="str">
            <v>BDB-000083</v>
          </cell>
          <cell r="F167" t="str">
            <v>PVN-003969</v>
          </cell>
          <cell r="G167" t="str">
            <v>OrthoLite Eco LT 300C(ADIDAS BLUEBIRD) Flat Sheet 0.11D 25+/-4 Asker C 1.1M 2M 12mm</v>
          </cell>
          <cell r="H167">
            <v>44</v>
          </cell>
          <cell r="I167">
            <v>5</v>
          </cell>
          <cell r="J167">
            <v>5</v>
          </cell>
          <cell r="K167" t="str">
            <v>ADIDAS</v>
          </cell>
          <cell r="L167" t="str">
            <v>Pr.Sch.R</v>
          </cell>
          <cell r="M167" t="str">
            <v>MOLDED</v>
          </cell>
          <cell r="N167"/>
          <cell r="O167"/>
          <cell r="P167" t="str">
            <v>ok</v>
          </cell>
          <cell r="Q167">
            <v>46017</v>
          </cell>
          <cell r="R167">
            <v>46025</v>
          </cell>
          <cell r="S167">
            <v>46027</v>
          </cell>
          <cell r="T167" t="str">
            <v>l1</v>
          </cell>
          <cell r="U167"/>
          <cell r="V167">
            <v>0</v>
          </cell>
          <cell r="W167" t="e">
            <v>#VALUE!</v>
          </cell>
          <cell r="X167" t="e">
            <v>#VALUE!</v>
          </cell>
          <cell r="Y167" t="e">
            <v>#VALUE!</v>
          </cell>
          <cell r="Z167" t="b">
            <v>0</v>
          </cell>
          <cell r="AA167" t="e">
            <v>#REF!</v>
          </cell>
          <cell r="AB167">
            <v>9</v>
          </cell>
          <cell r="AC167" t="e">
            <v>#REF!</v>
          </cell>
          <cell r="AD167" t="e">
            <v>#REF!</v>
          </cell>
          <cell r="AE167" t="e">
            <v>#REF!</v>
          </cell>
          <cell r="AF167">
            <v>5</v>
          </cell>
          <cell r="AG167" t="b">
            <v>1</v>
          </cell>
          <cell r="AH167" t="e">
            <v>#N/A</v>
          </cell>
          <cell r="AI167"/>
        </row>
        <row r="168">
          <cell r="A168"/>
          <cell r="B168"/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 t="b">
            <v>1</v>
          </cell>
          <cell r="AA168"/>
          <cell r="AB168"/>
          <cell r="AC168"/>
          <cell r="AD168"/>
          <cell r="AE168"/>
          <cell r="AI168"/>
        </row>
        <row r="169">
          <cell r="A169" t="str">
            <v>F-2025-12-182</v>
          </cell>
          <cell r="B169" t="str">
            <v>RPRO-251208-0479</v>
          </cell>
          <cell r="C169" t="str">
            <v>24/12</v>
          </cell>
          <cell r="D169" t="str">
            <v>Pro.sche.report 5.12+6.12</v>
          </cell>
          <cell r="E169" t="str">
            <v>BDB-000209</v>
          </cell>
          <cell r="F169" t="str">
            <v>PVN-003537</v>
          </cell>
          <cell r="G169" t="str">
            <v>OrthoLite HybridPlus-Recycled MINT GREEN/11-4805TPX Hybrid Flat Sheet 0.12D 25+/-4 Asker C 1.1M 2M 4.5mm</v>
          </cell>
          <cell r="H169">
            <v>930</v>
          </cell>
          <cell r="I169">
            <v>31</v>
          </cell>
          <cell r="J169">
            <v>31</v>
          </cell>
          <cell r="K169" t="str">
            <v>ON RUNNING</v>
          </cell>
          <cell r="L169" t="str">
            <v>Pr.Sch.R</v>
          </cell>
          <cell r="M169" t="str">
            <v>MOLDED</v>
          </cell>
          <cell r="N169">
            <v>93</v>
          </cell>
          <cell r="O169"/>
          <cell r="P169" t="str">
            <v>ok</v>
          </cell>
          <cell r="Q169">
            <v>46016</v>
          </cell>
          <cell r="R169">
            <v>46024</v>
          </cell>
          <cell r="S169">
            <v>46025</v>
          </cell>
          <cell r="T169" t="str">
            <v>l1</v>
          </cell>
          <cell r="U169">
            <v>93</v>
          </cell>
          <cell r="V169">
            <v>0</v>
          </cell>
          <cell r="W169" t="e">
            <v>#VALUE!</v>
          </cell>
          <cell r="X169" t="e">
            <v>#VALUE!</v>
          </cell>
          <cell r="Y169" t="e">
            <v>#VALUE!</v>
          </cell>
          <cell r="Z169" t="b">
            <v>0</v>
          </cell>
          <cell r="AA169" t="e">
            <v>#REF!</v>
          </cell>
          <cell r="AB169">
            <v>241</v>
          </cell>
          <cell r="AC169" t="e">
            <v>#REF!</v>
          </cell>
          <cell r="AD169" t="e">
            <v>#REF!</v>
          </cell>
          <cell r="AE169" t="e">
            <v>#REF!</v>
          </cell>
          <cell r="AF169">
            <v>31</v>
          </cell>
          <cell r="AG169" t="b">
            <v>1</v>
          </cell>
          <cell r="AH169" t="e">
            <v>#N/A</v>
          </cell>
          <cell r="AI169"/>
        </row>
        <row r="170">
          <cell r="A170" t="str">
            <v>F-2025-12-196</v>
          </cell>
          <cell r="B170" t="str">
            <v>FPRO-251208-0007</v>
          </cell>
          <cell r="C170" t="str">
            <v>24/12</v>
          </cell>
          <cell r="D170" t="str">
            <v>Firm plan 08.12</v>
          </cell>
          <cell r="E170" t="str">
            <v>BDB-000209</v>
          </cell>
          <cell r="F170" t="str">
            <v>PVN-003537</v>
          </cell>
          <cell r="G170" t="str">
            <v>OrthoLite HybridPlus-Recycled MINT GREEN/11-4805TPX Hybrid 0.12D 25+/-4 Asker C 1.1M 2M 4.5mm</v>
          </cell>
          <cell r="H170">
            <v>1750</v>
          </cell>
          <cell r="I170">
            <v>57</v>
          </cell>
          <cell r="J170">
            <v>57</v>
          </cell>
          <cell r="K170" t="str">
            <v>ON RUNNING</v>
          </cell>
          <cell r="L170" t="str">
            <v>Forecast</v>
          </cell>
          <cell r="M170" t="str">
            <v>MOLDED</v>
          </cell>
          <cell r="N170"/>
          <cell r="O170"/>
          <cell r="P170" t="str">
            <v>ok</v>
          </cell>
          <cell r="Q170">
            <v>46016</v>
          </cell>
          <cell r="R170">
            <v>46024</v>
          </cell>
          <cell r="S170">
            <v>46025</v>
          </cell>
          <cell r="T170" t="str">
            <v>l1</v>
          </cell>
          <cell r="U170"/>
          <cell r="V170">
            <v>0</v>
          </cell>
          <cell r="W170" t="e">
            <v>#VALUE!</v>
          </cell>
          <cell r="X170" t="e">
            <v>#VALUE!</v>
          </cell>
          <cell r="Y170" t="e">
            <v>#VALUE!</v>
          </cell>
          <cell r="Z170" t="b">
            <v>0</v>
          </cell>
          <cell r="AA170" t="e">
            <v>#REF!</v>
          </cell>
          <cell r="AB170">
            <v>241</v>
          </cell>
          <cell r="AC170" t="e">
            <v>#REF!</v>
          </cell>
          <cell r="AD170" t="e">
            <v>#REF!</v>
          </cell>
          <cell r="AE170" t="e">
            <v>#REF!</v>
          </cell>
          <cell r="AF170">
            <v>57</v>
          </cell>
          <cell r="AG170" t="b">
            <v>1</v>
          </cell>
          <cell r="AH170" t="e">
            <v>#N/A</v>
          </cell>
          <cell r="AI170"/>
        </row>
        <row r="171">
          <cell r="A171" t="str">
            <v>F-2025-12-227</v>
          </cell>
          <cell r="B171" t="str">
            <v>RPRO-251211-0300</v>
          </cell>
          <cell r="C171" t="str">
            <v>24/12</v>
          </cell>
          <cell r="D171" t="str">
            <v>Pro.sche.report 10.12</v>
          </cell>
          <cell r="E171" t="str">
            <v>BDB-000209</v>
          </cell>
          <cell r="F171" t="str">
            <v>PVN-003462</v>
          </cell>
          <cell r="G171" t="str">
            <v>OrthoLite HybridPlus-Recycled MINT GREEN/11-4805TPX Hybrid Flat Sheet 0.12D 25+/-4 Asker C 1.1M 2M 12mm</v>
          </cell>
          <cell r="H171">
            <v>11</v>
          </cell>
          <cell r="I171">
            <v>2</v>
          </cell>
          <cell r="J171">
            <v>2</v>
          </cell>
          <cell r="K171" t="str">
            <v>BROOKS</v>
          </cell>
          <cell r="L171" t="str">
            <v>Pr.Sch.R</v>
          </cell>
          <cell r="M171" t="str">
            <v>MOLDED</v>
          </cell>
          <cell r="N171"/>
          <cell r="O171"/>
          <cell r="P171" t="str">
            <v>ok</v>
          </cell>
          <cell r="Q171">
            <v>46017</v>
          </cell>
          <cell r="R171">
            <v>46025</v>
          </cell>
          <cell r="S171">
            <v>46027</v>
          </cell>
          <cell r="T171" t="str">
            <v>l1</v>
          </cell>
          <cell r="U171"/>
          <cell r="V171">
            <v>0</v>
          </cell>
          <cell r="W171" t="e">
            <v>#VALUE!</v>
          </cell>
          <cell r="X171" t="e">
            <v>#VALUE!</v>
          </cell>
          <cell r="Y171" t="e">
            <v>#VALUE!</v>
          </cell>
          <cell r="Z171" t="b">
            <v>0</v>
          </cell>
          <cell r="AA171" t="e">
            <v>#REF!</v>
          </cell>
          <cell r="AB171">
            <v>241</v>
          </cell>
          <cell r="AC171" t="e">
            <v>#REF!</v>
          </cell>
          <cell r="AD171" t="e">
            <v>#REF!</v>
          </cell>
          <cell r="AE171" t="e">
            <v>#REF!</v>
          </cell>
          <cell r="AF171">
            <v>2</v>
          </cell>
          <cell r="AG171" t="b">
            <v>1</v>
          </cell>
          <cell r="AH171" t="e">
            <v>#N/A</v>
          </cell>
          <cell r="AI171"/>
        </row>
        <row r="172">
          <cell r="A172" t="str">
            <v>F-2025-12-258</v>
          </cell>
          <cell r="B172" t="str">
            <v>RPRO-251215-0463</v>
          </cell>
          <cell r="C172" t="str">
            <v>24/12</v>
          </cell>
          <cell r="D172" t="str">
            <v>Pro.sche.report 12.12+13.12</v>
          </cell>
          <cell r="E172" t="str">
            <v>BDB-000209</v>
          </cell>
          <cell r="F172" t="str">
            <v>PVN-003462</v>
          </cell>
          <cell r="G172" t="str">
            <v>OrthoLite HybridPlus-Recycled MINT GREEN/11-4805TPX Hybrid Flat Sheet 0.12D 25+/-4 Asker C 1.1M 2M 12mm</v>
          </cell>
          <cell r="H172">
            <v>22</v>
          </cell>
          <cell r="I172">
            <v>3</v>
          </cell>
          <cell r="J172">
            <v>3</v>
          </cell>
          <cell r="K172" t="str">
            <v>BROOKS</v>
          </cell>
          <cell r="L172" t="str">
            <v>Pr.Sch.R</v>
          </cell>
          <cell r="M172" t="str">
            <v>MOLDED</v>
          </cell>
          <cell r="N172"/>
          <cell r="O172"/>
          <cell r="P172" t="str">
            <v>ok</v>
          </cell>
          <cell r="Q172">
            <v>46017</v>
          </cell>
          <cell r="R172">
            <v>46025</v>
          </cell>
          <cell r="S172">
            <v>46027</v>
          </cell>
          <cell r="T172" t="str">
            <v>l1</v>
          </cell>
          <cell r="U172"/>
          <cell r="V172">
            <v>0</v>
          </cell>
          <cell r="W172" t="e">
            <v>#VALUE!</v>
          </cell>
          <cell r="X172" t="e">
            <v>#VALUE!</v>
          </cell>
          <cell r="Y172" t="e">
            <v>#VALUE!</v>
          </cell>
          <cell r="Z172" t="b">
            <v>0</v>
          </cell>
          <cell r="AA172" t="e">
            <v>#REF!</v>
          </cell>
          <cell r="AB172">
            <v>241</v>
          </cell>
          <cell r="AC172" t="e">
            <v>#REF!</v>
          </cell>
          <cell r="AD172" t="e">
            <v>#REF!</v>
          </cell>
          <cell r="AE172" t="e">
            <v>#REF!</v>
          </cell>
          <cell r="AF172">
            <v>3</v>
          </cell>
          <cell r="AG172" t="b">
            <v>1</v>
          </cell>
          <cell r="AH172" t="e">
            <v>#N/A</v>
          </cell>
          <cell r="AI172"/>
        </row>
        <row r="173">
          <cell r="A173"/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 t="b">
            <v>1</v>
          </cell>
          <cell r="AA173"/>
          <cell r="AB173"/>
          <cell r="AC173"/>
          <cell r="AD173"/>
          <cell r="AE173"/>
          <cell r="AI173"/>
        </row>
        <row r="174">
          <cell r="A174" t="str">
            <v>F-2025-12-304</v>
          </cell>
          <cell r="B174" t="str">
            <v>RPRO-251216-0459</v>
          </cell>
          <cell r="C174" t="str">
            <v>24/12</v>
          </cell>
          <cell r="D174" t="str">
            <v>Pro.sche.report 15.12</v>
          </cell>
          <cell r="E174" t="str">
            <v>BDB-000352</v>
          </cell>
          <cell r="F174" t="str">
            <v>PVN-004215</v>
          </cell>
          <cell r="G174" t="str">
            <v>OrthoLite Float-Hybrid SEEDPEARL/12-0703TPX Hybrid Flat Sheet 0.12D 21+/-4 Asker C 1.1M 2M 7.5mm</v>
          </cell>
          <cell r="H174">
            <v>234</v>
          </cell>
          <cell r="I174">
            <v>14</v>
          </cell>
          <cell r="J174">
            <v>14</v>
          </cell>
          <cell r="K174" t="str">
            <v>VIOLET</v>
          </cell>
          <cell r="L174" t="str">
            <v>Pr.Sch.R</v>
          </cell>
          <cell r="M174" t="str">
            <v>MOLDED</v>
          </cell>
          <cell r="N174">
            <v>14</v>
          </cell>
          <cell r="O174"/>
          <cell r="P174" t="str">
            <v>ok</v>
          </cell>
          <cell r="Q174">
            <v>46017</v>
          </cell>
          <cell r="R174">
            <v>46025</v>
          </cell>
          <cell r="S174">
            <v>46027</v>
          </cell>
          <cell r="T174" t="str">
            <v>l1</v>
          </cell>
          <cell r="U174">
            <v>14</v>
          </cell>
          <cell r="V174">
            <v>0</v>
          </cell>
          <cell r="W174" t="e">
            <v>#VALUE!</v>
          </cell>
          <cell r="X174" t="e">
            <v>#VALUE!</v>
          </cell>
          <cell r="Y174" t="e">
            <v>#VALUE!</v>
          </cell>
          <cell r="Z174" t="b">
            <v>0</v>
          </cell>
          <cell r="AA174" t="e">
            <v>#N/A</v>
          </cell>
          <cell r="AB174">
            <v>0</v>
          </cell>
          <cell r="AC174">
            <v>0</v>
          </cell>
          <cell r="AD174" t="e">
            <v>#N/A</v>
          </cell>
          <cell r="AE174" t="e">
            <v>#REF!</v>
          </cell>
          <cell r="AF174">
            <v>14</v>
          </cell>
          <cell r="AG174" t="b">
            <v>1</v>
          </cell>
          <cell r="AH174" t="e">
            <v>#N/A</v>
          </cell>
          <cell r="AI174"/>
        </row>
        <row r="175">
          <cell r="A175"/>
          <cell r="B175"/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 t="b">
            <v>1</v>
          </cell>
          <cell r="AA175"/>
          <cell r="AB175"/>
          <cell r="AC175"/>
          <cell r="AD175"/>
          <cell r="AE175"/>
          <cell r="AI175"/>
        </row>
        <row r="176">
          <cell r="A176" t="str">
            <v>F-2025-12-255</v>
          </cell>
          <cell r="B176" t="str">
            <v>RPRO-251215-0460</v>
          </cell>
          <cell r="C176" t="str">
            <v>24/12</v>
          </cell>
          <cell r="D176" t="str">
            <v>Pro.sche.report 12.12+13.12</v>
          </cell>
          <cell r="E176" t="str">
            <v>BDB-000131</v>
          </cell>
          <cell r="F176" t="str">
            <v>PVN-001565</v>
          </cell>
          <cell r="G176" t="str">
            <v>OrthoLite Regular-Nike AIR BLUE/16-4134TPX Flat Sheet 0.11D 15+/-4 Asker C 1.1M 2M 4mm</v>
          </cell>
          <cell r="H176">
            <v>140</v>
          </cell>
          <cell r="I176">
            <v>4</v>
          </cell>
          <cell r="J176">
            <v>4</v>
          </cell>
          <cell r="K176" t="str">
            <v>NIKE</v>
          </cell>
          <cell r="L176" t="str">
            <v>Pr.Sch.R</v>
          </cell>
          <cell r="M176" t="str">
            <v>DIE CUT</v>
          </cell>
          <cell r="N176">
            <v>5</v>
          </cell>
          <cell r="O176"/>
          <cell r="P176" t="str">
            <v>ok</v>
          </cell>
          <cell r="Q176">
            <v>46017</v>
          </cell>
          <cell r="R176">
            <v>46025</v>
          </cell>
          <cell r="S176">
            <v>46027</v>
          </cell>
          <cell r="T176" t="str">
            <v>l1</v>
          </cell>
          <cell r="U176">
            <v>5</v>
          </cell>
          <cell r="V176">
            <v>0</v>
          </cell>
          <cell r="W176" t="e">
            <v>#VALUE!</v>
          </cell>
          <cell r="X176" t="e">
            <v>#VALUE!</v>
          </cell>
          <cell r="Y176" t="e">
            <v>#VALUE!</v>
          </cell>
          <cell r="Z176" t="b">
            <v>0</v>
          </cell>
          <cell r="AA176" t="e">
            <v>#REF!</v>
          </cell>
          <cell r="AB176">
            <v>16</v>
          </cell>
          <cell r="AC176" t="e">
            <v>#REF!</v>
          </cell>
          <cell r="AD176" t="e">
            <v>#REF!</v>
          </cell>
          <cell r="AE176" t="e">
            <v>#REF!</v>
          </cell>
          <cell r="AF176">
            <v>4</v>
          </cell>
          <cell r="AG176" t="b">
            <v>1</v>
          </cell>
          <cell r="AH176" t="e">
            <v>#N/A</v>
          </cell>
          <cell r="AI176"/>
        </row>
        <row r="177">
          <cell r="A177" t="str">
            <v>F-2025-12-349</v>
          </cell>
          <cell r="B177" t="str">
            <v>RPRO-251218-0340</v>
          </cell>
          <cell r="C177" t="str">
            <v>24/12</v>
          </cell>
          <cell r="D177" t="str">
            <v>Pro.sche.report 17.12</v>
          </cell>
          <cell r="E177" t="str">
            <v>BDB-000131</v>
          </cell>
          <cell r="F177" t="str">
            <v>PVN-001565</v>
          </cell>
          <cell r="G177" t="str">
            <v>OrthoLite Regular-Nike AIR BLUE/16-4134TPX Flat Sheet 0.11D 15+/-4 Asker C 1.1M 2M 4mm</v>
          </cell>
          <cell r="H177">
            <v>35</v>
          </cell>
          <cell r="I177">
            <v>1</v>
          </cell>
          <cell r="J177">
            <v>1</v>
          </cell>
          <cell r="K177" t="str">
            <v>NIKE</v>
          </cell>
          <cell r="L177" t="str">
            <v>Pr.Sch.R</v>
          </cell>
          <cell r="M177" t="str">
            <v>DIE CUT</v>
          </cell>
          <cell r="N177"/>
          <cell r="O177"/>
          <cell r="P177" t="str">
            <v>ok</v>
          </cell>
          <cell r="Q177">
            <v>46017</v>
          </cell>
          <cell r="R177">
            <v>46025</v>
          </cell>
          <cell r="S177">
            <v>46027</v>
          </cell>
          <cell r="T177" t="str">
            <v>l1</v>
          </cell>
          <cell r="U177"/>
          <cell r="V177">
            <v>0</v>
          </cell>
          <cell r="W177" t="e">
            <v>#VALUE!</v>
          </cell>
          <cell r="X177" t="e">
            <v>#VALUE!</v>
          </cell>
          <cell r="Y177" t="e">
            <v>#VALUE!</v>
          </cell>
          <cell r="Z177" t="b">
            <v>0</v>
          </cell>
          <cell r="AA177" t="e">
            <v>#REF!</v>
          </cell>
          <cell r="AB177">
            <v>16</v>
          </cell>
          <cell r="AC177" t="e">
            <v>#REF!</v>
          </cell>
          <cell r="AD177" t="e">
            <v>#REF!</v>
          </cell>
          <cell r="AE177" t="e">
            <v>#REF!</v>
          </cell>
          <cell r="AF177">
            <v>1</v>
          </cell>
          <cell r="AG177" t="b">
            <v>1</v>
          </cell>
          <cell r="AH177" t="e">
            <v>#N/A</v>
          </cell>
          <cell r="AI177"/>
        </row>
        <row r="178">
          <cell r="A178"/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 t="b">
            <v>1</v>
          </cell>
          <cell r="AA178"/>
          <cell r="AB178"/>
          <cell r="AC178"/>
          <cell r="AD178"/>
          <cell r="AE178"/>
          <cell r="AI178"/>
        </row>
        <row r="179">
          <cell r="A179" t="str">
            <v>F-2025-11-185-3</v>
          </cell>
          <cell r="B179" t="str">
            <v>RPRO-251112-0331</v>
          </cell>
          <cell r="C179" t="str">
            <v>24/12</v>
          </cell>
          <cell r="D179" t="str">
            <v>Pro.sche.report 7.11+8.11</v>
          </cell>
          <cell r="E179" t="str">
            <v>BDB-000165</v>
          </cell>
          <cell r="F179" t="str">
            <v>PVN-002053</v>
          </cell>
          <cell r="G179" t="str">
            <v>OrthoLite Ultra-Nike LIME GREEN/14-0452TPX Flat Sheet 0.085D 15+/-4 Asker C 1.1M 2M 5mm</v>
          </cell>
          <cell r="H179">
            <v>968</v>
          </cell>
          <cell r="I179">
            <v>35</v>
          </cell>
          <cell r="J179">
            <v>35</v>
          </cell>
          <cell r="K179" t="str">
            <v>NIKE</v>
          </cell>
          <cell r="L179" t="str">
            <v>Pr.Sch.R</v>
          </cell>
          <cell r="M179" t="str">
            <v>DIE CUT</v>
          </cell>
          <cell r="N179">
            <v>36</v>
          </cell>
          <cell r="O179"/>
          <cell r="P179" t="str">
            <v>ok</v>
          </cell>
          <cell r="Q179">
            <v>46017</v>
          </cell>
          <cell r="R179">
            <v>46025</v>
          </cell>
          <cell r="S179">
            <v>46027</v>
          </cell>
          <cell r="T179" t="str">
            <v>l1</v>
          </cell>
          <cell r="U179">
            <v>36</v>
          </cell>
          <cell r="V179">
            <v>0</v>
          </cell>
          <cell r="W179" t="e">
            <v>#VALUE!</v>
          </cell>
          <cell r="X179" t="e">
            <v>#VALUE!</v>
          </cell>
          <cell r="Y179" t="e">
            <v>#VALUE!</v>
          </cell>
          <cell r="Z179" t="b">
            <v>0</v>
          </cell>
          <cell r="AA179" t="e">
            <v>#REF!</v>
          </cell>
          <cell r="AB179">
            <v>36</v>
          </cell>
          <cell r="AC179" t="e">
            <v>#REF!</v>
          </cell>
          <cell r="AD179" t="e">
            <v>#REF!</v>
          </cell>
          <cell r="AE179" t="e">
            <v>#REF!</v>
          </cell>
          <cell r="AF179">
            <v>35</v>
          </cell>
          <cell r="AG179" t="b">
            <v>1</v>
          </cell>
          <cell r="AH179" t="e">
            <v>#N/A</v>
          </cell>
          <cell r="AI179"/>
        </row>
        <row r="180">
          <cell r="A180" t="str">
            <v>F-2025-11-445</v>
          </cell>
          <cell r="B180" t="str">
            <v>RPRO-251124-0625</v>
          </cell>
          <cell r="C180" t="str">
            <v>24/12</v>
          </cell>
          <cell r="D180" t="str">
            <v>Pro.sche.report 21.11+22.11</v>
          </cell>
          <cell r="E180" t="str">
            <v>BDB-000165</v>
          </cell>
          <cell r="F180" t="str">
            <v>PVN-002053</v>
          </cell>
          <cell r="G180" t="str">
            <v>OrthoLite Ultra-Nike LIME GREEN/14-0452TPX Flat Sheet 0.085D 15+/-4 Asker C 1.1M 2M 5mm</v>
          </cell>
          <cell r="H180">
            <v>28</v>
          </cell>
          <cell r="I180">
            <v>1</v>
          </cell>
          <cell r="J180">
            <v>1</v>
          </cell>
          <cell r="K180" t="str">
            <v>NIKE</v>
          </cell>
          <cell r="L180" t="str">
            <v>Pr.Sch.R</v>
          </cell>
          <cell r="M180" t="str">
            <v>DIE CUT</v>
          </cell>
          <cell r="N180"/>
          <cell r="O180"/>
          <cell r="P180" t="str">
            <v>ok</v>
          </cell>
          <cell r="Q180">
            <v>46024</v>
          </cell>
          <cell r="R180">
            <v>46027</v>
          </cell>
          <cell r="S180">
            <v>46028</v>
          </cell>
          <cell r="T180" t="str">
            <v>l1</v>
          </cell>
          <cell r="U180"/>
          <cell r="V180">
            <v>0</v>
          </cell>
          <cell r="W180" t="e">
            <v>#VALUE!</v>
          </cell>
          <cell r="X180" t="e">
            <v>#VALUE!</v>
          </cell>
          <cell r="Y180" t="e">
            <v>#VALUE!</v>
          </cell>
          <cell r="Z180" t="b">
            <v>0</v>
          </cell>
          <cell r="AA180" t="e">
            <v>#REF!</v>
          </cell>
          <cell r="AB180">
            <v>36</v>
          </cell>
          <cell r="AC180" t="e">
            <v>#REF!</v>
          </cell>
          <cell r="AD180" t="e">
            <v>#REF!</v>
          </cell>
          <cell r="AE180" t="e">
            <v>#REF!</v>
          </cell>
          <cell r="AF180">
            <v>1</v>
          </cell>
          <cell r="AG180" t="b">
            <v>1</v>
          </cell>
          <cell r="AH180" t="e">
            <v>#N/A</v>
          </cell>
          <cell r="AI180"/>
        </row>
        <row r="181">
          <cell r="A181"/>
          <cell r="B181"/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/>
          <cell r="S181"/>
          <cell r="T181"/>
          <cell r="U181"/>
          <cell r="V181"/>
          <cell r="W181"/>
          <cell r="X181"/>
          <cell r="Y181"/>
          <cell r="Z181" t="b">
            <v>1</v>
          </cell>
          <cell r="AA181"/>
          <cell r="AB181"/>
          <cell r="AC181"/>
          <cell r="AD181"/>
          <cell r="AE181"/>
          <cell r="AI181"/>
        </row>
        <row r="182">
          <cell r="A182" t="str">
            <v>F-2025-12-52-2</v>
          </cell>
          <cell r="B182" t="str">
            <v>FPRO-251218-0003</v>
          </cell>
          <cell r="C182" t="str">
            <v>24/12-25/12</v>
          </cell>
          <cell r="D182" t="str">
            <v>Firm plan 1.12</v>
          </cell>
          <cell r="E182" t="str">
            <v>BDB-000129</v>
          </cell>
          <cell r="F182" t="str">
            <v>PVN-001550</v>
          </cell>
          <cell r="G182" t="str">
            <v>OrthoLite Regular-Nike AIR BLUE/16-4134TPX 0.11D 25+/-4 Asker C 1.1M 1.7M 2mm</v>
          </cell>
          <cell r="H182">
            <v>1500</v>
          </cell>
          <cell r="I182">
            <v>22</v>
          </cell>
          <cell r="J182">
            <v>22</v>
          </cell>
          <cell r="K182" t="str">
            <v>NIKE</v>
          </cell>
          <cell r="L182" t="str">
            <v>Forecast</v>
          </cell>
          <cell r="M182" t="str">
            <v>DIE CUT</v>
          </cell>
          <cell r="N182">
            <v>22</v>
          </cell>
          <cell r="O182"/>
          <cell r="P182" t="str">
            <v>ok</v>
          </cell>
          <cell r="Q182">
            <v>46024</v>
          </cell>
          <cell r="R182">
            <v>46027</v>
          </cell>
          <cell r="S182">
            <v>46028</v>
          </cell>
          <cell r="T182" t="str">
            <v>l1</v>
          </cell>
          <cell r="U182">
            <v>22</v>
          </cell>
          <cell r="V182">
            <v>0</v>
          </cell>
          <cell r="W182" t="e">
            <v>#VALUE!</v>
          </cell>
          <cell r="X182" t="e">
            <v>#VALUE!</v>
          </cell>
          <cell r="Y182" t="e">
            <v>#VALUE!</v>
          </cell>
          <cell r="Z182" t="b">
            <v>0</v>
          </cell>
          <cell r="AA182" t="e">
            <v>#REF!</v>
          </cell>
          <cell r="AB182">
            <v>68</v>
          </cell>
          <cell r="AC182" t="e">
            <v>#REF!</v>
          </cell>
          <cell r="AD182" t="e">
            <v>#REF!</v>
          </cell>
          <cell r="AE182" t="e">
            <v>#REF!</v>
          </cell>
          <cell r="AF182">
            <v>22</v>
          </cell>
          <cell r="AG182" t="b">
            <v>1</v>
          </cell>
          <cell r="AH182" t="e">
            <v>#N/A</v>
          </cell>
          <cell r="AI182"/>
        </row>
        <row r="183">
          <cell r="A183"/>
          <cell r="B183"/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/>
          <cell r="T183"/>
          <cell r="U183"/>
          <cell r="V183"/>
          <cell r="W183"/>
          <cell r="X183"/>
          <cell r="Y183"/>
          <cell r="Z183" t="b">
            <v>1</v>
          </cell>
          <cell r="AA183"/>
          <cell r="AB183"/>
          <cell r="AC183"/>
          <cell r="AD183"/>
          <cell r="AE183"/>
          <cell r="AI183"/>
        </row>
        <row r="184">
          <cell r="A184" t="str">
            <v>F-2025-10-250-2</v>
          </cell>
          <cell r="B184" t="str">
            <v>FPRO-251217-0003</v>
          </cell>
          <cell r="C184" t="str">
            <v>25/12</v>
          </cell>
          <cell r="D184" t="str">
            <v>Firm plan 21.10</v>
          </cell>
          <cell r="E184" t="str">
            <v>BDB-000161</v>
          </cell>
          <cell r="F184" t="str">
            <v>PVN-001560</v>
          </cell>
          <cell r="G184" t="str">
            <v>OrthoLite Ultra-Nike FOSSIL/17-0909TPX 0.085D 25+/-4 Asker C 1.1M 2M 4mm</v>
          </cell>
          <cell r="H184">
            <v>500</v>
          </cell>
          <cell r="I184">
            <v>15</v>
          </cell>
          <cell r="J184">
            <v>15</v>
          </cell>
          <cell r="K184" t="str">
            <v>NIKE</v>
          </cell>
          <cell r="L184" t="str">
            <v>Forecast</v>
          </cell>
          <cell r="M184" t="str">
            <v>DIE CUT</v>
          </cell>
          <cell r="N184">
            <v>15</v>
          </cell>
          <cell r="O184"/>
          <cell r="P184" t="str">
            <v>ok</v>
          </cell>
          <cell r="Q184">
            <v>46024</v>
          </cell>
          <cell r="R184">
            <v>46027</v>
          </cell>
          <cell r="S184">
            <v>46028</v>
          </cell>
          <cell r="T184" t="str">
            <v>l1</v>
          </cell>
          <cell r="U184">
            <v>14</v>
          </cell>
          <cell r="V184">
            <v>-1</v>
          </cell>
          <cell r="W184" t="e">
            <v>#VALUE!</v>
          </cell>
          <cell r="X184" t="e">
            <v>#VALUE!</v>
          </cell>
          <cell r="Y184" t="e">
            <v>#VALUE!</v>
          </cell>
          <cell r="Z184" t="b">
            <v>0</v>
          </cell>
          <cell r="AA184" t="e">
            <v>#REF!</v>
          </cell>
          <cell r="AB184">
            <v>15</v>
          </cell>
          <cell r="AC184" t="e">
            <v>#REF!</v>
          </cell>
          <cell r="AD184" t="e">
            <v>#REF!</v>
          </cell>
          <cell r="AE184" t="e">
            <v>#REF!</v>
          </cell>
          <cell r="AF184">
            <v>15</v>
          </cell>
          <cell r="AG184" t="b">
            <v>1</v>
          </cell>
          <cell r="AH184" t="e">
            <v>#N/A</v>
          </cell>
          <cell r="AI184"/>
        </row>
        <row r="185">
          <cell r="A185"/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/>
          <cell r="Y185"/>
          <cell r="Z185" t="b">
            <v>1</v>
          </cell>
          <cell r="AA185"/>
          <cell r="AB185"/>
          <cell r="AC185"/>
          <cell r="AD185"/>
          <cell r="AE185"/>
          <cell r="AI185"/>
        </row>
        <row r="186">
          <cell r="A186" t="str">
            <v>F-2025-10-222</v>
          </cell>
          <cell r="B186" t="str">
            <v>FPRO-251020-0001</v>
          </cell>
          <cell r="C186" t="str">
            <v>25/12</v>
          </cell>
          <cell r="D186" t="str">
            <v>Firm plan 21.10</v>
          </cell>
          <cell r="E186" t="str">
            <v>BDB-000162</v>
          </cell>
          <cell r="F186" t="str">
            <v>PVN-001566</v>
          </cell>
          <cell r="G186" t="str">
            <v>OrthoLite Ultra-Nike SEEDPEARL/12-0703TPX 0.085D 25+/-4 Asker C 1.1M 2M 4mm</v>
          </cell>
          <cell r="H186">
            <v>3000</v>
          </cell>
          <cell r="I186">
            <v>86</v>
          </cell>
          <cell r="J186">
            <v>86</v>
          </cell>
          <cell r="K186" t="str">
            <v>NIKE</v>
          </cell>
          <cell r="L186" t="str">
            <v>Forecast</v>
          </cell>
          <cell r="M186" t="str">
            <v>DIE CUT</v>
          </cell>
          <cell r="N186">
            <v>86</v>
          </cell>
          <cell r="O186"/>
          <cell r="P186" t="str">
            <v>ok</v>
          </cell>
          <cell r="Q186">
            <v>46024</v>
          </cell>
          <cell r="R186">
            <v>46027</v>
          </cell>
          <cell r="S186">
            <v>46028</v>
          </cell>
          <cell r="T186" t="str">
            <v>l1</v>
          </cell>
          <cell r="U186">
            <v>88</v>
          </cell>
          <cell r="V186">
            <v>2</v>
          </cell>
          <cell r="W186" t="e">
            <v>#VALUE!</v>
          </cell>
          <cell r="X186" t="e">
            <v>#VALUE!</v>
          </cell>
          <cell r="Y186" t="e">
            <v>#VALUE!</v>
          </cell>
          <cell r="Z186" t="b">
            <v>0</v>
          </cell>
          <cell r="AA186" t="e">
            <v>#REF!</v>
          </cell>
          <cell r="AB186">
            <v>172</v>
          </cell>
          <cell r="AC186" t="e">
            <v>#REF!</v>
          </cell>
          <cell r="AD186" t="e">
            <v>#REF!</v>
          </cell>
          <cell r="AE186" t="e">
            <v>#REF!</v>
          </cell>
          <cell r="AF186">
            <v>86</v>
          </cell>
          <cell r="AG186" t="b">
            <v>1</v>
          </cell>
          <cell r="AH186" t="e">
            <v>#N/A</v>
          </cell>
          <cell r="AI186"/>
        </row>
        <row r="187">
          <cell r="A187"/>
          <cell r="B187"/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/>
          <cell r="Y187"/>
          <cell r="Z187" t="b">
            <v>1</v>
          </cell>
          <cell r="AA187"/>
          <cell r="AB187"/>
          <cell r="AC187"/>
          <cell r="AD187"/>
          <cell r="AE187"/>
          <cell r="AI187"/>
        </row>
        <row r="188">
          <cell r="A188" t="str">
            <v>F-2025-10-241</v>
          </cell>
          <cell r="B188" t="str">
            <v>FPRO-251020-0021</v>
          </cell>
          <cell r="C188" t="str">
            <v>25/12</v>
          </cell>
          <cell r="D188" t="str">
            <v>Firm plan 21.10</v>
          </cell>
          <cell r="E188" t="str">
            <v>BDB-000125</v>
          </cell>
          <cell r="F188" t="str">
            <v>PVN-002413</v>
          </cell>
          <cell r="G188" t="str">
            <v>OrthoLite Regular-Nike AIR BLUE/16-4134TPX 0.11D 25+/-4 Asker C 1.1M 2M 4.2mm</v>
          </cell>
          <cell r="H188">
            <v>2500</v>
          </cell>
          <cell r="I188">
            <v>76</v>
          </cell>
          <cell r="J188">
            <v>76</v>
          </cell>
          <cell r="K188" t="str">
            <v>NIKE</v>
          </cell>
          <cell r="L188" t="str">
            <v>Forecast</v>
          </cell>
          <cell r="M188" t="str">
            <v>MOLDED</v>
          </cell>
          <cell r="N188">
            <v>76</v>
          </cell>
          <cell r="O188"/>
          <cell r="P188" t="str">
            <v>a Linh xác nhận ok</v>
          </cell>
          <cell r="Q188">
            <v>46024</v>
          </cell>
          <cell r="R188">
            <v>46027</v>
          </cell>
          <cell r="S188">
            <v>46028</v>
          </cell>
          <cell r="T188" t="str">
            <v>l1</v>
          </cell>
          <cell r="U188">
            <v>66</v>
          </cell>
          <cell r="V188">
            <v>-10</v>
          </cell>
          <cell r="W188" t="e">
            <v>#VALUE!</v>
          </cell>
          <cell r="X188" t="e">
            <v>#VALUE!</v>
          </cell>
          <cell r="Y188" t="e">
            <v>#VALUE!</v>
          </cell>
          <cell r="Z188" t="b">
            <v>0</v>
          </cell>
          <cell r="AA188" t="e">
            <v>#REF!</v>
          </cell>
          <cell r="AB188">
            <v>164</v>
          </cell>
          <cell r="AC188" t="e">
            <v>#REF!</v>
          </cell>
          <cell r="AD188" t="e">
            <v>#REF!</v>
          </cell>
          <cell r="AE188" t="e">
            <v>#REF!</v>
          </cell>
          <cell r="AF188">
            <v>76</v>
          </cell>
          <cell r="AG188" t="b">
            <v>1</v>
          </cell>
          <cell r="AH188" t="e">
            <v>#N/A</v>
          </cell>
          <cell r="AI188"/>
        </row>
        <row r="189">
          <cell r="A189"/>
          <cell r="B189"/>
          <cell r="C189"/>
          <cell r="D189"/>
          <cell r="E189"/>
          <cell r="F189"/>
          <cell r="G189" t="str">
            <v>RELEASE ĐỢT 1</v>
          </cell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>
            <v>0</v>
          </cell>
          <cell r="W189"/>
          <cell r="X189"/>
          <cell r="Y189"/>
          <cell r="Z189" t="b">
            <v>1</v>
          </cell>
          <cell r="AA189"/>
          <cell r="AB189"/>
          <cell r="AC189"/>
          <cell r="AD189"/>
          <cell r="AE189"/>
          <cell r="AI189"/>
          <cell r="AJ189"/>
          <cell r="AK189"/>
          <cell r="AL189"/>
        </row>
        <row r="190">
          <cell r="A190" t="str">
            <v>F-2025-12-444</v>
          </cell>
          <cell r="B190" t="str">
            <v>RPRO-251223-0365</v>
          </cell>
          <cell r="C190" t="str">
            <v>25/12</v>
          </cell>
          <cell r="D190" t="str">
            <v>Pro.sche.report 22.12</v>
          </cell>
          <cell r="E190" t="str">
            <v>BDB-000011</v>
          </cell>
          <cell r="F190" t="str">
            <v>PVN-000184</v>
          </cell>
          <cell r="G190" t="str">
            <v>OrthoLite Regular AIR BLUE/16-4134TPX Flat Sheet 0.13D 35+/-4 Asker C 1.1M 2M 14mm</v>
          </cell>
          <cell r="H190">
            <v>9</v>
          </cell>
          <cell r="I190">
            <v>1</v>
          </cell>
          <cell r="J190">
            <v>1</v>
          </cell>
          <cell r="K190" t="str">
            <v>ADIDAS</v>
          </cell>
          <cell r="L190" t="str">
            <v>Pr.Sch.R</v>
          </cell>
          <cell r="M190" t="str">
            <v>MOLDED</v>
          </cell>
          <cell r="N190">
            <v>1</v>
          </cell>
          <cell r="O190"/>
          <cell r="P190" t="str">
            <v>ok</v>
          </cell>
          <cell r="Q190">
            <v>46025</v>
          </cell>
          <cell r="R190">
            <v>46028</v>
          </cell>
          <cell r="S190">
            <v>46029</v>
          </cell>
          <cell r="T190" t="str">
            <v>l2</v>
          </cell>
          <cell r="U190">
            <v>1</v>
          </cell>
          <cell r="V190">
            <v>0</v>
          </cell>
          <cell r="W190" t="e">
            <v>#VALUE!</v>
          </cell>
          <cell r="X190" t="e">
            <v>#VALUE!</v>
          </cell>
          <cell r="Y190" t="e">
            <v>#VALUE!</v>
          </cell>
          <cell r="Z190" t="b">
            <v>0</v>
          </cell>
          <cell r="AA190" t="e">
            <v>#REF!</v>
          </cell>
          <cell r="AB190">
            <v>98</v>
          </cell>
          <cell r="AC190" t="e">
            <v>#REF!</v>
          </cell>
          <cell r="AD190" t="e">
            <v>#REF!</v>
          </cell>
          <cell r="AE190" t="e">
            <v>#REF!</v>
          </cell>
          <cell r="AF190">
            <v>1</v>
          </cell>
          <cell r="AG190" t="b">
            <v>1</v>
          </cell>
          <cell r="AH190" t="e">
            <v>#N/A</v>
          </cell>
          <cell r="AI190"/>
        </row>
        <row r="191">
          <cell r="A191"/>
          <cell r="B191"/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/>
          <cell r="Y191"/>
          <cell r="Z191" t="b">
            <v>1</v>
          </cell>
          <cell r="AA191"/>
          <cell r="AB191"/>
          <cell r="AC191"/>
          <cell r="AD191"/>
          <cell r="AE191"/>
          <cell r="AI191"/>
        </row>
        <row r="192">
          <cell r="A192" t="str">
            <v>F-2025-12-324</v>
          </cell>
          <cell r="B192" t="str">
            <v>RPRO-251217-0330</v>
          </cell>
          <cell r="C192" t="str">
            <v>25/12</v>
          </cell>
          <cell r="D192" t="str">
            <v>MPS 16.12</v>
          </cell>
          <cell r="E192" t="str">
            <v>BDB-000016</v>
          </cell>
          <cell r="F192" t="str">
            <v>PVN-000338</v>
          </cell>
          <cell r="G192" t="str">
            <v>OrthoLite Regular GREEN/16-5932TPX 0.13D 35+/-4 Asker C 1.1M 2M 4mm</v>
          </cell>
          <cell r="H192">
            <v>35</v>
          </cell>
          <cell r="I192">
            <v>1</v>
          </cell>
          <cell r="J192">
            <v>1</v>
          </cell>
          <cell r="K192"/>
          <cell r="L192" t="str">
            <v>MPS</v>
          </cell>
          <cell r="M192" t="str">
            <v>SPLITTING</v>
          </cell>
          <cell r="N192">
            <v>7</v>
          </cell>
          <cell r="O192"/>
          <cell r="P192" t="str">
            <v>ok</v>
          </cell>
          <cell r="Q192">
            <v>46025</v>
          </cell>
          <cell r="R192">
            <v>46028</v>
          </cell>
          <cell r="S192">
            <v>46029</v>
          </cell>
          <cell r="T192" t="str">
            <v>l2</v>
          </cell>
          <cell r="U192">
            <v>7</v>
          </cell>
          <cell r="V192">
            <v>0</v>
          </cell>
          <cell r="W192" t="e">
            <v>#VALUE!</v>
          </cell>
          <cell r="X192" t="e">
            <v>#VALUE!</v>
          </cell>
          <cell r="Y192" t="e">
            <v>#VALUE!</v>
          </cell>
          <cell r="Z192" t="b">
            <v>0</v>
          </cell>
          <cell r="AA192" t="e">
            <v>#REF!</v>
          </cell>
          <cell r="AB192">
            <v>0</v>
          </cell>
          <cell r="AC192">
            <v>0</v>
          </cell>
          <cell r="AD192" t="e">
            <v>#REF!</v>
          </cell>
          <cell r="AE192" t="e">
            <v>#REF!</v>
          </cell>
          <cell r="AF192">
            <v>1</v>
          </cell>
          <cell r="AG192" t="b">
            <v>1</v>
          </cell>
          <cell r="AH192" t="e">
            <v>#N/A</v>
          </cell>
          <cell r="AI192"/>
        </row>
        <row r="193">
          <cell r="A193" t="str">
            <v>F-2025-12-327</v>
          </cell>
          <cell r="B193" t="str">
            <v>RPRO-251217-0333</v>
          </cell>
          <cell r="C193" t="str">
            <v>25/12</v>
          </cell>
          <cell r="D193" t="str">
            <v>MPS 16.12</v>
          </cell>
          <cell r="E193" t="str">
            <v>BDB-000016</v>
          </cell>
          <cell r="F193" t="str">
            <v>PVN-001814</v>
          </cell>
          <cell r="G193" t="str">
            <v>OrthoLite Regular GREEN/16-5932TPX Flat Sheet 0.13D 35+/-4 Asker C 1.1M 2M 3.5mm</v>
          </cell>
          <cell r="H193">
            <v>200</v>
          </cell>
          <cell r="I193">
            <v>5</v>
          </cell>
          <cell r="J193">
            <v>5</v>
          </cell>
          <cell r="K193"/>
          <cell r="L193" t="str">
            <v>MPS</v>
          </cell>
          <cell r="M193" t="str">
            <v>SPLITTING</v>
          </cell>
          <cell r="N193"/>
          <cell r="O193"/>
          <cell r="P193" t="str">
            <v>ok</v>
          </cell>
          <cell r="Q193">
            <v>46025</v>
          </cell>
          <cell r="R193">
            <v>46028</v>
          </cell>
          <cell r="S193">
            <v>46029</v>
          </cell>
          <cell r="T193" t="str">
            <v>l2</v>
          </cell>
          <cell r="U193"/>
          <cell r="V193">
            <v>0</v>
          </cell>
          <cell r="W193" t="e">
            <v>#VALUE!</v>
          </cell>
          <cell r="X193" t="e">
            <v>#VALUE!</v>
          </cell>
          <cell r="Y193" t="e">
            <v>#VALUE!</v>
          </cell>
          <cell r="Z193" t="b">
            <v>0</v>
          </cell>
          <cell r="AA193" t="e">
            <v>#REF!</v>
          </cell>
          <cell r="AB193">
            <v>0</v>
          </cell>
          <cell r="AC193">
            <v>0</v>
          </cell>
          <cell r="AD193" t="e">
            <v>#REF!</v>
          </cell>
          <cell r="AE193" t="e">
            <v>#REF!</v>
          </cell>
          <cell r="AF193">
            <v>5</v>
          </cell>
          <cell r="AG193" t="b">
            <v>1</v>
          </cell>
          <cell r="AH193" t="e">
            <v>#N/A</v>
          </cell>
          <cell r="AI193"/>
        </row>
        <row r="194">
          <cell r="A194" t="str">
            <v>F-2025-12-450</v>
          </cell>
          <cell r="B194" t="str">
            <v>RPRO-251224-0974</v>
          </cell>
          <cell r="C194" t="str">
            <v>25/12</v>
          </cell>
          <cell r="D194" t="str">
            <v>MPS 23.12</v>
          </cell>
          <cell r="E194" t="str">
            <v>BDB-000016</v>
          </cell>
          <cell r="F194" t="str">
            <v>PVN-000338</v>
          </cell>
          <cell r="G194" t="str">
            <v>OrthoLite Regular GREEN/16-5932TPX 0.13D 35+/-4 Asker C 1.1M 2M 4mm</v>
          </cell>
          <cell r="H194">
            <v>35</v>
          </cell>
          <cell r="I194">
            <v>1</v>
          </cell>
          <cell r="J194">
            <v>1</v>
          </cell>
          <cell r="K194"/>
          <cell r="L194" t="str">
            <v>MPS</v>
          </cell>
          <cell r="M194" t="str">
            <v>SPLITTING</v>
          </cell>
          <cell r="N194"/>
          <cell r="O194"/>
          <cell r="P194" t="str">
            <v>ok</v>
          </cell>
          <cell r="Q194">
            <v>46025</v>
          </cell>
          <cell r="R194">
            <v>46028</v>
          </cell>
          <cell r="S194">
            <v>46029</v>
          </cell>
          <cell r="T194" t="str">
            <v>l2</v>
          </cell>
          <cell r="U194"/>
          <cell r="V194">
            <v>0</v>
          </cell>
          <cell r="W194" t="e">
            <v>#VALUE!</v>
          </cell>
          <cell r="X194" t="e">
            <v>#VALUE!</v>
          </cell>
          <cell r="Y194" t="e">
            <v>#VALUE!</v>
          </cell>
          <cell r="Z194" t="b">
            <v>0</v>
          </cell>
          <cell r="AA194" t="e">
            <v>#REF!</v>
          </cell>
          <cell r="AB194">
            <v>0</v>
          </cell>
          <cell r="AC194">
            <v>0</v>
          </cell>
          <cell r="AD194" t="e">
            <v>#REF!</v>
          </cell>
          <cell r="AE194" t="e">
            <v>#REF!</v>
          </cell>
          <cell r="AF194">
            <v>1</v>
          </cell>
          <cell r="AG194" t="b">
            <v>1</v>
          </cell>
          <cell r="AH194" t="e">
            <v>#N/A</v>
          </cell>
          <cell r="AI194"/>
        </row>
        <row r="195">
          <cell r="A195"/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/>
          <cell r="Y195"/>
          <cell r="Z195" t="b">
            <v>1</v>
          </cell>
          <cell r="AA195"/>
          <cell r="AB195"/>
          <cell r="AC195"/>
          <cell r="AD195"/>
          <cell r="AE195"/>
          <cell r="AI195"/>
        </row>
        <row r="196">
          <cell r="A196" t="str">
            <v>F-2025-12-384</v>
          </cell>
          <cell r="B196" t="str">
            <v>RPRO-251222-1143</v>
          </cell>
          <cell r="C196" t="str">
            <v>25/12-26/12</v>
          </cell>
          <cell r="D196" t="str">
            <v>MPS 19.12+20.12+21.12</v>
          </cell>
          <cell r="E196" t="str">
            <v>BDB-000083</v>
          </cell>
          <cell r="F196" t="str">
            <v>PVN-000935</v>
          </cell>
          <cell r="G196" t="str">
            <v>OrthoLite Eco LT 300C(ADIDAS BLUEBIRD) Flat Sheet 0.11D 25+/-4 Asker C 1.1M 2M 4mm</v>
          </cell>
          <cell r="H196">
            <v>175</v>
          </cell>
          <cell r="I196">
            <v>5</v>
          </cell>
          <cell r="J196">
            <v>5</v>
          </cell>
          <cell r="K196"/>
          <cell r="L196" t="str">
            <v>MPS</v>
          </cell>
          <cell r="M196" t="str">
            <v>SPLITTING</v>
          </cell>
          <cell r="N196">
            <v>7</v>
          </cell>
          <cell r="O196" t="str">
            <v>ppc/pur imp-imp ht x-đã nhắc sx</v>
          </cell>
          <cell r="P196" t="str">
            <v>ok</v>
          </cell>
          <cell r="Q196">
            <v>46025</v>
          </cell>
          <cell r="R196">
            <v>46027</v>
          </cell>
          <cell r="S196">
            <v>46028</v>
          </cell>
          <cell r="T196" t="str">
            <v>l2</v>
          </cell>
          <cell r="U196">
            <v>8</v>
          </cell>
          <cell r="V196">
            <v>1</v>
          </cell>
          <cell r="W196" t="e">
            <v>#VALUE!</v>
          </cell>
          <cell r="X196" t="e">
            <v>#VALUE!</v>
          </cell>
          <cell r="Y196" t="e">
            <v>#VALUE!</v>
          </cell>
          <cell r="Z196" t="b">
            <v>0</v>
          </cell>
          <cell r="AA196" t="e">
            <v>#REF!</v>
          </cell>
          <cell r="AB196">
            <v>9</v>
          </cell>
          <cell r="AC196" t="e">
            <v>#REF!</v>
          </cell>
          <cell r="AD196" t="e">
            <v>#REF!</v>
          </cell>
          <cell r="AE196" t="e">
            <v>#REF!</v>
          </cell>
          <cell r="AF196">
            <v>5</v>
          </cell>
          <cell r="AG196" t="b">
            <v>1</v>
          </cell>
          <cell r="AH196" t="e">
            <v>#N/A</v>
          </cell>
          <cell r="AI196" t="str">
            <v>thứ 2 giao hàng</v>
          </cell>
        </row>
        <row r="197">
          <cell r="A197" t="str">
            <v>F-2025-12-359</v>
          </cell>
          <cell r="B197" t="str">
            <v>RPRO-251219-0272</v>
          </cell>
          <cell r="C197" t="str">
            <v>26/12</v>
          </cell>
          <cell r="D197" t="str">
            <v>MPS 18.12</v>
          </cell>
          <cell r="E197" t="str">
            <v>BDB-000083</v>
          </cell>
          <cell r="F197" t="str">
            <v>PVN-000935</v>
          </cell>
          <cell r="G197" t="str">
            <v>OrthoLite Eco LT 300C(ADIDAS BLUEBIRD) Flat Sheet 0.11D 25+/-4 Asker C 1.1M 2M 4mm</v>
          </cell>
          <cell r="H197">
            <v>70</v>
          </cell>
          <cell r="I197">
            <v>2</v>
          </cell>
          <cell r="J197">
            <v>2</v>
          </cell>
          <cell r="K197"/>
          <cell r="L197" t="str">
            <v>MPS</v>
          </cell>
          <cell r="M197" t="str">
            <v>SPLITTING</v>
          </cell>
          <cell r="N197"/>
          <cell r="O197" t="str">
            <v>ppc/pur imp-imp ht x-đã nhắc sx</v>
          </cell>
          <cell r="P197" t="str">
            <v>ok</v>
          </cell>
          <cell r="Q197">
            <v>46025</v>
          </cell>
          <cell r="R197">
            <v>46027</v>
          </cell>
          <cell r="S197">
            <v>46028</v>
          </cell>
          <cell r="T197" t="str">
            <v>l2</v>
          </cell>
          <cell r="U197"/>
          <cell r="V197">
            <v>0</v>
          </cell>
          <cell r="W197" t="e">
            <v>#VALUE!</v>
          </cell>
          <cell r="X197" t="e">
            <v>#VALUE!</v>
          </cell>
          <cell r="Y197" t="e">
            <v>#VALUE!</v>
          </cell>
          <cell r="Z197" t="b">
            <v>0</v>
          </cell>
          <cell r="AA197" t="e">
            <v>#REF!</v>
          </cell>
          <cell r="AB197">
            <v>9</v>
          </cell>
          <cell r="AC197" t="e">
            <v>#REF!</v>
          </cell>
          <cell r="AD197" t="e">
            <v>#REF!</v>
          </cell>
          <cell r="AE197" t="e">
            <v>#REF!</v>
          </cell>
          <cell r="AF197">
            <v>2</v>
          </cell>
          <cell r="AG197" t="b">
            <v>1</v>
          </cell>
          <cell r="AH197" t="e">
            <v>#N/A</v>
          </cell>
          <cell r="AI197" t="str">
            <v>thứ 2 giao hàng</v>
          </cell>
        </row>
        <row r="198">
          <cell r="A198"/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 t="b">
            <v>1</v>
          </cell>
          <cell r="AA198"/>
          <cell r="AB198"/>
          <cell r="AC198"/>
          <cell r="AD198"/>
          <cell r="AE198"/>
          <cell r="AI198"/>
        </row>
        <row r="199">
          <cell r="A199" t="str">
            <v>F-2025-12-340</v>
          </cell>
          <cell r="B199" t="str">
            <v>RPRO-251217-0346</v>
          </cell>
          <cell r="C199" t="str">
            <v>26/12</v>
          </cell>
          <cell r="D199" t="str">
            <v>Pro.sche.report 16.12</v>
          </cell>
          <cell r="E199" t="str">
            <v>BDB-000321</v>
          </cell>
          <cell r="F199" t="str">
            <v>PVN-004092</v>
          </cell>
          <cell r="G199" t="str">
            <v>OrthoLite Float BLUE ATOLL/16-4535TPX Flat Sheet 0.12D 21+/-4 Asker C 1.1M 2M 14.5mm</v>
          </cell>
          <cell r="H199">
            <v>216</v>
          </cell>
          <cell r="I199">
            <v>24</v>
          </cell>
          <cell r="J199">
            <v>24</v>
          </cell>
          <cell r="K199" t="str">
            <v>LOWA</v>
          </cell>
          <cell r="L199" t="str">
            <v>Pr.Sch.R</v>
          </cell>
          <cell r="M199" t="str">
            <v>MOLDED</v>
          </cell>
          <cell r="N199">
            <v>24</v>
          </cell>
          <cell r="O199"/>
          <cell r="P199" t="str">
            <v>ok</v>
          </cell>
          <cell r="Q199">
            <v>46025</v>
          </cell>
          <cell r="R199">
            <v>46028</v>
          </cell>
          <cell r="S199">
            <v>46029</v>
          </cell>
          <cell r="T199" t="str">
            <v>l2</v>
          </cell>
          <cell r="U199">
            <v>24</v>
          </cell>
          <cell r="V199">
            <v>0</v>
          </cell>
          <cell r="W199" t="e">
            <v>#VALUE!</v>
          </cell>
          <cell r="X199" t="e">
            <v>#VALUE!</v>
          </cell>
          <cell r="Y199" t="e">
            <v>#VALUE!</v>
          </cell>
          <cell r="Z199" t="b">
            <v>0</v>
          </cell>
          <cell r="AA199" t="e">
            <v>#REF!</v>
          </cell>
          <cell r="AB199">
            <v>0</v>
          </cell>
          <cell r="AC199">
            <v>0</v>
          </cell>
          <cell r="AD199" t="e">
            <v>#REF!</v>
          </cell>
          <cell r="AE199" t="e">
            <v>#REF!</v>
          </cell>
          <cell r="AF199">
            <v>24</v>
          </cell>
          <cell r="AG199" t="b">
            <v>1</v>
          </cell>
          <cell r="AH199" t="e">
            <v>#N/A</v>
          </cell>
          <cell r="AI199"/>
        </row>
        <row r="200">
          <cell r="A200"/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 t="b">
            <v>1</v>
          </cell>
          <cell r="AA200"/>
          <cell r="AB200"/>
          <cell r="AC200"/>
          <cell r="AD200"/>
          <cell r="AE200"/>
          <cell r="AI200"/>
        </row>
        <row r="201">
          <cell r="A201" t="str">
            <v>F-2025-12-348</v>
          </cell>
          <cell r="B201" t="str">
            <v>RPRO-251218-0339</v>
          </cell>
          <cell r="C201" t="str">
            <v>26/12</v>
          </cell>
          <cell r="D201" t="str">
            <v>MPS 17.12</v>
          </cell>
          <cell r="E201" t="str">
            <v>BDB-000200</v>
          </cell>
          <cell r="F201" t="str">
            <v>PVN-003425</v>
          </cell>
          <cell r="G201" t="str">
            <v>OrthoLite Ultra SEEDPEARL/12-0703TPX Flat Sheet 0.085D 78-90 Asker F 1.1M 2M 4mm</v>
          </cell>
          <cell r="H201">
            <v>595</v>
          </cell>
          <cell r="I201">
            <v>17</v>
          </cell>
          <cell r="J201">
            <v>17</v>
          </cell>
          <cell r="K201"/>
          <cell r="L201" t="str">
            <v>MPS</v>
          </cell>
          <cell r="M201" t="str">
            <v>SPLITTING</v>
          </cell>
          <cell r="N201">
            <v>23</v>
          </cell>
          <cell r="O201" t="str">
            <v>ppc/pur imp-đã nhắc sx</v>
          </cell>
          <cell r="P201" t="str">
            <v>ok</v>
          </cell>
          <cell r="Q201">
            <v>46024</v>
          </cell>
          <cell r="R201">
            <v>46027</v>
          </cell>
          <cell r="S201">
            <v>46028</v>
          </cell>
          <cell r="T201" t="str">
            <v>l2</v>
          </cell>
          <cell r="U201">
            <v>23</v>
          </cell>
          <cell r="V201">
            <v>0</v>
          </cell>
          <cell r="W201" t="e">
            <v>#VALUE!</v>
          </cell>
          <cell r="X201" t="e">
            <v>#VALUE!</v>
          </cell>
          <cell r="Y201" t="e">
            <v>#VALUE!</v>
          </cell>
          <cell r="Z201" t="b">
            <v>0</v>
          </cell>
          <cell r="AA201" t="e">
            <v>#REF!</v>
          </cell>
          <cell r="AB201">
            <v>15</v>
          </cell>
          <cell r="AC201" t="e">
            <v>#REF!</v>
          </cell>
          <cell r="AD201" t="e">
            <v>#REF!</v>
          </cell>
          <cell r="AE201" t="e">
            <v>#REF!</v>
          </cell>
          <cell r="AF201">
            <v>17</v>
          </cell>
          <cell r="AG201" t="b">
            <v>1</v>
          </cell>
          <cell r="AH201" t="e">
            <v>#N/A</v>
          </cell>
          <cell r="AI201"/>
        </row>
        <row r="202">
          <cell r="A202" t="str">
            <v>F-2025-12-347</v>
          </cell>
          <cell r="B202" t="str">
            <v>RPRO-251218-0338</v>
          </cell>
          <cell r="C202" t="str">
            <v>26/12</v>
          </cell>
          <cell r="D202" t="str">
            <v>MPS 17.12</v>
          </cell>
          <cell r="E202" t="str">
            <v>BDB-000200</v>
          </cell>
          <cell r="F202" t="str">
            <v>PVN-003418</v>
          </cell>
          <cell r="G202" t="str">
            <v>OrthoLite Ultra SEEDPEARL/12-0703TPX Flat Sheet 0.085D 78-90 Asker F 1.1M 2M 5mm</v>
          </cell>
          <cell r="H202">
            <v>168</v>
          </cell>
          <cell r="I202">
            <v>6</v>
          </cell>
          <cell r="J202">
            <v>6</v>
          </cell>
          <cell r="K202"/>
          <cell r="L202" t="str">
            <v>MPS</v>
          </cell>
          <cell r="M202" t="str">
            <v>SPLITTING</v>
          </cell>
          <cell r="N202"/>
          <cell r="O202" t="str">
            <v>ppc/pur imp-đã nhắc sx</v>
          </cell>
          <cell r="P202" t="str">
            <v>ok</v>
          </cell>
          <cell r="Q202">
            <v>46024</v>
          </cell>
          <cell r="R202">
            <v>46027</v>
          </cell>
          <cell r="S202">
            <v>46028</v>
          </cell>
          <cell r="T202" t="str">
            <v>l2</v>
          </cell>
          <cell r="U202"/>
          <cell r="V202">
            <v>0</v>
          </cell>
          <cell r="W202" t="e">
            <v>#VALUE!</v>
          </cell>
          <cell r="X202" t="e">
            <v>#VALUE!</v>
          </cell>
          <cell r="Y202" t="e">
            <v>#VALUE!</v>
          </cell>
          <cell r="Z202" t="b">
            <v>0</v>
          </cell>
          <cell r="AA202" t="e">
            <v>#REF!</v>
          </cell>
          <cell r="AB202">
            <v>15</v>
          </cell>
          <cell r="AC202" t="e">
            <v>#REF!</v>
          </cell>
          <cell r="AD202" t="e">
            <v>#REF!</v>
          </cell>
          <cell r="AE202" t="e">
            <v>#REF!</v>
          </cell>
          <cell r="AF202">
            <v>6</v>
          </cell>
          <cell r="AG202" t="b">
            <v>1</v>
          </cell>
          <cell r="AH202" t="e">
            <v>#N/A</v>
          </cell>
          <cell r="AI202"/>
        </row>
        <row r="203">
          <cell r="A203"/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 t="b">
            <v>1</v>
          </cell>
          <cell r="AA203"/>
          <cell r="AB203"/>
          <cell r="AC203"/>
          <cell r="AD203"/>
          <cell r="AE203"/>
          <cell r="AI203"/>
        </row>
        <row r="204">
          <cell r="A204" t="str">
            <v>F-2025-12-338</v>
          </cell>
          <cell r="B204" t="str">
            <v>RPRO-251217-0344</v>
          </cell>
          <cell r="C204" t="str">
            <v>26/12</v>
          </cell>
          <cell r="D204" t="str">
            <v>Pro.sche.report 16.12</v>
          </cell>
          <cell r="E204" t="str">
            <v>BDB-000339</v>
          </cell>
          <cell r="F204" t="str">
            <v>PVN-004223</v>
          </cell>
          <cell r="G204" t="str">
            <v>OrthoLite Float NEUTRAL GRAY/17-4402TPX Flat Sheet 0.12D 21+/-4 Asker C 1.1M 2M 5mm</v>
          </cell>
          <cell r="H204">
            <v>28</v>
          </cell>
          <cell r="I204">
            <v>1</v>
          </cell>
          <cell r="J204">
            <v>1</v>
          </cell>
          <cell r="K204" t="str">
            <v>PUMA</v>
          </cell>
          <cell r="L204" t="str">
            <v>Pr.Sch.R</v>
          </cell>
          <cell r="M204" t="str">
            <v>DIE CUT</v>
          </cell>
          <cell r="N204">
            <v>33</v>
          </cell>
          <cell r="O204"/>
          <cell r="P204" t="str">
            <v>ok</v>
          </cell>
          <cell r="Q204">
            <v>46025</v>
          </cell>
          <cell r="R204">
            <v>46028</v>
          </cell>
          <cell r="S204">
            <v>46029</v>
          </cell>
          <cell r="T204" t="str">
            <v>l2</v>
          </cell>
          <cell r="U204">
            <v>59</v>
          </cell>
          <cell r="V204">
            <v>26</v>
          </cell>
          <cell r="W204" t="e">
            <v>#VALUE!</v>
          </cell>
          <cell r="X204" t="e">
            <v>#VALUE!</v>
          </cell>
          <cell r="Y204" t="e">
            <v>#VALUE!</v>
          </cell>
          <cell r="Z204" t="b">
            <v>0</v>
          </cell>
          <cell r="AA204" t="e">
            <v>#REF!</v>
          </cell>
          <cell r="AB204">
            <v>16</v>
          </cell>
          <cell r="AC204" t="e">
            <v>#REF!</v>
          </cell>
          <cell r="AD204" t="e">
            <v>#REF!</v>
          </cell>
          <cell r="AE204" t="e">
            <v>#REF!</v>
          </cell>
          <cell r="AF204">
            <v>1</v>
          </cell>
          <cell r="AG204" t="b">
            <v>1</v>
          </cell>
          <cell r="AH204" t="e">
            <v>#N/A</v>
          </cell>
          <cell r="AI204"/>
        </row>
        <row r="205">
          <cell r="A205" t="str">
            <v>F-2025-12-157</v>
          </cell>
          <cell r="B205" t="str">
            <v>RPRO-251205-0435</v>
          </cell>
          <cell r="C205" t="str">
            <v>26/12</v>
          </cell>
          <cell r="D205" t="str">
            <v>Pro.sche.report 04.12</v>
          </cell>
          <cell r="E205" t="str">
            <v>BDB-000339</v>
          </cell>
          <cell r="F205" t="str">
            <v>PVN-004178</v>
          </cell>
          <cell r="G205" t="str">
            <v>OrthoLite Float NEUTRAL GRAY/17-4402TPX Flat Sheet 0.12D 21+/-4 Asker C 1.1M 2M 5.5mm</v>
          </cell>
          <cell r="H205">
            <v>775</v>
          </cell>
          <cell r="I205">
            <v>31</v>
          </cell>
          <cell r="J205">
            <v>31</v>
          </cell>
          <cell r="K205" t="str">
            <v>PUMA</v>
          </cell>
          <cell r="L205" t="str">
            <v>Pr.Sch.R</v>
          </cell>
          <cell r="M205" t="str">
            <v>MOLDED</v>
          </cell>
          <cell r="N205"/>
          <cell r="O205" t="str">
            <v>ppc/pur imp-imp ht x-đã nhắc sx</v>
          </cell>
          <cell r="P205" t="str">
            <v>ok</v>
          </cell>
          <cell r="Q205">
            <v>46027</v>
          </cell>
          <cell r="R205">
            <v>46028</v>
          </cell>
          <cell r="S205">
            <v>46029</v>
          </cell>
          <cell r="T205" t="str">
            <v>l2</v>
          </cell>
          <cell r="U205"/>
          <cell r="V205">
            <v>0</v>
          </cell>
          <cell r="W205" t="e">
            <v>#VALUE!</v>
          </cell>
          <cell r="X205" t="e">
            <v>#VALUE!</v>
          </cell>
          <cell r="Y205" t="e">
            <v>#VALUE!</v>
          </cell>
          <cell r="Z205" t="b">
            <v>0</v>
          </cell>
          <cell r="AA205" t="e">
            <v>#REF!</v>
          </cell>
          <cell r="AB205">
            <v>16</v>
          </cell>
          <cell r="AC205" t="e">
            <v>#REF!</v>
          </cell>
          <cell r="AD205" t="e">
            <v>#REF!</v>
          </cell>
          <cell r="AE205" t="e">
            <v>#REF!</v>
          </cell>
          <cell r="AF205">
            <v>31</v>
          </cell>
          <cell r="AG205" t="b">
            <v>1</v>
          </cell>
          <cell r="AH205" t="e">
            <v>#N/A</v>
          </cell>
          <cell r="AI205" t="str">
            <v>thứ 3 giao hàng</v>
          </cell>
        </row>
        <row r="206">
          <cell r="A206" t="str">
            <v>F-2025-12-206</v>
          </cell>
          <cell r="B206" t="str">
            <v>RPRO-251209-0174</v>
          </cell>
          <cell r="C206" t="str">
            <v>26/12</v>
          </cell>
          <cell r="D206" t="str">
            <v>Pro.sche.report 08.12</v>
          </cell>
          <cell r="E206" t="str">
            <v>BDB-000339</v>
          </cell>
          <cell r="F206" t="str">
            <v>PVN-004178</v>
          </cell>
          <cell r="G206" t="str">
            <v>OrthoLite Float NEUTRAL GRAY/17-4402TPX Flat Sheet 0.12D 21+/-4 Asker C 1.1M 2M 5.5mm</v>
          </cell>
          <cell r="H206">
            <v>25</v>
          </cell>
          <cell r="I206">
            <v>1</v>
          </cell>
          <cell r="J206">
            <v>1</v>
          </cell>
          <cell r="K206" t="str">
            <v>PUMA</v>
          </cell>
          <cell r="L206" t="str">
            <v>Pr.Sch.R</v>
          </cell>
          <cell r="M206" t="str">
            <v>MOLDED</v>
          </cell>
          <cell r="N206"/>
          <cell r="O206" t="str">
            <v>ppc/pur imp-imp ht x-đã nhắc sx</v>
          </cell>
          <cell r="P206" t="str">
            <v>ok</v>
          </cell>
          <cell r="Q206">
            <v>46027</v>
          </cell>
          <cell r="R206">
            <v>46028</v>
          </cell>
          <cell r="S206">
            <v>46029</v>
          </cell>
          <cell r="T206" t="str">
            <v>l2</v>
          </cell>
          <cell r="U206"/>
          <cell r="V206">
            <v>0</v>
          </cell>
          <cell r="W206" t="e">
            <v>#VALUE!</v>
          </cell>
          <cell r="X206" t="e">
            <v>#VALUE!</v>
          </cell>
          <cell r="Y206" t="e">
            <v>#VALUE!</v>
          </cell>
          <cell r="Z206" t="b">
            <v>0</v>
          </cell>
          <cell r="AA206" t="e">
            <v>#REF!</v>
          </cell>
          <cell r="AB206">
            <v>16</v>
          </cell>
          <cell r="AC206" t="e">
            <v>#REF!</v>
          </cell>
          <cell r="AD206" t="e">
            <v>#REF!</v>
          </cell>
          <cell r="AE206" t="e">
            <v>#REF!</v>
          </cell>
          <cell r="AF206">
            <v>1</v>
          </cell>
          <cell r="AG206" t="b">
            <v>1</v>
          </cell>
          <cell r="AH206" t="e">
            <v>#N/A</v>
          </cell>
          <cell r="AI206" t="str">
            <v>thứ 3 giao hàng</v>
          </cell>
        </row>
        <row r="207">
          <cell r="A207"/>
          <cell r="B207"/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/>
          <cell r="Y207"/>
          <cell r="Z207" t="b">
            <v>1</v>
          </cell>
          <cell r="AA207"/>
          <cell r="AB207"/>
          <cell r="AC207"/>
          <cell r="AD207"/>
          <cell r="AE207"/>
          <cell r="AI207"/>
        </row>
        <row r="208">
          <cell r="A208" t="str">
            <v>F-2025-12-350</v>
          </cell>
          <cell r="B208" t="str">
            <v>RPRO-251218-0341</v>
          </cell>
          <cell r="C208" t="str">
            <v>26/12</v>
          </cell>
          <cell r="D208" t="str">
            <v>Pro.sche.report 17.12</v>
          </cell>
          <cell r="E208" t="str">
            <v>BDB-000314</v>
          </cell>
          <cell r="F208" t="str">
            <v>PVN-004066</v>
          </cell>
          <cell r="G208" t="str">
            <v>OrthoLite Regular NEUTRAL GRAY/17-4402TPX Flat Sheet 0.16D 51+/-4 Asker C 1.1M 1.7M 9.5mm</v>
          </cell>
          <cell r="H208">
            <v>70</v>
          </cell>
          <cell r="I208">
            <v>6</v>
          </cell>
          <cell r="J208">
            <v>6</v>
          </cell>
          <cell r="K208" t="str">
            <v>FOOTJOY</v>
          </cell>
          <cell r="L208" t="str">
            <v>Pr.Sch.R</v>
          </cell>
          <cell r="M208" t="str">
            <v>MOLDED</v>
          </cell>
          <cell r="N208">
            <v>6</v>
          </cell>
          <cell r="O208"/>
          <cell r="P208">
            <v>6</v>
          </cell>
          <cell r="Q208">
            <v>46027</v>
          </cell>
          <cell r="R208">
            <v>46029</v>
          </cell>
          <cell r="S208">
            <v>46030</v>
          </cell>
          <cell r="T208" t="str">
            <v>l2</v>
          </cell>
          <cell r="U208"/>
          <cell r="V208">
            <v>-6</v>
          </cell>
          <cell r="W208" t="e">
            <v>#VALUE!</v>
          </cell>
          <cell r="X208" t="e">
            <v>#VALUE!</v>
          </cell>
          <cell r="Y208" t="e">
            <v>#VALUE!</v>
          </cell>
          <cell r="Z208" t="b">
            <v>0</v>
          </cell>
          <cell r="AA208" t="e">
            <v>#REF!</v>
          </cell>
          <cell r="AB208">
            <v>0</v>
          </cell>
          <cell r="AC208">
            <v>0</v>
          </cell>
          <cell r="AD208" t="e">
            <v>#REF!</v>
          </cell>
          <cell r="AE208" t="e">
            <v>#REF!</v>
          </cell>
          <cell r="AF208">
            <v>6</v>
          </cell>
          <cell r="AG208" t="b">
            <v>1</v>
          </cell>
          <cell r="AH208" t="e">
            <v>#N/A</v>
          </cell>
          <cell r="AI208"/>
        </row>
        <row r="209">
          <cell r="A209"/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 t="b">
            <v>1</v>
          </cell>
          <cell r="AA209"/>
          <cell r="AB209"/>
          <cell r="AC209"/>
          <cell r="AD209"/>
          <cell r="AE209"/>
          <cell r="AI209"/>
        </row>
        <row r="210">
          <cell r="A210" t="str">
            <v>F-2025-12-266</v>
          </cell>
          <cell r="B210" t="str">
            <v>RPRO-251215-0471</v>
          </cell>
          <cell r="C210" t="str">
            <v>26/12</v>
          </cell>
          <cell r="D210" t="str">
            <v>Pro.sche.report 12.12+13.12</v>
          </cell>
          <cell r="E210" t="str">
            <v>BDB-000218</v>
          </cell>
          <cell r="F210" t="str">
            <v>PVN-003488</v>
          </cell>
          <cell r="G210" t="str">
            <v>OrthoLite Ultra-Nike SEEDPEARL/12-0703TPX Flat Sheet 0.085D 5-10 Asker C 1.1M 2M 4mm</v>
          </cell>
          <cell r="H210">
            <v>175</v>
          </cell>
          <cell r="I210">
            <v>5</v>
          </cell>
          <cell r="J210">
            <v>5</v>
          </cell>
          <cell r="K210" t="str">
            <v>NIKE</v>
          </cell>
          <cell r="L210" t="str">
            <v>Pr.Sch.R</v>
          </cell>
          <cell r="M210" t="str">
            <v>DIE CUT</v>
          </cell>
          <cell r="N210">
            <v>5</v>
          </cell>
          <cell r="O210"/>
          <cell r="P210">
            <v>5</v>
          </cell>
          <cell r="Q210">
            <v>46027</v>
          </cell>
          <cell r="R210">
            <v>46029</v>
          </cell>
          <cell r="S210">
            <v>46030</v>
          </cell>
          <cell r="T210" t="str">
            <v>l2</v>
          </cell>
          <cell r="U210"/>
          <cell r="V210">
            <v>-5</v>
          </cell>
          <cell r="W210" t="e">
            <v>#VALUE!</v>
          </cell>
          <cell r="X210" t="e">
            <v>#VALUE!</v>
          </cell>
          <cell r="Y210" t="e">
            <v>#VALUE!</v>
          </cell>
          <cell r="Z210" t="b">
            <v>0</v>
          </cell>
          <cell r="AA210" t="e">
            <v>#REF!</v>
          </cell>
          <cell r="AB210">
            <v>34</v>
          </cell>
          <cell r="AC210" t="e">
            <v>#REF!</v>
          </cell>
          <cell r="AD210" t="e">
            <v>#REF!</v>
          </cell>
          <cell r="AE210" t="e">
            <v>#REF!</v>
          </cell>
          <cell r="AF210">
            <v>5</v>
          </cell>
          <cell r="AG210" t="b">
            <v>1</v>
          </cell>
          <cell r="AH210" t="e">
            <v>#N/A</v>
          </cell>
          <cell r="AI210"/>
        </row>
        <row r="211">
          <cell r="A211"/>
          <cell r="B211"/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/>
          <cell r="Y211"/>
          <cell r="Z211" t="b">
            <v>1</v>
          </cell>
          <cell r="AA211"/>
          <cell r="AB211"/>
          <cell r="AC211"/>
          <cell r="AD211"/>
          <cell r="AE211"/>
          <cell r="AI211"/>
        </row>
        <row r="212">
          <cell r="A212" t="str">
            <v>F-2025-12-55</v>
          </cell>
          <cell r="B212" t="str">
            <v>FPRO-251201-0033</v>
          </cell>
          <cell r="C212" t="str">
            <v>26/12</v>
          </cell>
          <cell r="D212" t="str">
            <v>Firm plan 1.12</v>
          </cell>
          <cell r="E212" t="str">
            <v>BDB-000129</v>
          </cell>
          <cell r="F212" t="str">
            <v>PVN-001550</v>
          </cell>
          <cell r="G212" t="str">
            <v>OrthoLite Regular-Nike AIR BLUE/16-4134TPX 0.11D 25+/-4 Asker C 1.1M 1.7M 2mm</v>
          </cell>
          <cell r="H212">
            <v>3000</v>
          </cell>
          <cell r="I212">
            <v>43</v>
          </cell>
          <cell r="J212">
            <v>43</v>
          </cell>
          <cell r="K212" t="str">
            <v>NIKE</v>
          </cell>
          <cell r="L212" t="str">
            <v>Forecast</v>
          </cell>
          <cell r="M212" t="str">
            <v>DIE CUT</v>
          </cell>
          <cell r="N212">
            <v>43</v>
          </cell>
          <cell r="O212"/>
          <cell r="P212" t="str">
            <v>ok</v>
          </cell>
          <cell r="Q212">
            <v>46027</v>
          </cell>
          <cell r="R212">
            <v>46029</v>
          </cell>
          <cell r="S212">
            <v>46030</v>
          </cell>
          <cell r="T212" t="str">
            <v>l2</v>
          </cell>
          <cell r="U212">
            <v>43</v>
          </cell>
          <cell r="V212">
            <v>0</v>
          </cell>
          <cell r="W212" t="e">
            <v>#VALUE!</v>
          </cell>
          <cell r="X212" t="e">
            <v>#VALUE!</v>
          </cell>
          <cell r="Y212" t="e">
            <v>#VALUE!</v>
          </cell>
          <cell r="Z212" t="b">
            <v>0</v>
          </cell>
          <cell r="AA212" t="e">
            <v>#REF!</v>
          </cell>
          <cell r="AB212">
            <v>68</v>
          </cell>
          <cell r="AC212" t="e">
            <v>#REF!</v>
          </cell>
          <cell r="AD212" t="e">
            <v>#REF!</v>
          </cell>
          <cell r="AE212" t="e">
            <v>#REF!</v>
          </cell>
          <cell r="AF212">
            <v>43</v>
          </cell>
          <cell r="AG212" t="b">
            <v>1</v>
          </cell>
          <cell r="AH212" t="e">
            <v>#N/A</v>
          </cell>
          <cell r="AI212"/>
        </row>
        <row r="213">
          <cell r="A213"/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 t="b">
            <v>1</v>
          </cell>
          <cell r="AA213"/>
          <cell r="AB213"/>
          <cell r="AC213"/>
          <cell r="AD213"/>
          <cell r="AE213"/>
          <cell r="AI213"/>
        </row>
        <row r="214">
          <cell r="A214" t="str">
            <v>F-2025-11-363-2</v>
          </cell>
          <cell r="B214" t="str">
            <v>RPRO-251124-0522</v>
          </cell>
          <cell r="C214" t="str">
            <v>26/12</v>
          </cell>
          <cell r="D214" t="str">
            <v>Pro.sche.report 18.11</v>
          </cell>
          <cell r="E214" t="str">
            <v>BDB-000165</v>
          </cell>
          <cell r="F214" t="str">
            <v>PVN-002053</v>
          </cell>
          <cell r="G214" t="str">
            <v>OrthoLite Ultra-Nike LIME GREEN/14-0452TPX Flat Sheet 0.085D 15+/-4 Asker C 1.1M 2M 5mm</v>
          </cell>
          <cell r="H214">
            <v>848</v>
          </cell>
          <cell r="I214">
            <v>31</v>
          </cell>
          <cell r="J214">
            <v>31</v>
          </cell>
          <cell r="K214" t="str">
            <v>NIKE</v>
          </cell>
          <cell r="L214" t="str">
            <v>Pr.Sch.R</v>
          </cell>
          <cell r="M214" t="str">
            <v>DIE CUT</v>
          </cell>
          <cell r="N214">
            <v>31</v>
          </cell>
          <cell r="O214"/>
          <cell r="P214">
            <v>8</v>
          </cell>
          <cell r="Q214">
            <v>46027</v>
          </cell>
          <cell r="R214">
            <v>46029</v>
          </cell>
          <cell r="S214">
            <v>46030</v>
          </cell>
          <cell r="T214" t="str">
            <v>l2</v>
          </cell>
          <cell r="U214">
            <v>23</v>
          </cell>
          <cell r="V214">
            <v>-8</v>
          </cell>
          <cell r="W214" t="e">
            <v>#VALUE!</v>
          </cell>
          <cell r="X214" t="e">
            <v>#VALUE!</v>
          </cell>
          <cell r="Y214" t="e">
            <v>#VALUE!</v>
          </cell>
          <cell r="Z214" t="b">
            <v>0</v>
          </cell>
          <cell r="AA214" t="e">
            <v>#REF!</v>
          </cell>
          <cell r="AB214">
            <v>36</v>
          </cell>
          <cell r="AC214" t="e">
            <v>#REF!</v>
          </cell>
          <cell r="AD214" t="e">
            <v>#REF!</v>
          </cell>
          <cell r="AE214" t="e">
            <v>#REF!</v>
          </cell>
          <cell r="AF214">
            <v>31</v>
          </cell>
          <cell r="AG214" t="b">
            <v>1</v>
          </cell>
          <cell r="AH214" t="e">
            <v>#N/A</v>
          </cell>
          <cell r="AI214"/>
        </row>
        <row r="215">
          <cell r="A215"/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 t="b">
            <v>1</v>
          </cell>
          <cell r="AA215"/>
          <cell r="AB215"/>
          <cell r="AC215"/>
          <cell r="AD215"/>
          <cell r="AE215"/>
          <cell r="AI215"/>
        </row>
        <row r="216">
          <cell r="A216" t="str">
            <v>F-2025-12-346</v>
          </cell>
          <cell r="B216" t="str">
            <v>RPRO-251218-0337</v>
          </cell>
          <cell r="C216" t="str">
            <v>26/12</v>
          </cell>
          <cell r="D216" t="str">
            <v>MPS 17.12</v>
          </cell>
          <cell r="E216" t="str">
            <v>BDB-000154</v>
          </cell>
          <cell r="F216" t="str">
            <v>PVN-003347</v>
          </cell>
          <cell r="G216" t="str">
            <v>OrthoLite X-40-Nike TRUE BLUE/19-4057TPX Flat Sheet 0.16D 35+/-4 Asker C 1.1M 1.7M 4mm</v>
          </cell>
          <cell r="H216">
            <v>560</v>
          </cell>
          <cell r="I216">
            <v>16</v>
          </cell>
          <cell r="J216">
            <v>16</v>
          </cell>
          <cell r="K216"/>
          <cell r="L216" t="str">
            <v>MPS</v>
          </cell>
          <cell r="M216" t="str">
            <v>SPLITTING</v>
          </cell>
          <cell r="N216">
            <v>16</v>
          </cell>
          <cell r="O216"/>
          <cell r="P216" t="str">
            <v>ok</v>
          </cell>
          <cell r="Q216">
            <v>46027</v>
          </cell>
          <cell r="R216">
            <v>46029</v>
          </cell>
          <cell r="S216">
            <v>46030</v>
          </cell>
          <cell r="T216" t="str">
            <v>l2</v>
          </cell>
          <cell r="U216">
            <v>25</v>
          </cell>
          <cell r="V216">
            <v>9</v>
          </cell>
          <cell r="W216" t="e">
            <v>#VALUE!</v>
          </cell>
          <cell r="X216" t="e">
            <v>#VALUE!</v>
          </cell>
          <cell r="Y216" t="e">
            <v>#VALUE!</v>
          </cell>
          <cell r="Z216" t="b">
            <v>0</v>
          </cell>
          <cell r="AA216" t="e">
            <v>#REF!</v>
          </cell>
          <cell r="AB216">
            <v>0</v>
          </cell>
          <cell r="AC216">
            <v>0</v>
          </cell>
          <cell r="AD216" t="e">
            <v>#REF!</v>
          </cell>
          <cell r="AE216" t="e">
            <v>#REF!</v>
          </cell>
          <cell r="AF216">
            <v>16</v>
          </cell>
          <cell r="AG216" t="b">
            <v>1</v>
          </cell>
          <cell r="AH216" t="e">
            <v>#N/A</v>
          </cell>
          <cell r="AI216"/>
        </row>
        <row r="217">
          <cell r="A217"/>
          <cell r="B217"/>
          <cell r="C217"/>
          <cell r="D217"/>
          <cell r="E217"/>
          <cell r="F217"/>
          <cell r="G217" t="str">
            <v>RELEASE ĐỢT 2</v>
          </cell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>
            <v>0</v>
          </cell>
          <cell r="W217"/>
          <cell r="X217"/>
          <cell r="Y217"/>
          <cell r="Z217" t="b">
            <v>1</v>
          </cell>
          <cell r="AA217"/>
          <cell r="AB217"/>
          <cell r="AC217"/>
          <cell r="AD217"/>
          <cell r="AE217"/>
          <cell r="AI217"/>
          <cell r="AJ217"/>
          <cell r="AK217"/>
          <cell r="AL217"/>
        </row>
        <row r="218">
          <cell r="A218"/>
          <cell r="B218"/>
          <cell r="C218"/>
          <cell r="D218"/>
          <cell r="E218"/>
          <cell r="F218"/>
          <cell r="G218"/>
          <cell r="H218">
            <v>31044</v>
          </cell>
          <cell r="I218">
            <v>946</v>
          </cell>
          <cell r="J218">
            <v>946</v>
          </cell>
          <cell r="K218"/>
          <cell r="L218"/>
          <cell r="M218"/>
          <cell r="N218">
            <v>875</v>
          </cell>
          <cell r="O218">
            <v>-12</v>
          </cell>
          <cell r="P218"/>
          <cell r="Q218"/>
          <cell r="R218"/>
          <cell r="S218"/>
          <cell r="T218"/>
          <cell r="U218"/>
          <cell r="V218">
            <v>-875</v>
          </cell>
          <cell r="W218"/>
          <cell r="X218"/>
          <cell r="Y218"/>
          <cell r="Z218" t="b">
            <v>1</v>
          </cell>
          <cell r="AA218"/>
          <cell r="AB218"/>
          <cell r="AC218"/>
          <cell r="AD218"/>
          <cell r="AE218"/>
          <cell r="AF218"/>
          <cell r="AG218"/>
          <cell r="AI218"/>
        </row>
        <row r="219">
          <cell r="A219"/>
          <cell r="B219"/>
          <cell r="C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/>
          <cell r="Y219"/>
          <cell r="Z219"/>
          <cell r="AA219"/>
          <cell r="AD219"/>
          <cell r="AI219"/>
        </row>
        <row r="220">
          <cell r="A220"/>
          <cell r="B220"/>
          <cell r="C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/>
          <cell r="Y220"/>
          <cell r="Z220"/>
          <cell r="AA220"/>
          <cell r="AD220"/>
          <cell r="AI220"/>
        </row>
        <row r="221">
          <cell r="A221"/>
          <cell r="B221"/>
          <cell r="C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/>
          <cell r="Y221"/>
          <cell r="Z221"/>
          <cell r="AA221"/>
          <cell r="AD221"/>
          <cell r="AI221"/>
        </row>
        <row r="222">
          <cell r="A222"/>
          <cell r="B222"/>
          <cell r="C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/>
          <cell r="Y222"/>
          <cell r="Z222"/>
          <cell r="AA222"/>
          <cell r="AD222"/>
          <cell r="AI222"/>
        </row>
        <row r="223">
          <cell r="A223"/>
          <cell r="B223"/>
          <cell r="C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D223"/>
          <cell r="AI223"/>
        </row>
        <row r="224">
          <cell r="A224"/>
          <cell r="B224"/>
          <cell r="C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/>
          <cell r="Y224"/>
          <cell r="Z224"/>
          <cell r="AA224"/>
          <cell r="AD224"/>
          <cell r="AI224"/>
        </row>
        <row r="225">
          <cell r="A225"/>
          <cell r="B225"/>
          <cell r="C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/>
          <cell r="Y225"/>
          <cell r="Z225"/>
          <cell r="AA225"/>
          <cell r="AD225"/>
          <cell r="AI225"/>
        </row>
        <row r="226">
          <cell r="A226"/>
          <cell r="B226"/>
          <cell r="C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/>
          <cell r="Y226"/>
          <cell r="Z226"/>
          <cell r="AA226"/>
          <cell r="AD226"/>
          <cell r="AI226"/>
        </row>
        <row r="227">
          <cell r="A227"/>
          <cell r="B227"/>
          <cell r="C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/>
          <cell r="Y227"/>
          <cell r="Z227"/>
          <cell r="AA227"/>
          <cell r="AD227"/>
          <cell r="AI227"/>
        </row>
        <row r="228">
          <cell r="A228"/>
          <cell r="B228"/>
          <cell r="C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/>
          <cell r="Y228"/>
          <cell r="Z228"/>
          <cell r="AA228"/>
          <cell r="AD228"/>
          <cell r="AI228"/>
        </row>
        <row r="229">
          <cell r="A229"/>
          <cell r="B229"/>
          <cell r="C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/>
          <cell r="Y229"/>
          <cell r="Z229"/>
          <cell r="AA229"/>
          <cell r="AD229"/>
          <cell r="AI229"/>
        </row>
        <row r="230">
          <cell r="A230"/>
          <cell r="B230"/>
          <cell r="C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/>
          <cell r="Y230"/>
          <cell r="Z230"/>
          <cell r="AA230"/>
          <cell r="AD230"/>
          <cell r="AI230"/>
        </row>
        <row r="231">
          <cell r="A231"/>
          <cell r="B231"/>
          <cell r="C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/>
          <cell r="Y231"/>
          <cell r="Z231"/>
          <cell r="AA231"/>
          <cell r="AD231"/>
          <cell r="AI231"/>
        </row>
        <row r="232">
          <cell r="A232"/>
          <cell r="B232"/>
          <cell r="C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/>
          <cell r="Y232"/>
          <cell r="Z232"/>
          <cell r="AA232"/>
          <cell r="AD232"/>
          <cell r="AI232"/>
        </row>
        <row r="233">
          <cell r="A233"/>
          <cell r="B233"/>
          <cell r="C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D233"/>
          <cell r="AI233"/>
        </row>
        <row r="234">
          <cell r="A234"/>
          <cell r="B234"/>
          <cell r="C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D234"/>
          <cell r="AI234"/>
        </row>
        <row r="235">
          <cell r="A235"/>
          <cell r="B235"/>
          <cell r="C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/>
          <cell r="Y235"/>
          <cell r="Z235"/>
          <cell r="AA235"/>
          <cell r="AD235"/>
          <cell r="AI235"/>
        </row>
        <row r="236">
          <cell r="A236"/>
          <cell r="B236"/>
          <cell r="C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/>
          <cell r="Y236"/>
          <cell r="Z236"/>
          <cell r="AA236"/>
          <cell r="AD236"/>
          <cell r="AI236"/>
        </row>
        <row r="237">
          <cell r="A237"/>
          <cell r="B237"/>
          <cell r="C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/>
          <cell r="Y237"/>
          <cell r="Z237"/>
          <cell r="AA237"/>
          <cell r="AD237"/>
          <cell r="AI237"/>
        </row>
        <row r="238">
          <cell r="A238"/>
          <cell r="B238"/>
          <cell r="C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/>
          <cell r="Y238"/>
          <cell r="Z238"/>
          <cell r="AA238"/>
          <cell r="AD238"/>
          <cell r="AI238"/>
        </row>
        <row r="239">
          <cell r="A239"/>
          <cell r="B239"/>
          <cell r="C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D239"/>
          <cell r="AI239"/>
        </row>
        <row r="240">
          <cell r="A240"/>
          <cell r="B240"/>
          <cell r="C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D240"/>
          <cell r="AI240"/>
        </row>
        <row r="241">
          <cell r="A241"/>
          <cell r="B241"/>
          <cell r="C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D241"/>
          <cell r="AI241"/>
        </row>
        <row r="242">
          <cell r="A242"/>
          <cell r="B242"/>
          <cell r="C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D242"/>
          <cell r="AI242"/>
        </row>
        <row r="243">
          <cell r="A243"/>
          <cell r="B243"/>
          <cell r="C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D243"/>
          <cell r="AI243"/>
        </row>
        <row r="244">
          <cell r="A244"/>
          <cell r="B244"/>
          <cell r="C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D244"/>
          <cell r="AI244"/>
        </row>
        <row r="337">
          <cell r="A337"/>
          <cell r="B337"/>
          <cell r="C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D337"/>
          <cell r="AI337"/>
        </row>
        <row r="344">
          <cell r="A344"/>
          <cell r="B344"/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I344"/>
        </row>
        <row r="345">
          <cell r="A345"/>
          <cell r="B345"/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I345"/>
        </row>
        <row r="346">
          <cell r="A346"/>
          <cell r="B346"/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I346"/>
        </row>
        <row r="347">
          <cell r="A347"/>
          <cell r="B347"/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I347"/>
        </row>
        <row r="348">
          <cell r="A348"/>
          <cell r="B348"/>
          <cell r="C348"/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I348"/>
        </row>
        <row r="349">
          <cell r="A349"/>
          <cell r="B349"/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I349"/>
        </row>
        <row r="350">
          <cell r="A350"/>
          <cell r="B350"/>
          <cell r="C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I350"/>
        </row>
        <row r="351">
          <cell r="A351"/>
          <cell r="B351"/>
          <cell r="C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I351"/>
        </row>
        <row r="352">
          <cell r="A352"/>
          <cell r="B352"/>
          <cell r="C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I352"/>
        </row>
        <row r="353">
          <cell r="A353"/>
          <cell r="B353"/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I353"/>
        </row>
        <row r="354">
          <cell r="A354"/>
          <cell r="B354"/>
          <cell r="C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I354"/>
        </row>
        <row r="355">
          <cell r="N355"/>
        </row>
        <row r="356">
          <cell r="A356"/>
          <cell r="B356"/>
          <cell r="C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I356"/>
        </row>
        <row r="357">
          <cell r="A357"/>
          <cell r="B357"/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Q357"/>
          <cell r="R357"/>
          <cell r="S357"/>
          <cell r="T357"/>
          <cell r="U357"/>
          <cell r="V357"/>
          <cell r="W357"/>
          <cell r="X357"/>
          <cell r="Y357"/>
          <cell r="Z357"/>
          <cell r="AA357"/>
          <cell r="AB357"/>
          <cell r="AC357"/>
          <cell r="AD357"/>
          <cell r="AE357"/>
          <cell r="AI357"/>
        </row>
        <row r="358">
          <cell r="A358"/>
          <cell r="B358"/>
          <cell r="C358"/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Q358"/>
          <cell r="R358"/>
          <cell r="S358"/>
          <cell r="T358"/>
          <cell r="U358"/>
          <cell r="V358"/>
          <cell r="W358"/>
          <cell r="X358"/>
          <cell r="Y358"/>
          <cell r="Z358"/>
          <cell r="AA358"/>
          <cell r="AB358"/>
          <cell r="AC358"/>
          <cell r="AD358"/>
          <cell r="AE358"/>
          <cell r="AI358"/>
        </row>
        <row r="359">
          <cell r="A359"/>
          <cell r="B359"/>
          <cell r="C359"/>
          <cell r="D359"/>
          <cell r="E359"/>
          <cell r="F359"/>
          <cell r="G359"/>
          <cell r="H359"/>
          <cell r="I359"/>
          <cell r="J359"/>
          <cell r="K359"/>
          <cell r="L359"/>
          <cell r="M359"/>
          <cell r="N359"/>
          <cell r="Q359"/>
          <cell r="R359"/>
          <cell r="S359"/>
          <cell r="T359"/>
          <cell r="U359"/>
          <cell r="V359"/>
          <cell r="W359"/>
          <cell r="X359"/>
          <cell r="Y359"/>
          <cell r="Z359"/>
          <cell r="AA359"/>
          <cell r="AB359"/>
          <cell r="AC359"/>
          <cell r="AD359"/>
          <cell r="AE359"/>
          <cell r="AI359"/>
        </row>
        <row r="360">
          <cell r="A360"/>
          <cell r="B360"/>
          <cell r="C360"/>
          <cell r="D360"/>
          <cell r="E360"/>
          <cell r="F360"/>
          <cell r="G360"/>
          <cell r="H360"/>
          <cell r="I360"/>
          <cell r="J360"/>
          <cell r="K360"/>
          <cell r="L360"/>
          <cell r="M360"/>
          <cell r="N360"/>
          <cell r="Q360"/>
          <cell r="R360"/>
          <cell r="S360"/>
          <cell r="T360"/>
          <cell r="U360"/>
          <cell r="V360"/>
          <cell r="W360"/>
          <cell r="X360"/>
          <cell r="Y360"/>
          <cell r="Z360"/>
          <cell r="AA360"/>
          <cell r="AB360"/>
          <cell r="AC360"/>
          <cell r="AD360"/>
          <cell r="AE360"/>
          <cell r="AI360"/>
        </row>
        <row r="361">
          <cell r="A361"/>
          <cell r="B361"/>
          <cell r="C361"/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Q361"/>
          <cell r="R361"/>
          <cell r="S361"/>
          <cell r="T361"/>
          <cell r="U361"/>
          <cell r="V361"/>
          <cell r="W361"/>
          <cell r="X361"/>
          <cell r="Y361"/>
          <cell r="Z361"/>
          <cell r="AA361"/>
          <cell r="AB361"/>
          <cell r="AC361"/>
          <cell r="AD361"/>
          <cell r="AE361"/>
          <cell r="AI361"/>
        </row>
        <row r="362">
          <cell r="A362"/>
          <cell r="B362"/>
          <cell r="C362"/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Q362"/>
          <cell r="R362"/>
          <cell r="S362"/>
          <cell r="T362"/>
          <cell r="U362"/>
          <cell r="V362"/>
          <cell r="W362"/>
          <cell r="X362"/>
          <cell r="Y362"/>
          <cell r="Z362"/>
          <cell r="AA362"/>
          <cell r="AB362"/>
          <cell r="AC362"/>
          <cell r="AD362"/>
          <cell r="AE362"/>
          <cell r="AI362"/>
        </row>
        <row r="363">
          <cell r="A363"/>
          <cell r="B363"/>
          <cell r="C363"/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Q363"/>
          <cell r="R363"/>
          <cell r="S363"/>
          <cell r="T363"/>
          <cell r="U363"/>
          <cell r="V363"/>
          <cell r="W363"/>
          <cell r="X363"/>
          <cell r="Y363"/>
          <cell r="Z363"/>
          <cell r="AA363"/>
          <cell r="AB363"/>
          <cell r="AC363"/>
          <cell r="AD363"/>
          <cell r="AE363"/>
          <cell r="AI363"/>
        </row>
        <row r="364">
          <cell r="A364"/>
          <cell r="B364"/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/>
          <cell r="N364"/>
          <cell r="Q364"/>
          <cell r="R364"/>
          <cell r="S364"/>
          <cell r="T364"/>
          <cell r="U364"/>
          <cell r="V364"/>
          <cell r="W364"/>
          <cell r="X364"/>
          <cell r="Y364"/>
          <cell r="Z364"/>
          <cell r="AA364"/>
          <cell r="AB364"/>
          <cell r="AC364"/>
          <cell r="AD364"/>
          <cell r="AE364"/>
          <cell r="AI364"/>
        </row>
        <row r="365">
          <cell r="A365"/>
          <cell r="B365"/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/>
          <cell r="N365"/>
          <cell r="Q365"/>
          <cell r="R365"/>
          <cell r="S365"/>
          <cell r="T365"/>
          <cell r="U365"/>
          <cell r="V365"/>
          <cell r="W365"/>
          <cell r="X365"/>
          <cell r="Y365"/>
          <cell r="Z365"/>
          <cell r="AA365"/>
          <cell r="AB365"/>
          <cell r="AC365"/>
          <cell r="AD365"/>
          <cell r="AE365"/>
          <cell r="AI365"/>
        </row>
        <row r="366">
          <cell r="A366"/>
          <cell r="B366"/>
          <cell r="C366"/>
          <cell r="D366"/>
          <cell r="E366"/>
          <cell r="F366"/>
          <cell r="G366"/>
          <cell r="H366"/>
          <cell r="I366"/>
          <cell r="J366"/>
          <cell r="K366"/>
          <cell r="L366"/>
          <cell r="M366"/>
          <cell r="N366"/>
          <cell r="Q366"/>
          <cell r="R366"/>
          <cell r="S366"/>
          <cell r="T366"/>
          <cell r="U366"/>
          <cell r="V366"/>
          <cell r="W366"/>
          <cell r="X366"/>
          <cell r="Y366"/>
          <cell r="Z366"/>
          <cell r="AA366"/>
          <cell r="AB366"/>
          <cell r="AC366"/>
          <cell r="AD366"/>
          <cell r="AE366"/>
          <cell r="AI366"/>
        </row>
        <row r="367">
          <cell r="A367"/>
          <cell r="B367"/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Q367"/>
          <cell r="R367"/>
          <cell r="S367"/>
          <cell r="T367"/>
          <cell r="U367"/>
          <cell r="V367"/>
          <cell r="W367"/>
          <cell r="X367"/>
          <cell r="Y367"/>
          <cell r="Z367"/>
          <cell r="AA367"/>
          <cell r="AB367"/>
          <cell r="AC367"/>
          <cell r="AD367"/>
          <cell r="AE367"/>
          <cell r="AI367"/>
        </row>
        <row r="368">
          <cell r="A368"/>
          <cell r="B368"/>
          <cell r="C368"/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Q368"/>
          <cell r="R368"/>
          <cell r="S368"/>
          <cell r="T368"/>
          <cell r="U368"/>
          <cell r="V368"/>
          <cell r="W368"/>
          <cell r="X368"/>
          <cell r="Y368"/>
          <cell r="Z368"/>
          <cell r="AA368"/>
          <cell r="AB368"/>
          <cell r="AC368"/>
          <cell r="AD368"/>
          <cell r="AE368"/>
          <cell r="AI368"/>
        </row>
        <row r="369">
          <cell r="A369"/>
          <cell r="B369"/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Q369"/>
          <cell r="R369"/>
          <cell r="S369"/>
          <cell r="T369"/>
          <cell r="U369"/>
          <cell r="V369"/>
          <cell r="W369"/>
          <cell r="X369"/>
          <cell r="Y369"/>
          <cell r="Z369"/>
          <cell r="AA369"/>
          <cell r="AB369"/>
          <cell r="AC369"/>
          <cell r="AD369"/>
          <cell r="AE369"/>
          <cell r="AI369"/>
        </row>
        <row r="370">
          <cell r="A370"/>
          <cell r="B370"/>
          <cell r="C370"/>
          <cell r="D370"/>
          <cell r="E370"/>
          <cell r="F370"/>
          <cell r="G370"/>
          <cell r="H370"/>
          <cell r="I370"/>
          <cell r="J370"/>
          <cell r="K370"/>
          <cell r="L370"/>
          <cell r="M370"/>
          <cell r="N370"/>
          <cell r="Q370"/>
          <cell r="R370"/>
          <cell r="S370"/>
          <cell r="T370"/>
          <cell r="U370"/>
          <cell r="V370"/>
          <cell r="W370"/>
          <cell r="X370"/>
          <cell r="Y370"/>
          <cell r="Z370"/>
          <cell r="AA370"/>
          <cell r="AB370"/>
          <cell r="AC370"/>
          <cell r="AD370"/>
          <cell r="AE370"/>
          <cell r="AI370"/>
        </row>
        <row r="371">
          <cell r="A371"/>
          <cell r="B371"/>
          <cell r="C371"/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Q371"/>
          <cell r="R371"/>
          <cell r="S371"/>
          <cell r="T371"/>
          <cell r="U371"/>
          <cell r="V371"/>
          <cell r="W371"/>
          <cell r="X371"/>
          <cell r="Y371"/>
          <cell r="Z371"/>
          <cell r="AA371"/>
          <cell r="AB371"/>
          <cell r="AC371"/>
          <cell r="AD371"/>
          <cell r="AE371"/>
          <cell r="AI371"/>
        </row>
        <row r="372">
          <cell r="A372"/>
          <cell r="B372"/>
          <cell r="C372"/>
          <cell r="D372"/>
          <cell r="E372"/>
          <cell r="F372"/>
          <cell r="G372"/>
          <cell r="H372"/>
          <cell r="I372"/>
          <cell r="J372"/>
          <cell r="K372"/>
          <cell r="L372"/>
          <cell r="M372"/>
          <cell r="N372"/>
          <cell r="Q372"/>
          <cell r="R372"/>
          <cell r="S372"/>
          <cell r="T372"/>
          <cell r="U372"/>
          <cell r="V372"/>
          <cell r="W372"/>
          <cell r="X372"/>
          <cell r="Y372"/>
          <cell r="Z372"/>
          <cell r="AA372"/>
          <cell r="AB372"/>
          <cell r="AC372"/>
          <cell r="AD372"/>
          <cell r="AE372"/>
          <cell r="AI372"/>
        </row>
        <row r="373">
          <cell r="A373"/>
          <cell r="B373"/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Q373"/>
          <cell r="R373"/>
          <cell r="S373"/>
          <cell r="T373"/>
          <cell r="U373"/>
          <cell r="V373"/>
          <cell r="W373"/>
          <cell r="X373"/>
          <cell r="Y373"/>
          <cell r="Z373"/>
          <cell r="AA373"/>
          <cell r="AB373"/>
          <cell r="AC373"/>
          <cell r="AD373"/>
          <cell r="AE373"/>
          <cell r="AI373"/>
        </row>
        <row r="374">
          <cell r="A374"/>
          <cell r="B374"/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/>
          <cell r="N374"/>
          <cell r="Q374"/>
          <cell r="R374"/>
          <cell r="S374"/>
          <cell r="T374"/>
          <cell r="U374"/>
          <cell r="V374"/>
          <cell r="W374"/>
          <cell r="X374"/>
          <cell r="Y374"/>
          <cell r="Z374"/>
          <cell r="AA374"/>
          <cell r="AB374"/>
          <cell r="AC374"/>
          <cell r="AD374"/>
          <cell r="AE374"/>
          <cell r="AI374"/>
        </row>
        <row r="375">
          <cell r="A375"/>
          <cell r="B375"/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Q375"/>
          <cell r="R375"/>
          <cell r="S375"/>
          <cell r="T375"/>
          <cell r="U375"/>
          <cell r="V375"/>
          <cell r="W375"/>
          <cell r="X375"/>
          <cell r="Y375"/>
          <cell r="Z375"/>
          <cell r="AA375"/>
          <cell r="AB375"/>
          <cell r="AC375"/>
          <cell r="AD375"/>
          <cell r="AE375"/>
          <cell r="AI375"/>
        </row>
        <row r="376">
          <cell r="A376"/>
          <cell r="B376"/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/>
          <cell r="N376"/>
          <cell r="Q376"/>
          <cell r="R376"/>
          <cell r="S376"/>
          <cell r="T376"/>
          <cell r="U376"/>
          <cell r="V376"/>
          <cell r="W376"/>
          <cell r="X376"/>
          <cell r="Y376"/>
          <cell r="Z376"/>
          <cell r="AA376"/>
          <cell r="AB376"/>
          <cell r="AC376"/>
          <cell r="AD376"/>
          <cell r="AE376"/>
          <cell r="AI376"/>
        </row>
        <row r="377">
          <cell r="A377"/>
          <cell r="B377"/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/>
          <cell r="N377"/>
          <cell r="Q377"/>
          <cell r="R377"/>
          <cell r="S377"/>
          <cell r="T377"/>
          <cell r="U377"/>
          <cell r="V377"/>
          <cell r="W377"/>
          <cell r="X377"/>
          <cell r="Y377"/>
          <cell r="Z377"/>
          <cell r="AA377"/>
          <cell r="AB377"/>
          <cell r="AC377"/>
          <cell r="AD377"/>
          <cell r="AE377"/>
          <cell r="AI377"/>
        </row>
        <row r="378">
          <cell r="A378"/>
          <cell r="B378"/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Q378"/>
          <cell r="R378"/>
          <cell r="S378"/>
          <cell r="T378"/>
          <cell r="U378"/>
          <cell r="V378"/>
          <cell r="W378"/>
          <cell r="X378"/>
          <cell r="Y378"/>
          <cell r="Z378"/>
          <cell r="AA378"/>
          <cell r="AB378"/>
          <cell r="AC378"/>
          <cell r="AD378"/>
          <cell r="AE378"/>
          <cell r="AI378"/>
        </row>
        <row r="379">
          <cell r="A379"/>
          <cell r="B379"/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/>
          <cell r="N379"/>
          <cell r="Q379"/>
          <cell r="R379"/>
          <cell r="S379"/>
          <cell r="T379"/>
          <cell r="U379"/>
          <cell r="V379"/>
          <cell r="W379"/>
          <cell r="X379"/>
          <cell r="Y379"/>
          <cell r="Z379"/>
          <cell r="AA379"/>
          <cell r="AB379"/>
          <cell r="AC379"/>
          <cell r="AD379"/>
          <cell r="AE379"/>
          <cell r="AI379"/>
        </row>
        <row r="380">
          <cell r="A380"/>
          <cell r="B380"/>
          <cell r="C380"/>
          <cell r="D380"/>
          <cell r="E380"/>
          <cell r="F380"/>
          <cell r="G380"/>
          <cell r="H380"/>
          <cell r="I380"/>
          <cell r="J380"/>
          <cell r="K380"/>
          <cell r="L380"/>
          <cell r="M380"/>
          <cell r="N380"/>
          <cell r="Q380"/>
          <cell r="R380"/>
          <cell r="S380"/>
          <cell r="T380"/>
          <cell r="U380"/>
          <cell r="V380"/>
          <cell r="W380"/>
          <cell r="X380"/>
          <cell r="Y380"/>
          <cell r="Z380"/>
          <cell r="AA380"/>
          <cell r="AB380"/>
          <cell r="AC380"/>
          <cell r="AD380"/>
          <cell r="AE380"/>
          <cell r="AI380"/>
        </row>
        <row r="381">
          <cell r="A381"/>
          <cell r="B381"/>
          <cell r="C381"/>
          <cell r="D381"/>
          <cell r="E381"/>
          <cell r="F381"/>
          <cell r="G381"/>
          <cell r="H381"/>
          <cell r="I381"/>
          <cell r="J381"/>
          <cell r="K381"/>
          <cell r="L381"/>
          <cell r="M381"/>
          <cell r="N381"/>
          <cell r="Q381"/>
          <cell r="R381"/>
          <cell r="S381"/>
          <cell r="T381"/>
          <cell r="U381"/>
          <cell r="V381"/>
          <cell r="W381"/>
          <cell r="X381"/>
          <cell r="Y381"/>
          <cell r="Z381"/>
          <cell r="AA381"/>
          <cell r="AB381"/>
          <cell r="AC381"/>
          <cell r="AD381"/>
          <cell r="AE381"/>
          <cell r="AI381"/>
        </row>
        <row r="382">
          <cell r="A382"/>
          <cell r="B382"/>
          <cell r="C382"/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Q382"/>
          <cell r="R382"/>
          <cell r="S382"/>
          <cell r="T382"/>
          <cell r="U382"/>
          <cell r="V382"/>
          <cell r="W382"/>
          <cell r="X382"/>
          <cell r="Y382"/>
          <cell r="Z382"/>
          <cell r="AA382"/>
          <cell r="AB382"/>
          <cell r="AC382"/>
          <cell r="AD382"/>
          <cell r="AE382"/>
          <cell r="AI382"/>
        </row>
        <row r="383">
          <cell r="A383"/>
          <cell r="B383"/>
          <cell r="C383"/>
          <cell r="D383"/>
          <cell r="E383"/>
          <cell r="F383"/>
          <cell r="G383"/>
          <cell r="H383"/>
          <cell r="I383"/>
          <cell r="J383"/>
          <cell r="K383"/>
          <cell r="L383"/>
          <cell r="M383"/>
          <cell r="N383"/>
          <cell r="Q383"/>
          <cell r="R383"/>
          <cell r="S383"/>
          <cell r="T383"/>
          <cell r="U383"/>
          <cell r="V383"/>
          <cell r="W383"/>
          <cell r="X383"/>
          <cell r="Y383"/>
          <cell r="Z383"/>
          <cell r="AA383"/>
          <cell r="AB383"/>
          <cell r="AC383"/>
          <cell r="AD383"/>
          <cell r="AE383"/>
          <cell r="AI383"/>
        </row>
        <row r="384">
          <cell r="A384"/>
          <cell r="B384"/>
          <cell r="C384"/>
          <cell r="D384"/>
          <cell r="E384"/>
          <cell r="F384"/>
          <cell r="G384"/>
          <cell r="H384"/>
          <cell r="I384"/>
          <cell r="J384"/>
          <cell r="K384"/>
          <cell r="L384"/>
          <cell r="M384"/>
          <cell r="N384"/>
          <cell r="Q384"/>
          <cell r="R384"/>
          <cell r="S384"/>
          <cell r="T384"/>
          <cell r="U384"/>
          <cell r="V384"/>
          <cell r="W384"/>
          <cell r="X384"/>
          <cell r="Y384"/>
          <cell r="Z384"/>
          <cell r="AA384"/>
          <cell r="AB384"/>
          <cell r="AC384"/>
          <cell r="AD384"/>
          <cell r="AE384"/>
          <cell r="AI384"/>
        </row>
        <row r="385">
          <cell r="A385"/>
          <cell r="B385"/>
          <cell r="C385"/>
          <cell r="D385"/>
          <cell r="E385"/>
          <cell r="F385"/>
          <cell r="G385"/>
          <cell r="H385"/>
          <cell r="I385"/>
          <cell r="J385"/>
          <cell r="K385"/>
          <cell r="L385"/>
          <cell r="M385"/>
          <cell r="N385"/>
          <cell r="Q385"/>
          <cell r="R385"/>
          <cell r="S385"/>
          <cell r="T385"/>
          <cell r="U385"/>
          <cell r="V385"/>
          <cell r="W385"/>
          <cell r="X385"/>
          <cell r="Y385"/>
          <cell r="Z385"/>
          <cell r="AA385"/>
          <cell r="AB385"/>
          <cell r="AC385"/>
          <cell r="AD385"/>
          <cell r="AE385"/>
          <cell r="AI385"/>
        </row>
        <row r="386">
          <cell r="A386"/>
          <cell r="B386"/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/>
          <cell r="N386"/>
          <cell r="Q386"/>
          <cell r="R386"/>
          <cell r="S386"/>
          <cell r="T386"/>
          <cell r="U386"/>
          <cell r="V386"/>
          <cell r="W386"/>
          <cell r="X386"/>
          <cell r="Y386"/>
          <cell r="Z386"/>
          <cell r="AA386"/>
          <cell r="AB386"/>
          <cell r="AC386"/>
          <cell r="AD386"/>
          <cell r="AE386"/>
          <cell r="AI386"/>
        </row>
        <row r="387">
          <cell r="A387"/>
          <cell r="B387"/>
          <cell r="C387"/>
          <cell r="D387"/>
          <cell r="E387"/>
          <cell r="F387"/>
          <cell r="G387"/>
          <cell r="H387"/>
          <cell r="I387"/>
          <cell r="J387"/>
          <cell r="K387"/>
          <cell r="L387"/>
          <cell r="M387"/>
          <cell r="N387"/>
          <cell r="Q387"/>
          <cell r="R387"/>
          <cell r="S387"/>
          <cell r="T387"/>
          <cell r="U387"/>
          <cell r="V387"/>
          <cell r="W387"/>
          <cell r="X387"/>
          <cell r="Y387"/>
          <cell r="Z387"/>
          <cell r="AA387"/>
          <cell r="AB387"/>
          <cell r="AC387"/>
          <cell r="AD387"/>
          <cell r="AE387"/>
          <cell r="AI387"/>
        </row>
        <row r="388">
          <cell r="A388"/>
          <cell r="B388"/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/>
          <cell r="N388"/>
          <cell r="Q388"/>
          <cell r="R388"/>
          <cell r="S388"/>
          <cell r="T388"/>
          <cell r="U388"/>
          <cell r="V388"/>
          <cell r="W388"/>
          <cell r="X388"/>
          <cell r="Y388"/>
          <cell r="Z388"/>
          <cell r="AA388"/>
          <cell r="AB388"/>
          <cell r="AC388"/>
          <cell r="AD388"/>
          <cell r="AE388"/>
          <cell r="AI388"/>
        </row>
        <row r="389">
          <cell r="A389"/>
          <cell r="B389"/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Q389"/>
          <cell r="R389"/>
          <cell r="S389"/>
          <cell r="T389"/>
          <cell r="U389"/>
          <cell r="V389"/>
          <cell r="W389"/>
          <cell r="X389"/>
          <cell r="Y389"/>
          <cell r="Z389"/>
          <cell r="AA389"/>
          <cell r="AB389"/>
          <cell r="AC389"/>
          <cell r="AD389"/>
          <cell r="AE389"/>
          <cell r="AI389"/>
        </row>
        <row r="390">
          <cell r="A390"/>
          <cell r="B390"/>
          <cell r="C390"/>
          <cell r="D390"/>
          <cell r="E390"/>
          <cell r="F390"/>
          <cell r="G390"/>
          <cell r="H390"/>
          <cell r="I390"/>
          <cell r="J390"/>
          <cell r="K390"/>
          <cell r="L390"/>
          <cell r="M390"/>
          <cell r="N390"/>
          <cell r="Q390"/>
          <cell r="R390"/>
          <cell r="S390"/>
          <cell r="T390"/>
          <cell r="U390"/>
          <cell r="V390"/>
          <cell r="W390"/>
          <cell r="X390"/>
          <cell r="Y390"/>
          <cell r="Z390"/>
          <cell r="AA390"/>
          <cell r="AB390"/>
          <cell r="AC390"/>
          <cell r="AD390"/>
          <cell r="AE390"/>
          <cell r="AI390"/>
        </row>
        <row r="391">
          <cell r="A391"/>
          <cell r="B391"/>
          <cell r="C391"/>
          <cell r="D391"/>
          <cell r="E391"/>
          <cell r="F391"/>
          <cell r="G391"/>
          <cell r="H391"/>
          <cell r="I391"/>
          <cell r="J391"/>
          <cell r="K391"/>
          <cell r="L391"/>
          <cell r="M391"/>
          <cell r="N391"/>
          <cell r="Q391"/>
          <cell r="R391"/>
          <cell r="S391"/>
          <cell r="T391"/>
          <cell r="U391"/>
          <cell r="V391"/>
          <cell r="W391"/>
          <cell r="X391"/>
          <cell r="Y391"/>
          <cell r="Z391"/>
          <cell r="AA391"/>
          <cell r="AB391"/>
          <cell r="AC391"/>
          <cell r="AD391"/>
          <cell r="AE391"/>
          <cell r="AI391"/>
        </row>
        <row r="392">
          <cell r="A392"/>
          <cell r="B392"/>
          <cell r="C392"/>
          <cell r="D392"/>
          <cell r="E392"/>
          <cell r="F392"/>
          <cell r="G392"/>
          <cell r="H392"/>
          <cell r="I392"/>
          <cell r="J392"/>
          <cell r="K392"/>
          <cell r="L392"/>
          <cell r="M392"/>
          <cell r="N392"/>
          <cell r="Q392"/>
          <cell r="R392"/>
          <cell r="S392"/>
          <cell r="T392"/>
          <cell r="U392"/>
          <cell r="V392"/>
          <cell r="W392"/>
          <cell r="X392"/>
          <cell r="Y392"/>
          <cell r="Z392"/>
          <cell r="AA392"/>
          <cell r="AB392"/>
          <cell r="AC392"/>
          <cell r="AD392"/>
          <cell r="AE392"/>
          <cell r="AI392"/>
        </row>
        <row r="393">
          <cell r="A393"/>
          <cell r="B393"/>
          <cell r="C393"/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Q393"/>
          <cell r="R393"/>
          <cell r="S393"/>
          <cell r="T393"/>
          <cell r="U393"/>
          <cell r="V393"/>
          <cell r="W393"/>
          <cell r="X393"/>
          <cell r="Y393"/>
          <cell r="Z393"/>
          <cell r="AA393"/>
          <cell r="AB393"/>
          <cell r="AC393"/>
          <cell r="AD393"/>
          <cell r="AE393"/>
          <cell r="AI393"/>
        </row>
        <row r="394">
          <cell r="A394"/>
          <cell r="B394"/>
          <cell r="C394"/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Q394"/>
          <cell r="R394"/>
          <cell r="S394"/>
          <cell r="T394"/>
          <cell r="U394"/>
          <cell r="V394"/>
          <cell r="W394"/>
          <cell r="X394"/>
          <cell r="Y394"/>
          <cell r="Z394"/>
          <cell r="AA394"/>
          <cell r="AB394"/>
          <cell r="AC394"/>
          <cell r="AD394"/>
          <cell r="AE394"/>
          <cell r="AI394"/>
        </row>
        <row r="395">
          <cell r="A395"/>
          <cell r="B395"/>
          <cell r="C395"/>
          <cell r="D395"/>
          <cell r="E395"/>
          <cell r="F395"/>
          <cell r="G395"/>
          <cell r="H395"/>
          <cell r="I395"/>
          <cell r="J395"/>
          <cell r="K395"/>
          <cell r="L395"/>
          <cell r="M395"/>
          <cell r="N395"/>
          <cell r="Q395"/>
          <cell r="R395"/>
          <cell r="S395"/>
          <cell r="T395"/>
          <cell r="U395"/>
          <cell r="V395"/>
          <cell r="W395"/>
          <cell r="X395"/>
          <cell r="Y395"/>
          <cell r="Z395"/>
          <cell r="AA395"/>
          <cell r="AB395"/>
          <cell r="AC395"/>
          <cell r="AD395"/>
          <cell r="AE395"/>
          <cell r="AI395"/>
        </row>
        <row r="396">
          <cell r="A396"/>
          <cell r="B396"/>
          <cell r="C396"/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Q396"/>
          <cell r="R396"/>
          <cell r="S396"/>
          <cell r="T396"/>
          <cell r="U396"/>
          <cell r="V396"/>
          <cell r="W396"/>
          <cell r="X396"/>
          <cell r="Y396"/>
          <cell r="Z396"/>
          <cell r="AA396"/>
          <cell r="AB396"/>
          <cell r="AC396"/>
          <cell r="AD396"/>
          <cell r="AE396"/>
          <cell r="AI396"/>
        </row>
        <row r="397">
          <cell r="A397"/>
          <cell r="B397"/>
          <cell r="C397"/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Q397"/>
          <cell r="R397"/>
          <cell r="S397"/>
          <cell r="T397"/>
          <cell r="U397"/>
          <cell r="V397"/>
          <cell r="W397"/>
          <cell r="X397"/>
          <cell r="Y397"/>
          <cell r="Z397"/>
          <cell r="AA397"/>
          <cell r="AB397"/>
          <cell r="AC397"/>
          <cell r="AD397"/>
          <cell r="AE397"/>
          <cell r="AI397"/>
        </row>
        <row r="398">
          <cell r="A398"/>
          <cell r="B398"/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Q398"/>
          <cell r="R398"/>
          <cell r="S398"/>
          <cell r="T398"/>
          <cell r="U398"/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I398"/>
        </row>
        <row r="399">
          <cell r="A399"/>
          <cell r="B399"/>
          <cell r="C399"/>
          <cell r="D399"/>
          <cell r="E399"/>
          <cell r="F399"/>
          <cell r="G399"/>
          <cell r="H399"/>
          <cell r="I399"/>
          <cell r="J399"/>
          <cell r="K399"/>
          <cell r="L399"/>
          <cell r="M399"/>
          <cell r="N399"/>
          <cell r="Q399"/>
          <cell r="R399"/>
          <cell r="S399"/>
          <cell r="T399"/>
          <cell r="U399"/>
          <cell r="V399"/>
          <cell r="W399"/>
          <cell r="X399"/>
          <cell r="Y399"/>
          <cell r="Z399"/>
          <cell r="AA399"/>
          <cell r="AB399"/>
          <cell r="AC399"/>
          <cell r="AD399"/>
          <cell r="AE399"/>
          <cell r="AI399"/>
        </row>
        <row r="400">
          <cell r="A400"/>
          <cell r="B400"/>
          <cell r="C400"/>
          <cell r="D400"/>
          <cell r="E400"/>
          <cell r="F400"/>
          <cell r="G400"/>
          <cell r="H400"/>
          <cell r="I400"/>
          <cell r="J400"/>
          <cell r="K400"/>
          <cell r="L400"/>
          <cell r="M400"/>
          <cell r="N400"/>
          <cell r="Q400"/>
          <cell r="R400"/>
          <cell r="S400"/>
          <cell r="T400"/>
          <cell r="U400"/>
          <cell r="V400"/>
          <cell r="W400"/>
          <cell r="X400"/>
          <cell r="Y400"/>
          <cell r="Z400"/>
          <cell r="AA400"/>
          <cell r="AB400"/>
          <cell r="AC400"/>
          <cell r="AD400"/>
          <cell r="AE400"/>
          <cell r="AI400"/>
        </row>
        <row r="401">
          <cell r="A401"/>
          <cell r="B401"/>
          <cell r="C401"/>
          <cell r="D401"/>
          <cell r="E401"/>
          <cell r="F401"/>
          <cell r="G401"/>
          <cell r="H401"/>
          <cell r="I401"/>
          <cell r="J401"/>
          <cell r="K401"/>
          <cell r="L401"/>
          <cell r="M401"/>
          <cell r="N401"/>
          <cell r="Q401"/>
          <cell r="R401"/>
          <cell r="S401"/>
          <cell r="T401"/>
          <cell r="U401"/>
          <cell r="V401"/>
          <cell r="W401"/>
          <cell r="X401"/>
          <cell r="Y401"/>
          <cell r="Z401"/>
          <cell r="AA401"/>
          <cell r="AB401"/>
          <cell r="AC401"/>
          <cell r="AD401"/>
          <cell r="AE401"/>
          <cell r="AI401"/>
        </row>
        <row r="596">
          <cell r="C596"/>
          <cell r="D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/>
          <cell r="S596"/>
          <cell r="T596"/>
          <cell r="U596"/>
          <cell r="V596"/>
          <cell r="W596"/>
          <cell r="X596"/>
          <cell r="Y596"/>
          <cell r="Z596"/>
          <cell r="AA596"/>
          <cell r="AB596"/>
          <cell r="AC596"/>
          <cell r="AD596"/>
          <cell r="AE596"/>
          <cell r="AI596"/>
        </row>
        <row r="597">
          <cell r="C597"/>
          <cell r="D597"/>
          <cell r="F597"/>
          <cell r="G597"/>
          <cell r="H597"/>
          <cell r="I597"/>
          <cell r="J597"/>
          <cell r="K597"/>
          <cell r="L597"/>
          <cell r="M597"/>
          <cell r="N597"/>
          <cell r="O597"/>
          <cell r="P597"/>
          <cell r="Q597"/>
          <cell r="R597"/>
          <cell r="S597"/>
          <cell r="T597"/>
          <cell r="U597"/>
          <cell r="V597"/>
          <cell r="W597"/>
          <cell r="X597"/>
          <cell r="Y597"/>
          <cell r="Z597"/>
          <cell r="AA597"/>
          <cell r="AB597"/>
          <cell r="AC597"/>
          <cell r="AD597"/>
          <cell r="AE597"/>
          <cell r="AI597"/>
        </row>
        <row r="598">
          <cell r="C598"/>
          <cell r="D598"/>
          <cell r="F598"/>
          <cell r="G598"/>
          <cell r="H598"/>
          <cell r="I598"/>
          <cell r="J598"/>
          <cell r="K598"/>
          <cell r="L598"/>
          <cell r="M598"/>
          <cell r="N598"/>
          <cell r="O598"/>
          <cell r="P598"/>
          <cell r="Q598"/>
          <cell r="R598"/>
          <cell r="S598"/>
          <cell r="T598"/>
          <cell r="U598"/>
          <cell r="V598"/>
          <cell r="W598"/>
          <cell r="X598"/>
          <cell r="Y598"/>
          <cell r="Z598"/>
          <cell r="AA598"/>
          <cell r="AB598"/>
          <cell r="AC598"/>
          <cell r="AD598"/>
          <cell r="AE598"/>
          <cell r="AI598"/>
        </row>
        <row r="599">
          <cell r="C599"/>
          <cell r="D599"/>
          <cell r="F599"/>
          <cell r="G599"/>
          <cell r="H599"/>
          <cell r="I599"/>
          <cell r="J599"/>
          <cell r="K599"/>
          <cell r="L599"/>
          <cell r="M599"/>
          <cell r="N599"/>
          <cell r="O599"/>
          <cell r="P599"/>
          <cell r="Q599"/>
          <cell r="R599"/>
          <cell r="S599"/>
          <cell r="T599"/>
          <cell r="U599"/>
          <cell r="V599"/>
          <cell r="W599"/>
          <cell r="X599"/>
          <cell r="Y599"/>
          <cell r="Z599"/>
          <cell r="AA599"/>
          <cell r="AB599"/>
          <cell r="AC599"/>
          <cell r="AD599"/>
          <cell r="AE599"/>
          <cell r="AI599"/>
        </row>
        <row r="600">
          <cell r="C600"/>
          <cell r="D600"/>
          <cell r="F600"/>
          <cell r="G600"/>
          <cell r="H600"/>
          <cell r="I600"/>
          <cell r="J600"/>
          <cell r="K600"/>
          <cell r="L600"/>
          <cell r="M600"/>
          <cell r="N600"/>
          <cell r="O600"/>
          <cell r="P600"/>
          <cell r="Q600"/>
          <cell r="R600"/>
          <cell r="S600"/>
          <cell r="T600"/>
          <cell r="U600"/>
          <cell r="V600"/>
          <cell r="W600"/>
          <cell r="X600"/>
          <cell r="Y600"/>
          <cell r="Z600"/>
          <cell r="AA600"/>
          <cell r="AB600"/>
          <cell r="AC600"/>
          <cell r="AD600"/>
          <cell r="AE600"/>
          <cell r="AI600"/>
        </row>
        <row r="601">
          <cell r="C601"/>
          <cell r="D601"/>
          <cell r="F601"/>
          <cell r="G601"/>
          <cell r="H601"/>
          <cell r="I601"/>
          <cell r="J601"/>
          <cell r="K601"/>
          <cell r="L601"/>
          <cell r="M601"/>
          <cell r="N601"/>
          <cell r="O601"/>
          <cell r="P601"/>
          <cell r="Q601"/>
          <cell r="R601"/>
          <cell r="S601"/>
          <cell r="T601"/>
          <cell r="U601"/>
          <cell r="V601"/>
          <cell r="W601"/>
          <cell r="X601"/>
          <cell r="Y601"/>
          <cell r="Z601"/>
          <cell r="AA601"/>
          <cell r="AB601"/>
          <cell r="AC601"/>
          <cell r="AD601"/>
          <cell r="AE601"/>
          <cell r="AI601"/>
        </row>
        <row r="602">
          <cell r="C602"/>
          <cell r="D602"/>
          <cell r="F602"/>
          <cell r="G602"/>
          <cell r="H602"/>
          <cell r="I602"/>
          <cell r="J602"/>
          <cell r="K602"/>
          <cell r="L602"/>
          <cell r="M602"/>
          <cell r="N602"/>
          <cell r="O602"/>
          <cell r="P602"/>
          <cell r="Q602"/>
          <cell r="R602"/>
          <cell r="S602"/>
          <cell r="T602"/>
          <cell r="U602"/>
          <cell r="V602"/>
          <cell r="W602"/>
          <cell r="X602"/>
          <cell r="Y602"/>
          <cell r="Z602"/>
          <cell r="AA602"/>
          <cell r="AB602"/>
          <cell r="AC602"/>
          <cell r="AD602"/>
          <cell r="AE602"/>
          <cell r="AI602"/>
        </row>
        <row r="603">
          <cell r="C603"/>
          <cell r="D603"/>
          <cell r="F603"/>
          <cell r="G603"/>
          <cell r="H603"/>
          <cell r="I603"/>
          <cell r="J603"/>
          <cell r="K603"/>
          <cell r="L603"/>
          <cell r="M603"/>
          <cell r="N603"/>
          <cell r="O603"/>
          <cell r="P603"/>
          <cell r="Q603"/>
          <cell r="R603"/>
          <cell r="S603"/>
          <cell r="T603"/>
          <cell r="U603"/>
          <cell r="V603"/>
          <cell r="W603"/>
          <cell r="X603"/>
          <cell r="Y603"/>
          <cell r="Z603"/>
          <cell r="AA603"/>
          <cell r="AB603"/>
          <cell r="AC603"/>
          <cell r="AD603"/>
          <cell r="AE603"/>
          <cell r="AI603"/>
        </row>
        <row r="604">
          <cell r="C604"/>
          <cell r="D604"/>
          <cell r="F604"/>
          <cell r="G604"/>
          <cell r="H604"/>
          <cell r="I604"/>
          <cell r="J604"/>
          <cell r="K604"/>
          <cell r="L604"/>
          <cell r="M604"/>
          <cell r="N604"/>
          <cell r="O604"/>
          <cell r="P604"/>
          <cell r="Q604"/>
          <cell r="R604"/>
          <cell r="S604"/>
          <cell r="T604"/>
          <cell r="U604"/>
          <cell r="V604"/>
          <cell r="W604"/>
          <cell r="X604"/>
          <cell r="Y604"/>
          <cell r="Z604"/>
          <cell r="AA604"/>
          <cell r="AB604"/>
          <cell r="AC604"/>
          <cell r="AD604"/>
          <cell r="AE604"/>
          <cell r="AI604"/>
        </row>
        <row r="605">
          <cell r="C605"/>
          <cell r="D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/>
          <cell r="S605"/>
          <cell r="T605"/>
          <cell r="U605"/>
          <cell r="V605"/>
          <cell r="W605"/>
          <cell r="X605"/>
          <cell r="Y605"/>
          <cell r="Z605"/>
          <cell r="AA605"/>
          <cell r="AB605"/>
          <cell r="AC605"/>
          <cell r="AD605"/>
          <cell r="AE605"/>
          <cell r="AI605"/>
        </row>
        <row r="606">
          <cell r="C606"/>
          <cell r="D606"/>
          <cell r="F606"/>
          <cell r="G606"/>
          <cell r="H606"/>
          <cell r="I606"/>
          <cell r="J606"/>
          <cell r="K606"/>
          <cell r="L606"/>
          <cell r="M606"/>
          <cell r="N606"/>
          <cell r="O606"/>
          <cell r="P606"/>
          <cell r="Q606"/>
          <cell r="R606"/>
          <cell r="S606"/>
          <cell r="T606"/>
          <cell r="U606"/>
          <cell r="V606"/>
          <cell r="W606"/>
          <cell r="X606"/>
          <cell r="Y606"/>
          <cell r="Z606"/>
          <cell r="AA606"/>
          <cell r="AB606"/>
          <cell r="AC606"/>
          <cell r="AD606"/>
          <cell r="AE606"/>
          <cell r="AI606"/>
        </row>
        <row r="607">
          <cell r="C607"/>
          <cell r="D607"/>
          <cell r="F607"/>
          <cell r="G607"/>
          <cell r="H607"/>
          <cell r="I607"/>
          <cell r="J607"/>
          <cell r="K607"/>
          <cell r="L607"/>
          <cell r="M607"/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  <cell r="X607"/>
          <cell r="Y607"/>
          <cell r="Z607"/>
          <cell r="AA607"/>
          <cell r="AB607"/>
          <cell r="AC607"/>
          <cell r="AD607"/>
          <cell r="AE607"/>
          <cell r="AI607"/>
        </row>
        <row r="608">
          <cell r="C608"/>
          <cell r="D608"/>
          <cell r="F608"/>
          <cell r="G608"/>
          <cell r="H608"/>
          <cell r="I608"/>
          <cell r="J608"/>
          <cell r="K608"/>
          <cell r="L608"/>
          <cell r="M608"/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  <cell r="X608"/>
          <cell r="Y608"/>
          <cell r="Z608"/>
          <cell r="AA608"/>
          <cell r="AB608"/>
          <cell r="AC608"/>
          <cell r="AD608"/>
          <cell r="AE608"/>
          <cell r="AI608"/>
        </row>
        <row r="609">
          <cell r="C609"/>
          <cell r="D609"/>
          <cell r="F609"/>
          <cell r="G609"/>
          <cell r="H609"/>
          <cell r="I609"/>
          <cell r="J609"/>
          <cell r="K609"/>
          <cell r="L609"/>
          <cell r="M609"/>
          <cell r="N609"/>
          <cell r="O609"/>
          <cell r="P609"/>
          <cell r="Q609"/>
          <cell r="R609"/>
          <cell r="S609"/>
          <cell r="T609"/>
          <cell r="U609"/>
          <cell r="V609"/>
          <cell r="W609"/>
          <cell r="X609"/>
          <cell r="Y609"/>
          <cell r="Z609"/>
          <cell r="AA609"/>
          <cell r="AB609"/>
          <cell r="AC609"/>
          <cell r="AD609"/>
          <cell r="AE609"/>
          <cell r="AI609"/>
        </row>
        <row r="610">
          <cell r="C610"/>
          <cell r="D610"/>
          <cell r="F610"/>
          <cell r="G610"/>
          <cell r="H610"/>
          <cell r="I610"/>
          <cell r="J610"/>
          <cell r="K610"/>
          <cell r="L610"/>
          <cell r="M610"/>
          <cell r="N610"/>
          <cell r="O610"/>
          <cell r="P610"/>
          <cell r="Q610"/>
          <cell r="R610"/>
          <cell r="S610"/>
          <cell r="T610"/>
          <cell r="U610"/>
          <cell r="V610"/>
          <cell r="W610"/>
          <cell r="X610"/>
          <cell r="Y610"/>
          <cell r="Z610"/>
          <cell r="AA610"/>
          <cell r="AB610"/>
          <cell r="AC610"/>
          <cell r="AD610"/>
          <cell r="AE610"/>
          <cell r="AI610"/>
        </row>
        <row r="611">
          <cell r="C611"/>
          <cell r="D611"/>
          <cell r="F611"/>
          <cell r="G611"/>
          <cell r="H611"/>
          <cell r="I611"/>
          <cell r="J611"/>
          <cell r="K611"/>
          <cell r="L611"/>
          <cell r="M611"/>
          <cell r="N611"/>
          <cell r="O611"/>
          <cell r="P611"/>
          <cell r="Q611"/>
          <cell r="R611"/>
          <cell r="S611"/>
          <cell r="T611"/>
          <cell r="U611"/>
          <cell r="V611"/>
          <cell r="W611"/>
          <cell r="X611"/>
          <cell r="Y611"/>
          <cell r="Z611"/>
          <cell r="AA611"/>
          <cell r="AB611"/>
          <cell r="AC611"/>
          <cell r="AD611"/>
          <cell r="AE611"/>
          <cell r="AI611"/>
        </row>
        <row r="612">
          <cell r="C612"/>
          <cell r="D612"/>
          <cell r="F612"/>
          <cell r="G612"/>
          <cell r="H612"/>
          <cell r="I612"/>
          <cell r="J612"/>
          <cell r="K612"/>
          <cell r="L612"/>
          <cell r="M612"/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  <cell r="X612"/>
          <cell r="Y612"/>
          <cell r="Z612"/>
          <cell r="AA612"/>
          <cell r="AB612"/>
          <cell r="AC612"/>
          <cell r="AD612"/>
          <cell r="AE612"/>
          <cell r="AI612"/>
        </row>
        <row r="613">
          <cell r="C613"/>
          <cell r="D613"/>
          <cell r="F613"/>
          <cell r="G613"/>
          <cell r="H613"/>
          <cell r="I613"/>
          <cell r="J613"/>
          <cell r="K613"/>
          <cell r="L613"/>
          <cell r="M613"/>
          <cell r="N613"/>
          <cell r="O613"/>
          <cell r="P613"/>
          <cell r="Q613"/>
          <cell r="R613"/>
          <cell r="S613"/>
          <cell r="T613"/>
          <cell r="U613"/>
          <cell r="V613"/>
          <cell r="W613"/>
          <cell r="X613"/>
          <cell r="Y613"/>
          <cell r="Z613"/>
          <cell r="AA613"/>
          <cell r="AB613"/>
          <cell r="AC613"/>
          <cell r="AD613"/>
          <cell r="AE613"/>
          <cell r="AI613"/>
        </row>
        <row r="614">
          <cell r="C614"/>
          <cell r="D614"/>
          <cell r="F614"/>
          <cell r="G614"/>
          <cell r="H614"/>
          <cell r="I614"/>
          <cell r="J614"/>
          <cell r="K614"/>
          <cell r="L614"/>
          <cell r="M614"/>
          <cell r="N614"/>
          <cell r="O614"/>
          <cell r="P614"/>
          <cell r="Q614"/>
          <cell r="R614"/>
          <cell r="S614"/>
          <cell r="T614"/>
          <cell r="U614"/>
          <cell r="V614"/>
          <cell r="W614"/>
          <cell r="X614"/>
          <cell r="Y614"/>
          <cell r="Z614"/>
          <cell r="AA614"/>
          <cell r="AB614"/>
          <cell r="AC614"/>
          <cell r="AD614"/>
          <cell r="AE614"/>
          <cell r="AI614"/>
        </row>
        <row r="615">
          <cell r="C615"/>
          <cell r="D615"/>
          <cell r="F615"/>
          <cell r="G615"/>
          <cell r="H615"/>
          <cell r="I615"/>
          <cell r="J615"/>
          <cell r="K615"/>
          <cell r="L615"/>
          <cell r="M615"/>
          <cell r="N615"/>
          <cell r="O615"/>
          <cell r="P615"/>
          <cell r="Q615"/>
          <cell r="R615"/>
          <cell r="S615"/>
          <cell r="T615"/>
          <cell r="U615"/>
          <cell r="V615"/>
          <cell r="W615"/>
          <cell r="X615"/>
          <cell r="Y615"/>
          <cell r="Z615"/>
          <cell r="AA615"/>
          <cell r="AB615"/>
          <cell r="AC615"/>
          <cell r="AD615"/>
          <cell r="AE615"/>
          <cell r="AI615"/>
        </row>
        <row r="616">
          <cell r="C616"/>
          <cell r="D616"/>
          <cell r="F616"/>
          <cell r="G616"/>
          <cell r="H616"/>
          <cell r="I616"/>
          <cell r="J616"/>
          <cell r="K616"/>
          <cell r="L616"/>
          <cell r="M616"/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  <cell r="X616"/>
          <cell r="Y616"/>
          <cell r="Z616"/>
          <cell r="AA616"/>
          <cell r="AB616"/>
          <cell r="AC616"/>
          <cell r="AD616"/>
          <cell r="AE616"/>
          <cell r="AI616"/>
        </row>
        <row r="617">
          <cell r="C617"/>
          <cell r="D617"/>
          <cell r="F617"/>
          <cell r="G617"/>
          <cell r="H617"/>
          <cell r="I617"/>
          <cell r="J617"/>
          <cell r="K617"/>
          <cell r="L617"/>
          <cell r="M617"/>
          <cell r="N617"/>
          <cell r="O617"/>
          <cell r="P617"/>
          <cell r="Q617"/>
          <cell r="R617"/>
          <cell r="S617"/>
          <cell r="T617"/>
          <cell r="U617"/>
          <cell r="V617"/>
          <cell r="W617"/>
          <cell r="X617"/>
          <cell r="Y617"/>
          <cell r="Z617"/>
          <cell r="AA617"/>
          <cell r="AB617"/>
          <cell r="AC617"/>
          <cell r="AD617"/>
          <cell r="AE617"/>
          <cell r="AI617"/>
        </row>
        <row r="618">
          <cell r="C618"/>
          <cell r="D618"/>
          <cell r="F618"/>
          <cell r="G618"/>
          <cell r="H618"/>
          <cell r="I618"/>
          <cell r="J618"/>
          <cell r="K618"/>
          <cell r="L618"/>
          <cell r="M618"/>
          <cell r="N618"/>
          <cell r="O618"/>
          <cell r="P618"/>
          <cell r="Q618"/>
          <cell r="R618"/>
          <cell r="S618"/>
          <cell r="T618"/>
          <cell r="U618"/>
          <cell r="V618"/>
          <cell r="W618"/>
          <cell r="X618"/>
          <cell r="Y618"/>
          <cell r="Z618"/>
          <cell r="AA618"/>
          <cell r="AB618"/>
          <cell r="AC618"/>
          <cell r="AD618"/>
          <cell r="AE618"/>
          <cell r="AI618"/>
        </row>
        <row r="619">
          <cell r="C619"/>
          <cell r="D619"/>
          <cell r="F619"/>
          <cell r="G619"/>
          <cell r="H619"/>
          <cell r="I619"/>
          <cell r="J619"/>
          <cell r="K619"/>
          <cell r="L619"/>
          <cell r="M619"/>
          <cell r="N619"/>
          <cell r="O619"/>
          <cell r="P619"/>
          <cell r="Q619"/>
          <cell r="R619"/>
          <cell r="S619"/>
          <cell r="T619"/>
          <cell r="U619"/>
          <cell r="V619"/>
          <cell r="W619"/>
          <cell r="X619"/>
          <cell r="Y619"/>
          <cell r="Z619"/>
          <cell r="AA619"/>
          <cell r="AB619"/>
          <cell r="AC619"/>
          <cell r="AD619"/>
          <cell r="AE619"/>
          <cell r="AI619"/>
        </row>
        <row r="620">
          <cell r="C620"/>
          <cell r="D620"/>
          <cell r="F620"/>
          <cell r="G620"/>
          <cell r="H620"/>
          <cell r="I620"/>
          <cell r="J620"/>
          <cell r="K620"/>
          <cell r="L620"/>
          <cell r="M620"/>
          <cell r="N620"/>
          <cell r="O620"/>
          <cell r="P620"/>
          <cell r="Q620"/>
          <cell r="R620"/>
          <cell r="S620"/>
          <cell r="T620"/>
          <cell r="U620"/>
          <cell r="V620"/>
          <cell r="W620"/>
          <cell r="X620"/>
          <cell r="Y620"/>
          <cell r="Z620"/>
          <cell r="AA620"/>
          <cell r="AB620"/>
          <cell r="AC620"/>
          <cell r="AD620"/>
          <cell r="AE620"/>
          <cell r="AI620"/>
        </row>
        <row r="621">
          <cell r="C621"/>
          <cell r="D621"/>
          <cell r="F621"/>
          <cell r="G621"/>
          <cell r="H621"/>
          <cell r="I621"/>
          <cell r="J621"/>
          <cell r="K621"/>
          <cell r="L621"/>
          <cell r="M621"/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  <cell r="X621"/>
          <cell r="Y621"/>
          <cell r="Z621"/>
          <cell r="AA621"/>
          <cell r="AB621"/>
          <cell r="AC621"/>
          <cell r="AD621"/>
          <cell r="AE621"/>
          <cell r="AI621"/>
        </row>
        <row r="622">
          <cell r="C622"/>
          <cell r="D622"/>
          <cell r="F622"/>
          <cell r="G622"/>
          <cell r="H622"/>
          <cell r="I622"/>
          <cell r="J622"/>
          <cell r="K622"/>
          <cell r="L622"/>
          <cell r="M622"/>
          <cell r="N622"/>
          <cell r="O622"/>
          <cell r="P622"/>
          <cell r="Q622"/>
          <cell r="R622"/>
          <cell r="S622"/>
          <cell r="T622"/>
          <cell r="U622"/>
          <cell r="V622"/>
          <cell r="W622"/>
          <cell r="X622"/>
          <cell r="Y622"/>
          <cell r="Z622"/>
          <cell r="AA622"/>
          <cell r="AB622"/>
          <cell r="AC622"/>
          <cell r="AD622"/>
          <cell r="AE622"/>
          <cell r="AI622"/>
        </row>
        <row r="623">
          <cell r="C623"/>
          <cell r="D623"/>
          <cell r="F623"/>
          <cell r="G623"/>
          <cell r="H623"/>
          <cell r="I623"/>
          <cell r="J623"/>
          <cell r="K623"/>
          <cell r="L623"/>
          <cell r="M623"/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  <cell r="X623"/>
          <cell r="Y623"/>
          <cell r="Z623"/>
          <cell r="AA623"/>
          <cell r="AB623"/>
          <cell r="AC623"/>
          <cell r="AD623"/>
          <cell r="AE623"/>
          <cell r="AI623"/>
        </row>
        <row r="634">
          <cell r="A634"/>
          <cell r="B634"/>
          <cell r="C634"/>
          <cell r="D634"/>
          <cell r="E634"/>
          <cell r="F634"/>
          <cell r="G634"/>
          <cell r="H634"/>
          <cell r="I634"/>
          <cell r="K634"/>
          <cell r="L634"/>
          <cell r="M634"/>
          <cell r="N634"/>
          <cell r="O634"/>
          <cell r="P634"/>
          <cell r="Q634"/>
          <cell r="R634"/>
          <cell r="S634"/>
          <cell r="T634"/>
          <cell r="U634"/>
          <cell r="V634"/>
          <cell r="W634"/>
          <cell r="X634"/>
          <cell r="Y634"/>
          <cell r="Z634"/>
          <cell r="AA634"/>
          <cell r="AB634"/>
          <cell r="AC634"/>
          <cell r="AD634"/>
          <cell r="AE634"/>
          <cell r="AI634"/>
        </row>
        <row r="4294">
          <cell r="C4294"/>
          <cell r="D4294"/>
          <cell r="E4294"/>
          <cell r="F4294"/>
          <cell r="G4294"/>
          <cell r="H4294"/>
          <cell r="I4294"/>
          <cell r="J4294"/>
          <cell r="K4294"/>
          <cell r="L4294"/>
          <cell r="M4294"/>
          <cell r="N4294"/>
          <cell r="O4294"/>
          <cell r="P4294"/>
          <cell r="Q4294"/>
          <cell r="R4294"/>
          <cell r="S4294"/>
          <cell r="T4294"/>
          <cell r="U4294"/>
          <cell r="V4294"/>
          <cell r="W4294"/>
        </row>
        <row r="4295">
          <cell r="C4295"/>
          <cell r="D4295"/>
          <cell r="E4295"/>
          <cell r="F4295"/>
          <cell r="G4295"/>
          <cell r="H4295"/>
          <cell r="I4295"/>
          <cell r="J4295"/>
          <cell r="K4295"/>
          <cell r="L4295"/>
          <cell r="M4295"/>
          <cell r="N4295"/>
          <cell r="O4295"/>
          <cell r="P4295"/>
          <cell r="Q4295"/>
          <cell r="R4295"/>
          <cell r="S4295"/>
          <cell r="T4295"/>
          <cell r="U4295"/>
          <cell r="V4295"/>
          <cell r="W4295"/>
        </row>
        <row r="4296">
          <cell r="C4296"/>
          <cell r="D4296"/>
          <cell r="E4296"/>
          <cell r="F4296"/>
          <cell r="G4296"/>
          <cell r="H4296"/>
          <cell r="I4296"/>
          <cell r="J4296"/>
          <cell r="K4296"/>
          <cell r="L4296"/>
          <cell r="M4296"/>
          <cell r="N4296"/>
          <cell r="O4296"/>
          <cell r="P4296"/>
          <cell r="Q4296"/>
          <cell r="R4296"/>
          <cell r="S4296"/>
          <cell r="T4296"/>
          <cell r="U4296"/>
          <cell r="V4296"/>
          <cell r="W4296"/>
        </row>
        <row r="4297">
          <cell r="C4297"/>
          <cell r="D4297"/>
          <cell r="E4297"/>
          <cell r="F4297"/>
          <cell r="G4297"/>
          <cell r="H4297"/>
          <cell r="I4297"/>
          <cell r="J4297"/>
          <cell r="K4297"/>
          <cell r="L4297"/>
          <cell r="M4297"/>
          <cell r="N4297"/>
          <cell r="O4297"/>
          <cell r="P4297"/>
          <cell r="Q4297"/>
          <cell r="R4297"/>
          <cell r="S4297"/>
          <cell r="T4297"/>
          <cell r="U4297"/>
          <cell r="V4297"/>
          <cell r="W4297"/>
        </row>
        <row r="4298">
          <cell r="C4298"/>
          <cell r="D4298"/>
          <cell r="E4298"/>
          <cell r="F4298"/>
          <cell r="G4298"/>
          <cell r="H4298"/>
          <cell r="I4298"/>
          <cell r="J4298"/>
          <cell r="K4298"/>
          <cell r="L4298"/>
          <cell r="M4298"/>
          <cell r="N4298"/>
          <cell r="O4298"/>
          <cell r="P4298"/>
          <cell r="Q4298"/>
          <cell r="R4298"/>
          <cell r="S4298"/>
          <cell r="T4298"/>
          <cell r="U4298"/>
          <cell r="V4298"/>
          <cell r="W4298"/>
        </row>
        <row r="4299">
          <cell r="C4299"/>
          <cell r="D4299"/>
          <cell r="E4299"/>
          <cell r="F4299"/>
          <cell r="G4299"/>
          <cell r="H4299"/>
          <cell r="I4299"/>
          <cell r="J4299"/>
          <cell r="K4299"/>
          <cell r="L4299"/>
          <cell r="M4299"/>
          <cell r="N4299"/>
          <cell r="O4299"/>
          <cell r="P4299"/>
          <cell r="Q4299"/>
          <cell r="R4299"/>
          <cell r="S4299"/>
          <cell r="T4299"/>
          <cell r="U4299"/>
          <cell r="V4299"/>
          <cell r="W4299"/>
        </row>
        <row r="4300">
          <cell r="C4300"/>
          <cell r="D4300"/>
          <cell r="E4300"/>
          <cell r="F4300"/>
          <cell r="G4300"/>
          <cell r="H4300"/>
          <cell r="I4300"/>
          <cell r="J4300"/>
          <cell r="K4300"/>
          <cell r="L4300"/>
          <cell r="M4300"/>
          <cell r="N4300"/>
          <cell r="O4300"/>
          <cell r="P4300"/>
          <cell r="Q4300"/>
          <cell r="R4300"/>
          <cell r="S4300"/>
          <cell r="T4300"/>
          <cell r="U4300"/>
          <cell r="V4300"/>
          <cell r="W4300"/>
        </row>
        <row r="4301">
          <cell r="C4301"/>
          <cell r="D4301"/>
          <cell r="E4301"/>
          <cell r="F4301"/>
          <cell r="G4301"/>
          <cell r="H4301"/>
          <cell r="I4301"/>
          <cell r="J4301"/>
          <cell r="K4301"/>
          <cell r="L4301"/>
          <cell r="M4301"/>
          <cell r="N4301"/>
          <cell r="O4301"/>
          <cell r="P4301"/>
          <cell r="Q4301"/>
          <cell r="R4301"/>
          <cell r="S4301"/>
          <cell r="T4301"/>
          <cell r="U4301"/>
          <cell r="V4301"/>
          <cell r="W4301"/>
        </row>
        <row r="4302">
          <cell r="C4302"/>
          <cell r="D4302"/>
          <cell r="E4302"/>
          <cell r="F4302"/>
          <cell r="G4302"/>
          <cell r="H4302"/>
          <cell r="I4302"/>
          <cell r="J4302"/>
          <cell r="K4302"/>
          <cell r="L4302"/>
          <cell r="M4302"/>
          <cell r="N4302"/>
          <cell r="O4302"/>
          <cell r="P4302"/>
          <cell r="Q4302"/>
          <cell r="R4302"/>
          <cell r="S4302"/>
          <cell r="T4302"/>
          <cell r="U4302"/>
          <cell r="V4302"/>
          <cell r="W4302"/>
        </row>
        <row r="4303">
          <cell r="C4303"/>
          <cell r="D4303"/>
          <cell r="E4303"/>
          <cell r="F4303"/>
          <cell r="G4303"/>
          <cell r="H4303"/>
          <cell r="I4303"/>
          <cell r="J4303"/>
          <cell r="K4303"/>
          <cell r="L4303"/>
          <cell r="M4303"/>
          <cell r="N4303"/>
          <cell r="O4303"/>
          <cell r="P4303"/>
          <cell r="Q4303"/>
          <cell r="R4303"/>
          <cell r="S4303"/>
          <cell r="T4303"/>
          <cell r="U4303"/>
          <cell r="V4303"/>
          <cell r="W4303"/>
        </row>
        <row r="4304">
          <cell r="C4304"/>
          <cell r="D4304"/>
          <cell r="E4304"/>
          <cell r="F4304"/>
          <cell r="G4304"/>
          <cell r="H4304"/>
          <cell r="I4304"/>
          <cell r="J4304"/>
          <cell r="K4304"/>
          <cell r="L4304"/>
          <cell r="M4304"/>
          <cell r="N4304"/>
          <cell r="O4304"/>
          <cell r="P4304"/>
          <cell r="Q4304"/>
          <cell r="R4304"/>
          <cell r="S4304"/>
          <cell r="T4304"/>
          <cell r="U4304"/>
          <cell r="V4304"/>
          <cell r="W4304"/>
        </row>
        <row r="4320">
          <cell r="C4320"/>
          <cell r="D4320"/>
          <cell r="E4320"/>
          <cell r="F4320"/>
          <cell r="G4320"/>
          <cell r="H4320"/>
          <cell r="I4320"/>
          <cell r="J4320"/>
          <cell r="K4320"/>
          <cell r="L4320"/>
          <cell r="M4320"/>
          <cell r="N4320"/>
          <cell r="O4320"/>
          <cell r="P4320"/>
          <cell r="Q4320"/>
          <cell r="R4320"/>
          <cell r="S4320"/>
          <cell r="T4320"/>
          <cell r="U4320"/>
          <cell r="V4320"/>
          <cell r="W4320"/>
        </row>
        <row r="4321">
          <cell r="C4321"/>
          <cell r="D4321"/>
          <cell r="E4321"/>
          <cell r="F4321"/>
          <cell r="G4321"/>
          <cell r="H4321"/>
          <cell r="I4321"/>
          <cell r="J4321"/>
          <cell r="K4321"/>
          <cell r="L4321"/>
          <cell r="M4321"/>
          <cell r="N4321"/>
          <cell r="O4321"/>
          <cell r="P4321"/>
          <cell r="Q4321"/>
          <cell r="R4321"/>
          <cell r="S4321"/>
          <cell r="T4321"/>
          <cell r="U4321"/>
          <cell r="V4321"/>
          <cell r="W4321"/>
        </row>
        <row r="4322">
          <cell r="C4322"/>
          <cell r="D4322"/>
          <cell r="E4322"/>
          <cell r="F4322"/>
          <cell r="G4322"/>
          <cell r="H4322"/>
          <cell r="I4322"/>
          <cell r="J4322"/>
          <cell r="K4322"/>
          <cell r="L4322"/>
          <cell r="M4322"/>
          <cell r="N4322"/>
          <cell r="O4322"/>
          <cell r="P4322"/>
          <cell r="Q4322"/>
          <cell r="R4322"/>
          <cell r="S4322"/>
          <cell r="T4322"/>
          <cell r="U4322"/>
          <cell r="V4322"/>
          <cell r="W4322"/>
        </row>
        <row r="4323">
          <cell r="C4323"/>
          <cell r="D4323"/>
          <cell r="E4323"/>
          <cell r="F4323"/>
          <cell r="G4323"/>
          <cell r="H4323"/>
          <cell r="I4323"/>
          <cell r="J4323"/>
          <cell r="K4323"/>
          <cell r="L4323"/>
          <cell r="M4323"/>
          <cell r="N4323"/>
          <cell r="O4323"/>
          <cell r="P4323"/>
          <cell r="Q4323"/>
          <cell r="R4323"/>
          <cell r="S4323"/>
          <cell r="T4323"/>
          <cell r="U4323"/>
          <cell r="V4323"/>
          <cell r="W4323"/>
        </row>
        <row r="4324">
          <cell r="C4324"/>
          <cell r="D4324"/>
          <cell r="E4324"/>
          <cell r="F4324"/>
          <cell r="G4324"/>
          <cell r="H4324"/>
          <cell r="I4324"/>
          <cell r="J4324"/>
          <cell r="K4324"/>
          <cell r="L4324"/>
          <cell r="M4324"/>
          <cell r="N4324"/>
          <cell r="O4324"/>
          <cell r="P4324"/>
          <cell r="Q4324"/>
          <cell r="R4324"/>
          <cell r="S4324"/>
          <cell r="T4324"/>
          <cell r="U4324"/>
          <cell r="V4324"/>
          <cell r="W4324"/>
        </row>
        <row r="4325">
          <cell r="C4325"/>
          <cell r="D4325"/>
          <cell r="E4325"/>
          <cell r="F4325"/>
          <cell r="G4325"/>
          <cell r="H4325"/>
          <cell r="I4325"/>
          <cell r="J4325"/>
          <cell r="K4325"/>
          <cell r="L4325"/>
          <cell r="M4325"/>
          <cell r="N4325"/>
          <cell r="O4325"/>
          <cell r="P4325"/>
          <cell r="Q4325"/>
          <cell r="R4325"/>
          <cell r="S4325"/>
          <cell r="T4325"/>
          <cell r="U4325"/>
          <cell r="V4325"/>
          <cell r="W4325"/>
        </row>
        <row r="4326">
          <cell r="C4326"/>
          <cell r="D4326"/>
          <cell r="E4326"/>
          <cell r="F4326"/>
          <cell r="G4326"/>
          <cell r="H4326"/>
          <cell r="I4326"/>
          <cell r="J4326"/>
          <cell r="K4326"/>
          <cell r="L4326"/>
          <cell r="M4326"/>
          <cell r="N4326"/>
          <cell r="O4326"/>
          <cell r="P4326"/>
          <cell r="Q4326"/>
          <cell r="R4326"/>
          <cell r="S4326"/>
          <cell r="T4326"/>
          <cell r="U4326"/>
          <cell r="V4326"/>
          <cell r="W4326"/>
        </row>
        <row r="4327">
          <cell r="C4327"/>
          <cell r="D4327"/>
          <cell r="E4327"/>
          <cell r="F4327"/>
          <cell r="G4327"/>
          <cell r="H4327"/>
          <cell r="I4327"/>
          <cell r="J4327"/>
          <cell r="K4327"/>
          <cell r="L4327"/>
          <cell r="M4327"/>
          <cell r="N4327"/>
          <cell r="O4327"/>
          <cell r="P4327"/>
          <cell r="Q4327"/>
          <cell r="R4327"/>
          <cell r="S4327"/>
          <cell r="T4327"/>
          <cell r="U4327"/>
          <cell r="V4327"/>
          <cell r="W4327"/>
        </row>
        <row r="4328">
          <cell r="C4328"/>
          <cell r="D4328"/>
          <cell r="E4328"/>
          <cell r="F4328"/>
          <cell r="G4328"/>
          <cell r="H4328"/>
          <cell r="I4328"/>
          <cell r="J4328"/>
          <cell r="K4328"/>
          <cell r="L4328"/>
          <cell r="M4328"/>
          <cell r="N4328"/>
          <cell r="O4328"/>
          <cell r="P4328"/>
          <cell r="Q4328"/>
          <cell r="R4328"/>
          <cell r="S4328"/>
          <cell r="T4328"/>
          <cell r="U4328"/>
          <cell r="V4328"/>
          <cell r="W4328"/>
        </row>
        <row r="4329">
          <cell r="C4329"/>
          <cell r="D4329"/>
          <cell r="E4329"/>
          <cell r="F4329"/>
          <cell r="G4329"/>
          <cell r="H4329"/>
          <cell r="I4329"/>
          <cell r="J4329"/>
          <cell r="K4329"/>
          <cell r="L4329"/>
          <cell r="M4329"/>
          <cell r="N4329"/>
          <cell r="O4329"/>
          <cell r="P4329"/>
          <cell r="Q4329"/>
          <cell r="R4329"/>
          <cell r="S4329"/>
          <cell r="T4329"/>
          <cell r="U4329"/>
          <cell r="V4329"/>
          <cell r="W4329"/>
        </row>
        <row r="4330">
          <cell r="C4330"/>
          <cell r="D4330"/>
          <cell r="E4330"/>
          <cell r="F4330"/>
          <cell r="G4330"/>
          <cell r="H4330"/>
          <cell r="I4330"/>
          <cell r="J4330"/>
          <cell r="K4330"/>
          <cell r="L4330"/>
          <cell r="M4330"/>
          <cell r="N4330"/>
          <cell r="O4330"/>
          <cell r="P4330"/>
          <cell r="Q4330"/>
          <cell r="R4330"/>
          <cell r="S4330"/>
          <cell r="T4330"/>
          <cell r="U4330"/>
          <cell r="V4330"/>
          <cell r="W4330"/>
        </row>
        <row r="4331">
          <cell r="C4331"/>
          <cell r="D4331"/>
          <cell r="E4331"/>
          <cell r="F4331"/>
          <cell r="G4331"/>
          <cell r="H4331"/>
          <cell r="I4331"/>
          <cell r="J4331"/>
          <cell r="K4331"/>
          <cell r="L4331"/>
          <cell r="M4331"/>
          <cell r="N4331"/>
          <cell r="O4331"/>
          <cell r="P4331"/>
          <cell r="Q4331"/>
          <cell r="R4331"/>
          <cell r="S4331"/>
          <cell r="T4331"/>
          <cell r="U4331"/>
          <cell r="V4331"/>
          <cell r="W4331"/>
        </row>
        <row r="4332">
          <cell r="C4332"/>
          <cell r="D4332"/>
          <cell r="E4332"/>
          <cell r="F4332"/>
          <cell r="G4332"/>
          <cell r="H4332"/>
          <cell r="I4332"/>
          <cell r="J4332"/>
          <cell r="K4332"/>
          <cell r="L4332"/>
          <cell r="M4332"/>
          <cell r="N4332"/>
          <cell r="O4332"/>
          <cell r="P4332"/>
          <cell r="Q4332"/>
          <cell r="R4332"/>
          <cell r="S4332"/>
          <cell r="T4332"/>
          <cell r="U4332"/>
          <cell r="V4332"/>
          <cell r="W4332"/>
        </row>
        <row r="4333">
          <cell r="C4333"/>
          <cell r="D4333"/>
          <cell r="E4333"/>
          <cell r="F4333"/>
          <cell r="G4333"/>
          <cell r="H4333"/>
          <cell r="I4333"/>
          <cell r="J4333"/>
          <cell r="K4333"/>
          <cell r="L4333"/>
          <cell r="M4333"/>
          <cell r="N4333"/>
          <cell r="O4333"/>
          <cell r="P4333"/>
          <cell r="Q4333"/>
          <cell r="R4333"/>
          <cell r="S4333"/>
          <cell r="T4333"/>
          <cell r="U4333"/>
          <cell r="V4333"/>
          <cell r="W4333"/>
        </row>
        <row r="4334">
          <cell r="C4334"/>
          <cell r="D4334"/>
          <cell r="E4334"/>
          <cell r="F4334"/>
          <cell r="G4334"/>
          <cell r="H4334"/>
          <cell r="I4334"/>
          <cell r="J4334"/>
          <cell r="K4334"/>
          <cell r="L4334"/>
          <cell r="M4334"/>
          <cell r="N4334"/>
          <cell r="O4334"/>
          <cell r="P4334"/>
          <cell r="Q4334"/>
          <cell r="R4334"/>
          <cell r="S4334"/>
          <cell r="T4334"/>
          <cell r="U4334"/>
          <cell r="V4334"/>
          <cell r="W4334"/>
        </row>
        <row r="8620">
          <cell r="A8620"/>
          <cell r="B8620"/>
          <cell r="C8620"/>
          <cell r="D8620"/>
          <cell r="E8620"/>
          <cell r="F8620"/>
          <cell r="G8620"/>
          <cell r="J8620"/>
          <cell r="K8620"/>
          <cell r="L8620"/>
          <cell r="M8620"/>
          <cell r="N8620"/>
          <cell r="O8620"/>
          <cell r="P8620"/>
          <cell r="Q8620"/>
          <cell r="R8620"/>
          <cell r="S8620"/>
          <cell r="T8620"/>
          <cell r="U8620"/>
          <cell r="V8620"/>
          <cell r="W8620"/>
          <cell r="X8620"/>
          <cell r="Y8620"/>
          <cell r="Z8620"/>
          <cell r="AB8620"/>
          <cell r="AC8620"/>
          <cell r="AD8620"/>
          <cell r="AE8620"/>
          <cell r="AI8620"/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A1">
            <v>3375</v>
          </cell>
          <cell r="B1"/>
          <cell r="C1">
            <v>3037.5</v>
          </cell>
          <cell r="D1">
            <v>7680</v>
          </cell>
          <cell r="E1">
            <v>-4305</v>
          </cell>
          <cell r="F1">
            <v>-4642.5</v>
          </cell>
          <cell r="G1" t="str">
            <v>11/5-16/5</v>
          </cell>
          <cell r="H1"/>
          <cell r="I1"/>
          <cell r="J1"/>
          <cell r="K1"/>
          <cell r="L1"/>
          <cell r="M1"/>
          <cell r="N1"/>
          <cell r="O1"/>
          <cell r="P1"/>
          <cell r="Q1"/>
          <cell r="R1"/>
          <cell r="S1" t="str">
            <v>sample 10bun/ngay</v>
          </cell>
          <cell r="T1"/>
          <cell r="U1">
            <v>745</v>
          </cell>
          <cell r="V1" t="str">
            <v>OK</v>
          </cell>
          <cell r="W1"/>
          <cell r="X1" t="str">
            <v>done</v>
          </cell>
        </row>
        <row r="2">
          <cell r="A2">
            <v>46153</v>
          </cell>
          <cell r="B2"/>
          <cell r="C2" t="str">
            <v>thu 2</v>
          </cell>
          <cell r="D2">
            <v>234</v>
          </cell>
          <cell r="E2"/>
          <cell r="F2">
            <v>170</v>
          </cell>
          <cell r="G2"/>
          <cell r="H2">
            <v>46153</v>
          </cell>
          <cell r="I2" t="str">
            <v>thu 2</v>
          </cell>
          <cell r="J2">
            <v>198</v>
          </cell>
          <cell r="K2"/>
          <cell r="L2">
            <v>104</v>
          </cell>
          <cell r="M2"/>
          <cell r="N2">
            <v>46153</v>
          </cell>
          <cell r="O2" t="str">
            <v>thu 2</v>
          </cell>
          <cell r="P2">
            <v>57.6</v>
          </cell>
          <cell r="Q2"/>
          <cell r="R2">
            <v>94</v>
          </cell>
          <cell r="S2"/>
          <cell r="T2">
            <v>368</v>
          </cell>
          <cell r="U2"/>
          <cell r="V2">
            <v>46153</v>
          </cell>
          <cell r="W2">
            <v>375</v>
          </cell>
          <cell r="X2"/>
          <cell r="Y2"/>
          <cell r="Z2" t="str">
            <v>BUN</v>
          </cell>
          <cell r="AA2" t="str">
            <v>RỚT</v>
          </cell>
          <cell r="AB2"/>
          <cell r="AC2"/>
        </row>
        <row r="3">
          <cell r="A3">
            <v>46154</v>
          </cell>
          <cell r="B3"/>
          <cell r="C3" t="str">
            <v>thu 3</v>
          </cell>
          <cell r="D3">
            <v>234</v>
          </cell>
          <cell r="E3">
            <v>468</v>
          </cell>
          <cell r="F3">
            <v>339</v>
          </cell>
          <cell r="G3">
            <v>509</v>
          </cell>
          <cell r="H3">
            <v>46154</v>
          </cell>
          <cell r="I3" t="str">
            <v>thu 3</v>
          </cell>
          <cell r="J3">
            <v>198</v>
          </cell>
          <cell r="K3">
            <v>396</v>
          </cell>
          <cell r="L3">
            <v>208</v>
          </cell>
          <cell r="M3">
            <v>312</v>
          </cell>
          <cell r="N3">
            <v>46154</v>
          </cell>
          <cell r="O3" t="str">
            <v>thu 3</v>
          </cell>
          <cell r="P3">
            <v>57.6</v>
          </cell>
          <cell r="Q3">
            <v>115.2</v>
          </cell>
          <cell r="R3">
            <v>188</v>
          </cell>
          <cell r="S3">
            <v>282</v>
          </cell>
          <cell r="T3">
            <v>735</v>
          </cell>
          <cell r="U3">
            <v>1103</v>
          </cell>
          <cell r="V3">
            <v>46154</v>
          </cell>
          <cell r="W3">
            <v>750</v>
          </cell>
          <cell r="X3">
            <v>1125</v>
          </cell>
          <cell r="Y3" t="str">
            <v>máy 1</v>
          </cell>
          <cell r="Z3">
            <v>0</v>
          </cell>
          <cell r="AA3">
            <v>1060</v>
          </cell>
          <cell r="AB3"/>
          <cell r="AC3" t="e">
            <v>#VALUE!</v>
          </cell>
        </row>
        <row r="4">
          <cell r="A4">
            <v>46155</v>
          </cell>
          <cell r="B4"/>
          <cell r="C4" t="str">
            <v>thu 4</v>
          </cell>
          <cell r="D4">
            <v>234</v>
          </cell>
          <cell r="E4">
            <v>702</v>
          </cell>
          <cell r="F4">
            <v>339</v>
          </cell>
          <cell r="G4">
            <v>848</v>
          </cell>
          <cell r="H4">
            <v>46155</v>
          </cell>
          <cell r="I4" t="str">
            <v>thu 4</v>
          </cell>
          <cell r="J4">
            <v>198</v>
          </cell>
          <cell r="K4">
            <v>0</v>
          </cell>
          <cell r="L4">
            <v>208</v>
          </cell>
          <cell r="M4">
            <v>520</v>
          </cell>
          <cell r="N4">
            <v>46155</v>
          </cell>
          <cell r="O4" t="str">
            <v>thu 4</v>
          </cell>
          <cell r="P4">
            <v>57.6</v>
          </cell>
          <cell r="Q4">
            <v>0</v>
          </cell>
          <cell r="R4">
            <v>188</v>
          </cell>
          <cell r="S4">
            <v>470</v>
          </cell>
          <cell r="T4">
            <v>735</v>
          </cell>
          <cell r="U4">
            <v>1838</v>
          </cell>
          <cell r="V4">
            <v>46155</v>
          </cell>
          <cell r="W4">
            <v>750</v>
          </cell>
          <cell r="X4">
            <v>1875</v>
          </cell>
          <cell r="Y4" t="str">
            <v>máy 2</v>
          </cell>
          <cell r="Z4">
            <v>0</v>
          </cell>
          <cell r="AA4">
            <v>1541</v>
          </cell>
          <cell r="AB4"/>
          <cell r="AC4" t="e">
            <v>#VALUE!</v>
          </cell>
        </row>
        <row r="5">
          <cell r="A5">
            <v>46156</v>
          </cell>
          <cell r="B5"/>
          <cell r="C5" t="str">
            <v>thu 5</v>
          </cell>
          <cell r="D5">
            <v>234</v>
          </cell>
          <cell r="E5">
            <v>936</v>
          </cell>
          <cell r="F5">
            <v>239</v>
          </cell>
          <cell r="G5">
            <v>1087</v>
          </cell>
          <cell r="H5">
            <v>46156</v>
          </cell>
          <cell r="I5" t="str">
            <v>thu 5</v>
          </cell>
          <cell r="J5">
            <v>198</v>
          </cell>
          <cell r="K5">
            <v>0</v>
          </cell>
          <cell r="L5">
            <v>158</v>
          </cell>
          <cell r="M5">
            <v>678</v>
          </cell>
          <cell r="N5">
            <v>46156</v>
          </cell>
          <cell r="O5" t="str">
            <v>thu 5</v>
          </cell>
          <cell r="P5">
            <v>57.6</v>
          </cell>
          <cell r="Q5">
            <v>0</v>
          </cell>
          <cell r="R5">
            <v>188</v>
          </cell>
          <cell r="S5">
            <v>658</v>
          </cell>
          <cell r="T5">
            <v>585</v>
          </cell>
          <cell r="U5">
            <v>2423</v>
          </cell>
          <cell r="V5">
            <v>46156</v>
          </cell>
          <cell r="W5">
            <v>750</v>
          </cell>
          <cell r="X5">
            <v>2625</v>
          </cell>
          <cell r="Y5" t="str">
            <v>máy 3</v>
          </cell>
          <cell r="Z5">
            <v>0</v>
          </cell>
          <cell r="AA5">
            <v>0</v>
          </cell>
          <cell r="AB5"/>
          <cell r="AC5" t="e">
            <v>#VALUE!</v>
          </cell>
        </row>
        <row r="6">
          <cell r="A6">
            <v>46157</v>
          </cell>
          <cell r="B6"/>
          <cell r="C6" t="str">
            <v>thu 6</v>
          </cell>
          <cell r="D6">
            <v>117</v>
          </cell>
          <cell r="E6">
            <v>1053</v>
          </cell>
          <cell r="F6">
            <v>227</v>
          </cell>
          <cell r="G6">
            <v>1314</v>
          </cell>
          <cell r="H6">
            <v>46157</v>
          </cell>
          <cell r="I6" t="str">
            <v>thu 6</v>
          </cell>
          <cell r="J6">
            <v>198</v>
          </cell>
          <cell r="K6">
            <v>0</v>
          </cell>
          <cell r="L6">
            <v>191</v>
          </cell>
          <cell r="M6">
            <v>869</v>
          </cell>
          <cell r="N6">
            <v>46157</v>
          </cell>
          <cell r="O6" t="str">
            <v>thu 6</v>
          </cell>
          <cell r="P6">
            <v>57.6</v>
          </cell>
          <cell r="Q6">
            <v>0</v>
          </cell>
          <cell r="R6">
            <v>82</v>
          </cell>
          <cell r="S6">
            <v>740</v>
          </cell>
          <cell r="T6">
            <v>500</v>
          </cell>
          <cell r="U6">
            <v>2923</v>
          </cell>
          <cell r="V6">
            <v>46157</v>
          </cell>
          <cell r="W6">
            <v>750</v>
          </cell>
          <cell r="X6">
            <v>3375</v>
          </cell>
          <cell r="Y6"/>
          <cell r="AA6">
            <v>2601</v>
          </cell>
          <cell r="AB6"/>
          <cell r="AC6" t="e">
            <v>#VALUE!</v>
          </cell>
        </row>
        <row r="7">
          <cell r="A7">
            <v>46158</v>
          </cell>
          <cell r="B7"/>
          <cell r="C7" t="str">
            <v>thu 7</v>
          </cell>
          <cell r="D7">
            <v>234</v>
          </cell>
          <cell r="E7">
            <v>1287</v>
          </cell>
          <cell r="F7">
            <v>227</v>
          </cell>
          <cell r="G7">
            <v>1541</v>
          </cell>
          <cell r="H7">
            <v>46158</v>
          </cell>
          <cell r="I7" t="str">
            <v>thu 7</v>
          </cell>
          <cell r="J7">
            <v>99</v>
          </cell>
          <cell r="K7">
            <v>0</v>
          </cell>
          <cell r="L7">
            <v>191</v>
          </cell>
          <cell r="M7">
            <v>1060</v>
          </cell>
          <cell r="N7">
            <v>46158</v>
          </cell>
          <cell r="O7" t="str">
            <v>thu 7</v>
          </cell>
          <cell r="P7">
            <v>0</v>
          </cell>
          <cell r="Q7">
            <v>0</v>
          </cell>
          <cell r="R7">
            <v>82</v>
          </cell>
          <cell r="S7">
            <v>822</v>
          </cell>
          <cell r="T7">
            <v>500</v>
          </cell>
          <cell r="U7">
            <v>3423</v>
          </cell>
          <cell r="V7">
            <v>46158</v>
          </cell>
          <cell r="W7">
            <v>750</v>
          </cell>
          <cell r="X7">
            <v>4125</v>
          </cell>
          <cell r="Y7"/>
          <cell r="AA7"/>
          <cell r="AB7"/>
          <cell r="AC7"/>
        </row>
        <row r="8">
          <cell r="A8">
            <v>46159</v>
          </cell>
          <cell r="B8"/>
          <cell r="C8" t="str">
            <v>CN</v>
          </cell>
          <cell r="D8"/>
          <cell r="E8"/>
          <cell r="F8"/>
          <cell r="G8">
            <v>1541</v>
          </cell>
          <cell r="H8">
            <v>46159</v>
          </cell>
          <cell r="I8" t="str">
            <v>CN</v>
          </cell>
          <cell r="J8"/>
          <cell r="K8"/>
          <cell r="L8"/>
          <cell r="M8">
            <v>1060</v>
          </cell>
          <cell r="N8">
            <v>46159</v>
          </cell>
          <cell r="O8" t="str">
            <v>CN</v>
          </cell>
          <cell r="P8"/>
          <cell r="Q8"/>
          <cell r="R8"/>
          <cell r="S8"/>
          <cell r="T8"/>
          <cell r="U8">
            <v>3423</v>
          </cell>
          <cell r="V8">
            <v>46159</v>
          </cell>
          <cell r="W8">
            <v>0</v>
          </cell>
          <cell r="X8">
            <v>4125</v>
          </cell>
          <cell r="Y8"/>
          <cell r="AA8"/>
          <cell r="AB8"/>
          <cell r="AC8"/>
          <cell r="AD8"/>
          <cell r="AE8"/>
        </row>
        <row r="9">
          <cell r="A9">
            <v>5850</v>
          </cell>
          <cell r="B9"/>
          <cell r="C9">
            <v>-1830</v>
          </cell>
          <cell r="D9"/>
          <cell r="E9">
            <v>2194.2857142857142</v>
          </cell>
          <cell r="F9">
            <v>-1396.3636363636363</v>
          </cell>
          <cell r="G9" t="str">
            <v>Kế Hoạch Sản Xuất 
Production Planning
HANG ASSIC TACH 6MM, LAY 144MM</v>
          </cell>
          <cell r="H9">
            <v>-211124</v>
          </cell>
          <cell r="I9">
            <v>7680</v>
          </cell>
          <cell r="J9">
            <v>-7680</v>
          </cell>
          <cell r="K9"/>
          <cell r="L9"/>
          <cell r="M9">
            <v>-3840</v>
          </cell>
          <cell r="N9"/>
          <cell r="O9" t="str">
            <v>ppc/pur imp-chưa nhắc sx</v>
          </cell>
          <cell r="P9"/>
          <cell r="Q9">
            <v>45258</v>
          </cell>
          <cell r="R9"/>
          <cell r="S9"/>
          <cell r="T9"/>
          <cell r="U9"/>
          <cell r="V9"/>
          <cell r="Y9"/>
        </row>
        <row r="10">
          <cell r="A10" t="str">
            <v>NO.ORDER</v>
          </cell>
          <cell r="B10" t="str">
            <v xml:space="preserve">Firm plan </v>
          </cell>
          <cell r="C10" t="str">
            <v>NGÀY SX
Date of Producing</v>
          </cell>
          <cell r="D10" t="str">
            <v>PUR.NO</v>
          </cell>
          <cell r="E10" t="str">
            <v>Bun Code</v>
          </cell>
          <cell r="F10" t="str">
            <v>PU code</v>
          </cell>
          <cell r="G10" t="str">
            <v>TÊN SẢN PHẨM
Material Name
màu red của footjoy chạy  (CHẠY 16D, 35C)-PVN-003797</v>
          </cell>
          <cell r="H10" t="str">
            <v>SL 
Sheet</v>
          </cell>
          <cell r="I10" t="str">
            <v>SL bun cần Tách</v>
          </cell>
          <cell r="J10" t="str">
            <v>Sl bun cần Đổ</v>
          </cell>
          <cell r="K10" t="str">
            <v>Brand</v>
          </cell>
          <cell r="L10" t="str">
            <v>POV</v>
          </cell>
          <cell r="M10" t="str">
            <v>TYPE</v>
          </cell>
          <cell r="N10" t="str">
            <v>SL cần đổ
Qty need to pour
(bun)</v>
          </cell>
          <cell r="O10" t="str">
            <v>Ghi chú
Note</v>
          </cell>
          <cell r="P10" t="str">
            <v>Status</v>
          </cell>
          <cell r="Q10" t="str">
            <v>Ngày Sản xuất hoàn thành</v>
          </cell>
          <cell r="R10" t="str">
            <v>Ngày giao hàng
ETD</v>
          </cell>
          <cell r="S10" t="str">
            <v>ETD hệ thống</v>
          </cell>
          <cell r="T10" t="str">
            <v xml:space="preserve">LOAD </v>
          </cell>
          <cell r="U10" t="str">
            <v>Out put
Thực Đổ</v>
          </cell>
          <cell r="V10" t="str">
            <v>Còn lại</v>
          </cell>
          <cell r="W10" t="str">
            <v>Sl QC check</v>
          </cell>
          <cell r="X10" t="str">
            <v>Sl đã giao</v>
          </cell>
          <cell r="Y10" t="str">
            <v>Sl chưa giao</v>
          </cell>
          <cell r="Z10" t="str">
            <v>g</v>
          </cell>
          <cell r="AA10" t="str">
            <v>note 1</v>
          </cell>
          <cell r="AB10" t="str">
            <v>note 2</v>
          </cell>
          <cell r="AC10" t="str">
            <v>note 3</v>
          </cell>
          <cell r="AD10" t="str">
            <v>note 4</v>
          </cell>
          <cell r="AE10" t="str">
            <v>note 5</v>
          </cell>
        </row>
        <row r="11">
          <cell r="A11"/>
          <cell r="B11"/>
          <cell r="C11"/>
          <cell r="D11"/>
          <cell r="E11"/>
          <cell r="F11"/>
          <cell r="G11" t="str">
            <v>11/5-16/5</v>
          </cell>
          <cell r="H11"/>
          <cell r="I11"/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 t="b">
            <v>1</v>
          </cell>
          <cell r="AA11"/>
          <cell r="AB11"/>
          <cell r="AC11"/>
          <cell r="AD11"/>
          <cell r="AE11"/>
        </row>
        <row r="12">
          <cell r="A12" t="str">
            <v>F-2026-04-341</v>
          </cell>
          <cell r="B12" t="str">
            <v>RPRO-260428-1297</v>
          </cell>
          <cell r="C12" t="str">
            <v>11/5</v>
          </cell>
          <cell r="D12" t="str">
            <v>Pro.sche.report 24.4+25.4</v>
          </cell>
          <cell r="E12" t="str">
            <v>BDB-000156</v>
          </cell>
          <cell r="F12" t="str">
            <v>PVN-003243</v>
          </cell>
          <cell r="G12" t="str">
            <v>OrthoLite X-35-Hybrid-Nike AMAZON/18-6024TPX Hybrid Flat Sheet 0.145D 25+/-4 Asker C 1.1M 2M 5.2mm</v>
          </cell>
          <cell r="H12">
            <v>910</v>
          </cell>
          <cell r="I12">
            <v>35</v>
          </cell>
          <cell r="J12">
            <v>35</v>
          </cell>
          <cell r="K12" t="str">
            <v>NIKE</v>
          </cell>
          <cell r="L12" t="str">
            <v>Pr.Sch.R</v>
          </cell>
          <cell r="M12" t="str">
            <v>MOLDED</v>
          </cell>
          <cell r="N12">
            <v>35</v>
          </cell>
          <cell r="O12" t="str">
            <v>Đơn cũ W19</v>
          </cell>
          <cell r="P12" t="str">
            <v>ok</v>
          </cell>
          <cell r="Q12">
            <v>46153</v>
          </cell>
          <cell r="R12">
            <v>46155</v>
          </cell>
          <cell r="S12">
            <v>46156</v>
          </cell>
          <cell r="T12" t="str">
            <v/>
          </cell>
          <cell r="U12">
            <v>35</v>
          </cell>
          <cell r="V12">
            <v>0</v>
          </cell>
          <cell r="W12" t="b">
            <v>1</v>
          </cell>
          <cell r="X12">
            <v>0</v>
          </cell>
          <cell r="Y12">
            <v>910</v>
          </cell>
          <cell r="Z12" t="b">
            <v>0</v>
          </cell>
          <cell r="AA12">
            <v>1</v>
          </cell>
          <cell r="AB12"/>
          <cell r="AC12"/>
          <cell r="AD12"/>
          <cell r="AE12" t="e">
            <v>#VALUE!</v>
          </cell>
          <cell r="AF12">
            <v>35</v>
          </cell>
          <cell r="AG12" t="b">
            <v>1</v>
          </cell>
          <cell r="AH12" t="str">
            <v>BDB-000156</v>
          </cell>
          <cell r="AI12" t="b">
            <v>1</v>
          </cell>
        </row>
        <row r="13">
          <cell r="A13"/>
          <cell r="B13"/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>
            <v>0</v>
          </cell>
          <cell r="W13"/>
          <cell r="X13"/>
          <cell r="Y13"/>
          <cell r="Z13"/>
          <cell r="AA13">
            <v>1</v>
          </cell>
          <cell r="AB13"/>
          <cell r="AC13"/>
          <cell r="AD13"/>
        </row>
        <row r="14">
          <cell r="A14" t="str">
            <v>F-2026-05-39</v>
          </cell>
          <cell r="B14" t="str">
            <v>RPRO-260505-0678</v>
          </cell>
          <cell r="C14" t="str">
            <v>11/5</v>
          </cell>
          <cell r="D14" t="str">
            <v>Pro.sche.report 04.5</v>
          </cell>
          <cell r="E14" t="str">
            <v>BDB-000336</v>
          </cell>
          <cell r="F14" t="str">
            <v>PVN-004168</v>
          </cell>
          <cell r="G14" t="str">
            <v>OrthoLite X-40-Nike SEEDPEARL/12-0703TPX Flat Sheet 0.16D 35+/-4 Asker C 1.1M 2M 4.5mm</v>
          </cell>
          <cell r="H14">
            <v>186</v>
          </cell>
          <cell r="I14">
            <v>7</v>
          </cell>
          <cell r="J14">
            <v>7</v>
          </cell>
          <cell r="K14" t="str">
            <v>NIKE</v>
          </cell>
          <cell r="L14" t="str">
            <v>Pr.Sch.R</v>
          </cell>
          <cell r="M14" t="str">
            <v>MOLDED</v>
          </cell>
          <cell r="N14">
            <v>7</v>
          </cell>
          <cell r="O14" t="str">
            <v>Đơn cũ W19</v>
          </cell>
          <cell r="P14" t="str">
            <v>ok</v>
          </cell>
          <cell r="Q14">
            <v>46154</v>
          </cell>
          <cell r="R14">
            <v>46156</v>
          </cell>
          <cell r="S14">
            <v>46157</v>
          </cell>
          <cell r="T14" t="str">
            <v/>
          </cell>
          <cell r="U14">
            <v>7</v>
          </cell>
          <cell r="V14">
            <v>0</v>
          </cell>
          <cell r="W14" t="b">
            <v>1</v>
          </cell>
          <cell r="X14">
            <v>0</v>
          </cell>
          <cell r="Y14">
            <v>186</v>
          </cell>
          <cell r="Z14" t="b">
            <v>0</v>
          </cell>
          <cell r="AA14">
            <v>1</v>
          </cell>
          <cell r="AB14"/>
          <cell r="AC14"/>
          <cell r="AD14"/>
          <cell r="AE14" t="e">
            <v>#VALUE!</v>
          </cell>
          <cell r="AF14">
            <v>7</v>
          </cell>
          <cell r="AG14" t="b">
            <v>1</v>
          </cell>
          <cell r="AH14" t="str">
            <v>BDB-000336</v>
          </cell>
          <cell r="AI14" t="b">
            <v>1</v>
          </cell>
        </row>
        <row r="15">
          <cell r="A15"/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>
            <v>0</v>
          </cell>
          <cell r="W15"/>
          <cell r="X15"/>
          <cell r="Y15"/>
          <cell r="Z15"/>
          <cell r="AA15">
            <v>1</v>
          </cell>
          <cell r="AB15"/>
          <cell r="AC15"/>
          <cell r="AD15"/>
        </row>
        <row r="16">
          <cell r="A16" t="str">
            <v>OIN-2026.05.01-01</v>
          </cell>
          <cell r="B16" t="str">
            <v>RPRO-260507-0008</v>
          </cell>
          <cell r="C16" t="str">
            <v>11/5</v>
          </cell>
          <cell r="D16" t="str">
            <v>OIN</v>
          </cell>
          <cell r="E16" t="str">
            <v>BDB-000330</v>
          </cell>
          <cell r="F16" t="str">
            <v>PVN-004275</v>
          </cell>
          <cell r="G16" t="str">
            <v>[116-13102] X 40 25+/-4 Asker C 0.16D Castlerock 18-0201 Tpx 1.10M X 2.00M 47mm</v>
          </cell>
          <cell r="H16">
            <v>11</v>
          </cell>
          <cell r="I16">
            <v>4</v>
          </cell>
          <cell r="J16">
            <v>4</v>
          </cell>
          <cell r="K16" t="str">
            <v>CLARKS</v>
          </cell>
          <cell r="L16" t="str">
            <v>PO-7224</v>
          </cell>
          <cell r="M16" t="str">
            <v>FLAT SHEET</v>
          </cell>
          <cell r="N16">
            <v>4</v>
          </cell>
          <cell r="O16" t="str">
            <v xml:space="preserve"> Đơn cũ W19 - HANG Cont</v>
          </cell>
          <cell r="P16" t="str">
            <v>ok</v>
          </cell>
          <cell r="Q16">
            <v>46155</v>
          </cell>
          <cell r="R16">
            <v>46157</v>
          </cell>
          <cell r="S16">
            <v>46158</v>
          </cell>
          <cell r="T16">
            <v>46158</v>
          </cell>
          <cell r="U16">
            <v>4</v>
          </cell>
          <cell r="V16">
            <v>0</v>
          </cell>
          <cell r="W16" t="b">
            <v>1</v>
          </cell>
          <cell r="X16">
            <v>0</v>
          </cell>
          <cell r="Y16">
            <v>11</v>
          </cell>
          <cell r="Z16" t="b">
            <v>1</v>
          </cell>
          <cell r="AA16">
            <v>1</v>
          </cell>
          <cell r="AB16"/>
          <cell r="AC16"/>
          <cell r="AD16"/>
          <cell r="AE16" t="e">
            <v>#VALUE!</v>
          </cell>
          <cell r="AF16">
            <v>4</v>
          </cell>
          <cell r="AG16" t="b">
            <v>1</v>
          </cell>
          <cell r="AH16" t="str">
            <v>BDB-000330</v>
          </cell>
          <cell r="AI16" t="b">
            <v>1</v>
          </cell>
        </row>
        <row r="17">
          <cell r="A17"/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>
            <v>0</v>
          </cell>
          <cell r="W17"/>
          <cell r="X17"/>
          <cell r="Y17"/>
          <cell r="Z17"/>
          <cell r="AA17">
            <v>1</v>
          </cell>
          <cell r="AB17"/>
          <cell r="AC17"/>
          <cell r="AD17"/>
        </row>
        <row r="18">
          <cell r="A18" t="str">
            <v>OIN-2026.05.08-02</v>
          </cell>
          <cell r="B18" t="str">
            <v>RPRO-260511-0354</v>
          </cell>
          <cell r="C18" t="str">
            <v>11/5</v>
          </cell>
          <cell r="D18" t="str">
            <v>OIN</v>
          </cell>
          <cell r="E18" t="str">
            <v>BDB-000339</v>
          </cell>
          <cell r="F18" t="str">
            <v>PVN-004178</v>
          </cell>
          <cell r="G18" t="str">
            <v>[116-18286] Float 21+/-4 Asker C 0.12D Neutral Grey 17-4402 TPX 1.10M X 2.00M 5.5mm</v>
          </cell>
          <cell r="H18">
            <v>10</v>
          </cell>
          <cell r="I18">
            <v>1</v>
          </cell>
          <cell r="J18">
            <v>1</v>
          </cell>
          <cell r="K18" t="str">
            <v>Puma</v>
          </cell>
          <cell r="L18" t="str">
            <v>PO-7260-SO-260508-0173</v>
          </cell>
          <cell r="M18" t="str">
            <v>FLAT SHEET</v>
          </cell>
          <cell r="N18">
            <v>1</v>
          </cell>
          <cell r="O18" t="str">
            <v>HANG CONT_Đi máy bay_gấp, ưu tiên 1</v>
          </cell>
          <cell r="P18" t="str">
            <v>ok</v>
          </cell>
          <cell r="Q18">
            <v>46154</v>
          </cell>
          <cell r="R18">
            <v>46156</v>
          </cell>
          <cell r="S18">
            <v>46157</v>
          </cell>
          <cell r="T18" t="str">
            <v>l1</v>
          </cell>
          <cell r="U18">
            <v>1</v>
          </cell>
          <cell r="V18">
            <v>0</v>
          </cell>
          <cell r="W18" t="b">
            <v>1</v>
          </cell>
          <cell r="X18">
            <v>0</v>
          </cell>
          <cell r="Y18">
            <v>10</v>
          </cell>
          <cell r="Z18" t="b">
            <v>1</v>
          </cell>
          <cell r="AA18">
            <v>1</v>
          </cell>
          <cell r="AB18"/>
          <cell r="AC18"/>
          <cell r="AD18"/>
          <cell r="AE18" t="e">
            <v>#VALUE!</v>
          </cell>
          <cell r="AF18">
            <v>1</v>
          </cell>
          <cell r="AG18" t="b">
            <v>1</v>
          </cell>
          <cell r="AH18" t="str">
            <v>BDB-000339</v>
          </cell>
          <cell r="AI18" t="b">
            <v>1</v>
          </cell>
        </row>
        <row r="19">
          <cell r="A19"/>
          <cell r="B19"/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>
            <v>0</v>
          </cell>
          <cell r="W19"/>
          <cell r="X19"/>
          <cell r="Y19"/>
          <cell r="Z19"/>
          <cell r="AA19">
            <v>1</v>
          </cell>
          <cell r="AB19"/>
          <cell r="AC19"/>
          <cell r="AD19"/>
          <cell r="AE19"/>
        </row>
        <row r="20">
          <cell r="A20" t="str">
            <v>F-2026-05-35</v>
          </cell>
          <cell r="B20" t="str">
            <v>RPRO-260505-0674</v>
          </cell>
          <cell r="C20" t="str">
            <v>11/5</v>
          </cell>
          <cell r="D20" t="str">
            <v>Pro.sche.report 04.5</v>
          </cell>
          <cell r="E20" t="str">
            <v>BDB-000054</v>
          </cell>
          <cell r="F20" t="str">
            <v>PVN-003895</v>
          </cell>
          <cell r="G20" t="str">
            <v>OrthoLite X-40 RED/19-1764TPX Flat Sheet 0.16D 25+/-4 Asker C 1.1M 1.7M 5mm</v>
          </cell>
          <cell r="H20">
            <v>28</v>
          </cell>
          <cell r="I20">
            <v>1</v>
          </cell>
          <cell r="J20">
            <v>1</v>
          </cell>
          <cell r="K20" t="str">
            <v>PAYNTR</v>
          </cell>
          <cell r="L20" t="str">
            <v>Pr.Sch.R</v>
          </cell>
          <cell r="M20" t="str">
            <v>MOLDED</v>
          </cell>
          <cell r="N20">
            <v>5</v>
          </cell>
          <cell r="O20"/>
          <cell r="P20" t="str">
            <v>ok</v>
          </cell>
          <cell r="Q20">
            <v>46154</v>
          </cell>
          <cell r="R20">
            <v>46156</v>
          </cell>
          <cell r="S20">
            <v>46157</v>
          </cell>
          <cell r="T20" t="str">
            <v>l1</v>
          </cell>
          <cell r="U20">
            <v>5</v>
          </cell>
          <cell r="V20">
            <v>0</v>
          </cell>
          <cell r="W20" t="b">
            <v>1</v>
          </cell>
          <cell r="X20">
            <v>0</v>
          </cell>
          <cell r="Y20">
            <v>28</v>
          </cell>
          <cell r="Z20" t="b">
            <v>0</v>
          </cell>
          <cell r="AA20">
            <v>1</v>
          </cell>
          <cell r="AB20"/>
          <cell r="AC20"/>
          <cell r="AD20"/>
          <cell r="AE20" t="e">
            <v>#VALUE!</v>
          </cell>
          <cell r="AF20">
            <v>1</v>
          </cell>
          <cell r="AG20" t="b">
            <v>1</v>
          </cell>
          <cell r="AH20" t="str">
            <v>BDB-000054</v>
          </cell>
          <cell r="AI20" t="b">
            <v>1</v>
          </cell>
        </row>
        <row r="21">
          <cell r="A21" t="str">
            <v>F-2026-05-79</v>
          </cell>
          <cell r="B21" t="str">
            <v>RPRO-260506-0360</v>
          </cell>
          <cell r="C21" t="str">
            <v>11/5</v>
          </cell>
          <cell r="D21" t="str">
            <v>Pro.sche.report 05.05</v>
          </cell>
          <cell r="E21" t="str">
            <v>BDB-000054</v>
          </cell>
          <cell r="F21" t="str">
            <v>PVN-003895</v>
          </cell>
          <cell r="G21" t="str">
            <v>OrthoLite X-40 RED/19-1764TPX Flat Sheet 0.16D 25+/-4 Asker C 1.1M 1.7M 5mm</v>
          </cell>
          <cell r="H21">
            <v>112</v>
          </cell>
          <cell r="I21">
            <v>4</v>
          </cell>
          <cell r="J21">
            <v>4</v>
          </cell>
          <cell r="K21" t="str">
            <v>PAYNTR</v>
          </cell>
          <cell r="L21" t="str">
            <v>Pr.Sch.R</v>
          </cell>
          <cell r="M21" t="str">
            <v>MOLDED</v>
          </cell>
          <cell r="N21"/>
          <cell r="O21" t="str">
            <v>ppc/pur imp-imp ht</v>
          </cell>
          <cell r="P21" t="str">
            <v>ok</v>
          </cell>
          <cell r="Q21">
            <v>46156</v>
          </cell>
          <cell r="R21">
            <v>46156</v>
          </cell>
          <cell r="S21">
            <v>46158</v>
          </cell>
          <cell r="T21" t="str">
            <v>l1</v>
          </cell>
          <cell r="U21"/>
          <cell r="V21">
            <v>0</v>
          </cell>
          <cell r="W21" t="b">
            <v>1</v>
          </cell>
          <cell r="X21">
            <v>0</v>
          </cell>
          <cell r="Y21">
            <v>112</v>
          </cell>
          <cell r="Z21" t="b">
            <v>0</v>
          </cell>
          <cell r="AA21">
            <v>1</v>
          </cell>
          <cell r="AB21"/>
          <cell r="AC21"/>
          <cell r="AD21"/>
          <cell r="AE21" t="e">
            <v>#VALUE!</v>
          </cell>
          <cell r="AF21">
            <v>4</v>
          </cell>
          <cell r="AG21" t="b">
            <v>1</v>
          </cell>
          <cell r="AH21" t="str">
            <v>BDB-000054</v>
          </cell>
          <cell r="AI21" t="b">
            <v>1</v>
          </cell>
        </row>
        <row r="22">
          <cell r="A22"/>
          <cell r="B22"/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>
            <v>0</v>
          </cell>
          <cell r="W22"/>
          <cell r="X22"/>
          <cell r="Y22"/>
          <cell r="Z22"/>
          <cell r="AA22">
            <v>1</v>
          </cell>
          <cell r="AB22"/>
          <cell r="AC22"/>
          <cell r="AD22"/>
          <cell r="AE22"/>
        </row>
        <row r="23">
          <cell r="A23" t="str">
            <v>F-2026-05-18</v>
          </cell>
          <cell r="B23" t="str">
            <v>RPRO-260504-0930</v>
          </cell>
          <cell r="C23" t="str">
            <v>11/5</v>
          </cell>
          <cell r="D23" t="str">
            <v>Pro.sche.report 29.04+02.05</v>
          </cell>
          <cell r="E23" t="str">
            <v>BDB-000212</v>
          </cell>
          <cell r="F23" t="str">
            <v>PVN-003764</v>
          </cell>
          <cell r="G23" t="str">
            <v>OrthoLite X-25-Hybrid SEEDPEARL/12-0703TPX Hybrid Flat Sheet 0.12D 20+/-4 Asker C 1.1M 2M 5mm</v>
          </cell>
          <cell r="H23">
            <v>84</v>
          </cell>
          <cell r="I23">
            <v>3</v>
          </cell>
          <cell r="J23">
            <v>3</v>
          </cell>
          <cell r="K23" t="str">
            <v>FOOTJOY</v>
          </cell>
          <cell r="L23" t="str">
            <v>Pr.Sch.R</v>
          </cell>
          <cell r="M23" t="str">
            <v>OTHERS</v>
          </cell>
          <cell r="N23">
            <v>5</v>
          </cell>
          <cell r="O23"/>
          <cell r="P23"/>
          <cell r="Q23">
            <v>46154</v>
          </cell>
          <cell r="R23">
            <v>46156</v>
          </cell>
          <cell r="S23">
            <v>46157</v>
          </cell>
          <cell r="T23" t="str">
            <v>l1</v>
          </cell>
          <cell r="U23"/>
          <cell r="V23">
            <v>-5</v>
          </cell>
          <cell r="W23" t="b">
            <v>1</v>
          </cell>
          <cell r="X23">
            <v>0</v>
          </cell>
          <cell r="Y23">
            <v>84</v>
          </cell>
          <cell r="Z23" t="b">
            <v>0</v>
          </cell>
          <cell r="AA23">
            <v>1</v>
          </cell>
          <cell r="AB23"/>
          <cell r="AC23"/>
          <cell r="AD23"/>
          <cell r="AE23" t="e">
            <v>#VALUE!</v>
          </cell>
          <cell r="AF23">
            <v>3</v>
          </cell>
          <cell r="AG23" t="b">
            <v>1</v>
          </cell>
          <cell r="AH23" t="str">
            <v>BDB-000212</v>
          </cell>
          <cell r="AI23" t="b">
            <v>1</v>
          </cell>
        </row>
        <row r="24">
          <cell r="A24" t="str">
            <v>F-2026-05-96</v>
          </cell>
          <cell r="B24" t="str">
            <v>RPRO-260507-0672</v>
          </cell>
          <cell r="C24" t="str">
            <v>11/5</v>
          </cell>
          <cell r="D24" t="str">
            <v>Pro.sche.report 06.05</v>
          </cell>
          <cell r="E24" t="str">
            <v>BDB-000212</v>
          </cell>
          <cell r="F24" t="str">
            <v>PVN-003458</v>
          </cell>
          <cell r="G24" t="str">
            <v>OrthoLite X-25-Hybrid SEEDPEARL/12-0703TPX Hybrid Flat Sheet 0.12D 20+/-4 Asker C 1.1M 2M 4mm</v>
          </cell>
          <cell r="H24">
            <v>70</v>
          </cell>
          <cell r="I24">
            <v>2</v>
          </cell>
          <cell r="J24">
            <v>2</v>
          </cell>
          <cell r="K24" t="str">
            <v>ON RUNNING</v>
          </cell>
          <cell r="L24" t="str">
            <v>Pr.Sch.R</v>
          </cell>
          <cell r="M24" t="str">
            <v>DIE CUT</v>
          </cell>
          <cell r="N24"/>
          <cell r="O24"/>
          <cell r="P24"/>
          <cell r="Q24">
            <v>46161</v>
          </cell>
          <cell r="R24">
            <v>46163</v>
          </cell>
          <cell r="S24">
            <v>46164</v>
          </cell>
          <cell r="T24" t="str">
            <v>l1</v>
          </cell>
          <cell r="U24"/>
          <cell r="V24">
            <v>0</v>
          </cell>
          <cell r="W24" t="b">
            <v>1</v>
          </cell>
          <cell r="X24">
            <v>0</v>
          </cell>
          <cell r="Y24">
            <v>70</v>
          </cell>
          <cell r="Z24" t="b">
            <v>1</v>
          </cell>
          <cell r="AA24">
            <v>1</v>
          </cell>
          <cell r="AB24"/>
          <cell r="AC24"/>
          <cell r="AD24"/>
          <cell r="AE24" t="e">
            <v>#VALUE!</v>
          </cell>
          <cell r="AF24">
            <v>2</v>
          </cell>
          <cell r="AG24" t="b">
            <v>1</v>
          </cell>
          <cell r="AH24" t="str">
            <v>BDB-000212</v>
          </cell>
          <cell r="AI24" t="b">
            <v>1</v>
          </cell>
        </row>
        <row r="25">
          <cell r="A25"/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>
            <v>0</v>
          </cell>
          <cell r="W25"/>
          <cell r="X25"/>
          <cell r="Y25"/>
          <cell r="Z25"/>
          <cell r="AA25">
            <v>1</v>
          </cell>
          <cell r="AB25"/>
          <cell r="AC25"/>
          <cell r="AD25"/>
          <cell r="AE25"/>
        </row>
        <row r="26">
          <cell r="A26" t="str">
            <v>F-2026-05-80</v>
          </cell>
          <cell r="B26" t="str">
            <v>RPRO-260506-0361</v>
          </cell>
          <cell r="C26" t="str">
            <v>11/5</v>
          </cell>
          <cell r="D26" t="str">
            <v>Pro.sche.report 05.05</v>
          </cell>
          <cell r="E26" t="str">
            <v>BDB-000157</v>
          </cell>
          <cell r="F26" t="str">
            <v>PVN-003642</v>
          </cell>
          <cell r="G26" t="str">
            <v>OrthoLite X-35-Hybrid-Nike SEEDPEARL/12-0703TPX Hybrid Flat Sheet 0.145D 25+/-4 Asker C 1.1M 2M 6.2mm</v>
          </cell>
          <cell r="H26">
            <v>22</v>
          </cell>
          <cell r="I26">
            <v>1</v>
          </cell>
          <cell r="J26">
            <v>1</v>
          </cell>
          <cell r="K26" t="str">
            <v>NIKE</v>
          </cell>
          <cell r="L26" t="str">
            <v>Pr.Sch.R</v>
          </cell>
          <cell r="M26" t="str">
            <v>MOLDED</v>
          </cell>
          <cell r="N26">
            <v>20</v>
          </cell>
          <cell r="O26"/>
          <cell r="P26" t="str">
            <v>ok</v>
          </cell>
          <cell r="Q26">
            <v>46154</v>
          </cell>
          <cell r="R26">
            <v>46156</v>
          </cell>
          <cell r="S26">
            <v>46157</v>
          </cell>
          <cell r="T26" t="str">
            <v>l1</v>
          </cell>
          <cell r="U26">
            <v>20</v>
          </cell>
          <cell r="V26">
            <v>0</v>
          </cell>
          <cell r="W26" t="b">
            <v>1</v>
          </cell>
          <cell r="X26">
            <v>0</v>
          </cell>
          <cell r="Y26">
            <v>22</v>
          </cell>
          <cell r="Z26" t="b">
            <v>0</v>
          </cell>
          <cell r="AA26">
            <v>1</v>
          </cell>
          <cell r="AB26"/>
          <cell r="AC26"/>
          <cell r="AD26"/>
          <cell r="AE26" t="e">
            <v>#VALUE!</v>
          </cell>
          <cell r="AF26">
            <v>1</v>
          </cell>
          <cell r="AG26" t="b">
            <v>1</v>
          </cell>
          <cell r="AH26" t="str">
            <v>BDB-000157</v>
          </cell>
          <cell r="AI26" t="b">
            <v>1</v>
          </cell>
        </row>
        <row r="27">
          <cell r="A27" t="str">
            <v>F-2026-05-105</v>
          </cell>
          <cell r="B27" t="str">
            <v>RPRO-260508-0416</v>
          </cell>
          <cell r="C27" t="str">
            <v>11/5</v>
          </cell>
          <cell r="D27" t="str">
            <v>Pro.sche.report 07.5</v>
          </cell>
          <cell r="E27" t="str">
            <v>BDB-000157</v>
          </cell>
          <cell r="F27" t="str">
            <v>PVN-003642</v>
          </cell>
          <cell r="G27" t="str">
            <v>OrthoLite X-35-Hybrid-Nike SEEDPEARL/12-0703TPX Hybrid Flat Sheet 0.145D 25+/-4 Asker C 1.1M 2M 6.2mm</v>
          </cell>
          <cell r="H27">
            <v>418</v>
          </cell>
          <cell r="I27">
            <v>19</v>
          </cell>
          <cell r="J27">
            <v>19</v>
          </cell>
          <cell r="K27" t="str">
            <v>NIKE</v>
          </cell>
          <cell r="L27" t="str">
            <v>Pr.Sch.R</v>
          </cell>
          <cell r="M27" t="str">
            <v>MOLDED</v>
          </cell>
          <cell r="N27"/>
          <cell r="O27" t="str">
            <v>ppc/pur imp-đã nhắc sx</v>
          </cell>
          <cell r="P27" t="str">
            <v>ok</v>
          </cell>
          <cell r="Q27">
            <v>46157</v>
          </cell>
          <cell r="R27">
            <v>46159</v>
          </cell>
          <cell r="S27">
            <v>46160</v>
          </cell>
          <cell r="T27" t="str">
            <v>l1</v>
          </cell>
          <cell r="U27"/>
          <cell r="V27">
            <v>0</v>
          </cell>
          <cell r="W27" t="b">
            <v>1</v>
          </cell>
          <cell r="X27">
            <v>0</v>
          </cell>
          <cell r="Y27">
            <v>418</v>
          </cell>
          <cell r="Z27" t="b">
            <v>1</v>
          </cell>
          <cell r="AA27">
            <v>1</v>
          </cell>
          <cell r="AB27"/>
          <cell r="AC27"/>
          <cell r="AD27"/>
          <cell r="AE27" t="e">
            <v>#VALUE!</v>
          </cell>
          <cell r="AF27">
            <v>19</v>
          </cell>
          <cell r="AG27" t="b">
            <v>1</v>
          </cell>
          <cell r="AH27" t="str">
            <v>BDB-000157</v>
          </cell>
          <cell r="AI27" t="b">
            <v>1</v>
          </cell>
        </row>
        <row r="28">
          <cell r="A28"/>
          <cell r="B28"/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>
            <v>0</v>
          </cell>
          <cell r="W28"/>
          <cell r="X28"/>
          <cell r="Y28"/>
          <cell r="Z28"/>
          <cell r="AA28">
            <v>1</v>
          </cell>
          <cell r="AB28"/>
          <cell r="AC28"/>
          <cell r="AD28"/>
          <cell r="AE28"/>
        </row>
        <row r="29">
          <cell r="A29" t="str">
            <v>F-2026-04-349</v>
          </cell>
          <cell r="B29" t="str">
            <v>RPRO-260428-1305</v>
          </cell>
          <cell r="C29" t="str">
            <v>11/5</v>
          </cell>
          <cell r="D29" t="str">
            <v>Pro.sche.report 24.4+25.4</v>
          </cell>
          <cell r="E29" t="str">
            <v>BDB-000076</v>
          </cell>
          <cell r="F29" t="str">
            <v>PVN-003494</v>
          </cell>
          <cell r="G29" t="str">
            <v>OrthoLite X-25 BILLIARD/16-5427TPX Flat Sheet 0.12D 20+/-4 Asker C 1.1M 2M 5.5mm</v>
          </cell>
          <cell r="H29">
            <v>25</v>
          </cell>
          <cell r="I29">
            <v>1</v>
          </cell>
          <cell r="J29">
            <v>1</v>
          </cell>
          <cell r="K29" t="str">
            <v>LOTTO</v>
          </cell>
          <cell r="L29" t="str">
            <v>Pr.Sch.R</v>
          </cell>
          <cell r="M29" t="str">
            <v>MOLDED</v>
          </cell>
          <cell r="N29">
            <v>44</v>
          </cell>
          <cell r="O29"/>
          <cell r="P29" t="str">
            <v>ok</v>
          </cell>
          <cell r="Q29">
            <v>46154</v>
          </cell>
          <cell r="R29">
            <v>46156</v>
          </cell>
          <cell r="S29">
            <v>46157</v>
          </cell>
          <cell r="T29" t="str">
            <v>l1</v>
          </cell>
          <cell r="U29">
            <v>67</v>
          </cell>
          <cell r="V29">
            <v>23</v>
          </cell>
          <cell r="W29" t="b">
            <v>1</v>
          </cell>
          <cell r="X29">
            <v>0</v>
          </cell>
          <cell r="Y29">
            <v>25</v>
          </cell>
          <cell r="Z29" t="b">
            <v>0</v>
          </cell>
          <cell r="AA29">
            <v>1</v>
          </cell>
          <cell r="AB29"/>
          <cell r="AC29"/>
          <cell r="AD29"/>
          <cell r="AE29" t="e">
            <v>#VALUE!</v>
          </cell>
          <cell r="AF29">
            <v>1</v>
          </cell>
          <cell r="AG29" t="b">
            <v>1</v>
          </cell>
          <cell r="AH29" t="str">
            <v>BDB-000076</v>
          </cell>
          <cell r="AI29" t="b">
            <v>1</v>
          </cell>
        </row>
        <row r="30">
          <cell r="A30" t="str">
            <v>F-2026-04-340</v>
          </cell>
          <cell r="B30" t="str">
            <v>RPRO-260428-1296</v>
          </cell>
          <cell r="C30" t="str">
            <v>11/5</v>
          </cell>
          <cell r="D30" t="str">
            <v>Pro.sche.report 24.4+25.4</v>
          </cell>
          <cell r="E30" t="str">
            <v>BDB-000076</v>
          </cell>
          <cell r="F30" t="str">
            <v>PVN-004091</v>
          </cell>
          <cell r="G30" t="str">
            <v>OrthoLite X-25 BILLIARD/16-5427TPX Flat Sheet 0.12D 20+/-4 Asker C 1.1M 2M 3.5mm</v>
          </cell>
          <cell r="H30">
            <v>40</v>
          </cell>
          <cell r="I30">
            <v>1</v>
          </cell>
          <cell r="J30">
            <v>1</v>
          </cell>
          <cell r="K30" t="str">
            <v>BROOKS</v>
          </cell>
          <cell r="L30" t="str">
            <v>Pr.Sch.R</v>
          </cell>
          <cell r="M30" t="str">
            <v>MOLDED</v>
          </cell>
          <cell r="N30"/>
          <cell r="O30"/>
          <cell r="P30" t="str">
            <v>ok</v>
          </cell>
          <cell r="Q30">
            <v>46156</v>
          </cell>
          <cell r="R30">
            <v>46158</v>
          </cell>
          <cell r="S30">
            <v>46160</v>
          </cell>
          <cell r="T30" t="str">
            <v>l1</v>
          </cell>
          <cell r="U30"/>
          <cell r="V30">
            <v>0</v>
          </cell>
          <cell r="W30" t="b">
            <v>1</v>
          </cell>
          <cell r="X30">
            <v>0</v>
          </cell>
          <cell r="Y30">
            <v>40</v>
          </cell>
          <cell r="Z30" t="b">
            <v>1</v>
          </cell>
          <cell r="AA30">
            <v>1</v>
          </cell>
          <cell r="AB30"/>
          <cell r="AC30"/>
          <cell r="AD30"/>
          <cell r="AE30" t="e">
            <v>#VALUE!</v>
          </cell>
          <cell r="AF30">
            <v>1</v>
          </cell>
          <cell r="AG30" t="b">
            <v>1</v>
          </cell>
          <cell r="AH30" t="str">
            <v>BDB-000076</v>
          </cell>
          <cell r="AI30" t="b">
            <v>1</v>
          </cell>
        </row>
        <row r="31">
          <cell r="A31" t="str">
            <v>F-2026-05-25</v>
          </cell>
          <cell r="B31" t="str">
            <v>RPRO-260504-0937</v>
          </cell>
          <cell r="C31" t="str">
            <v>11/5</v>
          </cell>
          <cell r="D31" t="str">
            <v>Pro.sche.report 29.04+02.05</v>
          </cell>
          <cell r="E31" t="str">
            <v>BDB-000076</v>
          </cell>
          <cell r="F31" t="str">
            <v>PVN-003341</v>
          </cell>
          <cell r="G31" t="str">
            <v>OrthoLite X-25 BILLIARD/16-5427TPX Flat Sheet 0.12D 20+/-4 Asker C 1.1M 2M 6mm</v>
          </cell>
          <cell r="H31">
            <v>92</v>
          </cell>
          <cell r="I31">
            <v>5</v>
          </cell>
          <cell r="J31">
            <v>5</v>
          </cell>
          <cell r="K31" t="str">
            <v>LOTTO</v>
          </cell>
          <cell r="L31" t="str">
            <v>Pr.Sch.R</v>
          </cell>
          <cell r="M31" t="str">
            <v>MOLDED</v>
          </cell>
          <cell r="N31"/>
          <cell r="O31"/>
          <cell r="P31" t="str">
            <v>ok</v>
          </cell>
          <cell r="Q31">
            <v>46158</v>
          </cell>
          <cell r="R31">
            <v>46160</v>
          </cell>
          <cell r="S31">
            <v>46161</v>
          </cell>
          <cell r="T31" t="str">
            <v>l1</v>
          </cell>
          <cell r="U31"/>
          <cell r="V31">
            <v>0</v>
          </cell>
          <cell r="W31" t="b">
            <v>1</v>
          </cell>
          <cell r="X31">
            <v>0</v>
          </cell>
          <cell r="Y31">
            <v>92</v>
          </cell>
          <cell r="Z31" t="b">
            <v>1</v>
          </cell>
          <cell r="AA31">
            <v>1</v>
          </cell>
          <cell r="AB31"/>
          <cell r="AC31"/>
          <cell r="AD31"/>
          <cell r="AE31" t="e">
            <v>#VALUE!</v>
          </cell>
          <cell r="AF31">
            <v>5</v>
          </cell>
          <cell r="AG31" t="b">
            <v>1</v>
          </cell>
          <cell r="AH31" t="str">
            <v>BDB-000076</v>
          </cell>
          <cell r="AI31" t="b">
            <v>1</v>
          </cell>
        </row>
        <row r="32">
          <cell r="A32" t="str">
            <v>F-2026-05-11</v>
          </cell>
          <cell r="B32" t="str">
            <v>RPRO-260504-0923</v>
          </cell>
          <cell r="C32" t="str">
            <v>11/5-12/5</v>
          </cell>
          <cell r="D32" t="str">
            <v>Pro.sche.report 29.04+02.05</v>
          </cell>
          <cell r="E32" t="str">
            <v>BDB-000076</v>
          </cell>
          <cell r="F32" t="str">
            <v>PVN-003448</v>
          </cell>
          <cell r="G32" t="str">
            <v>OrthoLite X-25 BILLIARD/16-5427TPX Flat Sheet 0.12D 20+/-4 Asker C 1.1M 2M 6.2mm</v>
          </cell>
          <cell r="H32">
            <v>814</v>
          </cell>
          <cell r="I32">
            <v>37</v>
          </cell>
          <cell r="J32">
            <v>37</v>
          </cell>
          <cell r="K32" t="str">
            <v>ADIDAS</v>
          </cell>
          <cell r="L32" t="str">
            <v>Pr.Sch.R</v>
          </cell>
          <cell r="M32" t="str">
            <v>MOLDED</v>
          </cell>
          <cell r="N32"/>
          <cell r="O32"/>
          <cell r="P32" t="str">
            <v>ok</v>
          </cell>
          <cell r="Q32">
            <v>46158</v>
          </cell>
          <cell r="R32">
            <v>46160</v>
          </cell>
          <cell r="S32">
            <v>46161</v>
          </cell>
          <cell r="T32" t="str">
            <v>l1</v>
          </cell>
          <cell r="U32"/>
          <cell r="V32">
            <v>0</v>
          </cell>
          <cell r="W32" t="b">
            <v>1</v>
          </cell>
          <cell r="X32">
            <v>0</v>
          </cell>
          <cell r="Y32">
            <v>814</v>
          </cell>
          <cell r="Z32" t="b">
            <v>1</v>
          </cell>
          <cell r="AA32">
            <v>1</v>
          </cell>
          <cell r="AB32"/>
          <cell r="AC32"/>
          <cell r="AD32"/>
          <cell r="AE32" t="e">
            <v>#VALUE!</v>
          </cell>
          <cell r="AF32">
            <v>37</v>
          </cell>
          <cell r="AG32" t="b">
            <v>1</v>
          </cell>
          <cell r="AH32" t="str">
            <v>BDB-000076</v>
          </cell>
          <cell r="AI32" t="b">
            <v>1</v>
          </cell>
        </row>
        <row r="33">
          <cell r="A33"/>
          <cell r="B33"/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>
            <v>0</v>
          </cell>
          <cell r="W33"/>
          <cell r="X33"/>
          <cell r="Y33"/>
          <cell r="Z33"/>
          <cell r="AA33">
            <v>1</v>
          </cell>
          <cell r="AB33"/>
          <cell r="AC33"/>
          <cell r="AD33"/>
          <cell r="AE33"/>
        </row>
        <row r="34">
          <cell r="A34" t="str">
            <v>F-2026-04-342-1</v>
          </cell>
          <cell r="B34" t="str">
            <v>RPRO-260428-1298</v>
          </cell>
          <cell r="C34" t="str">
            <v>12/5</v>
          </cell>
          <cell r="D34" t="str">
            <v>Pro.sche.report 24.4+25.4</v>
          </cell>
          <cell r="E34" t="str">
            <v>BDB-000339</v>
          </cell>
          <cell r="F34" t="str">
            <v>PVN-004178</v>
          </cell>
          <cell r="G34" t="str">
            <v>OrthoLite Float NEUTRAL GRAY/17-4402TPX Flat Sheet 0.12D 21+/-4 Asker C 1.1M 2M 5.5mm</v>
          </cell>
          <cell r="H34">
            <v>500</v>
          </cell>
          <cell r="I34">
            <v>20</v>
          </cell>
          <cell r="J34">
            <v>20</v>
          </cell>
          <cell r="K34" t="str">
            <v>PUMA</v>
          </cell>
          <cell r="L34" t="str">
            <v>Pr.Sch.R</v>
          </cell>
          <cell r="M34" t="str">
            <v>MOLDED</v>
          </cell>
          <cell r="N34">
            <v>139</v>
          </cell>
          <cell r="O34"/>
          <cell r="P34" t="str">
            <v>ok</v>
          </cell>
          <cell r="Q34">
            <v>46155</v>
          </cell>
          <cell r="R34">
            <v>46157</v>
          </cell>
          <cell r="S34">
            <v>46158</v>
          </cell>
          <cell r="T34" t="str">
            <v>l1</v>
          </cell>
          <cell r="U34">
            <v>139</v>
          </cell>
          <cell r="V34">
            <v>0</v>
          </cell>
          <cell r="W34" t="b">
            <v>1</v>
          </cell>
          <cell r="X34">
            <v>0</v>
          </cell>
          <cell r="Y34">
            <v>500</v>
          </cell>
          <cell r="Z34" t="b">
            <v>0</v>
          </cell>
          <cell r="AA34">
            <v>1</v>
          </cell>
          <cell r="AB34"/>
          <cell r="AC34"/>
          <cell r="AD34"/>
          <cell r="AE34" t="e">
            <v>#VALUE!</v>
          </cell>
          <cell r="AF34">
            <v>20</v>
          </cell>
          <cell r="AG34" t="b">
            <v>1</v>
          </cell>
          <cell r="AH34" t="str">
            <v>BDB-000339</v>
          </cell>
          <cell r="AI34" t="b">
            <v>1</v>
          </cell>
        </row>
        <row r="35">
          <cell r="A35" t="str">
            <v>F-2026-04-342-2</v>
          </cell>
          <cell r="B35" t="str">
            <v>RPRO-260509-0212</v>
          </cell>
          <cell r="C35" t="str">
            <v>12/5</v>
          </cell>
          <cell r="D35" t="str">
            <v>Pro.sche.report 24.4+25.4</v>
          </cell>
          <cell r="E35" t="str">
            <v>BDB-000339</v>
          </cell>
          <cell r="F35" t="str">
            <v>PVN-004178</v>
          </cell>
          <cell r="G35" t="str">
            <v>OrthoLite Float NEUTRAL GRAY/17-4402TPX Flat Sheet 0.12D 21+/-4 Asker C 1.1M 2M 5.5mm</v>
          </cell>
          <cell r="H35">
            <v>675</v>
          </cell>
          <cell r="I35">
            <v>27</v>
          </cell>
          <cell r="J35">
            <v>27</v>
          </cell>
          <cell r="K35" t="str">
            <v>PUMA</v>
          </cell>
          <cell r="L35" t="str">
            <v>Pr.Sch.R</v>
          </cell>
          <cell r="M35" t="str">
            <v>MOLDED</v>
          </cell>
          <cell r="N35"/>
          <cell r="O35"/>
          <cell r="P35" t="str">
            <v>ok</v>
          </cell>
          <cell r="Q35">
            <v>46155</v>
          </cell>
          <cell r="R35">
            <v>46157</v>
          </cell>
          <cell r="S35">
            <v>46158</v>
          </cell>
          <cell r="T35" t="str">
            <v>l1</v>
          </cell>
          <cell r="U35"/>
          <cell r="V35">
            <v>0</v>
          </cell>
          <cell r="W35" t="b">
            <v>1</v>
          </cell>
          <cell r="X35">
            <v>0</v>
          </cell>
          <cell r="Y35">
            <v>675</v>
          </cell>
          <cell r="Z35" t="b">
            <v>0</v>
          </cell>
          <cell r="AA35">
            <v>1</v>
          </cell>
          <cell r="AB35"/>
          <cell r="AC35"/>
          <cell r="AD35"/>
          <cell r="AE35" t="e">
            <v>#VALUE!</v>
          </cell>
          <cell r="AF35">
            <v>27</v>
          </cell>
          <cell r="AG35" t="b">
            <v>1</v>
          </cell>
          <cell r="AH35" t="str">
            <v>BDB-000339</v>
          </cell>
          <cell r="AI35" t="b">
            <v>1</v>
          </cell>
        </row>
        <row r="36">
          <cell r="A36" t="str">
            <v>OIN-2026.05.08-01</v>
          </cell>
          <cell r="B36" t="str">
            <v>RPRO-260511-0353</v>
          </cell>
          <cell r="C36" t="str">
            <v>12/5</v>
          </cell>
          <cell r="D36" t="str">
            <v>OIN</v>
          </cell>
          <cell r="E36" t="str">
            <v>BDB-000339</v>
          </cell>
          <cell r="F36" t="str">
            <v>PVN-004411</v>
          </cell>
          <cell r="G36" t="str">
            <v>[116-18285] Float 21+/-4 Asker C 0.12D Neutral Grey 17-4402 TPX 1.10M X 2.00M 47mm</v>
          </cell>
          <cell r="H36">
            <v>10</v>
          </cell>
          <cell r="I36">
            <v>4</v>
          </cell>
          <cell r="J36">
            <v>4</v>
          </cell>
          <cell r="K36" t="str">
            <v>Puma</v>
          </cell>
          <cell r="L36" t="str">
            <v>PO-7260-SO-260508-0172</v>
          </cell>
          <cell r="M36" t="str">
            <v>FLAT SHEET</v>
          </cell>
          <cell r="N36"/>
          <cell r="O36" t="str">
            <v>HANG CONT</v>
          </cell>
          <cell r="P36" t="str">
            <v>ok</v>
          </cell>
          <cell r="Q36">
            <v>46155</v>
          </cell>
          <cell r="R36">
            <v>46157</v>
          </cell>
          <cell r="S36">
            <v>46158</v>
          </cell>
          <cell r="T36" t="str">
            <v>l1</v>
          </cell>
          <cell r="U36"/>
          <cell r="V36">
            <v>0</v>
          </cell>
          <cell r="W36" t="str">
            <v/>
          </cell>
          <cell r="X36">
            <v>0</v>
          </cell>
          <cell r="Y36">
            <v>10</v>
          </cell>
          <cell r="Z36" t="b">
            <v>1</v>
          </cell>
          <cell r="AA36">
            <v>1</v>
          </cell>
          <cell r="AB36"/>
          <cell r="AC36"/>
          <cell r="AD36"/>
          <cell r="AE36" t="e">
            <v>#VALUE!</v>
          </cell>
          <cell r="AF36">
            <v>4</v>
          </cell>
          <cell r="AG36" t="b">
            <v>1</v>
          </cell>
          <cell r="AH36" t="str">
            <v>BDB-000339</v>
          </cell>
          <cell r="AI36" t="b">
            <v>1</v>
          </cell>
        </row>
        <row r="37">
          <cell r="A37" t="str">
            <v>F-2026-05-36</v>
          </cell>
          <cell r="B37" t="str">
            <v>RPRO-260505-0675</v>
          </cell>
          <cell r="C37" t="str">
            <v>12/5</v>
          </cell>
          <cell r="D37" t="str">
            <v>Pro.sche.report 04.5</v>
          </cell>
          <cell r="E37" t="str">
            <v>BDB-000339</v>
          </cell>
          <cell r="F37" t="str">
            <v>PVN-004178</v>
          </cell>
          <cell r="G37" t="str">
            <v>OrthoLite Float NEUTRAL GRAY/17-4402TPX Flat Sheet 0.12D 21+/-4 Asker C 1.1M 2M 5.5mm</v>
          </cell>
          <cell r="H37">
            <v>2200</v>
          </cell>
          <cell r="I37">
            <v>88</v>
          </cell>
          <cell r="J37">
            <v>88</v>
          </cell>
          <cell r="K37" t="str">
            <v>PUMA</v>
          </cell>
          <cell r="L37" t="str">
            <v>Pr.Sch.R</v>
          </cell>
          <cell r="M37" t="str">
            <v>MOLDED</v>
          </cell>
          <cell r="N37"/>
          <cell r="O37"/>
          <cell r="P37" t="str">
            <v>ok</v>
          </cell>
          <cell r="Q37">
            <v>46158</v>
          </cell>
          <cell r="R37">
            <v>46161</v>
          </cell>
          <cell r="S37">
            <v>46162</v>
          </cell>
          <cell r="T37" t="str">
            <v>l1</v>
          </cell>
          <cell r="U37"/>
          <cell r="V37">
            <v>0</v>
          </cell>
          <cell r="W37" t="b">
            <v>1</v>
          </cell>
          <cell r="X37">
            <v>0</v>
          </cell>
          <cell r="Y37">
            <v>2200</v>
          </cell>
          <cell r="Z37" t="b">
            <v>1</v>
          </cell>
          <cell r="AA37">
            <v>1</v>
          </cell>
          <cell r="AB37"/>
          <cell r="AC37"/>
          <cell r="AD37"/>
          <cell r="AE37" t="e">
            <v>#VALUE!</v>
          </cell>
          <cell r="AF37">
            <v>88</v>
          </cell>
          <cell r="AG37" t="b">
            <v>1</v>
          </cell>
          <cell r="AH37" t="str">
            <v>BDB-000339</v>
          </cell>
          <cell r="AI37" t="b">
            <v>1</v>
          </cell>
        </row>
        <row r="38">
          <cell r="A38"/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>
            <v>0</v>
          </cell>
          <cell r="W38"/>
          <cell r="X38"/>
          <cell r="Y38"/>
          <cell r="Z38"/>
          <cell r="AA38">
            <v>1</v>
          </cell>
          <cell r="AB38"/>
          <cell r="AC38"/>
          <cell r="AD38"/>
          <cell r="AE38"/>
        </row>
        <row r="39">
          <cell r="A39" t="str">
            <v>OIN-2026.05.08-03</v>
          </cell>
          <cell r="B39" t="str">
            <v>RPRO-260511-0355</v>
          </cell>
          <cell r="C39" t="str">
            <v>12/5</v>
          </cell>
          <cell r="D39" t="str">
            <v>OIN</v>
          </cell>
          <cell r="E39" t="str">
            <v>BDB-000321</v>
          </cell>
          <cell r="F39" t="str">
            <v>PVN-004412</v>
          </cell>
          <cell r="G39" t="str">
            <v xml:space="preserve">[116-18348] Float 21+/-4 Asker C 0.12D Blue Atoll 16-4535 Tpx 1.10M X 2.00M 47mm </v>
          </cell>
          <cell r="H39">
            <v>10</v>
          </cell>
          <cell r="I39">
            <v>4</v>
          </cell>
          <cell r="J39">
            <v>4</v>
          </cell>
          <cell r="K39" t="str">
            <v>OIN Marketing</v>
          </cell>
          <cell r="L39" t="str">
            <v>PO-7260-SO-260508-0174</v>
          </cell>
          <cell r="M39" t="str">
            <v>FLAT SHEET</v>
          </cell>
          <cell r="N39">
            <v>9</v>
          </cell>
          <cell r="O39" t="str">
            <v>HANG CONT</v>
          </cell>
          <cell r="P39" t="str">
            <v>ok</v>
          </cell>
          <cell r="Q39">
            <v>46155</v>
          </cell>
          <cell r="R39">
            <v>46157</v>
          </cell>
          <cell r="S39">
            <v>46158</v>
          </cell>
          <cell r="T39" t="str">
            <v>l1</v>
          </cell>
          <cell r="U39">
            <v>9</v>
          </cell>
          <cell r="V39">
            <v>0</v>
          </cell>
          <cell r="W39" t="str">
            <v/>
          </cell>
          <cell r="X39">
            <v>0</v>
          </cell>
          <cell r="Y39">
            <v>10</v>
          </cell>
          <cell r="Z39" t="b">
            <v>1</v>
          </cell>
          <cell r="AA39">
            <v>1</v>
          </cell>
          <cell r="AB39"/>
          <cell r="AC39"/>
          <cell r="AD39"/>
          <cell r="AE39" t="e">
            <v>#VALUE!</v>
          </cell>
          <cell r="AF39">
            <v>4</v>
          </cell>
          <cell r="AG39" t="b">
            <v>1</v>
          </cell>
          <cell r="AH39" t="str">
            <v>BDB-000321</v>
          </cell>
          <cell r="AI39" t="b">
            <v>1</v>
          </cell>
        </row>
        <row r="40">
          <cell r="A40" t="str">
            <v>F-2026-05-42</v>
          </cell>
          <cell r="B40" t="str">
            <v>RPRO-260505-0681</v>
          </cell>
          <cell r="C40" t="str">
            <v>12/5</v>
          </cell>
          <cell r="D40" t="str">
            <v>Pro.sche.report 04.5</v>
          </cell>
          <cell r="E40" t="str">
            <v>BDB-000321</v>
          </cell>
          <cell r="F40" t="str">
            <v>PVN-004104</v>
          </cell>
          <cell r="G40" t="str">
            <v>OrthoLite Float BLUE ATOLL/16-4535TPX Flat Sheet 0.12D 21+/-4 Asker C 1.1M 2M 5mm</v>
          </cell>
          <cell r="H40">
            <v>56</v>
          </cell>
          <cell r="I40">
            <v>2</v>
          </cell>
          <cell r="J40">
            <v>2</v>
          </cell>
          <cell r="K40" t="str">
            <v>DESCENTE</v>
          </cell>
          <cell r="L40" t="str">
            <v>Pr.Sch.R</v>
          </cell>
          <cell r="M40" t="str">
            <v>DIE CUT</v>
          </cell>
          <cell r="N40"/>
          <cell r="O40"/>
          <cell r="P40" t="str">
            <v>ok</v>
          </cell>
          <cell r="Q40">
            <v>46158</v>
          </cell>
          <cell r="R40">
            <v>46161</v>
          </cell>
          <cell r="S40">
            <v>46162</v>
          </cell>
          <cell r="T40" t="str">
            <v>l1</v>
          </cell>
          <cell r="U40"/>
          <cell r="V40">
            <v>0</v>
          </cell>
          <cell r="W40" t="b">
            <v>1</v>
          </cell>
          <cell r="X40">
            <v>0</v>
          </cell>
          <cell r="Y40">
            <v>56</v>
          </cell>
          <cell r="Z40" t="b">
            <v>1</v>
          </cell>
          <cell r="AA40">
            <v>1</v>
          </cell>
          <cell r="AB40"/>
          <cell r="AC40"/>
          <cell r="AD40"/>
          <cell r="AE40" t="e">
            <v>#VALUE!</v>
          </cell>
          <cell r="AF40">
            <v>2</v>
          </cell>
          <cell r="AG40" t="b">
            <v>1</v>
          </cell>
          <cell r="AH40" t="str">
            <v>BDB-000321</v>
          </cell>
          <cell r="AI40" t="b">
            <v>1</v>
          </cell>
        </row>
        <row r="41">
          <cell r="A41" t="str">
            <v>F-2026-05-45</v>
          </cell>
          <cell r="B41" t="str">
            <v>RPRO-260505-0684</v>
          </cell>
          <cell r="C41" t="str">
            <v>12/5</v>
          </cell>
          <cell r="D41" t="str">
            <v>Pro.sche.report 04.5</v>
          </cell>
          <cell r="E41" t="str">
            <v>BDB-000321</v>
          </cell>
          <cell r="F41" t="str">
            <v>PVN-004092</v>
          </cell>
          <cell r="G41" t="str">
            <v>OrthoLite Float BLUE ATOLL/16-4535TPX Flat Sheet 0.12D 21+/-4 Asker C 1.1M 2M 14.5mm</v>
          </cell>
          <cell r="H41">
            <v>27</v>
          </cell>
          <cell r="I41">
            <v>3</v>
          </cell>
          <cell r="J41">
            <v>3</v>
          </cell>
          <cell r="K41" t="str">
            <v>LOWA</v>
          </cell>
          <cell r="L41" t="str">
            <v>Pr.Sch.R</v>
          </cell>
          <cell r="M41" t="str">
            <v>MOLDED</v>
          </cell>
          <cell r="N41"/>
          <cell r="O41"/>
          <cell r="P41" t="str">
            <v>ok</v>
          </cell>
          <cell r="Q41">
            <v>46158</v>
          </cell>
          <cell r="R41">
            <v>46161</v>
          </cell>
          <cell r="S41">
            <v>46162</v>
          </cell>
          <cell r="T41" t="str">
            <v>l1</v>
          </cell>
          <cell r="U41"/>
          <cell r="V41">
            <v>0</v>
          </cell>
          <cell r="W41" t="b">
            <v>1</v>
          </cell>
          <cell r="X41">
            <v>0</v>
          </cell>
          <cell r="Y41">
            <v>27</v>
          </cell>
          <cell r="Z41" t="b">
            <v>1</v>
          </cell>
          <cell r="AA41">
            <v>1</v>
          </cell>
          <cell r="AB41"/>
          <cell r="AC41"/>
          <cell r="AD41"/>
          <cell r="AE41" t="e">
            <v>#VALUE!</v>
          </cell>
          <cell r="AF41">
            <v>3</v>
          </cell>
          <cell r="AG41" t="b">
            <v>1</v>
          </cell>
          <cell r="AH41" t="str">
            <v>BDB-000321</v>
          </cell>
          <cell r="AI41" t="b">
            <v>1</v>
          </cell>
        </row>
        <row r="42">
          <cell r="A42"/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>
            <v>0</v>
          </cell>
          <cell r="W42"/>
          <cell r="X42"/>
          <cell r="Y42"/>
          <cell r="Z42"/>
          <cell r="AA42">
            <v>1</v>
          </cell>
          <cell r="AB42"/>
          <cell r="AC42"/>
          <cell r="AD42"/>
          <cell r="AE42"/>
        </row>
        <row r="43">
          <cell r="A43" t="str">
            <v>F-2026-04-359</v>
          </cell>
          <cell r="B43" t="str">
            <v>RPRO-260429-0447</v>
          </cell>
          <cell r="C43" t="str">
            <v>12/5</v>
          </cell>
          <cell r="D43" t="str">
            <v>MPS 28.04</v>
          </cell>
          <cell r="E43" t="str">
            <v>BDB-000056</v>
          </cell>
          <cell r="F43" t="str">
            <v>PVN-001983</v>
          </cell>
          <cell r="G43" t="str">
            <v>OrthoLite X-40 SEEDPEARL/12-0703TPX Flat Sheet 0.16D 25+/-4 Asker C 1.1M 1.7M 5mm</v>
          </cell>
          <cell r="H43">
            <v>168</v>
          </cell>
          <cell r="I43">
            <v>6</v>
          </cell>
          <cell r="J43">
            <v>6</v>
          </cell>
          <cell r="K43"/>
          <cell r="L43" t="str">
            <v>MPS</v>
          </cell>
          <cell r="M43" t="str">
            <v>SPLITTING</v>
          </cell>
          <cell r="N43">
            <v>19</v>
          </cell>
          <cell r="O43"/>
          <cell r="P43" t="str">
            <v>ok</v>
          </cell>
          <cell r="Q43">
            <v>46155</v>
          </cell>
          <cell r="R43">
            <v>46157</v>
          </cell>
          <cell r="S43">
            <v>46158</v>
          </cell>
          <cell r="T43" t="str">
            <v>l1</v>
          </cell>
          <cell r="U43">
            <v>18</v>
          </cell>
          <cell r="V43">
            <v>-1</v>
          </cell>
          <cell r="W43" t="b">
            <v>1</v>
          </cell>
          <cell r="X43">
            <v>0</v>
          </cell>
          <cell r="Y43">
            <v>168</v>
          </cell>
          <cell r="Z43" t="b">
            <v>0</v>
          </cell>
          <cell r="AA43">
            <v>1</v>
          </cell>
          <cell r="AB43"/>
          <cell r="AC43"/>
          <cell r="AD43"/>
          <cell r="AE43" t="e">
            <v>#VALUE!</v>
          </cell>
          <cell r="AF43">
            <v>6</v>
          </cell>
          <cell r="AG43" t="b">
            <v>1</v>
          </cell>
          <cell r="AH43" t="str">
            <v>BDB-000056</v>
          </cell>
          <cell r="AI43" t="b">
            <v>1</v>
          </cell>
        </row>
        <row r="44">
          <cell r="A44" t="str">
            <v>F-2026-04-364</v>
          </cell>
          <cell r="B44" t="str">
            <v>RPRO-260429-0452</v>
          </cell>
          <cell r="C44" t="str">
            <v>12/5</v>
          </cell>
          <cell r="D44" t="str">
            <v>MPS 28.04</v>
          </cell>
          <cell r="E44" t="str">
            <v>BDB-000056</v>
          </cell>
          <cell r="F44" t="str">
            <v>PVN-003954</v>
          </cell>
          <cell r="G44" t="str">
            <v>OrthoLite X-40 SEEDPEARL/12-0703TPX Flat Sheet 0.16D 25+/-4 Asker C 1.1M 1.7M 4mm</v>
          </cell>
          <cell r="H44">
            <v>455</v>
          </cell>
          <cell r="I44">
            <v>13</v>
          </cell>
          <cell r="J44">
            <v>13</v>
          </cell>
          <cell r="K44"/>
          <cell r="L44" t="str">
            <v>MPS</v>
          </cell>
          <cell r="M44" t="str">
            <v>SPLITTING</v>
          </cell>
          <cell r="N44"/>
          <cell r="O44"/>
          <cell r="P44" t="str">
            <v>ok</v>
          </cell>
          <cell r="Q44">
            <v>46158</v>
          </cell>
          <cell r="R44">
            <v>46160</v>
          </cell>
          <cell r="S44">
            <v>46161</v>
          </cell>
          <cell r="T44" t="str">
            <v>l1</v>
          </cell>
          <cell r="U44"/>
          <cell r="V44">
            <v>0</v>
          </cell>
          <cell r="W44" t="b">
            <v>1</v>
          </cell>
          <cell r="X44">
            <v>0</v>
          </cell>
          <cell r="Y44">
            <v>455</v>
          </cell>
          <cell r="Z44" t="b">
            <v>1</v>
          </cell>
          <cell r="AA44">
            <v>1</v>
          </cell>
          <cell r="AB44"/>
          <cell r="AC44"/>
          <cell r="AD44"/>
          <cell r="AE44" t="e">
            <v>#VALUE!</v>
          </cell>
          <cell r="AF44">
            <v>13</v>
          </cell>
          <cell r="AG44" t="b">
            <v>1</v>
          </cell>
          <cell r="AH44" t="str">
            <v>BDB-000056</v>
          </cell>
          <cell r="AI44" t="b">
            <v>1</v>
          </cell>
        </row>
        <row r="45">
          <cell r="A45"/>
          <cell r="B45"/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>
            <v>0</v>
          </cell>
          <cell r="W45"/>
          <cell r="X45"/>
          <cell r="Y45"/>
          <cell r="Z45"/>
          <cell r="AA45">
            <v>1</v>
          </cell>
          <cell r="AB45"/>
          <cell r="AC45"/>
          <cell r="AD45"/>
          <cell r="AE45"/>
        </row>
        <row r="46">
          <cell r="A46" t="str">
            <v>F-2026-05-76</v>
          </cell>
          <cell r="B46" t="str">
            <v>RPRO-260506-0357</v>
          </cell>
          <cell r="C46" t="str">
            <v>12/5</v>
          </cell>
          <cell r="D46" t="str">
            <v>Pro.sche.report 05.05</v>
          </cell>
          <cell r="E46" t="str">
            <v>BDB-000051</v>
          </cell>
          <cell r="F46" t="str">
            <v>PVN-003319</v>
          </cell>
          <cell r="G46" t="str">
            <v>OrthoLite X-40 TRUE BLUE/19-4057TPX Flat Sheet 0.16D 25+/-4 Asker C 1.1M 1.7M 12mm</v>
          </cell>
          <cell r="H46">
            <v>11</v>
          </cell>
          <cell r="I46">
            <v>1</v>
          </cell>
          <cell r="J46">
            <v>1</v>
          </cell>
          <cell r="K46" t="str">
            <v>ASICS</v>
          </cell>
          <cell r="L46" t="str">
            <v>Pr.Sch.R</v>
          </cell>
          <cell r="M46" t="str">
            <v>MOLDED</v>
          </cell>
          <cell r="N46">
            <v>1</v>
          </cell>
          <cell r="O46"/>
          <cell r="P46"/>
          <cell r="Q46">
            <v>46156</v>
          </cell>
          <cell r="R46">
            <v>46158</v>
          </cell>
          <cell r="S46">
            <v>46160</v>
          </cell>
          <cell r="T46" t="str">
            <v>l1</v>
          </cell>
          <cell r="U46"/>
          <cell r="V46">
            <v>-1</v>
          </cell>
          <cell r="W46" t="b">
            <v>1</v>
          </cell>
          <cell r="X46">
            <v>0</v>
          </cell>
          <cell r="Y46">
            <v>11</v>
          </cell>
          <cell r="Z46" t="b">
            <v>0</v>
          </cell>
          <cell r="AA46">
            <v>1</v>
          </cell>
          <cell r="AB46"/>
          <cell r="AC46"/>
          <cell r="AD46"/>
          <cell r="AE46" t="e">
            <v>#VALUE!</v>
          </cell>
          <cell r="AF46">
            <v>1</v>
          </cell>
          <cell r="AG46" t="b">
            <v>1</v>
          </cell>
          <cell r="AH46" t="str">
            <v>BDB-000051</v>
          </cell>
          <cell r="AI46" t="b">
            <v>1</v>
          </cell>
        </row>
        <row r="47">
          <cell r="A47"/>
          <cell r="B47"/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>
            <v>0</v>
          </cell>
          <cell r="W47"/>
          <cell r="X47"/>
          <cell r="Y47"/>
          <cell r="Z47"/>
          <cell r="AA47">
            <v>1</v>
          </cell>
          <cell r="AB47"/>
          <cell r="AC47"/>
          <cell r="AD47"/>
          <cell r="AE47"/>
        </row>
        <row r="48">
          <cell r="A48" t="str">
            <v>F-2026-05-77</v>
          </cell>
          <cell r="B48" t="str">
            <v>RPRO-260506-0358</v>
          </cell>
          <cell r="C48" t="str">
            <v>12/5</v>
          </cell>
          <cell r="D48" t="str">
            <v>Pro.sche.report 05.05</v>
          </cell>
          <cell r="E48" t="str">
            <v>BDB-000052</v>
          </cell>
          <cell r="F48" t="str">
            <v>PVN-003603</v>
          </cell>
          <cell r="G48" t="str">
            <v>OrthoLite X-40 TRUE BLUE/19-4057TPX Flat Sheet 0.16D 25+/-4 Asker C 1.1M 1.47M 12mm</v>
          </cell>
          <cell r="H48">
            <v>11</v>
          </cell>
          <cell r="I48">
            <v>1</v>
          </cell>
          <cell r="J48">
            <v>1</v>
          </cell>
          <cell r="K48" t="str">
            <v>ASICS</v>
          </cell>
          <cell r="L48" t="str">
            <v>Pr.Sch.R</v>
          </cell>
          <cell r="M48" t="str">
            <v>MOLDED</v>
          </cell>
          <cell r="N48">
            <v>1</v>
          </cell>
          <cell r="O48"/>
          <cell r="P48"/>
          <cell r="Q48">
            <v>46156</v>
          </cell>
          <cell r="R48">
            <v>46158</v>
          </cell>
          <cell r="S48">
            <v>46160</v>
          </cell>
          <cell r="T48" t="str">
            <v>l1</v>
          </cell>
          <cell r="U48"/>
          <cell r="V48">
            <v>-1</v>
          </cell>
          <cell r="W48" t="b">
            <v>1</v>
          </cell>
          <cell r="X48">
            <v>0</v>
          </cell>
          <cell r="Y48">
            <v>11</v>
          </cell>
          <cell r="Z48" t="b">
            <v>0</v>
          </cell>
          <cell r="AA48">
            <v>1</v>
          </cell>
          <cell r="AB48"/>
          <cell r="AC48"/>
          <cell r="AD48"/>
          <cell r="AE48" t="e">
            <v>#VALUE!</v>
          </cell>
          <cell r="AF48">
            <v>1</v>
          </cell>
          <cell r="AG48" t="b">
            <v>1</v>
          </cell>
          <cell r="AH48" t="str">
            <v>BDB-000052</v>
          </cell>
          <cell r="AI48" t="b">
            <v>1</v>
          </cell>
        </row>
        <row r="49">
          <cell r="A49"/>
          <cell r="B49"/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>
            <v>0</v>
          </cell>
          <cell r="W49"/>
          <cell r="X49"/>
          <cell r="Y49"/>
          <cell r="Z49"/>
          <cell r="AA49">
            <v>1</v>
          </cell>
          <cell r="AB49"/>
          <cell r="AC49"/>
          <cell r="AD49"/>
          <cell r="AE49"/>
        </row>
        <row r="50">
          <cell r="A50" t="str">
            <v>F-2026-05-27</v>
          </cell>
          <cell r="B50" t="str">
            <v>RPRO-260504-0939</v>
          </cell>
          <cell r="C50" t="str">
            <v>12/5</v>
          </cell>
          <cell r="D50" t="str">
            <v>Pro.sche.report 29.04+02.05</v>
          </cell>
          <cell r="E50" t="str">
            <v>BDB-000055</v>
          </cell>
          <cell r="F50" t="str">
            <v>PVN-004155</v>
          </cell>
          <cell r="G50" t="str">
            <v>OrthoLite X-40 TRUE BLUE/19-4057TPX Flat Sheet 0.16D 35+/-4 Asker C 1.1M 1.7M 3.2mm</v>
          </cell>
          <cell r="H50">
            <v>129</v>
          </cell>
          <cell r="I50">
            <v>4</v>
          </cell>
          <cell r="J50">
            <v>4</v>
          </cell>
          <cell r="K50" t="str">
            <v>ADIDAS</v>
          </cell>
          <cell r="L50" t="str">
            <v>Pr.Sch.R</v>
          </cell>
          <cell r="M50" t="str">
            <v>MOLDED</v>
          </cell>
          <cell r="N50">
            <v>4</v>
          </cell>
          <cell r="O50"/>
          <cell r="P50" t="str">
            <v>ok</v>
          </cell>
          <cell r="Q50">
            <v>46158</v>
          </cell>
          <cell r="R50">
            <v>46160</v>
          </cell>
          <cell r="S50">
            <v>46161</v>
          </cell>
          <cell r="T50" t="str">
            <v>l1</v>
          </cell>
          <cell r="U50">
            <v>4</v>
          </cell>
          <cell r="V50">
            <v>0</v>
          </cell>
          <cell r="W50" t="b">
            <v>1</v>
          </cell>
          <cell r="X50">
            <v>0</v>
          </cell>
          <cell r="Y50">
            <v>129</v>
          </cell>
          <cell r="Z50" t="b">
            <v>1</v>
          </cell>
          <cell r="AA50">
            <v>1</v>
          </cell>
          <cell r="AB50"/>
          <cell r="AC50"/>
          <cell r="AD50"/>
          <cell r="AE50" t="e">
            <v>#VALUE!</v>
          </cell>
          <cell r="AF50">
            <v>4</v>
          </cell>
          <cell r="AG50" t="b">
            <v>1</v>
          </cell>
          <cell r="AH50" t="str">
            <v>BDB-000055</v>
          </cell>
          <cell r="AI50" t="b">
            <v>1</v>
          </cell>
        </row>
        <row r="51">
          <cell r="A51"/>
          <cell r="B51"/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>
            <v>0</v>
          </cell>
          <cell r="W51"/>
          <cell r="X51"/>
          <cell r="Y51"/>
          <cell r="Z51"/>
          <cell r="AA51">
            <v>1</v>
          </cell>
          <cell r="AB51"/>
          <cell r="AC51"/>
          <cell r="AD51"/>
          <cell r="AE51"/>
        </row>
        <row r="52">
          <cell r="A52" t="str">
            <v>F-2026-04-374</v>
          </cell>
          <cell r="B52" t="str">
            <v>RPRO-260429-0464</v>
          </cell>
          <cell r="C52" t="str">
            <v>12/5</v>
          </cell>
          <cell r="D52" t="str">
            <v>Pro.sche.report 28.04</v>
          </cell>
          <cell r="E52" t="str">
            <v>BDB-000154</v>
          </cell>
          <cell r="F52" t="str">
            <v>PVN-003347</v>
          </cell>
          <cell r="G52" t="str">
            <v>OrthoLite X-40-Nike TRUE BLUE/19-4057TPX Flat Sheet 0.16D 35+/-4 Asker C 1.1M 1.7M 4mm</v>
          </cell>
          <cell r="H52">
            <v>70</v>
          </cell>
          <cell r="I52">
            <v>2</v>
          </cell>
          <cell r="J52">
            <v>2</v>
          </cell>
          <cell r="K52" t="str">
            <v>NIKE</v>
          </cell>
          <cell r="L52" t="str">
            <v>Pr.Sch.R</v>
          </cell>
          <cell r="M52" t="str">
            <v>LAMINATING</v>
          </cell>
          <cell r="N52">
            <v>15</v>
          </cell>
          <cell r="O52"/>
          <cell r="P52"/>
          <cell r="Q52">
            <v>46158</v>
          </cell>
          <cell r="R52">
            <v>46160</v>
          </cell>
          <cell r="S52">
            <v>46161</v>
          </cell>
          <cell r="T52" t="str">
            <v>l1</v>
          </cell>
          <cell r="U52"/>
          <cell r="V52">
            <v>-15</v>
          </cell>
          <cell r="W52" t="b">
            <v>1</v>
          </cell>
          <cell r="X52">
            <v>0</v>
          </cell>
          <cell r="Y52">
            <v>70</v>
          </cell>
          <cell r="Z52" t="b">
            <v>1</v>
          </cell>
          <cell r="AA52">
            <v>1</v>
          </cell>
          <cell r="AB52"/>
          <cell r="AC52"/>
          <cell r="AD52"/>
          <cell r="AE52" t="e">
            <v>#VALUE!</v>
          </cell>
          <cell r="AF52">
            <v>2</v>
          </cell>
          <cell r="AG52" t="b">
            <v>1</v>
          </cell>
          <cell r="AH52" t="str">
            <v>BDB-000154</v>
          </cell>
          <cell r="AI52" t="b">
            <v>1</v>
          </cell>
        </row>
        <row r="53">
          <cell r="A53" t="str">
            <v>F-2026-05-40</v>
          </cell>
          <cell r="B53" t="str">
            <v>RPRO-260505-0679</v>
          </cell>
          <cell r="C53" t="str">
            <v>12/5</v>
          </cell>
          <cell r="D53" t="str">
            <v>Pro.sche.report 04.5</v>
          </cell>
          <cell r="E53" t="str">
            <v>BDB-000154</v>
          </cell>
          <cell r="F53" t="str">
            <v>PVN-003347</v>
          </cell>
          <cell r="G53" t="str">
            <v>OrthoLite X-40-Nike TRUE BLUE/19-4057TPX Flat Sheet 0.16D 35+/-4 Asker C 1.1M 1.7M 4mm</v>
          </cell>
          <cell r="H53">
            <v>455</v>
          </cell>
          <cell r="I53">
            <v>13</v>
          </cell>
          <cell r="J53">
            <v>13</v>
          </cell>
          <cell r="K53" t="str">
            <v>NIKE</v>
          </cell>
          <cell r="L53" t="str">
            <v>Pr.Sch.R</v>
          </cell>
          <cell r="M53" t="str">
            <v>LAMINATING</v>
          </cell>
          <cell r="N53"/>
          <cell r="O53"/>
          <cell r="P53"/>
          <cell r="Q53">
            <v>46158</v>
          </cell>
          <cell r="R53">
            <v>46161</v>
          </cell>
          <cell r="S53">
            <v>46162</v>
          </cell>
          <cell r="T53" t="str">
            <v>l1</v>
          </cell>
          <cell r="U53"/>
          <cell r="V53">
            <v>0</v>
          </cell>
          <cell r="W53" t="b">
            <v>1</v>
          </cell>
          <cell r="X53">
            <v>0</v>
          </cell>
          <cell r="Y53">
            <v>455</v>
          </cell>
          <cell r="Z53" t="b">
            <v>1</v>
          </cell>
          <cell r="AA53">
            <v>1</v>
          </cell>
          <cell r="AB53"/>
          <cell r="AC53"/>
          <cell r="AD53"/>
          <cell r="AE53" t="e">
            <v>#VALUE!</v>
          </cell>
          <cell r="AF53">
            <v>13</v>
          </cell>
          <cell r="AG53" t="b">
            <v>1</v>
          </cell>
          <cell r="AH53" t="str">
            <v>BDB-000154</v>
          </cell>
          <cell r="AI53" t="b">
            <v>1</v>
          </cell>
        </row>
        <row r="54">
          <cell r="A54"/>
          <cell r="B54"/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>
            <v>0</v>
          </cell>
          <cell r="W54"/>
          <cell r="X54"/>
          <cell r="Y54"/>
          <cell r="Z54"/>
          <cell r="AA54">
            <v>1</v>
          </cell>
          <cell r="AB54"/>
          <cell r="AC54"/>
          <cell r="AD54"/>
          <cell r="AE54"/>
        </row>
        <row r="55">
          <cell r="A55" t="str">
            <v>F-2026-04-345</v>
          </cell>
          <cell r="B55" t="str">
            <v>RPRO-260428-1301</v>
          </cell>
          <cell r="C55" t="str">
            <v>12/5</v>
          </cell>
          <cell r="D55" t="str">
            <v>Pro.sche.report 24.4+25.4</v>
          </cell>
          <cell r="E55" t="str">
            <v>BDB-000334</v>
          </cell>
          <cell r="F55" t="str">
            <v>PVN-004327</v>
          </cell>
          <cell r="G55" t="str">
            <v>OrthoLite X-55-Hybrid FOSSIL/17-0909TPX Hybrid Flat Sheet 0.16D 25+/-4 Asker C 1.1M 2M 6mm</v>
          </cell>
          <cell r="H55">
            <v>46</v>
          </cell>
          <cell r="I55">
            <v>2</v>
          </cell>
          <cell r="J55">
            <v>2</v>
          </cell>
          <cell r="K55" t="str">
            <v>ASICS</v>
          </cell>
          <cell r="L55" t="str">
            <v>Pr.Sch.R</v>
          </cell>
          <cell r="M55" t="str">
            <v>MOLDED</v>
          </cell>
          <cell r="N55">
            <v>4</v>
          </cell>
          <cell r="O55"/>
          <cell r="P55"/>
          <cell r="Q55">
            <v>46156</v>
          </cell>
          <cell r="R55">
            <v>46158</v>
          </cell>
          <cell r="S55">
            <v>46160</v>
          </cell>
          <cell r="T55" t="str">
            <v>l1</v>
          </cell>
          <cell r="U55"/>
          <cell r="V55">
            <v>-4</v>
          </cell>
          <cell r="W55" t="b">
            <v>1</v>
          </cell>
          <cell r="X55">
            <v>0</v>
          </cell>
          <cell r="Y55">
            <v>46</v>
          </cell>
          <cell r="Z55" t="b">
            <v>1</v>
          </cell>
          <cell r="AA55">
            <v>1</v>
          </cell>
          <cell r="AB55"/>
          <cell r="AC55"/>
          <cell r="AD55"/>
          <cell r="AE55" t="e">
            <v>#VALUE!</v>
          </cell>
          <cell r="AF55">
            <v>2</v>
          </cell>
          <cell r="AG55" t="b">
            <v>1</v>
          </cell>
          <cell r="AH55" t="str">
            <v>BDB-000334</v>
          </cell>
          <cell r="AI55" t="b">
            <v>1</v>
          </cell>
        </row>
        <row r="56">
          <cell r="A56" t="str">
            <v>F-2026-05-14</v>
          </cell>
          <cell r="B56" t="str">
            <v>RPRO-260504-0926</v>
          </cell>
          <cell r="C56" t="str">
            <v>12/5-13/5</v>
          </cell>
          <cell r="D56" t="str">
            <v>Pro.sche.report 29.04+02.05</v>
          </cell>
          <cell r="E56" t="str">
            <v>BDB-000334</v>
          </cell>
          <cell r="F56" t="str">
            <v>PVN-004327</v>
          </cell>
          <cell r="G56" t="str">
            <v>OrthoLite X-55-Hybrid FOSSIL/17-0909TPX Hybrid Flat Sheet 0.16D 25+/-4 Asker C 1.1M 2M 6mm</v>
          </cell>
          <cell r="H56">
            <v>46</v>
          </cell>
          <cell r="I56">
            <v>2</v>
          </cell>
          <cell r="J56">
            <v>2</v>
          </cell>
          <cell r="K56" t="str">
            <v>ASICS</v>
          </cell>
          <cell r="L56" t="str">
            <v>Pr.Sch.R</v>
          </cell>
          <cell r="M56" t="str">
            <v>MOLDED</v>
          </cell>
          <cell r="N56"/>
          <cell r="O56"/>
          <cell r="P56"/>
          <cell r="Q56">
            <v>46158</v>
          </cell>
          <cell r="R56">
            <v>46160</v>
          </cell>
          <cell r="S56">
            <v>46161</v>
          </cell>
          <cell r="T56" t="str">
            <v>l1</v>
          </cell>
          <cell r="U56"/>
          <cell r="V56">
            <v>0</v>
          </cell>
          <cell r="W56" t="b">
            <v>1</v>
          </cell>
          <cell r="X56">
            <v>0</v>
          </cell>
          <cell r="Y56">
            <v>46</v>
          </cell>
          <cell r="Z56" t="b">
            <v>1</v>
          </cell>
          <cell r="AA56">
            <v>1</v>
          </cell>
          <cell r="AB56"/>
          <cell r="AC56"/>
          <cell r="AD56"/>
          <cell r="AE56" t="e">
            <v>#VALUE!</v>
          </cell>
          <cell r="AF56">
            <v>2</v>
          </cell>
          <cell r="AG56" t="b">
            <v>1</v>
          </cell>
          <cell r="AH56" t="str">
            <v>BDB-000334</v>
          </cell>
          <cell r="AI56" t="b">
            <v>1</v>
          </cell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>
            <v>0</v>
          </cell>
          <cell r="W57"/>
          <cell r="X57"/>
          <cell r="Y57"/>
          <cell r="Z57"/>
          <cell r="AA57">
            <v>1</v>
          </cell>
          <cell r="AB57"/>
          <cell r="AC57"/>
          <cell r="AD57"/>
          <cell r="AE57"/>
        </row>
        <row r="58">
          <cell r="A58" t="str">
            <v>F-2026-04-134</v>
          </cell>
          <cell r="B58" t="str">
            <v>FPRO-260409-0008</v>
          </cell>
          <cell r="C58" t="str">
            <v>13/5</v>
          </cell>
          <cell r="D58" t="str">
            <v>Firm plan 09.04</v>
          </cell>
          <cell r="E58" t="str">
            <v>BDB-000077</v>
          </cell>
          <cell r="F58" t="str">
            <v>PVN-004147</v>
          </cell>
          <cell r="G58" t="str">
            <v>OrthoLite X-25 SEEDPEARL/12-0703TPX Flat Sheet 0.12D 20+/-4 Asker C 1.1M 2M 5.5mm</v>
          </cell>
          <cell r="H58">
            <v>200</v>
          </cell>
          <cell r="I58">
            <v>8</v>
          </cell>
          <cell r="J58">
            <v>8</v>
          </cell>
          <cell r="K58" t="str">
            <v>ON RUNNING</v>
          </cell>
          <cell r="L58" t="str">
            <v>Forecast</v>
          </cell>
          <cell r="M58" t="str">
            <v>MOLDED</v>
          </cell>
          <cell r="N58">
            <v>8</v>
          </cell>
          <cell r="O58"/>
          <cell r="P58" t="str">
            <v>ok</v>
          </cell>
          <cell r="Q58">
            <v>46156</v>
          </cell>
          <cell r="R58">
            <v>46158</v>
          </cell>
          <cell r="S58">
            <v>46160</v>
          </cell>
          <cell r="T58" t="str">
            <v>l1</v>
          </cell>
          <cell r="U58">
            <v>8</v>
          </cell>
          <cell r="V58">
            <v>0</v>
          </cell>
          <cell r="W58" t="b">
            <v>1</v>
          </cell>
          <cell r="X58">
            <v>0</v>
          </cell>
          <cell r="Y58">
            <v>200</v>
          </cell>
          <cell r="Z58" t="b">
            <v>1</v>
          </cell>
          <cell r="AA58">
            <v>1</v>
          </cell>
          <cell r="AB58"/>
          <cell r="AC58"/>
          <cell r="AD58"/>
          <cell r="AE58" t="e">
            <v>#VALUE!</v>
          </cell>
          <cell r="AF58">
            <v>8</v>
          </cell>
          <cell r="AG58" t="b">
            <v>1</v>
          </cell>
          <cell r="AH58" t="str">
            <v>BDB-000077</v>
          </cell>
          <cell r="AI58" t="b">
            <v>1</v>
          </cell>
        </row>
        <row r="59">
          <cell r="A59"/>
          <cell r="B59"/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>
            <v>0</v>
          </cell>
          <cell r="W59"/>
          <cell r="X59"/>
          <cell r="Y59"/>
          <cell r="Z59"/>
          <cell r="AA59">
            <v>1</v>
          </cell>
          <cell r="AB59"/>
          <cell r="AC59"/>
          <cell r="AD59"/>
          <cell r="AE59"/>
        </row>
        <row r="60">
          <cell r="A60" t="str">
            <v>F-2026-04-350</v>
          </cell>
          <cell r="B60" t="str">
            <v>RPRO-260428-1306</v>
          </cell>
          <cell r="C60" t="str">
            <v>13/5</v>
          </cell>
          <cell r="D60" t="str">
            <v>Pro.sche.report 24.4+25.4</v>
          </cell>
          <cell r="E60" t="str">
            <v>BDB-000117</v>
          </cell>
          <cell r="F60" t="str">
            <v>PVN-003148</v>
          </cell>
          <cell r="G60" t="str">
            <v>OrthoLite X-35-Hybrid SEEDPEARL/12-0703TPX Hybrid Flat Sheet 0.145D 25+/-4 Asker C 1.1M 2M 4.5mm</v>
          </cell>
          <cell r="H60">
            <v>31</v>
          </cell>
          <cell r="I60">
            <v>2</v>
          </cell>
          <cell r="J60">
            <v>2</v>
          </cell>
          <cell r="K60" t="str">
            <v>WILSON</v>
          </cell>
          <cell r="L60" t="str">
            <v>Pr.Sch.R</v>
          </cell>
          <cell r="M60" t="str">
            <v>MOLDED</v>
          </cell>
          <cell r="N60">
            <v>12</v>
          </cell>
          <cell r="O60"/>
          <cell r="P60"/>
          <cell r="Q60">
            <v>46156</v>
          </cell>
          <cell r="R60">
            <v>46158</v>
          </cell>
          <cell r="S60">
            <v>46160</v>
          </cell>
          <cell r="T60" t="str">
            <v>l1</v>
          </cell>
          <cell r="U60"/>
          <cell r="V60">
            <v>-12</v>
          </cell>
          <cell r="W60" t="b">
            <v>1</v>
          </cell>
          <cell r="X60">
            <v>0</v>
          </cell>
          <cell r="Y60">
            <v>31</v>
          </cell>
          <cell r="Z60" t="b">
            <v>1</v>
          </cell>
          <cell r="AA60">
            <v>1</v>
          </cell>
          <cell r="AB60"/>
          <cell r="AC60"/>
          <cell r="AD60"/>
          <cell r="AE60" t="e">
            <v>#VALUE!</v>
          </cell>
          <cell r="AF60">
            <v>2</v>
          </cell>
          <cell r="AG60" t="b">
            <v>1</v>
          </cell>
          <cell r="AH60" t="str">
            <v>BDB-000117</v>
          </cell>
          <cell r="AI60" t="b">
            <v>1</v>
          </cell>
        </row>
        <row r="61">
          <cell r="A61" t="str">
            <v>F-2026-05-103</v>
          </cell>
          <cell r="B61" t="str">
            <v>RPRO-260508-0414</v>
          </cell>
          <cell r="C61" t="str">
            <v>13/5</v>
          </cell>
          <cell r="D61" t="str">
            <v>Pro.sche.report 07.5</v>
          </cell>
          <cell r="E61" t="str">
            <v>BDB-000117</v>
          </cell>
          <cell r="F61" t="str">
            <v>PVN-003234</v>
          </cell>
          <cell r="G61" t="str">
            <v>OrthoLite X-35-Hybrid SEEDPEARL/12-0703TPX Hybrid Flat Sheet 0.145D 25+/-4 Asker C 1.1M 2M 5.5mm</v>
          </cell>
          <cell r="H61">
            <v>250</v>
          </cell>
          <cell r="I61">
            <v>10</v>
          </cell>
          <cell r="J61">
            <v>10</v>
          </cell>
          <cell r="K61" t="str">
            <v>PUMA</v>
          </cell>
          <cell r="L61" t="str">
            <v>Pr.Sch.R</v>
          </cell>
          <cell r="M61" t="str">
            <v>MOLDED</v>
          </cell>
          <cell r="N61"/>
          <cell r="O61"/>
          <cell r="P61"/>
          <cell r="Q61">
            <v>46162</v>
          </cell>
          <cell r="R61">
            <v>46164</v>
          </cell>
          <cell r="S61">
            <v>46165</v>
          </cell>
          <cell r="T61" t="str">
            <v>l1</v>
          </cell>
          <cell r="U61"/>
          <cell r="V61">
            <v>0</v>
          </cell>
          <cell r="W61" t="b">
            <v>1</v>
          </cell>
          <cell r="X61">
            <v>0</v>
          </cell>
          <cell r="Y61">
            <v>250</v>
          </cell>
          <cell r="Z61" t="b">
            <v>1</v>
          </cell>
          <cell r="AA61">
            <v>1</v>
          </cell>
          <cell r="AB61"/>
          <cell r="AC61"/>
          <cell r="AD61"/>
          <cell r="AE61" t="e">
            <v>#VALUE!</v>
          </cell>
          <cell r="AF61">
            <v>10</v>
          </cell>
          <cell r="AG61" t="b">
            <v>1</v>
          </cell>
          <cell r="AH61" t="str">
            <v>BDB-000117</v>
          </cell>
          <cell r="AI61" t="b">
            <v>1</v>
          </cell>
        </row>
        <row r="62">
          <cell r="A62"/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>
            <v>0</v>
          </cell>
          <cell r="W62"/>
          <cell r="X62"/>
          <cell r="Y62"/>
          <cell r="Z62"/>
          <cell r="AA62">
            <v>1</v>
          </cell>
          <cell r="AB62"/>
          <cell r="AC62"/>
          <cell r="AD62"/>
          <cell r="AE62"/>
        </row>
        <row r="63">
          <cell r="A63" t="str">
            <v>F-2026-04-347</v>
          </cell>
          <cell r="B63" t="str">
            <v>RPRO-260428-1303</v>
          </cell>
          <cell r="C63" t="str">
            <v>13/5</v>
          </cell>
          <cell r="D63" t="str">
            <v>Pro.sche.report 24.4+25.4</v>
          </cell>
          <cell r="E63" t="str">
            <v>BDB-000313</v>
          </cell>
          <cell r="F63" t="str">
            <v>PVN-004061</v>
          </cell>
          <cell r="G63" t="str">
            <v>OrthoLite X-55 RED/19-1764TPX Flat Sheet 0.16D 25+/-4 Asker C 1.1M 1.47M 18mm</v>
          </cell>
          <cell r="H63">
            <v>112</v>
          </cell>
          <cell r="I63">
            <v>17</v>
          </cell>
          <cell r="J63">
            <v>17</v>
          </cell>
          <cell r="K63" t="str">
            <v>WILSON</v>
          </cell>
          <cell r="L63" t="str">
            <v>Pr.Sch.R</v>
          </cell>
          <cell r="M63" t="str">
            <v>MOLDED</v>
          </cell>
          <cell r="N63">
            <v>19</v>
          </cell>
          <cell r="O63" t="str">
            <v>ppc/pur imp-đã nhắc sx</v>
          </cell>
          <cell r="P63" t="str">
            <v>ok</v>
          </cell>
          <cell r="Q63">
            <v>46156</v>
          </cell>
          <cell r="R63">
            <v>46157</v>
          </cell>
          <cell r="S63">
            <v>46158</v>
          </cell>
          <cell r="T63" t="str">
            <v>l1</v>
          </cell>
          <cell r="U63">
            <v>14</v>
          </cell>
          <cell r="V63">
            <v>-5</v>
          </cell>
          <cell r="W63" t="b">
            <v>1</v>
          </cell>
          <cell r="X63">
            <v>0</v>
          </cell>
          <cell r="Y63">
            <v>112</v>
          </cell>
          <cell r="Z63" t="b">
            <v>1</v>
          </cell>
          <cell r="AA63">
            <v>1</v>
          </cell>
          <cell r="AB63"/>
          <cell r="AC63"/>
          <cell r="AD63"/>
          <cell r="AE63" t="e">
            <v>#VALUE!</v>
          </cell>
          <cell r="AF63">
            <v>17</v>
          </cell>
          <cell r="AG63" t="b">
            <v>1</v>
          </cell>
          <cell r="AH63" t="str">
            <v>BDB-000313</v>
          </cell>
          <cell r="AI63" t="b">
            <v>1</v>
          </cell>
        </row>
        <row r="64">
          <cell r="A64" t="str">
            <v>F-2026-05-15</v>
          </cell>
          <cell r="B64" t="str">
            <v>RPRO-260504-0927</v>
          </cell>
          <cell r="C64" t="str">
            <v>13/5</v>
          </cell>
          <cell r="D64" t="str">
            <v>Pro.sche.report 29.04+02.05</v>
          </cell>
          <cell r="E64" t="str">
            <v>BDB-000313</v>
          </cell>
          <cell r="F64" t="str">
            <v>PVN-004061</v>
          </cell>
          <cell r="G64" t="str">
            <v>OrthoLite X-55 RED/19-1764TPX Flat Sheet 0.16D 25+/-4 Asker C 1.1M 1.47M 18mm</v>
          </cell>
          <cell r="H64">
            <v>7</v>
          </cell>
          <cell r="I64">
            <v>2</v>
          </cell>
          <cell r="J64">
            <v>2</v>
          </cell>
          <cell r="K64" t="str">
            <v>WILSON</v>
          </cell>
          <cell r="L64" t="str">
            <v>Pr.Sch.R</v>
          </cell>
          <cell r="M64" t="str">
            <v>MOLDED</v>
          </cell>
          <cell r="N64" t="str">
            <v>21-2</v>
          </cell>
          <cell r="O64" t="str">
            <v xml:space="preserve">W19 đổ dư 2 bun </v>
          </cell>
          <cell r="P64"/>
          <cell r="Q64">
            <v>46158</v>
          </cell>
          <cell r="R64">
            <v>46160</v>
          </cell>
          <cell r="S64">
            <v>46161</v>
          </cell>
          <cell r="T64" t="str">
            <v>l1</v>
          </cell>
          <cell r="U64"/>
          <cell r="V64" t="e">
            <v>#VALUE!</v>
          </cell>
          <cell r="W64" t="b">
            <v>1</v>
          </cell>
          <cell r="X64">
            <v>0</v>
          </cell>
          <cell r="Y64">
            <v>7</v>
          </cell>
          <cell r="Z64" t="b">
            <v>1</v>
          </cell>
          <cell r="AA64">
            <v>1</v>
          </cell>
          <cell r="AB64"/>
          <cell r="AC64"/>
          <cell r="AD64"/>
          <cell r="AE64" t="e">
            <v>#VALUE!</v>
          </cell>
          <cell r="AF64">
            <v>2</v>
          </cell>
          <cell r="AG64" t="b">
            <v>1</v>
          </cell>
          <cell r="AH64" t="str">
            <v>BDB-000313</v>
          </cell>
          <cell r="AI64" t="b">
            <v>1</v>
          </cell>
        </row>
        <row r="65">
          <cell r="A65" t="str">
            <v>F-2026-05-106</v>
          </cell>
          <cell r="B65" t="str">
            <v>RPRO-260508-0417</v>
          </cell>
          <cell r="C65" t="str">
            <v>13/5</v>
          </cell>
          <cell r="D65" t="str">
            <v>Pro.sche.report 07.5</v>
          </cell>
          <cell r="E65" t="str">
            <v>BDB-000313</v>
          </cell>
          <cell r="F65" t="str">
            <v>PVN-004061</v>
          </cell>
          <cell r="G65" t="str">
            <v>OrthoLite X-55 RED/19-1764TPX Flat Sheet 0.16D 25+/-4 Asker C 1.1M 1.47M 18mm</v>
          </cell>
          <cell r="H65">
            <v>7</v>
          </cell>
          <cell r="I65">
            <v>2</v>
          </cell>
          <cell r="J65">
            <v>2</v>
          </cell>
          <cell r="K65" t="str">
            <v>WILSON</v>
          </cell>
          <cell r="L65" t="str">
            <v>Pr.Sch.R</v>
          </cell>
          <cell r="M65" t="str">
            <v>MOLDED</v>
          </cell>
          <cell r="N65"/>
          <cell r="O65"/>
          <cell r="P65"/>
          <cell r="Q65">
            <v>46162</v>
          </cell>
          <cell r="R65">
            <v>46164</v>
          </cell>
          <cell r="S65">
            <v>46165</v>
          </cell>
          <cell r="T65" t="str">
            <v>l1</v>
          </cell>
          <cell r="U65"/>
          <cell r="V65">
            <v>0</v>
          </cell>
          <cell r="W65" t="b">
            <v>1</v>
          </cell>
          <cell r="X65">
            <v>0</v>
          </cell>
          <cell r="Y65">
            <v>7</v>
          </cell>
          <cell r="Z65" t="b">
            <v>1</v>
          </cell>
          <cell r="AA65">
            <v>1</v>
          </cell>
          <cell r="AB65"/>
          <cell r="AC65"/>
          <cell r="AD65"/>
          <cell r="AE65" t="e">
            <v>#VALUE!</v>
          </cell>
          <cell r="AF65">
            <v>2</v>
          </cell>
          <cell r="AG65" t="b">
            <v>1</v>
          </cell>
          <cell r="AH65" t="str">
            <v>BDB-000313</v>
          </cell>
          <cell r="AI65" t="b">
            <v>1</v>
          </cell>
        </row>
        <row r="66">
          <cell r="A66"/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>
            <v>0</v>
          </cell>
          <cell r="W66"/>
          <cell r="X66"/>
          <cell r="Y66"/>
          <cell r="Z66"/>
          <cell r="AA66">
            <v>1</v>
          </cell>
          <cell r="AB66"/>
          <cell r="AC66"/>
          <cell r="AD66"/>
          <cell r="AE66"/>
        </row>
        <row r="67">
          <cell r="A67" t="str">
            <v>F-2026-05-64</v>
          </cell>
          <cell r="B67" t="str">
            <v>FPRO-260504-0015</v>
          </cell>
          <cell r="C67" t="str">
            <v>13/5</v>
          </cell>
          <cell r="D67" t="str">
            <v>Firm plan 04.05</v>
          </cell>
          <cell r="E67" t="str">
            <v>BDB-000332</v>
          </cell>
          <cell r="F67" t="str">
            <v>PVN-004146</v>
          </cell>
          <cell r="G67" t="str">
            <v>OrthoLite X-25 CASTLEROCK/18-0201TPX Flat Sheet 0.12D 20+/-4 Asker C 1.1M 2M 5.5mm</v>
          </cell>
          <cell r="H67">
            <v>600</v>
          </cell>
          <cell r="I67">
            <v>24</v>
          </cell>
          <cell r="J67">
            <v>24</v>
          </cell>
          <cell r="K67" t="str">
            <v>ON RUNNING</v>
          </cell>
          <cell r="L67" t="str">
            <v>Forecast</v>
          </cell>
          <cell r="M67" t="str">
            <v>MOLDED</v>
          </cell>
          <cell r="N67">
            <v>20</v>
          </cell>
          <cell r="O67" t="str">
            <v xml:space="preserve">W19 đổ dư 4 bun </v>
          </cell>
          <cell r="P67"/>
          <cell r="Q67">
            <v>46156</v>
          </cell>
          <cell r="R67">
            <v>46158</v>
          </cell>
          <cell r="S67">
            <v>46160</v>
          </cell>
          <cell r="T67" t="str">
            <v>l1</v>
          </cell>
          <cell r="U67">
            <v>25</v>
          </cell>
          <cell r="V67">
            <v>5</v>
          </cell>
          <cell r="W67" t="b">
            <v>1</v>
          </cell>
          <cell r="X67">
            <v>0</v>
          </cell>
          <cell r="Y67">
            <v>600</v>
          </cell>
          <cell r="Z67" t="b">
            <v>0</v>
          </cell>
          <cell r="AA67">
            <v>1</v>
          </cell>
          <cell r="AB67"/>
          <cell r="AC67"/>
          <cell r="AD67"/>
          <cell r="AE67" t="e">
            <v>#VALUE!</v>
          </cell>
          <cell r="AF67">
            <v>24</v>
          </cell>
          <cell r="AG67" t="b">
            <v>1</v>
          </cell>
          <cell r="AH67" t="str">
            <v>BDB-000332</v>
          </cell>
          <cell r="AI67" t="b">
            <v>1</v>
          </cell>
        </row>
        <row r="68">
          <cell r="A68"/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>
            <v>0</v>
          </cell>
          <cell r="W68"/>
          <cell r="X68"/>
          <cell r="Y68"/>
          <cell r="Z68"/>
          <cell r="AA68">
            <v>1</v>
          </cell>
          <cell r="AB68"/>
          <cell r="AC68"/>
          <cell r="AD68"/>
          <cell r="AE68"/>
        </row>
        <row r="69">
          <cell r="A69" t="str">
            <v>F-2026-04-242</v>
          </cell>
          <cell r="B69" t="str">
            <v>FPRO-260416-0027</v>
          </cell>
          <cell r="C69" t="str">
            <v>13/5</v>
          </cell>
          <cell r="D69" t="str">
            <v>Firm plan 16.4</v>
          </cell>
          <cell r="E69" t="str">
            <v>BDB-000235</v>
          </cell>
          <cell r="F69" t="str">
            <v>PVN-003576</v>
          </cell>
          <cell r="G69" t="str">
            <v>OrthoLite X-55-Hybrid FOSSIL/17-0909TPX Hybrid Flat Sheet 0.16D 25+/-4 Asker C 1.1M 1.7M 12mm</v>
          </cell>
          <cell r="H69">
            <v>500</v>
          </cell>
          <cell r="I69">
            <v>44</v>
          </cell>
          <cell r="J69">
            <v>44</v>
          </cell>
          <cell r="K69" t="str">
            <v>ASICS</v>
          </cell>
          <cell r="L69" t="str">
            <v>Forecast</v>
          </cell>
          <cell r="M69" t="str">
            <v>MOLDED</v>
          </cell>
          <cell r="N69">
            <v>22</v>
          </cell>
          <cell r="O69" t="str">
            <v xml:space="preserve">W19 đổ dư 22 bun </v>
          </cell>
          <cell r="P69"/>
          <cell r="Q69">
            <v>46156</v>
          </cell>
          <cell r="R69">
            <v>46158</v>
          </cell>
          <cell r="S69">
            <v>46160</v>
          </cell>
          <cell r="T69" t="str">
            <v>l1</v>
          </cell>
          <cell r="U69">
            <v>26</v>
          </cell>
          <cell r="V69">
            <v>4</v>
          </cell>
          <cell r="W69" t="b">
            <v>1</v>
          </cell>
          <cell r="X69">
            <v>0</v>
          </cell>
          <cell r="Y69">
            <v>500</v>
          </cell>
          <cell r="Z69" t="b">
            <v>0</v>
          </cell>
          <cell r="AA69">
            <v>1</v>
          </cell>
          <cell r="AB69"/>
          <cell r="AC69"/>
          <cell r="AD69"/>
          <cell r="AE69" t="e">
            <v>#VALUE!</v>
          </cell>
          <cell r="AF69">
            <v>44</v>
          </cell>
          <cell r="AG69" t="b">
            <v>1</v>
          </cell>
          <cell r="AH69" t="str">
            <v>BDB-000235</v>
          </cell>
          <cell r="AI69" t="b">
            <v>1</v>
          </cell>
        </row>
        <row r="70">
          <cell r="A70"/>
          <cell r="B70"/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>
            <v>0</v>
          </cell>
          <cell r="W70"/>
          <cell r="X70"/>
          <cell r="Y70"/>
          <cell r="Z70"/>
          <cell r="AA70">
            <v>1</v>
          </cell>
          <cell r="AB70"/>
          <cell r="AC70"/>
          <cell r="AD70"/>
          <cell r="AE70"/>
        </row>
        <row r="71">
          <cell r="A71" t="str">
            <v>F-2026-04-334</v>
          </cell>
          <cell r="B71" t="str">
            <v>RPRO-260428-1290</v>
          </cell>
          <cell r="C71" t="str">
            <v>13/5</v>
          </cell>
          <cell r="D71" t="str">
            <v>MPS 24.4+25.4</v>
          </cell>
          <cell r="E71" t="str">
            <v>BDB-000348</v>
          </cell>
          <cell r="F71" t="str">
            <v>PVN-004210</v>
          </cell>
          <cell r="G71" t="str">
            <v>OrthoLite IMPERIAL SEEDPEARL/12-0703TPX Flat Sheet 0.22D 25+/-4 Asker C 1.1M 1.47M 5mm</v>
          </cell>
          <cell r="H71">
            <v>28</v>
          </cell>
          <cell r="I71">
            <v>1</v>
          </cell>
          <cell r="J71">
            <v>1</v>
          </cell>
          <cell r="K71"/>
          <cell r="L71" t="str">
            <v>MPS</v>
          </cell>
          <cell r="M71" t="str">
            <v>SPLITTING</v>
          </cell>
          <cell r="N71">
            <v>56</v>
          </cell>
          <cell r="O71"/>
          <cell r="P71"/>
          <cell r="Q71">
            <v>46156</v>
          </cell>
          <cell r="R71">
            <v>46158</v>
          </cell>
          <cell r="S71">
            <v>46160</v>
          </cell>
          <cell r="T71" t="str">
            <v>l1</v>
          </cell>
          <cell r="U71">
            <v>55</v>
          </cell>
          <cell r="V71">
            <v>-1</v>
          </cell>
          <cell r="W71" t="b">
            <v>1</v>
          </cell>
          <cell r="X71">
            <v>0</v>
          </cell>
          <cell r="Y71">
            <v>28</v>
          </cell>
          <cell r="Z71" t="b">
            <v>1</v>
          </cell>
          <cell r="AA71">
            <v>1</v>
          </cell>
          <cell r="AB71"/>
          <cell r="AC71"/>
          <cell r="AD71"/>
          <cell r="AE71" t="e">
            <v>#VALUE!</v>
          </cell>
          <cell r="AF71">
            <v>1</v>
          </cell>
          <cell r="AG71" t="b">
            <v>1</v>
          </cell>
          <cell r="AH71" t="str">
            <v>BDB-000348</v>
          </cell>
          <cell r="AI71" t="b">
            <v>1</v>
          </cell>
        </row>
        <row r="72">
          <cell r="A72" t="str">
            <v>F-2026-05-01</v>
          </cell>
          <cell r="B72" t="str">
            <v>RPRO-260504-0913</v>
          </cell>
          <cell r="C72" t="str">
            <v>13/5</v>
          </cell>
          <cell r="D72" t="str">
            <v>MPS 29.04+02.05</v>
          </cell>
          <cell r="E72" t="str">
            <v>BDB-000348</v>
          </cell>
          <cell r="F72" t="str">
            <v>PVN-004195</v>
          </cell>
          <cell r="G72" t="str">
            <v>OrthoLite IMPERIAL SEEDPEARL/12-0703TPX Flat Sheet 0.22D 25+/-4 Asker C 1.1M 1.47M 4mm</v>
          </cell>
          <cell r="H72">
            <v>44</v>
          </cell>
          <cell r="I72">
            <v>2</v>
          </cell>
          <cell r="J72">
            <v>2</v>
          </cell>
          <cell r="K72"/>
          <cell r="L72" t="str">
            <v>MPS</v>
          </cell>
          <cell r="M72" t="str">
            <v>SPLITTING</v>
          </cell>
          <cell r="N72"/>
          <cell r="O72"/>
          <cell r="P72"/>
          <cell r="Q72">
            <v>46158</v>
          </cell>
          <cell r="R72">
            <v>46160</v>
          </cell>
          <cell r="S72">
            <v>46161</v>
          </cell>
          <cell r="T72" t="str">
            <v>l1</v>
          </cell>
          <cell r="U72"/>
          <cell r="V72">
            <v>0</v>
          </cell>
          <cell r="W72" t="b">
            <v>1</v>
          </cell>
          <cell r="X72">
            <v>0</v>
          </cell>
          <cell r="Y72">
            <v>44</v>
          </cell>
          <cell r="Z72" t="b">
            <v>1</v>
          </cell>
          <cell r="AA72">
            <v>1</v>
          </cell>
          <cell r="AB72"/>
          <cell r="AC72"/>
          <cell r="AD72"/>
          <cell r="AE72" t="e">
            <v>#VALUE!</v>
          </cell>
          <cell r="AF72">
            <v>2</v>
          </cell>
          <cell r="AG72" t="b">
            <v>1</v>
          </cell>
          <cell r="AH72" t="str">
            <v>BDB-000348</v>
          </cell>
          <cell r="AI72" t="b">
            <v>1</v>
          </cell>
        </row>
        <row r="73">
          <cell r="A73" t="str">
            <v>F-2026-05-09</v>
          </cell>
          <cell r="B73" t="str">
            <v>RPRO-260504-0921</v>
          </cell>
          <cell r="C73" t="str">
            <v>13/5</v>
          </cell>
          <cell r="D73" t="str">
            <v>MPS 29.04+02.05</v>
          </cell>
          <cell r="E73" t="str">
            <v>BDB-000348</v>
          </cell>
          <cell r="F73" t="str">
            <v>PVN-004210</v>
          </cell>
          <cell r="G73" t="str">
            <v>OrthoLite IMPERIAL SEEDPEARL/12-0703TPX Flat Sheet 0.22D 25+/-4 Asker C 1.1M 1.47M 5mm</v>
          </cell>
          <cell r="H73">
            <v>28</v>
          </cell>
          <cell r="I73">
            <v>1</v>
          </cell>
          <cell r="J73">
            <v>1</v>
          </cell>
          <cell r="K73"/>
          <cell r="L73" t="str">
            <v>MPS</v>
          </cell>
          <cell r="M73" t="str">
            <v>SPLITTING</v>
          </cell>
          <cell r="N73"/>
          <cell r="O73"/>
          <cell r="P73"/>
          <cell r="Q73">
            <v>46158</v>
          </cell>
          <cell r="R73">
            <v>46160</v>
          </cell>
          <cell r="S73">
            <v>46161</v>
          </cell>
          <cell r="T73" t="str">
            <v>l1</v>
          </cell>
          <cell r="U73"/>
          <cell r="V73">
            <v>0</v>
          </cell>
          <cell r="W73" t="b">
            <v>1</v>
          </cell>
          <cell r="X73">
            <v>0</v>
          </cell>
          <cell r="Y73">
            <v>28</v>
          </cell>
          <cell r="Z73" t="b">
            <v>1</v>
          </cell>
          <cell r="AA73">
            <v>1</v>
          </cell>
          <cell r="AB73"/>
          <cell r="AC73"/>
          <cell r="AD73"/>
          <cell r="AE73" t="e">
            <v>#VALUE!</v>
          </cell>
          <cell r="AF73">
            <v>1</v>
          </cell>
          <cell r="AG73" t="b">
            <v>1</v>
          </cell>
          <cell r="AH73" t="str">
            <v>BDB-000348</v>
          </cell>
          <cell r="AI73" t="b">
            <v>1</v>
          </cell>
        </row>
        <row r="74">
          <cell r="A74" t="str">
            <v>F-2026-04-354</v>
          </cell>
          <cell r="B74" t="str">
            <v>RPRO-260429-0442</v>
          </cell>
          <cell r="C74" t="str">
            <v>13/5</v>
          </cell>
          <cell r="D74" t="str">
            <v>MPS 28.04</v>
          </cell>
          <cell r="E74" t="str">
            <v>BDB-000348</v>
          </cell>
          <cell r="F74" t="str">
            <v>PVN-004195</v>
          </cell>
          <cell r="G74" t="str">
            <v>OrthoLite IMPERIAL SEEDPEARL/12-0703TPX Flat Sheet 0.22D 25+/-4 Asker C 1.1M 1.47M 4mm</v>
          </cell>
          <cell r="H74">
            <v>700</v>
          </cell>
          <cell r="I74">
            <v>20</v>
          </cell>
          <cell r="J74">
            <v>20</v>
          </cell>
          <cell r="K74"/>
          <cell r="L74" t="str">
            <v>MPS</v>
          </cell>
          <cell r="M74" t="str">
            <v>SPLITTING</v>
          </cell>
          <cell r="N74"/>
          <cell r="O74"/>
          <cell r="P74"/>
          <cell r="Q74">
            <v>46158</v>
          </cell>
          <cell r="R74">
            <v>46160</v>
          </cell>
          <cell r="S74">
            <v>46161</v>
          </cell>
          <cell r="T74" t="str">
            <v>l1</v>
          </cell>
          <cell r="U74"/>
          <cell r="V74">
            <v>0</v>
          </cell>
          <cell r="W74" t="b">
            <v>1</v>
          </cell>
          <cell r="X74">
            <v>0</v>
          </cell>
          <cell r="Y74">
            <v>700</v>
          </cell>
          <cell r="Z74" t="b">
            <v>1</v>
          </cell>
          <cell r="AA74">
            <v>1</v>
          </cell>
          <cell r="AB74"/>
          <cell r="AC74"/>
          <cell r="AD74"/>
          <cell r="AE74" t="e">
            <v>#VALUE!</v>
          </cell>
          <cell r="AF74">
            <v>20</v>
          </cell>
          <cell r="AG74" t="b">
            <v>1</v>
          </cell>
          <cell r="AH74" t="str">
            <v>BDB-000348</v>
          </cell>
          <cell r="AI74" t="b">
            <v>1</v>
          </cell>
        </row>
        <row r="75">
          <cell r="A75" t="str">
            <v>F-2026-04-365</v>
          </cell>
          <cell r="B75" t="str">
            <v>RPRO-260429-0453</v>
          </cell>
          <cell r="C75" t="str">
            <v>13/5</v>
          </cell>
          <cell r="D75" t="str">
            <v>MPS 28.04</v>
          </cell>
          <cell r="E75" t="str">
            <v>BDB-000348</v>
          </cell>
          <cell r="F75" t="str">
            <v>PVN-004210</v>
          </cell>
          <cell r="G75" t="str">
            <v>OrthoLite IMPERIAL SEEDPEARL/12-0703TPX Flat Sheet 0.22D 25+/-4 Asker C 1.1M 1.47M 5mm</v>
          </cell>
          <cell r="H75">
            <v>420</v>
          </cell>
          <cell r="I75">
            <v>15</v>
          </cell>
          <cell r="J75">
            <v>15</v>
          </cell>
          <cell r="K75"/>
          <cell r="L75" t="str">
            <v>MPS</v>
          </cell>
          <cell r="M75" t="str">
            <v>SPLITTING</v>
          </cell>
          <cell r="N75"/>
          <cell r="O75"/>
          <cell r="P75"/>
          <cell r="Q75">
            <v>46158</v>
          </cell>
          <cell r="R75">
            <v>46160</v>
          </cell>
          <cell r="S75">
            <v>46161</v>
          </cell>
          <cell r="T75" t="str">
            <v>l1</v>
          </cell>
          <cell r="U75"/>
          <cell r="V75">
            <v>0</v>
          </cell>
          <cell r="W75" t="b">
            <v>1</v>
          </cell>
          <cell r="X75">
            <v>0</v>
          </cell>
          <cell r="Y75">
            <v>420</v>
          </cell>
          <cell r="Z75" t="b">
            <v>1</v>
          </cell>
          <cell r="AA75">
            <v>1</v>
          </cell>
          <cell r="AB75"/>
          <cell r="AC75"/>
          <cell r="AD75"/>
          <cell r="AE75" t="e">
            <v>#VALUE!</v>
          </cell>
          <cell r="AF75">
            <v>15</v>
          </cell>
          <cell r="AG75" t="b">
            <v>1</v>
          </cell>
          <cell r="AH75" t="str">
            <v>BDB-000348</v>
          </cell>
          <cell r="AI75" t="b">
            <v>1</v>
          </cell>
        </row>
        <row r="76">
          <cell r="A76" t="str">
            <v>F-2026-05-29</v>
          </cell>
          <cell r="B76" t="str">
            <v>RPRO-260505-0668</v>
          </cell>
          <cell r="C76" t="str">
            <v>13/5</v>
          </cell>
          <cell r="D76" t="str">
            <v>MPS 04.5</v>
          </cell>
          <cell r="E76" t="str">
            <v>BDB-000348</v>
          </cell>
          <cell r="F76" t="str">
            <v>PVN-004195</v>
          </cell>
          <cell r="G76" t="str">
            <v>OrthoLite IMPERIAL SEEDPEARL/12-0703TPX Flat Sheet 0.22D 25+/-4 Asker C 1.1M 1.47M 4mm</v>
          </cell>
          <cell r="H76">
            <v>92</v>
          </cell>
          <cell r="I76">
            <v>3</v>
          </cell>
          <cell r="J76">
            <v>3</v>
          </cell>
          <cell r="K76"/>
          <cell r="L76" t="str">
            <v>MPS</v>
          </cell>
          <cell r="M76" t="str">
            <v>SPLITTING</v>
          </cell>
          <cell r="N76"/>
          <cell r="O76"/>
          <cell r="P76"/>
          <cell r="Q76">
            <v>46158</v>
          </cell>
          <cell r="R76">
            <v>46161</v>
          </cell>
          <cell r="S76">
            <v>46162</v>
          </cell>
          <cell r="T76" t="str">
            <v>l1</v>
          </cell>
          <cell r="U76"/>
          <cell r="V76">
            <v>0</v>
          </cell>
          <cell r="W76" t="b">
            <v>1</v>
          </cell>
          <cell r="X76">
            <v>0</v>
          </cell>
          <cell r="Y76">
            <v>92</v>
          </cell>
          <cell r="Z76" t="b">
            <v>1</v>
          </cell>
          <cell r="AA76">
            <v>1</v>
          </cell>
          <cell r="AB76"/>
          <cell r="AC76"/>
          <cell r="AD76"/>
          <cell r="AE76" t="e">
            <v>#VALUE!</v>
          </cell>
          <cell r="AF76">
            <v>3</v>
          </cell>
          <cell r="AG76" t="b">
            <v>1</v>
          </cell>
          <cell r="AH76" t="str">
            <v>BDB-000348</v>
          </cell>
          <cell r="AI76" t="b">
            <v>1</v>
          </cell>
        </row>
        <row r="77">
          <cell r="A77" t="str">
            <v>F-2026-05-34</v>
          </cell>
          <cell r="B77" t="str">
            <v>RPRO-260505-0673</v>
          </cell>
          <cell r="C77" t="str">
            <v>13/5</v>
          </cell>
          <cell r="D77" t="str">
            <v>MPS 04.5</v>
          </cell>
          <cell r="E77" t="str">
            <v>BDB-000348</v>
          </cell>
          <cell r="F77" t="str">
            <v>PVN-004210</v>
          </cell>
          <cell r="G77" t="str">
            <v>OrthoLite IMPERIAL SEEDPEARL/12-0703TPX Flat Sheet 0.22D 25+/-4 Asker C 1.1M 1.47M 5mm</v>
          </cell>
          <cell r="H77">
            <v>28</v>
          </cell>
          <cell r="I77">
            <v>1</v>
          </cell>
          <cell r="J77">
            <v>1</v>
          </cell>
          <cell r="K77"/>
          <cell r="L77" t="str">
            <v>MPS</v>
          </cell>
          <cell r="M77" t="str">
            <v>SPLITTING</v>
          </cell>
          <cell r="N77"/>
          <cell r="O77"/>
          <cell r="P77"/>
          <cell r="Q77">
            <v>46158</v>
          </cell>
          <cell r="R77">
            <v>46161</v>
          </cell>
          <cell r="S77">
            <v>46162</v>
          </cell>
          <cell r="T77" t="str">
            <v>l1</v>
          </cell>
          <cell r="U77"/>
          <cell r="V77">
            <v>0</v>
          </cell>
          <cell r="W77" t="b">
            <v>1</v>
          </cell>
          <cell r="X77">
            <v>0</v>
          </cell>
          <cell r="Y77">
            <v>28</v>
          </cell>
          <cell r="Z77" t="b">
            <v>1</v>
          </cell>
          <cell r="AA77">
            <v>1</v>
          </cell>
          <cell r="AB77"/>
          <cell r="AC77"/>
          <cell r="AD77"/>
          <cell r="AE77" t="e">
            <v>#VALUE!</v>
          </cell>
          <cell r="AF77">
            <v>1</v>
          </cell>
          <cell r="AG77" t="b">
            <v>1</v>
          </cell>
          <cell r="AH77" t="str">
            <v>BDB-000348</v>
          </cell>
          <cell r="AI77" t="b">
            <v>1</v>
          </cell>
        </row>
        <row r="78">
          <cell r="A78" t="str">
            <v>F-2026-05-70</v>
          </cell>
          <cell r="B78" t="str">
            <v>RPRO-260506-0351</v>
          </cell>
          <cell r="C78" t="str">
            <v>13/5</v>
          </cell>
          <cell r="D78" t="str">
            <v>MPS 05.05</v>
          </cell>
          <cell r="E78" t="str">
            <v>BDB-000348</v>
          </cell>
          <cell r="F78" t="str">
            <v>PVN-004195</v>
          </cell>
          <cell r="G78" t="str">
            <v>OrthoLite IMPERIAL SEEDPEARL/12-0703TPX Flat Sheet 0.22D 25+/-4 Asker C 1.1M 1.47M 4mm</v>
          </cell>
          <cell r="H78">
            <v>455</v>
          </cell>
          <cell r="I78">
            <v>13</v>
          </cell>
          <cell r="J78">
            <v>13</v>
          </cell>
          <cell r="K78"/>
          <cell r="L78" t="str">
            <v>MPS</v>
          </cell>
          <cell r="M78" t="str">
            <v>SPLITTING</v>
          </cell>
          <cell r="N78"/>
          <cell r="O78"/>
          <cell r="P78"/>
          <cell r="Q78">
            <v>46160</v>
          </cell>
          <cell r="R78">
            <v>46162</v>
          </cell>
          <cell r="S78">
            <v>46163</v>
          </cell>
          <cell r="T78" t="str">
            <v>l1</v>
          </cell>
          <cell r="U78"/>
          <cell r="V78">
            <v>0</v>
          </cell>
          <cell r="W78" t="b">
            <v>1</v>
          </cell>
          <cell r="X78">
            <v>0</v>
          </cell>
          <cell r="Y78">
            <v>455</v>
          </cell>
          <cell r="Z78" t="b">
            <v>1</v>
          </cell>
          <cell r="AA78">
            <v>1</v>
          </cell>
          <cell r="AB78"/>
          <cell r="AC78"/>
          <cell r="AD78"/>
          <cell r="AE78" t="e">
            <v>#VALUE!</v>
          </cell>
          <cell r="AF78">
            <v>13</v>
          </cell>
          <cell r="AG78" t="b">
            <v>1</v>
          </cell>
          <cell r="AH78" t="str">
            <v>BDB-000348</v>
          </cell>
          <cell r="AI78" t="b">
            <v>1</v>
          </cell>
        </row>
        <row r="79">
          <cell r="A79"/>
          <cell r="B79"/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>
            <v>0</v>
          </cell>
          <cell r="W79"/>
          <cell r="X79"/>
          <cell r="Y79"/>
          <cell r="Z79"/>
          <cell r="AA79">
            <v>1</v>
          </cell>
          <cell r="AB79"/>
          <cell r="AC79"/>
          <cell r="AD79"/>
          <cell r="AE79"/>
        </row>
        <row r="80">
          <cell r="A80" t="str">
            <v>F-2026-03-388</v>
          </cell>
          <cell r="B80" t="str">
            <v>FPRO-260318-0032</v>
          </cell>
          <cell r="C80" t="str">
            <v>13/5</v>
          </cell>
          <cell r="D80" t="str">
            <v>Firm plan 18.3</v>
          </cell>
          <cell r="E80" t="str">
            <v>BDB-000234</v>
          </cell>
          <cell r="F80" t="str">
            <v>PVN-003581</v>
          </cell>
          <cell r="G80" t="str">
            <v>OrthoLite X-30-Hybrid BROWN SUGAR/17-1134TPX Hybrid Flat Sheet 0.13D 25+/-4 Asker C 1.1M 2M 12mm</v>
          </cell>
          <cell r="H80">
            <v>700</v>
          </cell>
          <cell r="I80">
            <v>61</v>
          </cell>
          <cell r="J80">
            <v>61</v>
          </cell>
          <cell r="K80" t="str">
            <v>ASICS</v>
          </cell>
          <cell r="L80" t="str">
            <v>Forecast</v>
          </cell>
          <cell r="M80" t="str">
            <v>MOLDED</v>
          </cell>
          <cell r="N80">
            <v>54</v>
          </cell>
          <cell r="O80" t="str">
            <v>ĐƠN CŨ TUAN W19</v>
          </cell>
          <cell r="P80"/>
          <cell r="Q80">
            <v>46153</v>
          </cell>
          <cell r="R80">
            <v>46155</v>
          </cell>
          <cell r="S80">
            <v>46156</v>
          </cell>
          <cell r="T80" t="str">
            <v/>
          </cell>
          <cell r="U80">
            <v>39</v>
          </cell>
          <cell r="V80">
            <v>-15</v>
          </cell>
          <cell r="W80" t="b">
            <v>1</v>
          </cell>
          <cell r="X80">
            <v>0</v>
          </cell>
          <cell r="Y80">
            <v>700</v>
          </cell>
          <cell r="Z80" t="b">
            <v>0</v>
          </cell>
          <cell r="AA80">
            <v>1</v>
          </cell>
          <cell r="AB80"/>
          <cell r="AC80"/>
          <cell r="AD80"/>
          <cell r="AE80" t="e">
            <v>#VALUE!</v>
          </cell>
          <cell r="AF80">
            <v>61</v>
          </cell>
          <cell r="AG80" t="b">
            <v>1</v>
          </cell>
          <cell r="AH80" t="str">
            <v>BDB-000234</v>
          </cell>
          <cell r="AI80" t="b">
            <v>1</v>
          </cell>
        </row>
        <row r="81">
          <cell r="A81" t="str">
            <v>F-2026-05-49</v>
          </cell>
          <cell r="B81" t="str">
            <v>RPRO-260505-0689</v>
          </cell>
          <cell r="C81" t="str">
            <v>13/5</v>
          </cell>
          <cell r="D81" t="str">
            <v>Pro.sche.report 04.5</v>
          </cell>
          <cell r="E81" t="str">
            <v>BDB-000234</v>
          </cell>
          <cell r="F81" t="str">
            <v>PVN-003575</v>
          </cell>
          <cell r="G81" t="str">
            <v>OrthoLite X-30-Hybrid BROWN SUGAR/17-1134TPX Hybrid Flat Sheet 0.13D 25+/-4 Asker C 1.1M 2M 10mm</v>
          </cell>
          <cell r="H81">
            <v>52</v>
          </cell>
          <cell r="I81">
            <v>4</v>
          </cell>
          <cell r="J81">
            <v>4</v>
          </cell>
          <cell r="K81" t="str">
            <v>ASICS</v>
          </cell>
          <cell r="L81" t="str">
            <v>Pr.Sch.R</v>
          </cell>
          <cell r="M81" t="str">
            <v>MOLDED</v>
          </cell>
          <cell r="N81">
            <v>4</v>
          </cell>
          <cell r="O81" t="str">
            <v>ppc/pur imp-đã nhắc sx</v>
          </cell>
          <cell r="P81"/>
          <cell r="Q81">
            <v>46156</v>
          </cell>
          <cell r="R81">
            <v>46159</v>
          </cell>
          <cell r="S81">
            <v>46160</v>
          </cell>
          <cell r="T81" t="str">
            <v>l1</v>
          </cell>
          <cell r="U81"/>
          <cell r="V81">
            <v>-4</v>
          </cell>
          <cell r="W81" t="b">
            <v>1</v>
          </cell>
          <cell r="X81">
            <v>0</v>
          </cell>
          <cell r="Y81">
            <v>52</v>
          </cell>
          <cell r="Z81" t="b">
            <v>1</v>
          </cell>
          <cell r="AA81">
            <v>1</v>
          </cell>
          <cell r="AB81"/>
          <cell r="AC81"/>
          <cell r="AD81"/>
          <cell r="AE81" t="e">
            <v>#VALUE!</v>
          </cell>
          <cell r="AF81">
            <v>4</v>
          </cell>
          <cell r="AG81" t="b">
            <v>1</v>
          </cell>
          <cell r="AH81" t="str">
            <v>BDB-000234</v>
          </cell>
          <cell r="AI81" t="b">
            <v>1</v>
          </cell>
        </row>
        <row r="82">
          <cell r="A82"/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>
            <v>0</v>
          </cell>
          <cell r="W82"/>
          <cell r="X82"/>
          <cell r="Y82"/>
          <cell r="Z82"/>
          <cell r="AA82">
            <v>1</v>
          </cell>
          <cell r="AB82"/>
          <cell r="AC82"/>
          <cell r="AD82"/>
          <cell r="AE82"/>
        </row>
        <row r="83">
          <cell r="A83" t="str">
            <v>F-2026-04-367</v>
          </cell>
          <cell r="B83" t="str">
            <v>RPRO-260429-0457</v>
          </cell>
          <cell r="C83" t="str">
            <v>13/5</v>
          </cell>
          <cell r="D83" t="str">
            <v>Pro.sche.report 28.04</v>
          </cell>
          <cell r="E83" t="str">
            <v>BDB-000248</v>
          </cell>
          <cell r="F83" t="str">
            <v>PVN-003931</v>
          </cell>
          <cell r="G83" t="str">
            <v>OrthoLite X-40-Hybrid RED/19-1764TPX Hybrid Flat Sheet 0.16D 25+/-4 Asker C 1.1M 1.7M 6.5mm</v>
          </cell>
          <cell r="H83">
            <v>84</v>
          </cell>
          <cell r="I83">
            <v>5</v>
          </cell>
          <cell r="J83">
            <v>5</v>
          </cell>
          <cell r="K83" t="str">
            <v>REDWING</v>
          </cell>
          <cell r="L83" t="str">
            <v>Pr.Sch.R</v>
          </cell>
          <cell r="M83" t="str">
            <v>MOLDED</v>
          </cell>
          <cell r="N83">
            <v>5</v>
          </cell>
          <cell r="O83"/>
          <cell r="P83"/>
          <cell r="Q83">
            <v>46158</v>
          </cell>
          <cell r="R83">
            <v>46160</v>
          </cell>
          <cell r="S83">
            <v>46161</v>
          </cell>
          <cell r="T83" t="str">
            <v>l1</v>
          </cell>
          <cell r="U83"/>
          <cell r="V83">
            <v>-5</v>
          </cell>
          <cell r="W83" t="b">
            <v>1</v>
          </cell>
          <cell r="X83">
            <v>0</v>
          </cell>
          <cell r="Y83">
            <v>84</v>
          </cell>
          <cell r="Z83" t="b">
            <v>1</v>
          </cell>
          <cell r="AA83">
            <v>1</v>
          </cell>
          <cell r="AB83"/>
          <cell r="AC83"/>
          <cell r="AD83"/>
          <cell r="AE83" t="e">
            <v>#VALUE!</v>
          </cell>
          <cell r="AF83">
            <v>5</v>
          </cell>
          <cell r="AG83" t="b">
            <v>1</v>
          </cell>
          <cell r="AH83" t="str">
            <v>BDB-000248</v>
          </cell>
          <cell r="AI83" t="b">
            <v>1</v>
          </cell>
        </row>
        <row r="84">
          <cell r="A84"/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>
            <v>0</v>
          </cell>
          <cell r="W84"/>
          <cell r="X84"/>
          <cell r="Y84"/>
          <cell r="Z84"/>
          <cell r="AA84">
            <v>1</v>
          </cell>
          <cell r="AB84"/>
          <cell r="AC84"/>
          <cell r="AD84"/>
          <cell r="AE84"/>
        </row>
        <row r="85">
          <cell r="A85" t="str">
            <v>F-2026-04-368</v>
          </cell>
          <cell r="B85" t="str">
            <v>RPRO-260429-0458</v>
          </cell>
          <cell r="C85" t="str">
            <v>13/5</v>
          </cell>
          <cell r="D85" t="str">
            <v>Pro.sche.report 28.04</v>
          </cell>
          <cell r="E85" t="str">
            <v>BDB-000309</v>
          </cell>
          <cell r="F85" t="str">
            <v>PVN-004033</v>
          </cell>
          <cell r="G85" t="str">
            <v>OrthoLite X-40-Hybrid NEUTRAL GRAY/17-4402TPX Hybrid Flat Sheet 0.16D 35+/-4 Asker C 1.1M 2M 2mm</v>
          </cell>
          <cell r="H85">
            <v>70</v>
          </cell>
          <cell r="I85">
            <v>2</v>
          </cell>
          <cell r="J85">
            <v>2</v>
          </cell>
          <cell r="K85" t="str">
            <v>REDWING</v>
          </cell>
          <cell r="L85" t="str">
            <v>Pr.Sch.R</v>
          </cell>
          <cell r="M85" t="str">
            <v>MOLDED</v>
          </cell>
          <cell r="N85">
            <v>2</v>
          </cell>
          <cell r="O85"/>
          <cell r="P85"/>
          <cell r="Q85">
            <v>46158</v>
          </cell>
          <cell r="R85">
            <v>46160</v>
          </cell>
          <cell r="S85">
            <v>46161</v>
          </cell>
          <cell r="T85" t="str">
            <v>l1</v>
          </cell>
          <cell r="U85"/>
          <cell r="V85">
            <v>-2</v>
          </cell>
          <cell r="W85" t="b">
            <v>1</v>
          </cell>
          <cell r="X85">
            <v>0</v>
          </cell>
          <cell r="Y85">
            <v>70</v>
          </cell>
          <cell r="Z85" t="b">
            <v>1</v>
          </cell>
          <cell r="AA85">
            <v>1</v>
          </cell>
          <cell r="AB85"/>
          <cell r="AC85"/>
          <cell r="AD85"/>
          <cell r="AE85" t="e">
            <v>#VALUE!</v>
          </cell>
          <cell r="AF85">
            <v>2</v>
          </cell>
          <cell r="AG85" t="b">
            <v>1</v>
          </cell>
          <cell r="AH85" t="str">
            <v>BDB-000309</v>
          </cell>
          <cell r="AI85" t="b">
            <v>1</v>
          </cell>
        </row>
        <row r="86">
          <cell r="A86"/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>
            <v>0</v>
          </cell>
          <cell r="W86"/>
          <cell r="X86"/>
          <cell r="Y86"/>
          <cell r="Z86"/>
          <cell r="AA86">
            <v>1</v>
          </cell>
          <cell r="AB86"/>
          <cell r="AC86"/>
          <cell r="AD86"/>
          <cell r="AE86"/>
        </row>
        <row r="87">
          <cell r="A87" t="str">
            <v>F-2026-05-94</v>
          </cell>
          <cell r="B87" t="str">
            <v>RPRO-260507-0670</v>
          </cell>
          <cell r="C87" t="str">
            <v>13/5</v>
          </cell>
          <cell r="D87" t="str">
            <v>Pro.sche.report 06.05</v>
          </cell>
          <cell r="E87" t="str">
            <v>BDB-000340</v>
          </cell>
          <cell r="F87" t="str">
            <v>PVN-004177</v>
          </cell>
          <cell r="G87" t="str">
            <v>OrthoLite Float SEEDPEARL/12-0703TPX Flat Sheet 0.12D 21+/-4 Asker C 1.1M 2M 5.5mm</v>
          </cell>
          <cell r="H87">
            <v>25</v>
          </cell>
          <cell r="I87">
            <v>1</v>
          </cell>
          <cell r="J87">
            <v>1</v>
          </cell>
          <cell r="K87" t="str">
            <v>ON RUNNING</v>
          </cell>
          <cell r="L87" t="str">
            <v>Pr.Sch.R</v>
          </cell>
          <cell r="M87" t="str">
            <v>MOLDED</v>
          </cell>
          <cell r="N87">
            <v>1</v>
          </cell>
          <cell r="O87" t="str">
            <v>ppc/pur imp-đã nhắc sx</v>
          </cell>
          <cell r="P87"/>
          <cell r="Q87">
            <v>46156</v>
          </cell>
          <cell r="R87">
            <v>46160</v>
          </cell>
          <cell r="S87">
            <v>46161</v>
          </cell>
          <cell r="T87" t="str">
            <v>l1</v>
          </cell>
          <cell r="U87"/>
          <cell r="V87">
            <v>-1</v>
          </cell>
          <cell r="W87" t="b">
            <v>1</v>
          </cell>
          <cell r="X87">
            <v>0</v>
          </cell>
          <cell r="Y87">
            <v>25</v>
          </cell>
          <cell r="Z87" t="b">
            <v>1</v>
          </cell>
          <cell r="AA87">
            <v>1</v>
          </cell>
          <cell r="AB87"/>
          <cell r="AC87"/>
          <cell r="AD87"/>
          <cell r="AE87" t="e">
            <v>#VALUE!</v>
          </cell>
          <cell r="AF87">
            <v>1</v>
          </cell>
          <cell r="AG87" t="b">
            <v>1</v>
          </cell>
          <cell r="AH87" t="str">
            <v>BDB-000340</v>
          </cell>
          <cell r="AI87" t="b">
            <v>1</v>
          </cell>
        </row>
        <row r="88">
          <cell r="A88"/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>
            <v>0</v>
          </cell>
          <cell r="W88"/>
          <cell r="X88"/>
          <cell r="Y88"/>
          <cell r="Z88"/>
          <cell r="AA88">
            <v>1</v>
          </cell>
          <cell r="AB88"/>
          <cell r="AC88"/>
          <cell r="AD88"/>
          <cell r="AE88"/>
        </row>
        <row r="89">
          <cell r="A89" t="str">
            <v>F-2026-05-75</v>
          </cell>
          <cell r="B89" t="str">
            <v>RPRO-260506-0356</v>
          </cell>
          <cell r="C89" t="str">
            <v>13/5</v>
          </cell>
          <cell r="D89" t="str">
            <v>MPS 05.05</v>
          </cell>
          <cell r="E89" t="str">
            <v>BDB-000305</v>
          </cell>
          <cell r="F89" t="str">
            <v>PVN-004000</v>
          </cell>
          <cell r="G89" t="str">
            <v>OrthoLite X-35-Nike YELLOW/13-0858TPX Flat Sheet 0.145D 25+/-4 Asker C 1.1M 2M 5.5mm</v>
          </cell>
          <cell r="H89">
            <v>25</v>
          </cell>
          <cell r="I89">
            <v>1</v>
          </cell>
          <cell r="J89">
            <v>1</v>
          </cell>
          <cell r="K89"/>
          <cell r="L89" t="str">
            <v>MPS</v>
          </cell>
          <cell r="M89" t="str">
            <v>SPLITTING</v>
          </cell>
          <cell r="N89">
            <v>1</v>
          </cell>
          <cell r="O89"/>
          <cell r="P89"/>
          <cell r="Q89">
            <v>46160</v>
          </cell>
          <cell r="R89">
            <v>46162</v>
          </cell>
          <cell r="S89">
            <v>46163</v>
          </cell>
          <cell r="T89" t="str">
            <v>l1</v>
          </cell>
          <cell r="U89"/>
          <cell r="V89">
            <v>-1</v>
          </cell>
          <cell r="W89" t="b">
            <v>1</v>
          </cell>
          <cell r="X89">
            <v>0</v>
          </cell>
          <cell r="Y89">
            <v>25</v>
          </cell>
          <cell r="Z89" t="b">
            <v>1</v>
          </cell>
          <cell r="AA89">
            <v>1</v>
          </cell>
          <cell r="AB89"/>
          <cell r="AC89"/>
          <cell r="AD89"/>
          <cell r="AE89" t="e">
            <v>#VALUE!</v>
          </cell>
          <cell r="AF89">
            <v>1</v>
          </cell>
          <cell r="AG89" t="b">
            <v>1</v>
          </cell>
          <cell r="AH89" t="str">
            <v>BDB-000305</v>
          </cell>
          <cell r="AI89" t="b">
            <v>1</v>
          </cell>
        </row>
        <row r="90">
          <cell r="A90"/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>
            <v>0</v>
          </cell>
          <cell r="W90"/>
          <cell r="X90"/>
          <cell r="Y90"/>
          <cell r="Z90"/>
          <cell r="AA90">
            <v>1</v>
          </cell>
          <cell r="AB90"/>
          <cell r="AC90"/>
          <cell r="AD90"/>
          <cell r="AE90"/>
        </row>
        <row r="91">
          <cell r="A91" t="str">
            <v>F-2026-05-81</v>
          </cell>
          <cell r="B91" t="str">
            <v>RPRO-260506-0362</v>
          </cell>
          <cell r="C91" t="str">
            <v>13/5</v>
          </cell>
          <cell r="D91" t="str">
            <v>Pro.sche.report 05.05</v>
          </cell>
          <cell r="E91" t="str">
            <v>BDB-000336</v>
          </cell>
          <cell r="F91" t="str">
            <v>PVN-004168</v>
          </cell>
          <cell r="G91" t="str">
            <v>OrthoLite X-40-Nike SEEDPEARL/12-0703TPX Flat Sheet 0.16D 35+/-4 Asker C 1.1M 2M 4.5mm</v>
          </cell>
          <cell r="H91">
            <v>155</v>
          </cell>
          <cell r="I91">
            <v>6</v>
          </cell>
          <cell r="J91">
            <v>6</v>
          </cell>
          <cell r="K91" t="str">
            <v>NIKE</v>
          </cell>
          <cell r="L91" t="str">
            <v>Pr.Sch.R</v>
          </cell>
          <cell r="M91" t="str">
            <v>MOLDED</v>
          </cell>
          <cell r="N91">
            <v>6</v>
          </cell>
          <cell r="O91" t="str">
            <v>ppc/pur imp-đã nhắc sx</v>
          </cell>
          <cell r="P91"/>
          <cell r="Q91">
            <v>46156</v>
          </cell>
          <cell r="R91">
            <v>46159</v>
          </cell>
          <cell r="S91">
            <v>46160</v>
          </cell>
          <cell r="T91" t="str">
            <v>l1</v>
          </cell>
          <cell r="U91"/>
          <cell r="V91">
            <v>-6</v>
          </cell>
          <cell r="W91" t="b">
            <v>1</v>
          </cell>
          <cell r="X91">
            <v>0</v>
          </cell>
          <cell r="Y91">
            <v>155</v>
          </cell>
          <cell r="Z91" t="b">
            <v>1</v>
          </cell>
          <cell r="AA91">
            <v>1</v>
          </cell>
          <cell r="AB91"/>
          <cell r="AC91"/>
          <cell r="AD91"/>
          <cell r="AE91" t="e">
            <v>#VALUE!</v>
          </cell>
          <cell r="AF91">
            <v>6</v>
          </cell>
          <cell r="AG91" t="b">
            <v>1</v>
          </cell>
          <cell r="AH91" t="str">
            <v>BDB-000336</v>
          </cell>
          <cell r="AI91" t="b">
            <v>1</v>
          </cell>
        </row>
        <row r="92">
          <cell r="A92"/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>
            <v>0</v>
          </cell>
          <cell r="W92"/>
          <cell r="X92"/>
          <cell r="Y92"/>
          <cell r="Z92"/>
          <cell r="AA92">
            <v>1</v>
          </cell>
          <cell r="AB92"/>
          <cell r="AC92"/>
          <cell r="AD92"/>
          <cell r="AE92"/>
        </row>
        <row r="93">
          <cell r="A93" t="str">
            <v>F-2026-05-78</v>
          </cell>
          <cell r="B93" t="str">
            <v>RPRO-260506-0359</v>
          </cell>
          <cell r="C93" t="str">
            <v>13/5</v>
          </cell>
          <cell r="D93" t="str">
            <v>Pro.sche.report 05.05</v>
          </cell>
          <cell r="E93" t="str">
            <v>BDB-000319</v>
          </cell>
          <cell r="F93" t="str">
            <v>PVN-004247</v>
          </cell>
          <cell r="G93" t="str">
            <v>OrthoLite X-40-Hybrid-Nike SEEDPEARL/12-0703TPX Hybrid Flat Sheet 0.16D 25+/-4 Asker C 1.1M 2M 4.2mm</v>
          </cell>
          <cell r="H93">
            <v>33</v>
          </cell>
          <cell r="I93">
            <v>1</v>
          </cell>
          <cell r="J93">
            <v>1</v>
          </cell>
          <cell r="K93" t="str">
            <v>NIKE</v>
          </cell>
          <cell r="L93" t="str">
            <v>Pr.Sch.R</v>
          </cell>
          <cell r="M93" t="str">
            <v>MOLDED</v>
          </cell>
          <cell r="N93">
            <v>10</v>
          </cell>
          <cell r="O93"/>
          <cell r="P93"/>
          <cell r="Q93">
            <v>46160</v>
          </cell>
          <cell r="R93">
            <v>46162</v>
          </cell>
          <cell r="S93">
            <v>46163</v>
          </cell>
          <cell r="T93" t="str">
            <v>l1</v>
          </cell>
          <cell r="U93"/>
          <cell r="V93">
            <v>-10</v>
          </cell>
          <cell r="W93" t="b">
            <v>1</v>
          </cell>
          <cell r="X93">
            <v>0</v>
          </cell>
          <cell r="Y93">
            <v>33</v>
          </cell>
          <cell r="Z93" t="b">
            <v>1</v>
          </cell>
          <cell r="AA93">
            <v>1</v>
          </cell>
          <cell r="AB93"/>
          <cell r="AC93"/>
          <cell r="AD93"/>
          <cell r="AE93" t="e">
            <v>#VALUE!</v>
          </cell>
          <cell r="AF93">
            <v>1</v>
          </cell>
          <cell r="AG93" t="b">
            <v>1</v>
          </cell>
          <cell r="AH93" t="str">
            <v>BDB-000319</v>
          </cell>
          <cell r="AI93" t="b">
            <v>1</v>
          </cell>
        </row>
        <row r="94">
          <cell r="A94" t="str">
            <v>F-2026-05-104</v>
          </cell>
          <cell r="B94" t="str">
            <v>RPRO-260508-0415</v>
          </cell>
          <cell r="C94" t="str">
            <v>13/5</v>
          </cell>
          <cell r="D94" t="str">
            <v>Pro.sche.report 07.5</v>
          </cell>
          <cell r="E94" t="str">
            <v>BDB-000319</v>
          </cell>
          <cell r="F94" t="str">
            <v>PVN-004247</v>
          </cell>
          <cell r="G94" t="str">
            <v>OrthoLite X-40-Hybrid-Nike SEEDPEARL/12-0703TPX Hybrid Flat Sheet 0.16D 25+/-4 Asker C 1.1M 2M 4.2mm</v>
          </cell>
          <cell r="H94">
            <v>297</v>
          </cell>
          <cell r="I94">
            <v>9</v>
          </cell>
          <cell r="J94">
            <v>9</v>
          </cell>
          <cell r="K94" t="str">
            <v>NIKE</v>
          </cell>
          <cell r="L94" t="str">
            <v>Pr.Sch.R</v>
          </cell>
          <cell r="M94" t="str">
            <v>MOLDED</v>
          </cell>
          <cell r="N94"/>
          <cell r="O94"/>
          <cell r="P94"/>
          <cell r="Q94">
            <v>46162</v>
          </cell>
          <cell r="R94">
            <v>46164</v>
          </cell>
          <cell r="S94">
            <v>46165</v>
          </cell>
          <cell r="T94" t="str">
            <v>l1</v>
          </cell>
          <cell r="U94"/>
          <cell r="V94">
            <v>0</v>
          </cell>
          <cell r="W94" t="b">
            <v>1</v>
          </cell>
          <cell r="X94">
            <v>0</v>
          </cell>
          <cell r="Y94">
            <v>297</v>
          </cell>
          <cell r="Z94" t="b">
            <v>1</v>
          </cell>
          <cell r="AA94">
            <v>1</v>
          </cell>
          <cell r="AB94"/>
          <cell r="AC94"/>
          <cell r="AD94"/>
          <cell r="AE94" t="e">
            <v>#VALUE!</v>
          </cell>
          <cell r="AF94">
            <v>9</v>
          </cell>
          <cell r="AG94" t="b">
            <v>1</v>
          </cell>
          <cell r="AH94" t="str">
            <v>BDB-000319</v>
          </cell>
          <cell r="AI94" t="b">
            <v>1</v>
          </cell>
        </row>
        <row r="95">
          <cell r="A95"/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>
            <v>0</v>
          </cell>
          <cell r="W95"/>
          <cell r="X95"/>
          <cell r="Y95"/>
          <cell r="Z95"/>
          <cell r="AA95">
            <v>1</v>
          </cell>
          <cell r="AB95"/>
          <cell r="AC95"/>
          <cell r="AD95"/>
          <cell r="AE95"/>
        </row>
        <row r="96">
          <cell r="A96" t="str">
            <v>F-2026-05-95</v>
          </cell>
          <cell r="B96" t="str">
            <v>RPRO-260507-0671</v>
          </cell>
          <cell r="C96" t="str">
            <v>13/5</v>
          </cell>
          <cell r="D96" t="str">
            <v>Pro.sche.report 06.05</v>
          </cell>
          <cell r="E96" t="str">
            <v>BDB-000213</v>
          </cell>
          <cell r="F96" t="str">
            <v>PVN-003752</v>
          </cell>
          <cell r="G96" t="str">
            <v>OrthoLite X-25-Hybrid SEEDPEARL/12-0703TPX Hybrid Flat Sheet 0.12D 20+/-4 Asker C 1.1M 1.47M 4.5mm</v>
          </cell>
          <cell r="H96">
            <v>434</v>
          </cell>
          <cell r="I96">
            <v>15</v>
          </cell>
          <cell r="J96">
            <v>15</v>
          </cell>
          <cell r="K96" t="str">
            <v>ON RUNNING</v>
          </cell>
          <cell r="L96" t="str">
            <v>Pr.Sch.R</v>
          </cell>
          <cell r="M96" t="str">
            <v>MOLDED</v>
          </cell>
          <cell r="N96">
            <v>15</v>
          </cell>
          <cell r="O96" t="str">
            <v>ppc/pur imp-đã nhắc sx</v>
          </cell>
          <cell r="P96"/>
          <cell r="Q96">
            <v>46157</v>
          </cell>
          <cell r="R96">
            <v>46160</v>
          </cell>
          <cell r="S96">
            <v>46161</v>
          </cell>
          <cell r="T96" t="str">
            <v>l1</v>
          </cell>
          <cell r="U96"/>
          <cell r="V96">
            <v>-15</v>
          </cell>
          <cell r="W96" t="b">
            <v>1</v>
          </cell>
          <cell r="X96">
            <v>0</v>
          </cell>
          <cell r="Y96">
            <v>434</v>
          </cell>
          <cell r="Z96" t="b">
            <v>1</v>
          </cell>
          <cell r="AA96">
            <v>1</v>
          </cell>
          <cell r="AB96"/>
          <cell r="AC96"/>
          <cell r="AD96"/>
          <cell r="AE96" t="e">
            <v>#VALUE!</v>
          </cell>
          <cell r="AF96">
            <v>15</v>
          </cell>
          <cell r="AG96" t="b">
            <v>1</v>
          </cell>
          <cell r="AH96" t="str">
            <v>BDB-000213</v>
          </cell>
          <cell r="AI96" t="b">
            <v>1</v>
          </cell>
        </row>
        <row r="97">
          <cell r="A97"/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>
            <v>0</v>
          </cell>
          <cell r="W97"/>
          <cell r="X97"/>
          <cell r="Y97"/>
          <cell r="Z97"/>
          <cell r="AA97">
            <v>1</v>
          </cell>
          <cell r="AB97"/>
          <cell r="AC97"/>
          <cell r="AD97"/>
          <cell r="AE97"/>
        </row>
        <row r="98">
          <cell r="A98" t="str">
            <v>F-2026-05-12</v>
          </cell>
          <cell r="B98" t="str">
            <v>RPRO-260504-0924</v>
          </cell>
          <cell r="C98" t="str">
            <v>13/5-14/5</v>
          </cell>
          <cell r="D98" t="str">
            <v>Pro.sche.report 29.04+02.05</v>
          </cell>
          <cell r="E98" t="str">
            <v>BDB-000273</v>
          </cell>
          <cell r="F98" t="str">
            <v>PVN-004138</v>
          </cell>
          <cell r="G98" t="str">
            <v>OrthoLite X-40-Hybrid SEEDPEARL/12-0703TPX Hybrid Flat Sheet 0.16D 25+/-4 Asker C 1.1M 2M 5.5mm</v>
          </cell>
          <cell r="H98">
            <v>1650</v>
          </cell>
          <cell r="I98">
            <v>66</v>
          </cell>
          <cell r="J98">
            <v>66</v>
          </cell>
          <cell r="K98" t="str">
            <v>ON RUNNING</v>
          </cell>
          <cell r="L98" t="str">
            <v>Pr.Sch.R</v>
          </cell>
          <cell r="M98" t="str">
            <v>MOLDED</v>
          </cell>
          <cell r="N98">
            <v>66</v>
          </cell>
          <cell r="O98"/>
          <cell r="P98"/>
          <cell r="Q98">
            <v>46158</v>
          </cell>
          <cell r="R98">
            <v>46160</v>
          </cell>
          <cell r="S98">
            <v>46161</v>
          </cell>
          <cell r="T98" t="str">
            <v>l1</v>
          </cell>
          <cell r="U98">
            <v>66</v>
          </cell>
          <cell r="V98">
            <v>0</v>
          </cell>
          <cell r="W98" t="b">
            <v>1</v>
          </cell>
          <cell r="X98">
            <v>0</v>
          </cell>
          <cell r="Y98">
            <v>1650</v>
          </cell>
          <cell r="Z98" t="b">
            <v>1</v>
          </cell>
          <cell r="AA98">
            <v>1</v>
          </cell>
          <cell r="AB98"/>
          <cell r="AC98"/>
          <cell r="AD98"/>
          <cell r="AE98" t="e">
            <v>#VALUE!</v>
          </cell>
          <cell r="AF98">
            <v>66</v>
          </cell>
          <cell r="AG98" t="b">
            <v>1</v>
          </cell>
          <cell r="AH98" t="str">
            <v>BDB-000273</v>
          </cell>
          <cell r="AI98" t="b">
            <v>1</v>
          </cell>
        </row>
        <row r="99">
          <cell r="A99"/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>
            <v>0</v>
          </cell>
          <cell r="W99"/>
          <cell r="X99"/>
          <cell r="Y99"/>
          <cell r="Z99"/>
          <cell r="AA99">
            <v>1</v>
          </cell>
          <cell r="AB99"/>
          <cell r="AC99"/>
          <cell r="AD99"/>
          <cell r="AE99"/>
        </row>
        <row r="100">
          <cell r="A100" t="str">
            <v>F-2026-04-215-2</v>
          </cell>
          <cell r="B100" t="str">
            <v>FPRO-260507-0006</v>
          </cell>
          <cell r="C100" t="str">
            <v>14/5</v>
          </cell>
          <cell r="D100" t="str">
            <v>Firm plan 15.4</v>
          </cell>
          <cell r="E100" t="str">
            <v>BDB-000209</v>
          </cell>
          <cell r="F100" t="str">
            <v>PVN-003550</v>
          </cell>
          <cell r="G100" t="str">
            <v>OrthoLite HybridPlus-Recycled MINT GREEN/11-4805TPX Hybrid 0.12D 25+/-4 Asker C 1.1M 2M 6mm</v>
          </cell>
          <cell r="H100">
            <v>1400</v>
          </cell>
          <cell r="I100">
            <v>61</v>
          </cell>
          <cell r="J100">
            <v>61</v>
          </cell>
          <cell r="K100" t="str">
            <v>ON RUNNING</v>
          </cell>
          <cell r="L100" t="str">
            <v>Forecast</v>
          </cell>
          <cell r="M100" t="str">
            <v>MOLDED</v>
          </cell>
          <cell r="N100">
            <v>214</v>
          </cell>
          <cell r="O100"/>
          <cell r="P100"/>
          <cell r="Q100">
            <v>46158</v>
          </cell>
          <cell r="R100">
            <v>46160</v>
          </cell>
          <cell r="S100">
            <v>46161</v>
          </cell>
          <cell r="T100" t="str">
            <v>l1</v>
          </cell>
          <cell r="U100"/>
          <cell r="V100">
            <v>-214</v>
          </cell>
          <cell r="W100" t="b">
            <v>1</v>
          </cell>
          <cell r="X100">
            <v>0</v>
          </cell>
          <cell r="Y100">
            <v>1400</v>
          </cell>
          <cell r="Z100" t="b">
            <v>0</v>
          </cell>
          <cell r="AA100">
            <v>1</v>
          </cell>
          <cell r="AB100"/>
          <cell r="AC100"/>
          <cell r="AD100"/>
          <cell r="AE100" t="e">
            <v>#VALUE!</v>
          </cell>
          <cell r="AF100">
            <v>61</v>
          </cell>
          <cell r="AG100" t="b">
            <v>1</v>
          </cell>
          <cell r="AH100" t="str">
            <v>BDB-000209</v>
          </cell>
          <cell r="AI100" t="b">
            <v>1</v>
          </cell>
        </row>
        <row r="101">
          <cell r="A101" t="str">
            <v>F-2026-05-108</v>
          </cell>
          <cell r="B101" t="str">
            <v>RPRO-260508-0419</v>
          </cell>
          <cell r="C101" t="str">
            <v>14/5-15/5</v>
          </cell>
          <cell r="D101" t="str">
            <v>Pro.sche.report 07.5</v>
          </cell>
          <cell r="E101" t="str">
            <v>BDB-000209</v>
          </cell>
          <cell r="F101" t="str">
            <v>PVN-003462</v>
          </cell>
          <cell r="G101" t="str">
            <v>OrthoLite HybridPlus-Recycled MINT GREEN/11-4805TPX Hybrid Flat Sheet 0.12D 25+/-4 Asker C 1.1M 2M 12mm</v>
          </cell>
          <cell r="H101">
            <v>1672</v>
          </cell>
          <cell r="I101">
            <v>153</v>
          </cell>
          <cell r="J101">
            <v>153</v>
          </cell>
          <cell r="K101" t="str">
            <v>BROOKS</v>
          </cell>
          <cell r="L101" t="str">
            <v>Pr.Sch.R</v>
          </cell>
          <cell r="M101" t="str">
            <v>MOLDED</v>
          </cell>
          <cell r="N101"/>
          <cell r="O101"/>
          <cell r="P101"/>
          <cell r="Q101">
            <v>46162</v>
          </cell>
          <cell r="R101">
            <v>46164</v>
          </cell>
          <cell r="S101">
            <v>46165</v>
          </cell>
          <cell r="T101" t="str">
            <v>l1</v>
          </cell>
          <cell r="U101"/>
          <cell r="V101">
            <v>0</v>
          </cell>
          <cell r="W101" t="b">
            <v>1</v>
          </cell>
          <cell r="X101">
            <v>0</v>
          </cell>
          <cell r="Y101">
            <v>1672</v>
          </cell>
          <cell r="Z101" t="b">
            <v>1</v>
          </cell>
          <cell r="AA101">
            <v>1</v>
          </cell>
          <cell r="AB101"/>
          <cell r="AC101"/>
          <cell r="AD101"/>
          <cell r="AE101" t="e">
            <v>#VALUE!</v>
          </cell>
          <cell r="AF101">
            <v>153</v>
          </cell>
          <cell r="AG101" t="b">
            <v>1</v>
          </cell>
          <cell r="AH101" t="str">
            <v>BDB-000209</v>
          </cell>
          <cell r="AI101" t="b">
            <v>1</v>
          </cell>
        </row>
        <row r="102">
          <cell r="A102"/>
          <cell r="B102"/>
          <cell r="C102"/>
          <cell r="D102"/>
          <cell r="E102"/>
          <cell r="F102"/>
          <cell r="G102" t="str">
            <v>RELEASE ĐỢT 1</v>
          </cell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>
            <v>0</v>
          </cell>
          <cell r="W102"/>
          <cell r="X102"/>
          <cell r="Y102"/>
          <cell r="Z102"/>
          <cell r="AA102">
            <v>1</v>
          </cell>
          <cell r="AB102"/>
          <cell r="AC102"/>
          <cell r="AD102"/>
          <cell r="AE102"/>
          <cell r="AI102"/>
          <cell r="AJ102"/>
          <cell r="AK102"/>
          <cell r="AL102"/>
        </row>
        <row r="103">
          <cell r="A103" t="str">
            <v>F-2026-05-138</v>
          </cell>
          <cell r="B103" t="str">
            <v>RPRO-260512-0090</v>
          </cell>
          <cell r="C103" t="str">
            <v>15/5</v>
          </cell>
          <cell r="D103" t="str">
            <v>MPS 11.05</v>
          </cell>
          <cell r="E103" t="str">
            <v>BDB-000056</v>
          </cell>
          <cell r="F103" t="str">
            <v>PVN-001983</v>
          </cell>
          <cell r="G103" t="str">
            <v>OrthoLite X-40 SEEDPEARL/12-0703TPX Flat Sheet 0.16D 25+/-4 Asker C 1.1M 1.7M 5mm</v>
          </cell>
          <cell r="H103">
            <v>28</v>
          </cell>
          <cell r="I103">
            <v>1</v>
          </cell>
          <cell r="J103">
            <v>1</v>
          </cell>
          <cell r="K103"/>
          <cell r="L103" t="str">
            <v>MPS</v>
          </cell>
          <cell r="M103" t="str">
            <v>SPLITTING</v>
          </cell>
          <cell r="N103">
            <v>1</v>
          </cell>
          <cell r="O103"/>
          <cell r="P103"/>
          <cell r="Q103">
            <v>46158</v>
          </cell>
          <cell r="R103">
            <v>46161</v>
          </cell>
          <cell r="S103">
            <v>46162</v>
          </cell>
          <cell r="T103" t="str">
            <v>l2</v>
          </cell>
          <cell r="U103"/>
          <cell r="V103">
            <v>0</v>
          </cell>
          <cell r="W103" t="b">
            <v>1</v>
          </cell>
          <cell r="X103">
            <v>0</v>
          </cell>
          <cell r="Y103">
            <v>28</v>
          </cell>
          <cell r="Z103" t="b">
            <v>0</v>
          </cell>
          <cell r="AA103"/>
          <cell r="AB103"/>
          <cell r="AC103"/>
          <cell r="AD103"/>
          <cell r="AE103" t="e">
            <v>#VALUE!</v>
          </cell>
          <cell r="AF103">
            <v>1</v>
          </cell>
          <cell r="AG103" t="b">
            <v>1</v>
          </cell>
          <cell r="AH103" t="str">
            <v>BDB-000056</v>
          </cell>
          <cell r="AI103" t="b">
            <v>1</v>
          </cell>
        </row>
        <row r="104">
          <cell r="A104"/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</row>
        <row r="105">
          <cell r="A105" t="str">
            <v>F-2026-05-123</v>
          </cell>
          <cell r="B105" t="str">
            <v>RPRO-260511-0343</v>
          </cell>
          <cell r="C105" t="str">
            <v>15/5</v>
          </cell>
          <cell r="D105" t="str">
            <v>Pro.sche.report 08.5+09.5</v>
          </cell>
          <cell r="E105" t="str">
            <v>BDB-000076</v>
          </cell>
          <cell r="F105" t="str">
            <v>PVN-004091</v>
          </cell>
          <cell r="G105" t="str">
            <v>OrthoLite X-25 BILLIARD/16-5427TPX Flat Sheet 0.12D 20+/-4 Asker C 1.1M 2M 3.5mm</v>
          </cell>
          <cell r="H105">
            <v>40</v>
          </cell>
          <cell r="I105">
            <v>1</v>
          </cell>
          <cell r="J105">
            <v>1</v>
          </cell>
          <cell r="K105" t="str">
            <v>BROOKS</v>
          </cell>
          <cell r="L105" t="str">
            <v>Pr.Sch.R</v>
          </cell>
          <cell r="M105" t="str">
            <v>MOLDED</v>
          </cell>
          <cell r="N105">
            <v>1</v>
          </cell>
          <cell r="O105"/>
          <cell r="P105"/>
          <cell r="Q105">
            <v>46158</v>
          </cell>
          <cell r="R105">
            <v>46161</v>
          </cell>
          <cell r="S105">
            <v>46162</v>
          </cell>
          <cell r="T105" t="str">
            <v>l2</v>
          </cell>
          <cell r="U105"/>
          <cell r="V105">
            <v>0</v>
          </cell>
          <cell r="W105" t="b">
            <v>1</v>
          </cell>
          <cell r="X105">
            <v>0</v>
          </cell>
          <cell r="Y105">
            <v>40</v>
          </cell>
          <cell r="Z105" t="b">
            <v>0</v>
          </cell>
          <cell r="AA105"/>
          <cell r="AB105"/>
          <cell r="AC105"/>
          <cell r="AD105"/>
          <cell r="AE105" t="e">
            <v>#VALUE!</v>
          </cell>
          <cell r="AF105">
            <v>1</v>
          </cell>
          <cell r="AG105" t="b">
            <v>1</v>
          </cell>
          <cell r="AH105" t="str">
            <v>BDB-000076</v>
          </cell>
          <cell r="AI105" t="b">
            <v>1</v>
          </cell>
        </row>
        <row r="106">
          <cell r="A106"/>
          <cell r="B106"/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</row>
        <row r="107">
          <cell r="A107" t="str">
            <v>F-2026-04-216</v>
          </cell>
          <cell r="B107" t="str">
            <v>FPRO-260415-0013</v>
          </cell>
          <cell r="C107" t="str">
            <v>15/5</v>
          </cell>
          <cell r="D107" t="str">
            <v>Firm plan 15.4</v>
          </cell>
          <cell r="E107" t="str">
            <v>BDB-000077</v>
          </cell>
          <cell r="F107" t="str">
            <v>PVN-004147</v>
          </cell>
          <cell r="G107" t="str">
            <v>OrthoLite X-25 SEEDPEARL/12-0703TPX Flat Sheet 0.12D 20+/-4 Asker C 1.1M 2M 5.5mm</v>
          </cell>
          <cell r="H107">
            <v>100</v>
          </cell>
          <cell r="I107">
            <v>4</v>
          </cell>
          <cell r="J107">
            <v>4</v>
          </cell>
          <cell r="K107" t="str">
            <v>ON RUNNING</v>
          </cell>
          <cell r="L107" t="str">
            <v>Forecast</v>
          </cell>
          <cell r="M107" t="str">
            <v>MOLDED</v>
          </cell>
          <cell r="N107">
            <v>4</v>
          </cell>
          <cell r="O107"/>
          <cell r="P107"/>
          <cell r="Q107">
            <v>46158</v>
          </cell>
          <cell r="R107">
            <v>46161</v>
          </cell>
          <cell r="S107">
            <v>46162</v>
          </cell>
          <cell r="T107" t="str">
            <v>l2</v>
          </cell>
          <cell r="U107"/>
          <cell r="V107">
            <v>0</v>
          </cell>
          <cell r="W107" t="b">
            <v>1</v>
          </cell>
          <cell r="X107">
            <v>0</v>
          </cell>
          <cell r="Y107">
            <v>100</v>
          </cell>
          <cell r="Z107" t="b">
            <v>0</v>
          </cell>
          <cell r="AA107"/>
          <cell r="AB107"/>
          <cell r="AC107" t="e">
            <v>#N/A</v>
          </cell>
          <cell r="AD107" t="e">
            <v>#N/A</v>
          </cell>
          <cell r="AE107" t="e">
            <v>#VALUE!</v>
          </cell>
          <cell r="AF107">
            <v>4</v>
          </cell>
          <cell r="AG107" t="b">
            <v>1</v>
          </cell>
          <cell r="AH107" t="str">
            <v>BDB-000077</v>
          </cell>
          <cell r="AI107" t="b">
            <v>1</v>
          </cell>
        </row>
        <row r="108">
          <cell r="A108"/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</row>
        <row r="109">
          <cell r="A109" t="str">
            <v>F-2026-05-124</v>
          </cell>
          <cell r="B109" t="str">
            <v>RPRO-260511-0344</v>
          </cell>
          <cell r="C109" t="str">
            <v>15/5</v>
          </cell>
          <cell r="D109" t="str">
            <v>Pro.sche.report 08.5+09.5</v>
          </cell>
          <cell r="E109" t="str">
            <v>BDB-000212</v>
          </cell>
          <cell r="F109" t="str">
            <v>PVN-004002</v>
          </cell>
          <cell r="G109" t="str">
            <v>OrthoLite X-25-Hybrid SEEDPEARL/12-0703TPX Hybrid Flat Sheet 0.12D 20+/-4 Asker C 1.1M 2M 14mm</v>
          </cell>
          <cell r="H109">
            <v>9</v>
          </cell>
          <cell r="I109">
            <v>1</v>
          </cell>
          <cell r="J109">
            <v>1</v>
          </cell>
          <cell r="K109" t="str">
            <v>FOOTJOY</v>
          </cell>
          <cell r="L109" t="str">
            <v>Pr.Sch.R</v>
          </cell>
          <cell r="M109" t="str">
            <v>MOLDED</v>
          </cell>
          <cell r="N109">
            <v>1</v>
          </cell>
          <cell r="O109"/>
          <cell r="P109"/>
          <cell r="Q109">
            <v>46158</v>
          </cell>
          <cell r="R109">
            <v>46161</v>
          </cell>
          <cell r="S109">
            <v>46162</v>
          </cell>
          <cell r="T109" t="str">
            <v>l2</v>
          </cell>
          <cell r="U109"/>
          <cell r="V109">
            <v>0</v>
          </cell>
          <cell r="W109" t="b">
            <v>1</v>
          </cell>
          <cell r="X109">
            <v>0</v>
          </cell>
          <cell r="Y109">
            <v>9</v>
          </cell>
          <cell r="Z109" t="b">
            <v>0</v>
          </cell>
          <cell r="AA109"/>
          <cell r="AB109"/>
          <cell r="AC109"/>
          <cell r="AD109"/>
          <cell r="AE109" t="e">
            <v>#VALUE!</v>
          </cell>
          <cell r="AF109">
            <v>1</v>
          </cell>
          <cell r="AG109" t="b">
            <v>1</v>
          </cell>
          <cell r="AH109" t="str">
            <v>BDB-000212</v>
          </cell>
          <cell r="AI109" t="b">
            <v>1</v>
          </cell>
        </row>
        <row r="110">
          <cell r="A110"/>
          <cell r="B110"/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</row>
        <row r="111">
          <cell r="A111" t="str">
            <v>F-2026-05-125</v>
          </cell>
          <cell r="B111" t="str">
            <v>RPRO-260511-0345</v>
          </cell>
          <cell r="C111" t="str">
            <v>15/5</v>
          </cell>
          <cell r="D111" t="str">
            <v>Pro.sche.report 08.5+09.5</v>
          </cell>
          <cell r="E111" t="str">
            <v>BDB-000217</v>
          </cell>
          <cell r="F111" t="str">
            <v>PVN-003733</v>
          </cell>
          <cell r="G111" t="str">
            <v>OrthoLite X-40-Hybrid SEEDPEARL/12-0703TPX Hybrid Flat Sheet 0.16D 35+/-4 Asker C 1.1M 1.7M 12.5mm</v>
          </cell>
          <cell r="H111">
            <v>10</v>
          </cell>
          <cell r="I111">
            <v>1</v>
          </cell>
          <cell r="J111">
            <v>1</v>
          </cell>
          <cell r="K111" t="str">
            <v>OBOZ</v>
          </cell>
          <cell r="L111" t="str">
            <v>Pr.Sch.R</v>
          </cell>
          <cell r="M111" t="str">
            <v>MOLDED</v>
          </cell>
          <cell r="N111">
            <v>1</v>
          </cell>
          <cell r="O111"/>
          <cell r="P111"/>
          <cell r="Q111">
            <v>46158</v>
          </cell>
          <cell r="R111">
            <v>46161</v>
          </cell>
          <cell r="S111">
            <v>46162</v>
          </cell>
          <cell r="T111" t="str">
            <v>l2</v>
          </cell>
          <cell r="U111"/>
          <cell r="V111">
            <v>0</v>
          </cell>
          <cell r="W111" t="b">
            <v>1</v>
          </cell>
          <cell r="X111">
            <v>0</v>
          </cell>
          <cell r="Y111">
            <v>10</v>
          </cell>
          <cell r="Z111" t="b">
            <v>0</v>
          </cell>
          <cell r="AA111"/>
          <cell r="AB111"/>
          <cell r="AC111"/>
          <cell r="AD111"/>
          <cell r="AE111" t="e">
            <v>#VALUE!</v>
          </cell>
          <cell r="AF111">
            <v>1</v>
          </cell>
          <cell r="AG111" t="b">
            <v>1</v>
          </cell>
          <cell r="AH111" t="str">
            <v>BDB-000217</v>
          </cell>
          <cell r="AI111" t="b">
            <v>1</v>
          </cell>
        </row>
        <row r="112">
          <cell r="A112"/>
          <cell r="B112"/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</row>
        <row r="113">
          <cell r="A113" t="str">
            <v>F-2026-04-130</v>
          </cell>
          <cell r="B113" t="str">
            <v>FPRO-260409-0004</v>
          </cell>
          <cell r="C113" t="str">
            <v>15/5</v>
          </cell>
          <cell r="D113" t="str">
            <v>Firm plan 09.04</v>
          </cell>
          <cell r="E113" t="str">
            <v>BDB-000332</v>
          </cell>
          <cell r="F113" t="str">
            <v>PVN-004146</v>
          </cell>
          <cell r="G113" t="str">
            <v>OrthoLite X-25 CASTLEROCK/18-0201TPX Flat Sheet 0.12D 20+/-4 Asker C 1.1M 2M 5.5mm</v>
          </cell>
          <cell r="H113">
            <v>700</v>
          </cell>
          <cell r="I113">
            <v>28</v>
          </cell>
          <cell r="J113">
            <v>28</v>
          </cell>
          <cell r="K113" t="str">
            <v>ON RUNNING</v>
          </cell>
          <cell r="L113" t="str">
            <v>Forecast</v>
          </cell>
          <cell r="M113" t="str">
            <v>MOLDED</v>
          </cell>
          <cell r="N113">
            <v>28</v>
          </cell>
          <cell r="O113"/>
          <cell r="P113"/>
          <cell r="Q113">
            <v>46158</v>
          </cell>
          <cell r="R113">
            <v>46161</v>
          </cell>
          <cell r="S113">
            <v>46162</v>
          </cell>
          <cell r="T113" t="str">
            <v>l2</v>
          </cell>
          <cell r="U113"/>
          <cell r="V113">
            <v>0</v>
          </cell>
          <cell r="W113" t="b">
            <v>1</v>
          </cell>
          <cell r="X113">
            <v>0</v>
          </cell>
          <cell r="Y113">
            <v>700</v>
          </cell>
          <cell r="Z113" t="b">
            <v>0</v>
          </cell>
          <cell r="AA113"/>
          <cell r="AB113"/>
          <cell r="AC113" t="e">
            <v>#N/A</v>
          </cell>
          <cell r="AD113" t="e">
            <v>#N/A</v>
          </cell>
          <cell r="AE113" t="e">
            <v>#VALUE!</v>
          </cell>
          <cell r="AF113">
            <v>28</v>
          </cell>
          <cell r="AG113" t="b">
            <v>1</v>
          </cell>
          <cell r="AH113" t="str">
            <v>BDB-000332</v>
          </cell>
          <cell r="AI113" t="b">
            <v>1</v>
          </cell>
        </row>
        <row r="114">
          <cell r="A114"/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</row>
        <row r="115">
          <cell r="A115" t="str">
            <v>F-2026-05-61</v>
          </cell>
          <cell r="B115" t="str">
            <v>FPRO-260504-0012</v>
          </cell>
          <cell r="C115" t="str">
            <v>15/4-16/4</v>
          </cell>
          <cell r="D115" t="str">
            <v>Firm plan 04.05</v>
          </cell>
          <cell r="E115" t="str">
            <v>BDB-000051</v>
          </cell>
          <cell r="F115" t="str">
            <v>PVN-003319</v>
          </cell>
          <cell r="G115" t="str">
            <v>OrthoLite X-40 TRUE BLUE/19-4057TPX Flat Sheet 0.16D 25+/-4 Asker C 1.1M 1.7M 12mm</v>
          </cell>
          <cell r="H115">
            <v>70</v>
          </cell>
          <cell r="I115">
            <v>7</v>
          </cell>
          <cell r="J115">
            <v>7</v>
          </cell>
          <cell r="K115" t="str">
            <v>ASICS</v>
          </cell>
          <cell r="L115" t="str">
            <v>Forecast</v>
          </cell>
          <cell r="M115" t="str">
            <v>MOLDED</v>
          </cell>
          <cell r="N115">
            <v>7</v>
          </cell>
          <cell r="O115"/>
          <cell r="P115"/>
          <cell r="Q115">
            <v>46160</v>
          </cell>
          <cell r="R115">
            <v>46162</v>
          </cell>
          <cell r="S115">
            <v>46163</v>
          </cell>
          <cell r="T115" t="str">
            <v>l2</v>
          </cell>
          <cell r="U115"/>
          <cell r="V115">
            <v>0</v>
          </cell>
          <cell r="W115" t="b">
            <v>1</v>
          </cell>
          <cell r="X115">
            <v>0</v>
          </cell>
          <cell r="Y115">
            <v>70</v>
          </cell>
          <cell r="Z115" t="b">
            <v>0</v>
          </cell>
          <cell r="AA115"/>
          <cell r="AB115"/>
          <cell r="AC115" t="e">
            <v>#N/A</v>
          </cell>
          <cell r="AD115" t="e">
            <v>#N/A</v>
          </cell>
          <cell r="AE115" t="e">
            <v>#VALUE!</v>
          </cell>
          <cell r="AF115">
            <v>7</v>
          </cell>
          <cell r="AG115" t="b">
            <v>1</v>
          </cell>
          <cell r="AH115" t="str">
            <v>BDB-000051</v>
          </cell>
          <cell r="AI115" t="b">
            <v>1</v>
          </cell>
        </row>
        <row r="116">
          <cell r="A116"/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</row>
        <row r="117">
          <cell r="A117" t="str">
            <v>F-2026-05-60</v>
          </cell>
          <cell r="B117" t="str">
            <v>FPRO-260504-0011</v>
          </cell>
          <cell r="C117" t="str">
            <v>16/5</v>
          </cell>
          <cell r="D117" t="str">
            <v>Firm plan 04.05</v>
          </cell>
          <cell r="E117" t="str">
            <v>BDB-000052</v>
          </cell>
          <cell r="F117" t="str">
            <v>PVN-003603</v>
          </cell>
          <cell r="G117" t="str">
            <v>OrthoLite X-40 TRUE BLUE/19-4057TPX Flat Sheet 0.16D 25+/-4 Asker C 1.1M 1.47M 12mm</v>
          </cell>
          <cell r="H117">
            <v>564</v>
          </cell>
          <cell r="I117">
            <v>50</v>
          </cell>
          <cell r="J117">
            <v>50</v>
          </cell>
          <cell r="K117" t="str">
            <v>ASICS</v>
          </cell>
          <cell r="L117" t="str">
            <v>Forecast</v>
          </cell>
          <cell r="M117" t="str">
            <v>MOLDED</v>
          </cell>
          <cell r="N117">
            <v>52</v>
          </cell>
          <cell r="O117"/>
          <cell r="P117"/>
          <cell r="Q117">
            <v>46160</v>
          </cell>
          <cell r="R117">
            <v>46162</v>
          </cell>
          <cell r="S117">
            <v>46163</v>
          </cell>
          <cell r="T117" t="str">
            <v>l2</v>
          </cell>
          <cell r="U117"/>
          <cell r="V117">
            <v>0</v>
          </cell>
          <cell r="W117" t="b">
            <v>1</v>
          </cell>
          <cell r="X117">
            <v>0</v>
          </cell>
          <cell r="Y117">
            <v>564</v>
          </cell>
          <cell r="Z117" t="b">
            <v>0</v>
          </cell>
          <cell r="AA117"/>
          <cell r="AB117"/>
          <cell r="AC117" t="e">
            <v>#N/A</v>
          </cell>
          <cell r="AD117" t="e">
            <v>#N/A</v>
          </cell>
          <cell r="AE117" t="e">
            <v>#VALUE!</v>
          </cell>
          <cell r="AF117">
            <v>50</v>
          </cell>
          <cell r="AG117" t="b">
            <v>1</v>
          </cell>
          <cell r="AH117" t="str">
            <v>BDB-000052</v>
          </cell>
          <cell r="AI117" t="b">
            <v>1</v>
          </cell>
        </row>
        <row r="118">
          <cell r="A118" t="str">
            <v>F-2026-05-62</v>
          </cell>
          <cell r="B118" t="str">
            <v>FPRO-260504-0013</v>
          </cell>
          <cell r="C118" t="str">
            <v>16/5</v>
          </cell>
          <cell r="D118" t="str">
            <v>Firm plan 04.05</v>
          </cell>
          <cell r="E118" t="str">
            <v>BDB-000052</v>
          </cell>
          <cell r="F118" t="str">
            <v>PVN-004308</v>
          </cell>
          <cell r="G118" t="str">
            <v>OrthoLite X-40 TRUE BLUE/19-4057TPX Flat Sheet 0.16D 25+/-4 Asker C 1.1M 1.47M 3mm</v>
          </cell>
          <cell r="H118">
            <v>54</v>
          </cell>
          <cell r="I118">
            <v>2</v>
          </cell>
          <cell r="J118">
            <v>2</v>
          </cell>
          <cell r="K118" t="str">
            <v>ASICS</v>
          </cell>
          <cell r="L118" t="str">
            <v>Forecast</v>
          </cell>
          <cell r="M118" t="str">
            <v>DIE CUT</v>
          </cell>
          <cell r="N118"/>
          <cell r="O118"/>
          <cell r="P118"/>
          <cell r="Q118">
            <v>46160</v>
          </cell>
          <cell r="R118">
            <v>46162</v>
          </cell>
          <cell r="S118">
            <v>46163</v>
          </cell>
          <cell r="T118" t="str">
            <v>l2</v>
          </cell>
          <cell r="U118"/>
          <cell r="V118">
            <v>0</v>
          </cell>
          <cell r="W118" t="b">
            <v>1</v>
          </cell>
          <cell r="X118">
            <v>0</v>
          </cell>
          <cell r="Y118">
            <v>54</v>
          </cell>
          <cell r="Z118" t="b">
            <v>0</v>
          </cell>
          <cell r="AA118"/>
          <cell r="AB118"/>
          <cell r="AC118" t="e">
            <v>#N/A</v>
          </cell>
          <cell r="AD118" t="e">
            <v>#N/A</v>
          </cell>
          <cell r="AE118" t="e">
            <v>#VALUE!</v>
          </cell>
          <cell r="AF118">
            <v>2</v>
          </cell>
          <cell r="AG118" t="b">
            <v>1</v>
          </cell>
          <cell r="AH118" t="str">
            <v>BDB-000052</v>
          </cell>
          <cell r="AI118" t="b">
            <v>1</v>
          </cell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</row>
        <row r="120">
          <cell r="A120" t="str">
            <v>F-2026-04-440</v>
          </cell>
          <cell r="B120" t="str">
            <v>FPRO-260429-0053</v>
          </cell>
          <cell r="C120" t="str">
            <v>16/5</v>
          </cell>
          <cell r="D120" t="str">
            <v>Firm plan 29.04</v>
          </cell>
          <cell r="E120" t="str">
            <v>BDB-000156</v>
          </cell>
          <cell r="F120" t="str">
            <v>PVN-003243</v>
          </cell>
          <cell r="G120" t="str">
            <v>OrthoLite X-35-Hybrid-Nike AMAZON/18-6024TPX Hybrid 0.145D 25+/-4 Asker C 1.1M 2M 5.2mm</v>
          </cell>
          <cell r="H120">
            <v>1000</v>
          </cell>
          <cell r="I120">
            <v>39</v>
          </cell>
          <cell r="J120">
            <v>39</v>
          </cell>
          <cell r="K120" t="str">
            <v>NIKE</v>
          </cell>
          <cell r="L120" t="str">
            <v>Forecast</v>
          </cell>
          <cell r="M120" t="str">
            <v>MOLDED</v>
          </cell>
          <cell r="N120">
            <v>39</v>
          </cell>
          <cell r="O120"/>
          <cell r="P120"/>
          <cell r="Q120">
            <v>46160</v>
          </cell>
          <cell r="R120">
            <v>46162</v>
          </cell>
          <cell r="S120">
            <v>46163</v>
          </cell>
          <cell r="T120" t="str">
            <v>l2</v>
          </cell>
          <cell r="U120"/>
          <cell r="V120">
            <v>0</v>
          </cell>
          <cell r="W120" t="b">
            <v>1</v>
          </cell>
          <cell r="X120">
            <v>0</v>
          </cell>
          <cell r="Y120">
            <v>1000</v>
          </cell>
          <cell r="Z120" t="b">
            <v>0</v>
          </cell>
          <cell r="AA120"/>
          <cell r="AB120"/>
          <cell r="AC120" t="e">
            <v>#N/A</v>
          </cell>
          <cell r="AD120" t="e">
            <v>#N/A</v>
          </cell>
          <cell r="AE120" t="e">
            <v>#VALUE!</v>
          </cell>
          <cell r="AF120">
            <v>39</v>
          </cell>
          <cell r="AG120" t="b">
            <v>1</v>
          </cell>
          <cell r="AH120" t="str">
            <v>BDB-000156</v>
          </cell>
          <cell r="AI120" t="b">
            <v>1</v>
          </cell>
        </row>
        <row r="121">
          <cell r="A121"/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</row>
        <row r="122">
          <cell r="A122" t="str">
            <v>F-2026-04-386</v>
          </cell>
          <cell r="B122" t="str">
            <v>FPRO-260428-0016</v>
          </cell>
          <cell r="C122" t="str">
            <v>16/4-18/4</v>
          </cell>
          <cell r="D122" t="str">
            <v>Firm plan 28.04</v>
          </cell>
          <cell r="E122" t="str">
            <v>BDB-000123</v>
          </cell>
          <cell r="F122" t="str">
            <v>PVN-003299</v>
          </cell>
          <cell r="G122" t="str">
            <v>OrthoLite Ultra-Hybrid SEEDPEARL/12-0703TPX Hybrid 0.085D 25+/-4 Asker C 1.1M 2M 3mm</v>
          </cell>
          <cell r="H122">
            <v>7000</v>
          </cell>
          <cell r="I122">
            <v>153</v>
          </cell>
          <cell r="J122">
            <v>153</v>
          </cell>
          <cell r="K122" t="str">
            <v>ADIDAS</v>
          </cell>
          <cell r="L122" t="str">
            <v>Forecast</v>
          </cell>
          <cell r="M122" t="str">
            <v>SPLITTING</v>
          </cell>
          <cell r="N122">
            <v>153</v>
          </cell>
          <cell r="O122" t="str">
            <v>move etd_máy 2 hư_14.05</v>
          </cell>
          <cell r="P122" t="str">
            <v xml:space="preserve">Gấp </v>
          </cell>
          <cell r="Q122">
            <v>46161</v>
          </cell>
          <cell r="R122">
            <v>46162</v>
          </cell>
          <cell r="S122">
            <v>46163</v>
          </cell>
          <cell r="T122" t="str">
            <v>l2</v>
          </cell>
          <cell r="U122"/>
          <cell r="V122">
            <v>0</v>
          </cell>
          <cell r="W122" t="b">
            <v>1</v>
          </cell>
          <cell r="X122">
            <v>0</v>
          </cell>
          <cell r="Y122">
            <v>7000</v>
          </cell>
          <cell r="Z122" t="b">
            <v>1</v>
          </cell>
          <cell r="AA122"/>
          <cell r="AB122"/>
          <cell r="AC122" t="e">
            <v>#N/A</v>
          </cell>
          <cell r="AD122" t="e">
            <v>#N/A</v>
          </cell>
          <cell r="AE122" t="e">
            <v>#VALUE!</v>
          </cell>
          <cell r="AF122">
            <v>153</v>
          </cell>
          <cell r="AG122" t="b">
            <v>1</v>
          </cell>
          <cell r="AH122" t="str">
            <v>BDB-000123</v>
          </cell>
          <cell r="AI122" t="b">
            <v>1</v>
          </cell>
        </row>
        <row r="123">
          <cell r="A123"/>
          <cell r="B123"/>
          <cell r="C123"/>
          <cell r="D123"/>
          <cell r="E123"/>
          <cell r="F123"/>
          <cell r="G123" t="str">
            <v>RELEASE ĐỢT 2</v>
          </cell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>
            <v>0</v>
          </cell>
          <cell r="W123"/>
          <cell r="X123"/>
          <cell r="Y123"/>
          <cell r="Z123"/>
          <cell r="AA123"/>
          <cell r="AB123"/>
          <cell r="AC123"/>
          <cell r="AD123"/>
          <cell r="AE123"/>
          <cell r="AI123"/>
          <cell r="AJ123"/>
          <cell r="AK123"/>
          <cell r="AL123"/>
        </row>
        <row r="124">
          <cell r="A124"/>
          <cell r="B124"/>
          <cell r="C124"/>
          <cell r="D124"/>
          <cell r="E124"/>
          <cell r="F124"/>
          <cell r="G124"/>
          <cell r="H124">
            <v>27365</v>
          </cell>
          <cell r="I124">
            <v>1150</v>
          </cell>
          <cell r="J124">
            <v>1150</v>
          </cell>
          <cell r="K124"/>
          <cell r="L124"/>
          <cell r="M124"/>
          <cell r="N124">
            <v>1115</v>
          </cell>
          <cell r="O124">
            <v>55</v>
          </cell>
          <cell r="P124"/>
          <cell r="Q124"/>
          <cell r="V124">
            <v>-1115</v>
          </cell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F-2026-04-375</v>
          </cell>
          <cell r="B125" t="str">
            <v>RPRO-260429-0465</v>
          </cell>
          <cell r="C125" t="str">
            <v>11/5</v>
          </cell>
          <cell r="D125" t="str">
            <v>Pro.sche.report 28.04</v>
          </cell>
          <cell r="E125" t="str">
            <v>BDB-000130</v>
          </cell>
          <cell r="F125" t="str">
            <v>PVN-001585</v>
          </cell>
          <cell r="G125" t="str">
            <v>OrthoLite Regular-Nike AIR BLUE/16-4134TPX Flat Sheet 0.13D 35+/-4 Asker C 1.1M 2M 6mm</v>
          </cell>
          <cell r="H125">
            <v>1978</v>
          </cell>
          <cell r="I125">
            <v>87</v>
          </cell>
          <cell r="J125">
            <v>87</v>
          </cell>
          <cell r="K125" t="str">
            <v>NIKE</v>
          </cell>
          <cell r="L125" t="str">
            <v>Pr.Sch.R</v>
          </cell>
          <cell r="M125" t="str">
            <v>MOLDED</v>
          </cell>
          <cell r="N125">
            <v>8</v>
          </cell>
          <cell r="O125" t="str">
            <v>Đơn cũ W19</v>
          </cell>
          <cell r="P125">
            <v>8</v>
          </cell>
          <cell r="Q125">
            <v>46153</v>
          </cell>
          <cell r="R125">
            <v>46155</v>
          </cell>
          <cell r="S125">
            <v>46156</v>
          </cell>
          <cell r="T125" t="str">
            <v/>
          </cell>
          <cell r="U125">
            <v>8</v>
          </cell>
          <cell r="V125">
            <v>0</v>
          </cell>
          <cell r="W125" t="b">
            <v>1</v>
          </cell>
          <cell r="X125">
            <v>0</v>
          </cell>
          <cell r="Y125">
            <v>1978</v>
          </cell>
          <cell r="Z125" t="b">
            <v>0</v>
          </cell>
          <cell r="AA125">
            <v>2</v>
          </cell>
          <cell r="AB125"/>
          <cell r="AC125"/>
          <cell r="AD125"/>
          <cell r="AE125" t="e">
            <v>#VALUE!</v>
          </cell>
          <cell r="AF125">
            <v>87</v>
          </cell>
          <cell r="AG125" t="b">
            <v>1</v>
          </cell>
          <cell r="AH125" t="str">
            <v>BDB-000130</v>
          </cell>
          <cell r="AI125" t="b">
            <v>1</v>
          </cell>
        </row>
        <row r="126">
          <cell r="A126"/>
          <cell r="B126"/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>
            <v>0</v>
          </cell>
          <cell r="W126"/>
          <cell r="X126"/>
          <cell r="Y126"/>
          <cell r="Z126"/>
          <cell r="AA126">
            <v>2</v>
          </cell>
          <cell r="AB126"/>
          <cell r="AC126"/>
          <cell r="AD126"/>
        </row>
        <row r="127">
          <cell r="A127" t="str">
            <v>F-2026-03-374</v>
          </cell>
          <cell r="B127" t="str">
            <v>FPRO-260318-0018</v>
          </cell>
          <cell r="C127" t="str">
            <v>11/5</v>
          </cell>
          <cell r="D127" t="str">
            <v>Firm plan 18.3</v>
          </cell>
          <cell r="E127" t="str">
            <v>BDB-000113</v>
          </cell>
          <cell r="F127" t="str">
            <v>PVN-003414</v>
          </cell>
          <cell r="G127" t="str">
            <v>OrthoLite Regular-Hybrid SEEDPEARL/12-0703TPX Hybrid Flat Sheet 0.11D 25+/-4 Asker C 1.1M 2M 12mm</v>
          </cell>
          <cell r="H127">
            <v>2500</v>
          </cell>
          <cell r="I127">
            <v>218</v>
          </cell>
          <cell r="J127">
            <v>218</v>
          </cell>
          <cell r="K127" t="str">
            <v>ASICS</v>
          </cell>
          <cell r="L127" t="str">
            <v>Forecast</v>
          </cell>
          <cell r="M127" t="str">
            <v>MOLDED</v>
          </cell>
          <cell r="N127">
            <v>7</v>
          </cell>
          <cell r="O127" t="str">
            <v>Đơn cũ W19</v>
          </cell>
          <cell r="P127" t="str">
            <v>ok</v>
          </cell>
          <cell r="Q127">
            <v>46154</v>
          </cell>
          <cell r="R127">
            <v>46156</v>
          </cell>
          <cell r="S127">
            <v>46157</v>
          </cell>
          <cell r="T127" t="str">
            <v/>
          </cell>
          <cell r="U127">
            <v>211</v>
          </cell>
          <cell r="V127">
            <v>204</v>
          </cell>
          <cell r="W127" t="b">
            <v>1</v>
          </cell>
          <cell r="X127">
            <v>0</v>
          </cell>
          <cell r="Y127">
            <v>2500</v>
          </cell>
          <cell r="Z127" t="b">
            <v>0</v>
          </cell>
          <cell r="AA127">
            <v>2</v>
          </cell>
          <cell r="AB127"/>
          <cell r="AC127"/>
          <cell r="AD127"/>
          <cell r="AE127" t="e">
            <v>#VALUE!</v>
          </cell>
          <cell r="AF127">
            <v>218</v>
          </cell>
          <cell r="AG127" t="b">
            <v>1</v>
          </cell>
          <cell r="AH127" t="str">
            <v>BDB-000113</v>
          </cell>
          <cell r="AI127" t="b">
            <v>1</v>
          </cell>
        </row>
        <row r="128">
          <cell r="A128"/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>
            <v>0</v>
          </cell>
          <cell r="W128"/>
          <cell r="X128"/>
          <cell r="Y128"/>
          <cell r="Z128"/>
          <cell r="AA128">
            <v>2</v>
          </cell>
          <cell r="AB128"/>
          <cell r="AC128"/>
          <cell r="AD128"/>
        </row>
        <row r="129">
          <cell r="A129" t="str">
            <v>F-2026-05-28</v>
          </cell>
          <cell r="B129" t="str">
            <v>RPRO-260504-0940</v>
          </cell>
          <cell r="C129" t="str">
            <v>11/5</v>
          </cell>
          <cell r="D129" t="str">
            <v>Pro.sche.report 29.04+02.05</v>
          </cell>
          <cell r="E129" t="str">
            <v>BDB-000174</v>
          </cell>
          <cell r="F129" t="str">
            <v>PVN-003502</v>
          </cell>
          <cell r="G129" t="str">
            <v>OrthoLite Ultra-Hybrid-Nike SEEDPEARL/12-0703TPX Hybrid Flat Sheet 0.085D 15+/-4 Asker C 1.1M 2M 2mm</v>
          </cell>
          <cell r="H129">
            <v>140</v>
          </cell>
          <cell r="I129">
            <v>3</v>
          </cell>
          <cell r="J129">
            <v>3</v>
          </cell>
          <cell r="K129" t="str">
            <v>NIKE</v>
          </cell>
          <cell r="L129" t="str">
            <v>Pr.Sch.R</v>
          </cell>
          <cell r="M129" t="str">
            <v>DIE CUT</v>
          </cell>
          <cell r="N129">
            <v>3</v>
          </cell>
          <cell r="O129"/>
          <cell r="P129" t="str">
            <v>ok</v>
          </cell>
          <cell r="Q129">
            <v>46154</v>
          </cell>
          <cell r="R129">
            <v>46156</v>
          </cell>
          <cell r="S129">
            <v>46157</v>
          </cell>
          <cell r="T129" t="str">
            <v>l1</v>
          </cell>
          <cell r="U129">
            <v>3</v>
          </cell>
          <cell r="V129">
            <v>0</v>
          </cell>
          <cell r="W129" t="b">
            <v>1</v>
          </cell>
          <cell r="X129">
            <v>0</v>
          </cell>
          <cell r="Y129">
            <v>140</v>
          </cell>
          <cell r="Z129" t="b">
            <v>0</v>
          </cell>
          <cell r="AA129">
            <v>2</v>
          </cell>
          <cell r="AB129"/>
          <cell r="AC129"/>
          <cell r="AD129"/>
          <cell r="AE129" t="e">
            <v>#VALUE!</v>
          </cell>
          <cell r="AF129">
            <v>3</v>
          </cell>
          <cell r="AG129" t="b">
            <v>1</v>
          </cell>
          <cell r="AH129" t="str">
            <v>BDB-000174</v>
          </cell>
          <cell r="AI129" t="b">
            <v>1</v>
          </cell>
        </row>
        <row r="130">
          <cell r="A130"/>
          <cell r="B130"/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>
            <v>0</v>
          </cell>
          <cell r="W130"/>
          <cell r="X130"/>
          <cell r="Y130"/>
          <cell r="Z130"/>
          <cell r="AA130">
            <v>2</v>
          </cell>
          <cell r="AB130"/>
          <cell r="AC130"/>
          <cell r="AD130"/>
          <cell r="AE130"/>
        </row>
        <row r="131">
          <cell r="A131" t="str">
            <v>F-2026-05-43</v>
          </cell>
          <cell r="B131" t="str">
            <v>RPRO-260505-0682</v>
          </cell>
          <cell r="C131" t="str">
            <v>11/5</v>
          </cell>
          <cell r="D131" t="str">
            <v>Pro.sche.report 04.5</v>
          </cell>
          <cell r="E131" t="str">
            <v>BDB-000097</v>
          </cell>
          <cell r="F131" t="str">
            <v>PVN-003671</v>
          </cell>
          <cell r="G131" t="str">
            <v>OrthoLite Eco LT-Hybrid SEEDPEARL/12-0703TPX Hybrid Flat Sheet 0.11D 25+/-4 Asker C 1.1M 2M 13mm</v>
          </cell>
          <cell r="H131">
            <v>340</v>
          </cell>
          <cell r="I131">
            <v>34</v>
          </cell>
          <cell r="J131">
            <v>34</v>
          </cell>
          <cell r="K131" t="str">
            <v>NEW BALANCE</v>
          </cell>
          <cell r="L131" t="str">
            <v>Pr.Sch.R</v>
          </cell>
          <cell r="M131" t="str">
            <v>MOLDED</v>
          </cell>
          <cell r="N131">
            <v>45</v>
          </cell>
          <cell r="O131"/>
          <cell r="P131" t="str">
            <v>ok</v>
          </cell>
          <cell r="Q131">
            <v>46154</v>
          </cell>
          <cell r="R131">
            <v>46156</v>
          </cell>
          <cell r="S131">
            <v>46157</v>
          </cell>
          <cell r="T131" t="str">
            <v>l1</v>
          </cell>
          <cell r="U131">
            <v>45</v>
          </cell>
          <cell r="V131">
            <v>0</v>
          </cell>
          <cell r="W131" t="b">
            <v>1</v>
          </cell>
          <cell r="X131">
            <v>0</v>
          </cell>
          <cell r="Y131">
            <v>340</v>
          </cell>
          <cell r="Z131" t="b">
            <v>0</v>
          </cell>
          <cell r="AA131">
            <v>2</v>
          </cell>
          <cell r="AB131"/>
          <cell r="AC131"/>
          <cell r="AD131"/>
          <cell r="AE131" t="e">
            <v>#VALUE!</v>
          </cell>
          <cell r="AF131">
            <v>34</v>
          </cell>
          <cell r="AG131" t="b">
            <v>1</v>
          </cell>
          <cell r="AH131" t="str">
            <v>BDB-000097</v>
          </cell>
          <cell r="AI131" t="b">
            <v>1</v>
          </cell>
        </row>
        <row r="132">
          <cell r="A132" t="str">
            <v>F-2026-05-20</v>
          </cell>
          <cell r="B132" t="str">
            <v>RPRO-260504-0932</v>
          </cell>
          <cell r="C132" t="str">
            <v>11/5</v>
          </cell>
          <cell r="D132" t="str">
            <v>Pro.sche.report 29.04+02.05</v>
          </cell>
          <cell r="E132" t="str">
            <v>BDB-000097</v>
          </cell>
          <cell r="F132" t="str">
            <v>PVN-002473</v>
          </cell>
          <cell r="G132" t="str">
            <v>OrthoLite Eco LT-Hybrid SEEDPEARL/12-0703TPX Hybrid Flat Sheet 0.11D 25+/-4 Asker C 1.1M 2M 5mm</v>
          </cell>
          <cell r="H132">
            <v>280</v>
          </cell>
          <cell r="I132">
            <v>10</v>
          </cell>
          <cell r="J132">
            <v>10</v>
          </cell>
          <cell r="K132" t="str">
            <v>NEW BALANCE</v>
          </cell>
          <cell r="L132" t="str">
            <v>Pr.Sch.R</v>
          </cell>
          <cell r="M132" t="str">
            <v>DIE CUT</v>
          </cell>
          <cell r="N132"/>
          <cell r="O132"/>
          <cell r="P132" t="str">
            <v>ok</v>
          </cell>
          <cell r="Q132">
            <v>46158</v>
          </cell>
          <cell r="R132">
            <v>46160</v>
          </cell>
          <cell r="S132">
            <v>46161</v>
          </cell>
          <cell r="T132" t="str">
            <v>l1</v>
          </cell>
          <cell r="U132"/>
          <cell r="V132">
            <v>0</v>
          </cell>
          <cell r="W132" t="b">
            <v>1</v>
          </cell>
          <cell r="X132">
            <v>0</v>
          </cell>
          <cell r="Y132">
            <v>280</v>
          </cell>
          <cell r="Z132" t="b">
            <v>1</v>
          </cell>
          <cell r="AA132">
            <v>2</v>
          </cell>
          <cell r="AB132"/>
          <cell r="AC132"/>
          <cell r="AD132"/>
          <cell r="AE132" t="e">
            <v>#VALUE!</v>
          </cell>
          <cell r="AF132">
            <v>10</v>
          </cell>
          <cell r="AG132" t="b">
            <v>1</v>
          </cell>
          <cell r="AH132" t="str">
            <v>BDB-000097</v>
          </cell>
          <cell r="AI132" t="b">
            <v>1</v>
          </cell>
        </row>
        <row r="133">
          <cell r="A133" t="str">
            <v>F-2026-05-44</v>
          </cell>
          <cell r="B133" t="str">
            <v>RPRO-260505-0683</v>
          </cell>
          <cell r="C133" t="str">
            <v>11/5</v>
          </cell>
          <cell r="D133" t="str">
            <v>Pro.sche.report 04.5</v>
          </cell>
          <cell r="E133" t="str">
            <v>BDB-000097</v>
          </cell>
          <cell r="F133" t="str">
            <v>PVN-002473</v>
          </cell>
          <cell r="G133" t="str">
            <v>OrthoLite Eco LT-Hybrid SEEDPEARL/12-0703TPX Hybrid Flat Sheet 0.11D 25+/-4 Asker C 1.1M 2M 5mm</v>
          </cell>
          <cell r="H133">
            <v>28</v>
          </cell>
          <cell r="I133">
            <v>1</v>
          </cell>
          <cell r="J133">
            <v>1</v>
          </cell>
          <cell r="K133" t="str">
            <v>NEW BALANCE</v>
          </cell>
          <cell r="L133" t="str">
            <v>Pr.Sch.R</v>
          </cell>
          <cell r="M133" t="str">
            <v>DIE CUT</v>
          </cell>
          <cell r="N133"/>
          <cell r="O133"/>
          <cell r="P133" t="str">
            <v>ok</v>
          </cell>
          <cell r="Q133">
            <v>46158</v>
          </cell>
          <cell r="R133">
            <v>46161</v>
          </cell>
          <cell r="S133">
            <v>46162</v>
          </cell>
          <cell r="T133" t="str">
            <v>l1</v>
          </cell>
          <cell r="U133"/>
          <cell r="V133">
            <v>0</v>
          </cell>
          <cell r="W133" t="b">
            <v>1</v>
          </cell>
          <cell r="X133">
            <v>0</v>
          </cell>
          <cell r="Y133">
            <v>28</v>
          </cell>
          <cell r="Z133" t="b">
            <v>1</v>
          </cell>
          <cell r="AA133">
            <v>2</v>
          </cell>
          <cell r="AB133"/>
          <cell r="AC133"/>
          <cell r="AD133"/>
          <cell r="AE133" t="e">
            <v>#VALUE!</v>
          </cell>
          <cell r="AF133">
            <v>1</v>
          </cell>
          <cell r="AG133" t="b">
            <v>1</v>
          </cell>
          <cell r="AH133" t="str">
            <v>BDB-000097</v>
          </cell>
          <cell r="AI133" t="b">
            <v>1</v>
          </cell>
        </row>
        <row r="134">
          <cell r="A134"/>
          <cell r="B134"/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>
            <v>0</v>
          </cell>
          <cell r="W134"/>
          <cell r="X134"/>
          <cell r="Y134"/>
          <cell r="Z134"/>
          <cell r="AA134">
            <v>2</v>
          </cell>
          <cell r="AB134"/>
          <cell r="AC134"/>
          <cell r="AD134"/>
          <cell r="AE134"/>
        </row>
        <row r="135">
          <cell r="A135" t="str">
            <v>F-2026-05-91</v>
          </cell>
          <cell r="B135" t="str">
            <v>RPRO-260507-0667</v>
          </cell>
          <cell r="C135" t="str">
            <v>11/5</v>
          </cell>
          <cell r="D135" t="str">
            <v>Pro.sche.report 06.05</v>
          </cell>
          <cell r="E135" t="str">
            <v>BDB-000113</v>
          </cell>
          <cell r="F135" t="str">
            <v>PVN-002699</v>
          </cell>
          <cell r="G135" t="str">
            <v>OrthoLite Regular-Hybrid SEEDPEARL/12-0703TPX Hybrid Flat Sheet 0.11D 25+/-4 Asker C 1.1M 2M 4.5mm</v>
          </cell>
          <cell r="H135">
            <v>31</v>
          </cell>
          <cell r="I135">
            <v>2</v>
          </cell>
          <cell r="J135">
            <v>2</v>
          </cell>
          <cell r="K135" t="str">
            <v>ASICS</v>
          </cell>
          <cell r="L135" t="str">
            <v>Pr.Sch.R</v>
          </cell>
          <cell r="M135" t="str">
            <v>DIE CUT</v>
          </cell>
          <cell r="N135">
            <v>93</v>
          </cell>
          <cell r="O135"/>
          <cell r="P135" t="str">
            <v>ok</v>
          </cell>
          <cell r="Q135">
            <v>46154</v>
          </cell>
          <cell r="R135">
            <v>46156</v>
          </cell>
          <cell r="S135">
            <v>46157</v>
          </cell>
          <cell r="T135" t="str">
            <v>l1</v>
          </cell>
          <cell r="U135">
            <v>92</v>
          </cell>
          <cell r="V135">
            <v>-1</v>
          </cell>
          <cell r="W135" t="b">
            <v>1</v>
          </cell>
          <cell r="X135">
            <v>0</v>
          </cell>
          <cell r="Y135">
            <v>31</v>
          </cell>
          <cell r="Z135" t="b">
            <v>0</v>
          </cell>
          <cell r="AA135">
            <v>2</v>
          </cell>
          <cell r="AB135"/>
          <cell r="AC135"/>
          <cell r="AD135"/>
          <cell r="AE135" t="e">
            <v>#VALUE!</v>
          </cell>
          <cell r="AF135">
            <v>2</v>
          </cell>
          <cell r="AG135" t="b">
            <v>1</v>
          </cell>
          <cell r="AH135" t="str">
            <v>BDB-000113</v>
          </cell>
          <cell r="AI135" t="b">
            <v>1</v>
          </cell>
        </row>
        <row r="136">
          <cell r="A136" t="str">
            <v>F-2026-05-50</v>
          </cell>
          <cell r="B136" t="str">
            <v>FPRO-260504-0001</v>
          </cell>
          <cell r="C136" t="str">
            <v>11/5</v>
          </cell>
          <cell r="D136" t="str">
            <v>Firm plan 04.05</v>
          </cell>
          <cell r="E136" t="str">
            <v>BDB-000113</v>
          </cell>
          <cell r="F136" t="str">
            <v>PVN-002699</v>
          </cell>
          <cell r="G136" t="str">
            <v>OrthoLite Regular-Hybrid SEEDPEARL/12-0703TPX Hybrid Flat Sheet 0.11D 25+/-4 Asker C 1.1M 2M 4.5mm</v>
          </cell>
          <cell r="H136">
            <v>21</v>
          </cell>
          <cell r="I136">
            <v>1</v>
          </cell>
          <cell r="J136">
            <v>1</v>
          </cell>
          <cell r="K136" t="str">
            <v>ASICS</v>
          </cell>
          <cell r="L136" t="str">
            <v>Forecast</v>
          </cell>
          <cell r="M136" t="str">
            <v>DIE CUT</v>
          </cell>
          <cell r="N136"/>
          <cell r="O136"/>
          <cell r="P136" t="str">
            <v>ok</v>
          </cell>
          <cell r="Q136">
            <v>46154</v>
          </cell>
          <cell r="R136">
            <v>46156</v>
          </cell>
          <cell r="S136">
            <v>46157</v>
          </cell>
          <cell r="T136" t="str">
            <v>l1</v>
          </cell>
          <cell r="U136"/>
          <cell r="V136">
            <v>0</v>
          </cell>
          <cell r="W136" t="b">
            <v>1</v>
          </cell>
          <cell r="X136">
            <v>0</v>
          </cell>
          <cell r="Y136">
            <v>21</v>
          </cell>
          <cell r="Z136" t="b">
            <v>0</v>
          </cell>
          <cell r="AA136">
            <v>2</v>
          </cell>
          <cell r="AB136"/>
          <cell r="AC136"/>
          <cell r="AD136"/>
          <cell r="AE136" t="e">
            <v>#VALUE!</v>
          </cell>
          <cell r="AF136">
            <v>1</v>
          </cell>
          <cell r="AG136" t="b">
            <v>1</v>
          </cell>
          <cell r="AH136" t="str">
            <v>BDB-000113</v>
          </cell>
          <cell r="AI136" t="b">
            <v>1</v>
          </cell>
        </row>
        <row r="137">
          <cell r="A137" t="str">
            <v>F-2026-04-247</v>
          </cell>
          <cell r="B137" t="str">
            <v>FPRO-260416-0032</v>
          </cell>
          <cell r="C137" t="str">
            <v>11/5</v>
          </cell>
          <cell r="D137" t="str">
            <v>Firm plan 16.4</v>
          </cell>
          <cell r="E137" t="str">
            <v>BDB-000113</v>
          </cell>
          <cell r="F137" t="str">
            <v>PVN-002465</v>
          </cell>
          <cell r="G137" t="str">
            <v>OrthoLite Regular-Hybrid SEEDPEARL/12-0703TPX Hybrid Flat Sheet 0.11D 25+/-4 Asker C 1.1M 2M 5mm</v>
          </cell>
          <cell r="H137">
            <v>2500</v>
          </cell>
          <cell r="I137">
            <v>90</v>
          </cell>
          <cell r="J137">
            <v>90</v>
          </cell>
          <cell r="K137" t="str">
            <v>ASICS</v>
          </cell>
          <cell r="L137" t="str">
            <v>Forecast</v>
          </cell>
          <cell r="M137" t="str">
            <v>DIE CUT</v>
          </cell>
          <cell r="N137" t="str">
            <v>ppc/pur imp-keep etd</v>
          </cell>
          <cell r="O137"/>
          <cell r="P137" t="str">
            <v>ok</v>
          </cell>
          <cell r="Q137">
            <v>46155</v>
          </cell>
          <cell r="R137">
            <v>46157</v>
          </cell>
          <cell r="S137">
            <v>46158</v>
          </cell>
          <cell r="T137" t="str">
            <v>l1</v>
          </cell>
          <cell r="U137"/>
          <cell r="V137" t="e">
            <v>#VALUE!</v>
          </cell>
          <cell r="W137" t="b">
            <v>1</v>
          </cell>
          <cell r="X137">
            <v>0</v>
          </cell>
          <cell r="Y137">
            <v>2500</v>
          </cell>
          <cell r="Z137" t="b">
            <v>0</v>
          </cell>
          <cell r="AA137">
            <v>2</v>
          </cell>
          <cell r="AB137"/>
          <cell r="AC137"/>
          <cell r="AD137"/>
          <cell r="AE137" t="e">
            <v>#VALUE!</v>
          </cell>
          <cell r="AF137">
            <v>90</v>
          </cell>
          <cell r="AG137" t="b">
            <v>1</v>
          </cell>
          <cell r="AH137" t="str">
            <v>BDB-000113</v>
          </cell>
          <cell r="AI137" t="b">
            <v>1</v>
          </cell>
        </row>
        <row r="138">
          <cell r="A138"/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>
            <v>0</v>
          </cell>
          <cell r="W138"/>
          <cell r="X138"/>
          <cell r="Y138"/>
          <cell r="Z138"/>
          <cell r="AA138">
            <v>2</v>
          </cell>
          <cell r="AB138"/>
          <cell r="AC138"/>
          <cell r="AD138"/>
          <cell r="AE138"/>
        </row>
        <row r="139">
          <cell r="A139" t="str">
            <v>F-2026-05-74</v>
          </cell>
          <cell r="B139" t="str">
            <v>RPRO-260506-0355</v>
          </cell>
          <cell r="C139" t="str">
            <v>11/5</v>
          </cell>
          <cell r="D139" t="str">
            <v>MPS 05.05</v>
          </cell>
          <cell r="E139" t="str">
            <v>BDB-000123</v>
          </cell>
          <cell r="F139" t="str">
            <v>PVN-003300</v>
          </cell>
          <cell r="G139" t="str">
            <v>OrthoLite Ultra-Hybrid SEEDPEARL/12-0703TPX Hybrid Flat Sheet 0.085D 25+/-4 Asker C 1.1M 2M 2mm</v>
          </cell>
          <cell r="H139">
            <v>70</v>
          </cell>
          <cell r="I139">
            <v>2</v>
          </cell>
          <cell r="J139">
            <v>2</v>
          </cell>
          <cell r="K139"/>
          <cell r="L139" t="str">
            <v>MPS</v>
          </cell>
          <cell r="M139" t="str">
            <v>SPLITTING</v>
          </cell>
          <cell r="N139">
            <v>150</v>
          </cell>
          <cell r="O139" t="str">
            <v xml:space="preserve">W19 đổ dư 64 bun </v>
          </cell>
          <cell r="P139" t="str">
            <v>ok</v>
          </cell>
          <cell r="Q139">
            <v>46154</v>
          </cell>
          <cell r="R139">
            <v>46156</v>
          </cell>
          <cell r="S139">
            <v>46157</v>
          </cell>
          <cell r="T139" t="str">
            <v>l1</v>
          </cell>
          <cell r="U139">
            <v>144</v>
          </cell>
          <cell r="V139">
            <v>-6</v>
          </cell>
          <cell r="W139" t="b">
            <v>1</v>
          </cell>
          <cell r="X139">
            <v>0</v>
          </cell>
          <cell r="Y139">
            <v>70</v>
          </cell>
          <cell r="Z139" t="b">
            <v>0</v>
          </cell>
          <cell r="AA139">
            <v>2</v>
          </cell>
          <cell r="AB139"/>
          <cell r="AC139"/>
          <cell r="AD139"/>
          <cell r="AE139" t="e">
            <v>#VALUE!</v>
          </cell>
          <cell r="AF139">
            <v>2</v>
          </cell>
          <cell r="AG139" t="b">
            <v>1</v>
          </cell>
          <cell r="AH139" t="str">
            <v>BDB-000123</v>
          </cell>
          <cell r="AI139" t="b">
            <v>1</v>
          </cell>
        </row>
        <row r="140">
          <cell r="A140" t="str">
            <v>F-2026-05-100</v>
          </cell>
          <cell r="B140" t="str">
            <v>RPRO-260508-0411</v>
          </cell>
          <cell r="C140" t="str">
            <v>11/5</v>
          </cell>
          <cell r="D140" t="str">
            <v>MPS 07.5</v>
          </cell>
          <cell r="E140" t="str">
            <v>BDB-000123</v>
          </cell>
          <cell r="F140" t="str">
            <v>PVN-003300</v>
          </cell>
          <cell r="G140" t="str">
            <v>OrthoLite Ultra-Hybrid SEEDPEARL/12-0703TPX Hybrid Flat Sheet 0.085D 25+/-4 Asker C 1.1M 2M 2mm</v>
          </cell>
          <cell r="H140">
            <v>70</v>
          </cell>
          <cell r="I140">
            <v>2</v>
          </cell>
          <cell r="J140">
            <v>2</v>
          </cell>
          <cell r="K140"/>
          <cell r="L140" t="str">
            <v>MPS</v>
          </cell>
          <cell r="M140" t="str">
            <v>SPLITTING</v>
          </cell>
          <cell r="N140" t="str">
            <v>214-64</v>
          </cell>
          <cell r="O140"/>
          <cell r="P140" t="str">
            <v>ok</v>
          </cell>
          <cell r="Q140">
            <v>46154</v>
          </cell>
          <cell r="R140">
            <v>46156</v>
          </cell>
          <cell r="S140">
            <v>46157</v>
          </cell>
          <cell r="T140" t="str">
            <v>l1</v>
          </cell>
          <cell r="U140"/>
          <cell r="V140" t="e">
            <v>#VALUE!</v>
          </cell>
          <cell r="W140" t="b">
            <v>1</v>
          </cell>
          <cell r="X140">
            <v>0</v>
          </cell>
          <cell r="Y140">
            <v>70</v>
          </cell>
          <cell r="Z140" t="b">
            <v>0</v>
          </cell>
          <cell r="AA140">
            <v>2</v>
          </cell>
          <cell r="AB140"/>
          <cell r="AC140"/>
          <cell r="AD140"/>
          <cell r="AE140" t="e">
            <v>#VALUE!</v>
          </cell>
          <cell r="AF140">
            <v>2</v>
          </cell>
          <cell r="AG140" t="b">
            <v>1</v>
          </cell>
          <cell r="AH140" t="str">
            <v>BDB-000123</v>
          </cell>
          <cell r="AI140" t="b">
            <v>1</v>
          </cell>
        </row>
        <row r="141">
          <cell r="A141" t="str">
            <v>F-2026-04-90-1</v>
          </cell>
          <cell r="B141" t="str">
            <v>FPRO-260406-0015</v>
          </cell>
          <cell r="C141" t="str">
            <v>11/5-12/5</v>
          </cell>
          <cell r="D141" t="str">
            <v>Firm plan 06.4</v>
          </cell>
          <cell r="E141" t="str">
            <v>BDB-000123</v>
          </cell>
          <cell r="F141" t="str">
            <v>PVN-002973</v>
          </cell>
          <cell r="G141" t="str">
            <v>OrthoLite Ultra-Hybrid SEEDPEARL/12-0703TPX Hybrid 0.085D 25+/-4 Asker C 1.1M 2M 4.5mm</v>
          </cell>
          <cell r="H141">
            <v>862</v>
          </cell>
          <cell r="I141">
            <v>28</v>
          </cell>
          <cell r="J141">
            <v>28</v>
          </cell>
          <cell r="K141" t="str">
            <v>SALOMON</v>
          </cell>
          <cell r="L141" t="str">
            <v>Forecast</v>
          </cell>
          <cell r="M141" t="str">
            <v>MOLDED</v>
          </cell>
          <cell r="N141"/>
          <cell r="O141"/>
          <cell r="P141" t="str">
            <v>ok</v>
          </cell>
          <cell r="Q141">
            <v>46155</v>
          </cell>
          <cell r="R141">
            <v>46157</v>
          </cell>
          <cell r="S141">
            <v>46158</v>
          </cell>
          <cell r="T141" t="str">
            <v>l1</v>
          </cell>
          <cell r="U141"/>
          <cell r="V141">
            <v>0</v>
          </cell>
          <cell r="W141" t="b">
            <v>1</v>
          </cell>
          <cell r="X141">
            <v>0</v>
          </cell>
          <cell r="Y141">
            <v>862</v>
          </cell>
          <cell r="Z141" t="b">
            <v>0</v>
          </cell>
          <cell r="AA141">
            <v>2</v>
          </cell>
          <cell r="AB141" t="str">
            <v>Don't keep</v>
          </cell>
          <cell r="AC141"/>
          <cell r="AD141"/>
          <cell r="AE141" t="e">
            <v>#VALUE!</v>
          </cell>
          <cell r="AF141">
            <v>28</v>
          </cell>
          <cell r="AG141" t="b">
            <v>1</v>
          </cell>
          <cell r="AH141" t="str">
            <v>BDB-000123</v>
          </cell>
          <cell r="AI141" t="b">
            <v>1</v>
          </cell>
        </row>
        <row r="142">
          <cell r="A142" t="str">
            <v>F-2026-02-235</v>
          </cell>
          <cell r="B142" t="str">
            <v>FPRO-260211-0055</v>
          </cell>
          <cell r="C142" t="str">
            <v>12/5</v>
          </cell>
          <cell r="D142" t="str">
            <v>Firm plan 11.2</v>
          </cell>
          <cell r="E142" t="str">
            <v>BDB-000123</v>
          </cell>
          <cell r="F142" t="str">
            <v>PVN-003299</v>
          </cell>
          <cell r="G142" t="str">
            <v>OrthoLite Ultra-Hybrid SEEDPEARL/12-0703TPX Hybrid 0.085D 25+/-4 Asker C 1.1M 2M 3mm</v>
          </cell>
          <cell r="H142">
            <v>7000</v>
          </cell>
          <cell r="I142">
            <v>153</v>
          </cell>
          <cell r="J142">
            <v>153</v>
          </cell>
          <cell r="K142" t="str">
            <v>ADIDAS</v>
          </cell>
          <cell r="L142" t="str">
            <v>Forecast</v>
          </cell>
          <cell r="M142" t="str">
            <v>SPLITTING</v>
          </cell>
          <cell r="N142"/>
          <cell r="O142"/>
          <cell r="P142" t="str">
            <v>ok</v>
          </cell>
          <cell r="Q142">
            <v>46156</v>
          </cell>
          <cell r="R142">
            <v>46158</v>
          </cell>
          <cell r="S142">
            <v>46160</v>
          </cell>
          <cell r="T142" t="str">
            <v>l1</v>
          </cell>
          <cell r="U142"/>
          <cell r="V142">
            <v>0</v>
          </cell>
          <cell r="W142" t="b">
            <v>1</v>
          </cell>
          <cell r="X142">
            <v>0</v>
          </cell>
          <cell r="Y142">
            <v>7000</v>
          </cell>
          <cell r="Z142" t="b">
            <v>0</v>
          </cell>
          <cell r="AA142">
            <v>2</v>
          </cell>
          <cell r="AB142"/>
          <cell r="AC142"/>
          <cell r="AD142"/>
          <cell r="AE142" t="e">
            <v>#VALUE!</v>
          </cell>
          <cell r="AF142">
            <v>153</v>
          </cell>
          <cell r="AG142" t="b">
            <v>1</v>
          </cell>
          <cell r="AH142" t="str">
            <v>BDB-000123</v>
          </cell>
          <cell r="AI142" t="b">
            <v>1</v>
          </cell>
        </row>
        <row r="143">
          <cell r="A143" t="str">
            <v>F-2026-04-57</v>
          </cell>
          <cell r="B143" t="str">
            <v>FPRO-260401-0005</v>
          </cell>
          <cell r="C143" t="str">
            <v>12/5</v>
          </cell>
          <cell r="D143" t="str">
            <v>Firm plan 01.04</v>
          </cell>
          <cell r="E143" t="str">
            <v>BDB-000123</v>
          </cell>
          <cell r="F143" t="str">
            <v>PVN-002539</v>
          </cell>
          <cell r="G143" t="str">
            <v>OrthoLite Ultra-Hybrid SEEDPEARL/12-0703TPX Hybrid Flat Sheet 0.085D 25+/-4 Asker C 1.1M 2M 5mm</v>
          </cell>
          <cell r="H143">
            <v>800</v>
          </cell>
          <cell r="I143">
            <v>29</v>
          </cell>
          <cell r="J143">
            <v>29</v>
          </cell>
          <cell r="K143" t="str">
            <v>BROOKS</v>
          </cell>
          <cell r="L143" t="str">
            <v>Forecast</v>
          </cell>
          <cell r="M143" t="str">
            <v>DIE CUT</v>
          </cell>
          <cell r="N143"/>
          <cell r="O143"/>
          <cell r="P143"/>
          <cell r="Q143">
            <v>46156</v>
          </cell>
          <cell r="R143">
            <v>46158</v>
          </cell>
          <cell r="S143">
            <v>46160</v>
          </cell>
          <cell r="T143" t="str">
            <v>l1</v>
          </cell>
          <cell r="U143"/>
          <cell r="V143">
            <v>0</v>
          </cell>
          <cell r="W143" t="b">
            <v>1</v>
          </cell>
          <cell r="X143">
            <v>0</v>
          </cell>
          <cell r="Y143">
            <v>800</v>
          </cell>
          <cell r="Z143" t="b">
            <v>0</v>
          </cell>
          <cell r="AA143">
            <v>2</v>
          </cell>
          <cell r="AB143"/>
          <cell r="AC143"/>
          <cell r="AD143"/>
          <cell r="AE143" t="e">
            <v>#VALUE!</v>
          </cell>
          <cell r="AF143">
            <v>29</v>
          </cell>
          <cell r="AG143" t="b">
            <v>1</v>
          </cell>
          <cell r="AH143" t="str">
            <v>BDB-000123</v>
          </cell>
          <cell r="AI143" t="b">
            <v>1</v>
          </cell>
        </row>
        <row r="144">
          <cell r="A144"/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>
            <v>0</v>
          </cell>
          <cell r="W144"/>
          <cell r="X144"/>
          <cell r="Y144"/>
          <cell r="Z144"/>
          <cell r="AA144">
            <v>2</v>
          </cell>
          <cell r="AB144"/>
          <cell r="AC144"/>
          <cell r="AD144"/>
          <cell r="AE144"/>
        </row>
        <row r="145">
          <cell r="A145" t="str">
            <v>F-2026-04-215-1</v>
          </cell>
          <cell r="B145" t="str">
            <v>FPRO-260415-0012</v>
          </cell>
          <cell r="C145" t="str">
            <v>12/5</v>
          </cell>
          <cell r="D145" t="str">
            <v>Firm plan 15.4</v>
          </cell>
          <cell r="E145" t="str">
            <v>BDB-000209</v>
          </cell>
          <cell r="F145" t="str">
            <v>PVN-003550</v>
          </cell>
          <cell r="G145" t="str">
            <v>OrthoLite HybridPlus-Recycled MINT GREEN/11-4805TPX Hybrid 0.12D 25+/-4 Asker C 1.1M 2M 6mm</v>
          </cell>
          <cell r="H145">
            <v>500</v>
          </cell>
          <cell r="I145">
            <v>22</v>
          </cell>
          <cell r="J145">
            <v>22</v>
          </cell>
          <cell r="K145" t="str">
            <v>ON RUNNING</v>
          </cell>
          <cell r="L145" t="str">
            <v>Forecast</v>
          </cell>
          <cell r="M145" t="str">
            <v>MOLDED</v>
          </cell>
          <cell r="N145">
            <v>212</v>
          </cell>
          <cell r="O145"/>
          <cell r="P145" t="str">
            <v>ok</v>
          </cell>
          <cell r="Q145">
            <v>46155</v>
          </cell>
          <cell r="R145">
            <v>46157</v>
          </cell>
          <cell r="S145">
            <v>46158</v>
          </cell>
          <cell r="T145" t="str">
            <v>l1</v>
          </cell>
          <cell r="U145">
            <v>118</v>
          </cell>
          <cell r="V145">
            <v>-94</v>
          </cell>
          <cell r="W145" t="b">
            <v>1</v>
          </cell>
          <cell r="X145">
            <v>0</v>
          </cell>
          <cell r="Y145">
            <v>500</v>
          </cell>
          <cell r="Z145" t="b">
            <v>1</v>
          </cell>
          <cell r="AA145">
            <v>2</v>
          </cell>
          <cell r="AB145"/>
          <cell r="AC145"/>
          <cell r="AD145"/>
          <cell r="AE145" t="e">
            <v>#VALUE!</v>
          </cell>
          <cell r="AF145">
            <v>22</v>
          </cell>
          <cell r="AG145" t="b">
            <v>1</v>
          </cell>
          <cell r="AH145" t="str">
            <v>BDB-000209</v>
          </cell>
          <cell r="AI145" t="b">
            <v>1</v>
          </cell>
        </row>
        <row r="146">
          <cell r="A146" t="str">
            <v>F-2026-03-544</v>
          </cell>
          <cell r="B146" t="str">
            <v>FPRO-260326-0005</v>
          </cell>
          <cell r="C146" t="str">
            <v>12/5</v>
          </cell>
          <cell r="D146" t="str">
            <v>Firm plan 26.3</v>
          </cell>
          <cell r="E146" t="str">
            <v>BDB-000209</v>
          </cell>
          <cell r="F146" t="str">
            <v>PVN-003537</v>
          </cell>
          <cell r="G146" t="str">
            <v>OrthoLite HybridPlus-Recycled MINT GREEN/11-4805TPX Hybrid 0.12D 25+/-4 Asker C 1.1M 2M 4.5mm</v>
          </cell>
          <cell r="H146">
            <v>2500</v>
          </cell>
          <cell r="I146">
            <v>81</v>
          </cell>
          <cell r="J146">
            <v>81</v>
          </cell>
          <cell r="K146" t="str">
            <v>ON RUNNING</v>
          </cell>
          <cell r="L146" t="str">
            <v>Forecast</v>
          </cell>
          <cell r="M146" t="str">
            <v>MOLDED</v>
          </cell>
          <cell r="N146"/>
          <cell r="O146"/>
          <cell r="P146"/>
          <cell r="Q146">
            <v>46155</v>
          </cell>
          <cell r="R146">
            <v>46157</v>
          </cell>
          <cell r="S146">
            <v>46158</v>
          </cell>
          <cell r="T146" t="str">
            <v>l1</v>
          </cell>
          <cell r="U146"/>
          <cell r="V146">
            <v>0</v>
          </cell>
          <cell r="W146" t="b">
            <v>1</v>
          </cell>
          <cell r="X146">
            <v>0</v>
          </cell>
          <cell r="Y146">
            <v>2500</v>
          </cell>
          <cell r="Z146" t="b">
            <v>0</v>
          </cell>
          <cell r="AA146">
            <v>2</v>
          </cell>
          <cell r="AB146"/>
          <cell r="AC146"/>
          <cell r="AD146"/>
          <cell r="AE146" t="e">
            <v>#VALUE!</v>
          </cell>
          <cell r="AF146">
            <v>81</v>
          </cell>
          <cell r="AG146" t="b">
            <v>1</v>
          </cell>
          <cell r="AH146" t="str">
            <v>BDB-000209</v>
          </cell>
          <cell r="AI146" t="b">
            <v>1</v>
          </cell>
        </row>
        <row r="147">
          <cell r="A147" t="str">
            <v>F-2026-04-60</v>
          </cell>
          <cell r="B147" t="str">
            <v>FPRO-260401-0008</v>
          </cell>
          <cell r="C147" t="str">
            <v>12/5</v>
          </cell>
          <cell r="D147" t="str">
            <v>Firm plan 01.04</v>
          </cell>
          <cell r="E147" t="str">
            <v>BDB-000209</v>
          </cell>
          <cell r="F147" t="str">
            <v>PVN-003462</v>
          </cell>
          <cell r="G147" t="str">
            <v>OrthoLite HybridPlus-Recycled MINT GREEN/11-4805TPX Hybrid 0.12D 25+/-4 Asker C 1.1M 2M 12mm</v>
          </cell>
          <cell r="H147">
            <v>300</v>
          </cell>
          <cell r="I147">
            <v>28</v>
          </cell>
          <cell r="J147">
            <v>28</v>
          </cell>
          <cell r="K147" t="str">
            <v>BROOKS</v>
          </cell>
          <cell r="L147" t="str">
            <v>Forecast</v>
          </cell>
          <cell r="M147" t="str">
            <v>MOLDED</v>
          </cell>
          <cell r="N147"/>
          <cell r="O147"/>
          <cell r="P147"/>
          <cell r="Q147">
            <v>46156</v>
          </cell>
          <cell r="R147">
            <v>46158</v>
          </cell>
          <cell r="S147">
            <v>46160</v>
          </cell>
          <cell r="T147" t="str">
            <v>l1</v>
          </cell>
          <cell r="U147"/>
          <cell r="V147">
            <v>0</v>
          </cell>
          <cell r="W147" t="b">
            <v>1</v>
          </cell>
          <cell r="X147">
            <v>0</v>
          </cell>
          <cell r="Y147">
            <v>300</v>
          </cell>
          <cell r="Z147" t="b">
            <v>0</v>
          </cell>
          <cell r="AA147">
            <v>2</v>
          </cell>
          <cell r="AB147"/>
          <cell r="AC147"/>
          <cell r="AD147"/>
          <cell r="AE147" t="e">
            <v>#VALUE!</v>
          </cell>
          <cell r="AF147">
            <v>28</v>
          </cell>
          <cell r="AG147" t="b">
            <v>1</v>
          </cell>
          <cell r="AH147" t="str">
            <v>BDB-000209</v>
          </cell>
          <cell r="AI147" t="b">
            <v>1</v>
          </cell>
        </row>
        <row r="148">
          <cell r="A148" t="str">
            <v>F-2026-03-545</v>
          </cell>
          <cell r="B148" t="str">
            <v>FPRO-260326-0006</v>
          </cell>
          <cell r="C148" t="str">
            <v>12/5-13/5</v>
          </cell>
          <cell r="D148" t="str">
            <v>Firm plan 26.3</v>
          </cell>
          <cell r="E148" t="str">
            <v>BDB-000209</v>
          </cell>
          <cell r="F148" t="str">
            <v>PVN-003537</v>
          </cell>
          <cell r="G148" t="str">
            <v>OrthoLite HybridPlus-Recycled MINT GREEN/11-4805TPX Hybrid 0.12D 25+/-4 Asker C 1.1M 2M 4.5mm</v>
          </cell>
          <cell r="H148">
            <v>2500</v>
          </cell>
          <cell r="I148">
            <v>81</v>
          </cell>
          <cell r="J148">
            <v>81</v>
          </cell>
          <cell r="K148" t="str">
            <v>ON RUNNING</v>
          </cell>
          <cell r="L148" t="str">
            <v>Forecast</v>
          </cell>
          <cell r="M148" t="str">
            <v>MOLDED</v>
          </cell>
          <cell r="N148"/>
          <cell r="O148"/>
          <cell r="P148"/>
          <cell r="Q148">
            <v>46156</v>
          </cell>
          <cell r="R148">
            <v>46158</v>
          </cell>
          <cell r="S148">
            <v>46160</v>
          </cell>
          <cell r="T148" t="str">
            <v>l1</v>
          </cell>
          <cell r="U148"/>
          <cell r="V148">
            <v>0</v>
          </cell>
          <cell r="W148" t="b">
            <v>1</v>
          </cell>
          <cell r="X148">
            <v>0</v>
          </cell>
          <cell r="Y148">
            <v>2500</v>
          </cell>
          <cell r="Z148" t="b">
            <v>0</v>
          </cell>
          <cell r="AA148">
            <v>2</v>
          </cell>
          <cell r="AB148"/>
          <cell r="AC148"/>
          <cell r="AD148"/>
          <cell r="AE148" t="e">
            <v>#VALUE!</v>
          </cell>
          <cell r="AF148">
            <v>81</v>
          </cell>
          <cell r="AG148" t="b">
            <v>1</v>
          </cell>
          <cell r="AH148" t="str">
            <v>BDB-000209</v>
          </cell>
          <cell r="AI148" t="b">
            <v>1</v>
          </cell>
        </row>
        <row r="149">
          <cell r="A149"/>
          <cell r="B149"/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>
            <v>0</v>
          </cell>
          <cell r="W149"/>
          <cell r="X149"/>
          <cell r="Y149"/>
          <cell r="Z149"/>
          <cell r="AA149">
            <v>2</v>
          </cell>
          <cell r="AB149"/>
          <cell r="AC149"/>
          <cell r="AD149"/>
          <cell r="AE149"/>
        </row>
        <row r="150">
          <cell r="A150" t="str">
            <v>F-2026-03-441</v>
          </cell>
          <cell r="B150" t="str">
            <v>FPRO-260324-0013</v>
          </cell>
          <cell r="C150" t="str">
            <v>13/5</v>
          </cell>
          <cell r="D150" t="str">
            <v>Firm plan 24.3</v>
          </cell>
          <cell r="E150" t="str">
            <v>BDB-000175</v>
          </cell>
          <cell r="F150" t="str">
            <v>PVN-002966</v>
          </cell>
          <cell r="G150" t="str">
            <v>OrthoLite Ultra-Hybrid-Nike SEEDPEARL/12-0703TPX Hybrid 0.085D 25+/-4 Asker C 1.1M 2M 4mm</v>
          </cell>
          <cell r="H150">
            <v>3500</v>
          </cell>
          <cell r="I150">
            <v>100</v>
          </cell>
          <cell r="J150">
            <v>100</v>
          </cell>
          <cell r="K150" t="str">
            <v>NIKE</v>
          </cell>
          <cell r="L150" t="str">
            <v>Forecast</v>
          </cell>
          <cell r="M150" t="str">
            <v>DIE CUT</v>
          </cell>
          <cell r="N150">
            <v>100</v>
          </cell>
          <cell r="O150"/>
          <cell r="P150"/>
          <cell r="Q150">
            <v>46156</v>
          </cell>
          <cell r="R150">
            <v>46158</v>
          </cell>
          <cell r="S150">
            <v>46160</v>
          </cell>
          <cell r="T150" t="str">
            <v>l1</v>
          </cell>
          <cell r="U150"/>
          <cell r="V150">
            <v>-100</v>
          </cell>
          <cell r="W150" t="b">
            <v>1</v>
          </cell>
          <cell r="X150">
            <v>0</v>
          </cell>
          <cell r="Y150">
            <v>3500</v>
          </cell>
          <cell r="Z150" t="b">
            <v>1</v>
          </cell>
          <cell r="AA150">
            <v>2</v>
          </cell>
          <cell r="AB150"/>
          <cell r="AC150"/>
          <cell r="AD150"/>
          <cell r="AE150" t="e">
            <v>#VALUE!</v>
          </cell>
          <cell r="AF150">
            <v>100</v>
          </cell>
          <cell r="AG150" t="b">
            <v>1</v>
          </cell>
          <cell r="AH150" t="str">
            <v>BDB-000175</v>
          </cell>
          <cell r="AI150" t="b">
            <v>1</v>
          </cell>
        </row>
        <row r="151">
          <cell r="A151"/>
          <cell r="B151"/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>
            <v>0</v>
          </cell>
          <cell r="W151"/>
          <cell r="X151"/>
          <cell r="Y151"/>
          <cell r="Z151"/>
          <cell r="AA151">
            <v>2</v>
          </cell>
          <cell r="AB151"/>
          <cell r="AC151"/>
          <cell r="AD151"/>
          <cell r="AE151"/>
        </row>
        <row r="152">
          <cell r="A152" t="str">
            <v>F-2026-04-224</v>
          </cell>
          <cell r="B152" t="str">
            <v>FPRO-260416-0009</v>
          </cell>
          <cell r="C152" t="str">
            <v>13/5</v>
          </cell>
          <cell r="D152" t="str">
            <v>Firm plan 16.4</v>
          </cell>
          <cell r="E152" t="str">
            <v>BDB-000113</v>
          </cell>
          <cell r="F152" t="str">
            <v>PVN-002501</v>
          </cell>
          <cell r="G152" t="str">
            <v>OrthoLite Regular-Hybrid SEEDPEARL/12-0703TPX Hybrid Flat Sheet 0.11D 25+/-4 Asker C 1.1M 2M 2mm</v>
          </cell>
          <cell r="H152">
            <v>1000</v>
          </cell>
          <cell r="I152">
            <v>15</v>
          </cell>
          <cell r="J152">
            <v>15</v>
          </cell>
          <cell r="K152" t="str">
            <v>ASICS</v>
          </cell>
          <cell r="L152" t="str">
            <v>Forecast</v>
          </cell>
          <cell r="M152" t="str">
            <v>SPLITTING</v>
          </cell>
          <cell r="N152">
            <v>331</v>
          </cell>
          <cell r="O152"/>
          <cell r="P152"/>
          <cell r="Q152">
            <v>46156</v>
          </cell>
          <cell r="R152">
            <v>46158</v>
          </cell>
          <cell r="S152">
            <v>46160</v>
          </cell>
          <cell r="T152" t="str">
            <v>l1</v>
          </cell>
          <cell r="U152">
            <v>92</v>
          </cell>
          <cell r="V152">
            <v>-239</v>
          </cell>
          <cell r="W152" t="b">
            <v>1</v>
          </cell>
          <cell r="X152">
            <v>0</v>
          </cell>
          <cell r="Y152">
            <v>1000</v>
          </cell>
          <cell r="Z152" t="b">
            <v>0</v>
          </cell>
          <cell r="AA152">
            <v>2</v>
          </cell>
          <cell r="AB152"/>
          <cell r="AC152"/>
          <cell r="AD152"/>
          <cell r="AE152" t="e">
            <v>#VALUE!</v>
          </cell>
          <cell r="AF152">
            <v>15</v>
          </cell>
          <cell r="AG152" t="b">
            <v>1</v>
          </cell>
          <cell r="AH152" t="str">
            <v>BDB-000113</v>
          </cell>
          <cell r="AI152" t="b">
            <v>1</v>
          </cell>
        </row>
        <row r="153">
          <cell r="A153" t="str">
            <v>F-2026-04-339</v>
          </cell>
          <cell r="B153" t="str">
            <v>RPRO-260428-1295</v>
          </cell>
          <cell r="C153" t="str">
            <v>13/5</v>
          </cell>
          <cell r="D153" t="str">
            <v>Pro.sche.report 24.4+25.4</v>
          </cell>
          <cell r="E153" t="str">
            <v>BDB-000113</v>
          </cell>
          <cell r="F153" t="str">
            <v>PVN-003601</v>
          </cell>
          <cell r="G153" t="str">
            <v>OrthoLite Regular-Hybrid SEEDPEARL/12-0703TPX Hybrid Flat Sheet 0.11D 25+/-4 Asker C 1.1M 2M 20mm</v>
          </cell>
          <cell r="H153">
            <v>42</v>
          </cell>
          <cell r="I153">
            <v>8</v>
          </cell>
          <cell r="J153">
            <v>8</v>
          </cell>
          <cell r="K153" t="str">
            <v>ASICS</v>
          </cell>
          <cell r="L153" t="str">
            <v>Pr.Sch.R</v>
          </cell>
          <cell r="M153" t="str">
            <v>MOLDED</v>
          </cell>
          <cell r="N153"/>
          <cell r="O153"/>
          <cell r="P153"/>
          <cell r="Q153">
            <v>46156</v>
          </cell>
          <cell r="R153">
            <v>46158</v>
          </cell>
          <cell r="S153">
            <v>46160</v>
          </cell>
          <cell r="T153" t="str">
            <v>l1</v>
          </cell>
          <cell r="U153"/>
          <cell r="V153">
            <v>0</v>
          </cell>
          <cell r="W153" t="b">
            <v>1</v>
          </cell>
          <cell r="X153">
            <v>0</v>
          </cell>
          <cell r="Y153">
            <v>42</v>
          </cell>
          <cell r="Z153" t="b">
            <v>1</v>
          </cell>
          <cell r="AA153">
            <v>2</v>
          </cell>
          <cell r="AB153"/>
          <cell r="AC153"/>
          <cell r="AD153"/>
          <cell r="AE153" t="e">
            <v>#VALUE!</v>
          </cell>
          <cell r="AF153">
            <v>8</v>
          </cell>
          <cell r="AG153" t="b">
            <v>1</v>
          </cell>
          <cell r="AH153" t="str">
            <v>BDB-000113</v>
          </cell>
          <cell r="AI153" t="b">
            <v>1</v>
          </cell>
        </row>
        <row r="154">
          <cell r="A154" t="str">
            <v>F-2026-04-255</v>
          </cell>
          <cell r="B154" t="str">
            <v>FPRO-260416-0040</v>
          </cell>
          <cell r="C154" t="str">
            <v>13/5</v>
          </cell>
          <cell r="D154" t="str">
            <v>Firm plan 16.4</v>
          </cell>
          <cell r="E154" t="str">
            <v>BDB-000113</v>
          </cell>
          <cell r="F154" t="str">
            <v>PVN-002465</v>
          </cell>
          <cell r="G154" t="str">
            <v>OrthoLite Regular-Hybrid SEEDPEARL/12-0703TPX Hybrid Flat Sheet 0.11D 25+/-4 Asker C 1.1M 2M 5mm</v>
          </cell>
          <cell r="H154">
            <v>2500</v>
          </cell>
          <cell r="I154">
            <v>90</v>
          </cell>
          <cell r="J154">
            <v>90</v>
          </cell>
          <cell r="K154" t="str">
            <v>ASICS</v>
          </cell>
          <cell r="L154" t="str">
            <v>Forecast</v>
          </cell>
          <cell r="M154" t="str">
            <v>DIE CUT</v>
          </cell>
          <cell r="N154"/>
          <cell r="O154"/>
          <cell r="P154"/>
          <cell r="Q154">
            <v>46156</v>
          </cell>
          <cell r="R154">
            <v>46158</v>
          </cell>
          <cell r="S154">
            <v>46160</v>
          </cell>
          <cell r="T154" t="str">
            <v>l1</v>
          </cell>
          <cell r="U154"/>
          <cell r="V154">
            <v>0</v>
          </cell>
          <cell r="W154" t="b">
            <v>1</v>
          </cell>
          <cell r="X154">
            <v>0</v>
          </cell>
          <cell r="Y154">
            <v>2500</v>
          </cell>
          <cell r="Z154" t="b">
            <v>0</v>
          </cell>
          <cell r="AA154">
            <v>2</v>
          </cell>
          <cell r="AB154"/>
          <cell r="AC154"/>
          <cell r="AD154"/>
          <cell r="AE154" t="e">
            <v>#VALUE!</v>
          </cell>
          <cell r="AF154">
            <v>90</v>
          </cell>
          <cell r="AG154" t="b">
            <v>1</v>
          </cell>
          <cell r="AH154" t="str">
            <v>BDB-000113</v>
          </cell>
          <cell r="AI154" t="b">
            <v>1</v>
          </cell>
        </row>
        <row r="155">
          <cell r="A155" t="str">
            <v>F-2026-03-376</v>
          </cell>
          <cell r="B155" t="str">
            <v>FPRO-260318-0020</v>
          </cell>
          <cell r="C155" t="str">
            <v>13/5-14/5</v>
          </cell>
          <cell r="D155" t="str">
            <v>Firm plan 18.3</v>
          </cell>
          <cell r="E155" t="str">
            <v>BDB-000113</v>
          </cell>
          <cell r="F155" t="str">
            <v>PVN-003414</v>
          </cell>
          <cell r="G155" t="str">
            <v>OrthoLite Regular-Hybrid SEEDPEARL/12-0703TPX Hybrid Flat Sheet 0.11D 25+/-4 Asker C 1.1M 2M 12mm</v>
          </cell>
          <cell r="H155">
            <v>2500</v>
          </cell>
          <cell r="I155">
            <v>218</v>
          </cell>
          <cell r="J155">
            <v>218</v>
          </cell>
          <cell r="K155" t="str">
            <v>ASICS</v>
          </cell>
          <cell r="L155" t="str">
            <v>Forecast</v>
          </cell>
          <cell r="M155" t="str">
            <v>MOLDED</v>
          </cell>
          <cell r="N155"/>
          <cell r="O155"/>
          <cell r="P155" t="str">
            <v xml:space="preserve">gấp </v>
          </cell>
          <cell r="Q155">
            <v>46157</v>
          </cell>
          <cell r="R155">
            <v>46158</v>
          </cell>
          <cell r="S155">
            <v>46160</v>
          </cell>
          <cell r="T155" t="str">
            <v>l1</v>
          </cell>
          <cell r="U155"/>
          <cell r="V155">
            <v>0</v>
          </cell>
          <cell r="W155" t="b">
            <v>1</v>
          </cell>
          <cell r="X155">
            <v>0</v>
          </cell>
          <cell r="Y155">
            <v>2500</v>
          </cell>
          <cell r="Z155" t="b">
            <v>0</v>
          </cell>
          <cell r="AA155">
            <v>2</v>
          </cell>
          <cell r="AB155"/>
          <cell r="AC155"/>
          <cell r="AD155"/>
          <cell r="AE155" t="e">
            <v>#VALUE!</v>
          </cell>
          <cell r="AF155">
            <v>218</v>
          </cell>
          <cell r="AG155" t="b">
            <v>1</v>
          </cell>
          <cell r="AH155" t="str">
            <v>BDB-000113</v>
          </cell>
          <cell r="AI155" t="b">
            <v>1</v>
          </cell>
        </row>
        <row r="156">
          <cell r="A156"/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>
            <v>0</v>
          </cell>
          <cell r="W156"/>
          <cell r="X156"/>
          <cell r="Y156"/>
          <cell r="Z156"/>
          <cell r="AA156">
            <v>2</v>
          </cell>
          <cell r="AB156"/>
          <cell r="AC156"/>
          <cell r="AD156"/>
          <cell r="AE156"/>
        </row>
        <row r="157">
          <cell r="A157" t="str">
            <v>F-2026-03-602</v>
          </cell>
          <cell r="B157" t="str">
            <v>FPRO-260330-0024</v>
          </cell>
          <cell r="C157" t="str">
            <v>14/5</v>
          </cell>
          <cell r="D157" t="str">
            <v>Firm plan 30.3</v>
          </cell>
          <cell r="E157" t="str">
            <v>BDB-000355</v>
          </cell>
          <cell r="F157" t="str">
            <v>PVN-004231</v>
          </cell>
          <cell r="G157" t="str">
            <v>OrthoLite HybridPlus-Recycled CASTLEROCK/18-0201TPX Hybrid 0.12D 25+/-4 Asker C 1.1M 2M 4.5mm</v>
          </cell>
          <cell r="H157">
            <v>550</v>
          </cell>
          <cell r="I157">
            <v>18</v>
          </cell>
          <cell r="J157">
            <v>18</v>
          </cell>
          <cell r="K157" t="str">
            <v>ON RUNNING</v>
          </cell>
          <cell r="L157" t="str">
            <v>Forecast</v>
          </cell>
          <cell r="M157" t="str">
            <v>MOLDED</v>
          </cell>
          <cell r="N157">
            <v>18</v>
          </cell>
          <cell r="O157"/>
          <cell r="P157"/>
          <cell r="Q157">
            <v>46158</v>
          </cell>
          <cell r="R157">
            <v>46160</v>
          </cell>
          <cell r="S157">
            <v>46161</v>
          </cell>
          <cell r="T157" t="str">
            <v>l1</v>
          </cell>
          <cell r="U157"/>
          <cell r="V157">
            <v>-18</v>
          </cell>
          <cell r="W157" t="b">
            <v>1</v>
          </cell>
          <cell r="X157">
            <v>0</v>
          </cell>
          <cell r="Y157">
            <v>550</v>
          </cell>
          <cell r="Z157" t="b">
            <v>0</v>
          </cell>
          <cell r="AA157">
            <v>2</v>
          </cell>
          <cell r="AB157"/>
          <cell r="AC157"/>
          <cell r="AD157"/>
          <cell r="AE157" t="e">
            <v>#VALUE!</v>
          </cell>
          <cell r="AF157">
            <v>18</v>
          </cell>
          <cell r="AG157" t="b">
            <v>1</v>
          </cell>
          <cell r="AH157" t="str">
            <v>BDB-000355</v>
          </cell>
          <cell r="AI157" t="b">
            <v>1</v>
          </cell>
        </row>
        <row r="158">
          <cell r="A158"/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>
            <v>0</v>
          </cell>
          <cell r="W158"/>
          <cell r="X158"/>
          <cell r="Y158"/>
          <cell r="Z158"/>
          <cell r="AA158">
            <v>2</v>
          </cell>
          <cell r="AB158"/>
          <cell r="AC158"/>
          <cell r="AD158"/>
          <cell r="AE158"/>
        </row>
        <row r="159">
          <cell r="A159" t="str">
            <v>F-2026-05-23</v>
          </cell>
          <cell r="B159" t="str">
            <v>RPRO-260504-0935</v>
          </cell>
          <cell r="C159" t="str">
            <v>14/5</v>
          </cell>
          <cell r="D159" t="str">
            <v>Pro.sche.report 29.04+02.05</v>
          </cell>
          <cell r="E159" t="str">
            <v>BDB-000229</v>
          </cell>
          <cell r="F159" t="str">
            <v>PVN-003878</v>
          </cell>
          <cell r="G159" t="str">
            <v>OrthoLite Ultra-Hybrid SEEDPEARL/12-0703TPX Hybrid Flat Sheet 0.095D 33+/-4 Asker C 1.1M 2M 4mm</v>
          </cell>
          <cell r="H159">
            <v>35</v>
          </cell>
          <cell r="I159">
            <v>1</v>
          </cell>
          <cell r="J159">
            <v>1</v>
          </cell>
          <cell r="K159" t="str">
            <v>ON RUNNING</v>
          </cell>
          <cell r="L159" t="str">
            <v>Pr.Sch.R</v>
          </cell>
          <cell r="M159" t="str">
            <v>DIE CUT</v>
          </cell>
          <cell r="N159">
            <v>30</v>
          </cell>
          <cell r="O159"/>
          <cell r="P159"/>
          <cell r="Q159">
            <v>46158</v>
          </cell>
          <cell r="R159">
            <v>46160</v>
          </cell>
          <cell r="S159">
            <v>46161</v>
          </cell>
          <cell r="T159" t="str">
            <v>l1</v>
          </cell>
          <cell r="U159"/>
          <cell r="V159">
            <v>-30</v>
          </cell>
          <cell r="W159" t="b">
            <v>1</v>
          </cell>
          <cell r="X159">
            <v>0</v>
          </cell>
          <cell r="Y159">
            <v>35</v>
          </cell>
          <cell r="Z159" t="b">
            <v>1</v>
          </cell>
          <cell r="AA159">
            <v>2</v>
          </cell>
          <cell r="AB159"/>
          <cell r="AC159"/>
          <cell r="AD159"/>
          <cell r="AE159" t="e">
            <v>#VALUE!</v>
          </cell>
          <cell r="AF159">
            <v>1</v>
          </cell>
          <cell r="AG159" t="b">
            <v>1</v>
          </cell>
          <cell r="AH159" t="str">
            <v>BDB-000229</v>
          </cell>
          <cell r="AI159" t="b">
            <v>1</v>
          </cell>
        </row>
        <row r="160">
          <cell r="A160" t="str">
            <v>F-2026-04-370</v>
          </cell>
          <cell r="B160" t="str">
            <v>RPRO-260429-0460</v>
          </cell>
          <cell r="C160" t="str">
            <v>14/5</v>
          </cell>
          <cell r="D160" t="str">
            <v>Pro.sche.report 28.04</v>
          </cell>
          <cell r="E160" t="str">
            <v>BDB-000229</v>
          </cell>
          <cell r="F160" t="str">
            <v>PVN-003692</v>
          </cell>
          <cell r="G160" t="str">
            <v>OrthoLite Ultra-Hybrid SEEDPEARL/12-0703TPX Hybrid Flat Sheet 0.095D 33+/-4 Asker C 1.1M 2M 15.5mm</v>
          </cell>
          <cell r="H160">
            <v>120</v>
          </cell>
          <cell r="I160">
            <v>15</v>
          </cell>
          <cell r="J160">
            <v>15</v>
          </cell>
          <cell r="K160" t="str">
            <v>GARMONT</v>
          </cell>
          <cell r="L160" t="str">
            <v>Pr.Sch.R</v>
          </cell>
          <cell r="M160" t="str">
            <v>MOLDED</v>
          </cell>
          <cell r="N160"/>
          <cell r="O160"/>
          <cell r="P160"/>
          <cell r="Q160">
            <v>46158</v>
          </cell>
          <cell r="R160">
            <v>46160</v>
          </cell>
          <cell r="S160">
            <v>46161</v>
          </cell>
          <cell r="T160" t="str">
            <v>l1</v>
          </cell>
          <cell r="U160"/>
          <cell r="V160">
            <v>0</v>
          </cell>
          <cell r="W160" t="b">
            <v>1</v>
          </cell>
          <cell r="X160">
            <v>0</v>
          </cell>
          <cell r="Y160">
            <v>120</v>
          </cell>
          <cell r="Z160" t="b">
            <v>1</v>
          </cell>
          <cell r="AA160">
            <v>2</v>
          </cell>
          <cell r="AB160"/>
          <cell r="AC160"/>
          <cell r="AD160"/>
          <cell r="AE160" t="e">
            <v>#VALUE!</v>
          </cell>
          <cell r="AF160">
            <v>15</v>
          </cell>
          <cell r="AG160" t="b">
            <v>1</v>
          </cell>
          <cell r="AH160" t="str">
            <v>BDB-000229</v>
          </cell>
          <cell r="AI160" t="b">
            <v>1</v>
          </cell>
        </row>
        <row r="161">
          <cell r="A161" t="str">
            <v>F-2026-05-90</v>
          </cell>
          <cell r="B161" t="str">
            <v>RPRO-260507-0666</v>
          </cell>
          <cell r="C161" t="str">
            <v>14/5</v>
          </cell>
          <cell r="D161" t="str">
            <v>Pro.sche.report 06.05</v>
          </cell>
          <cell r="E161" t="str">
            <v>BDB-000229</v>
          </cell>
          <cell r="F161" t="str">
            <v>PVN-003692</v>
          </cell>
          <cell r="G161" t="str">
            <v>OrthoLite Ultra-Hybrid SEEDPEARL/12-0703TPX Hybrid Flat Sheet 0.095D 33+/-4 Asker C 1.1M 2M 15.5mm</v>
          </cell>
          <cell r="H161">
            <v>112</v>
          </cell>
          <cell r="I161">
            <v>14</v>
          </cell>
          <cell r="J161">
            <v>14</v>
          </cell>
          <cell r="K161" t="str">
            <v>GARMONT</v>
          </cell>
          <cell r="L161" t="str">
            <v>Pr.Sch.R</v>
          </cell>
          <cell r="M161" t="str">
            <v>MOLDED</v>
          </cell>
          <cell r="N161"/>
          <cell r="O161"/>
          <cell r="P161"/>
          <cell r="Q161">
            <v>46161</v>
          </cell>
          <cell r="R161">
            <v>46163</v>
          </cell>
          <cell r="S161">
            <v>46164</v>
          </cell>
          <cell r="T161" t="str">
            <v>l1</v>
          </cell>
          <cell r="U161"/>
          <cell r="V161">
            <v>0</v>
          </cell>
          <cell r="W161" t="b">
            <v>1</v>
          </cell>
          <cell r="X161">
            <v>0</v>
          </cell>
          <cell r="Y161">
            <v>112</v>
          </cell>
          <cell r="Z161" t="b">
            <v>1</v>
          </cell>
          <cell r="AA161">
            <v>2</v>
          </cell>
          <cell r="AB161"/>
          <cell r="AC161"/>
          <cell r="AD161"/>
          <cell r="AE161" t="e">
            <v>#VALUE!</v>
          </cell>
          <cell r="AF161">
            <v>14</v>
          </cell>
          <cell r="AG161" t="b">
            <v>1</v>
          </cell>
          <cell r="AH161" t="str">
            <v>BDB-000229</v>
          </cell>
          <cell r="AI161" t="b">
            <v>1</v>
          </cell>
        </row>
        <row r="162">
          <cell r="A162"/>
          <cell r="B162"/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/>
          <cell r="V162">
            <v>0</v>
          </cell>
          <cell r="W162"/>
          <cell r="X162"/>
          <cell r="Y162"/>
          <cell r="Z162"/>
          <cell r="AA162">
            <v>2</v>
          </cell>
          <cell r="AB162"/>
          <cell r="AC162"/>
          <cell r="AD162"/>
          <cell r="AE162"/>
        </row>
        <row r="163">
          <cell r="A163" t="str">
            <v>F-2026-04-94</v>
          </cell>
          <cell r="B163" t="str">
            <v>FPRO-260406-0019</v>
          </cell>
          <cell r="C163" t="str">
            <v>14/5</v>
          </cell>
          <cell r="D163" t="str">
            <v>Firm plan 06.4</v>
          </cell>
          <cell r="E163" t="str">
            <v>BDB-000123</v>
          </cell>
          <cell r="F163" t="str">
            <v>PVN-003298</v>
          </cell>
          <cell r="G163" t="str">
            <v>OrthoLite Ultra-Hybrid SEEDPEARL/12-0703TPX Hybrid 0.085D 25+/-4 Asker C 1.1M 2M 4mm</v>
          </cell>
          <cell r="H163">
            <v>3100</v>
          </cell>
          <cell r="I163">
            <v>89</v>
          </cell>
          <cell r="J163">
            <v>89</v>
          </cell>
          <cell r="K163" t="str">
            <v>SALOMON</v>
          </cell>
          <cell r="L163" t="str">
            <v>Forecast</v>
          </cell>
          <cell r="M163" t="str">
            <v>LAMINATING</v>
          </cell>
          <cell r="N163">
            <v>141</v>
          </cell>
          <cell r="O163"/>
          <cell r="P163"/>
          <cell r="Q163">
            <v>46158</v>
          </cell>
          <cell r="R163">
            <v>46160</v>
          </cell>
          <cell r="S163">
            <v>46161</v>
          </cell>
          <cell r="T163" t="str">
            <v>l1</v>
          </cell>
          <cell r="U163"/>
          <cell r="V163">
            <v>-141</v>
          </cell>
          <cell r="W163" t="b">
            <v>1</v>
          </cell>
          <cell r="X163">
            <v>0</v>
          </cell>
          <cell r="Y163">
            <v>3100</v>
          </cell>
          <cell r="Z163" t="b">
            <v>0</v>
          </cell>
          <cell r="AA163">
            <v>2</v>
          </cell>
          <cell r="AB163"/>
          <cell r="AC163"/>
          <cell r="AD163"/>
          <cell r="AE163" t="e">
            <v>#VALUE!</v>
          </cell>
          <cell r="AF163">
            <v>89</v>
          </cell>
          <cell r="AG163" t="b">
            <v>1</v>
          </cell>
          <cell r="AH163" t="str">
            <v>BDB-000123</v>
          </cell>
          <cell r="AI163" t="b">
            <v>1</v>
          </cell>
        </row>
        <row r="164">
          <cell r="A164" t="str">
            <v>F-2026-04-361</v>
          </cell>
          <cell r="B164" t="str">
            <v>RPRO-260429-0449</v>
          </cell>
          <cell r="C164" t="str">
            <v>14/5-15/5</v>
          </cell>
          <cell r="D164" t="str">
            <v>MPS 28.04</v>
          </cell>
          <cell r="E164" t="str">
            <v>BDB-000123</v>
          </cell>
          <cell r="F164" t="str">
            <v>PVN-003315</v>
          </cell>
          <cell r="G164" t="str">
            <v>OrthoLite Ultra-Hybrid SEEDPEARL/12-0703TPX Hybrid 0.085D 25+/-4 Asker C 1.1M 2M 3.5mm</v>
          </cell>
          <cell r="H164">
            <v>280</v>
          </cell>
          <cell r="I164">
            <v>7</v>
          </cell>
          <cell r="J164">
            <v>7</v>
          </cell>
          <cell r="K164"/>
          <cell r="L164" t="str">
            <v>MPS</v>
          </cell>
          <cell r="M164" t="str">
            <v>SPLITTING</v>
          </cell>
          <cell r="N164"/>
          <cell r="O164"/>
          <cell r="P164"/>
          <cell r="Q164">
            <v>46158</v>
          </cell>
          <cell r="R164">
            <v>46160</v>
          </cell>
          <cell r="S164">
            <v>46161</v>
          </cell>
          <cell r="T164" t="str">
            <v>l1</v>
          </cell>
          <cell r="U164"/>
          <cell r="V164">
            <v>0</v>
          </cell>
          <cell r="W164" t="b">
            <v>1</v>
          </cell>
          <cell r="X164">
            <v>0</v>
          </cell>
          <cell r="Y164">
            <v>280</v>
          </cell>
          <cell r="Z164" t="b">
            <v>1</v>
          </cell>
          <cell r="AA164">
            <v>2</v>
          </cell>
          <cell r="AB164"/>
          <cell r="AC164"/>
          <cell r="AD164"/>
          <cell r="AE164" t="e">
            <v>#VALUE!</v>
          </cell>
          <cell r="AF164">
            <v>7</v>
          </cell>
          <cell r="AG164" t="b">
            <v>1</v>
          </cell>
          <cell r="AH164" t="str">
            <v>BDB-000123</v>
          </cell>
          <cell r="AI164" t="b">
            <v>1</v>
          </cell>
        </row>
        <row r="165">
          <cell r="A165" t="str">
            <v>F-2026-05-92</v>
          </cell>
          <cell r="B165" t="str">
            <v>RPRO-260507-0668</v>
          </cell>
          <cell r="C165" t="str">
            <v>15/5</v>
          </cell>
          <cell r="D165" t="str">
            <v>Pro.sche.report 06.05</v>
          </cell>
          <cell r="E165" t="str">
            <v>BDB-000123</v>
          </cell>
          <cell r="F165" t="str">
            <v>PVN-002973</v>
          </cell>
          <cell r="G165" t="str">
            <v>OrthoLite Ultra-Hybrid SEEDPEARL/12-0703TPX Hybrid Flat Sheet 0.085D 25+/-4 Asker C 1.1M 2M 4.5mm</v>
          </cell>
          <cell r="H165">
            <v>1364</v>
          </cell>
          <cell r="I165">
            <v>45</v>
          </cell>
          <cell r="J165">
            <v>45</v>
          </cell>
          <cell r="K165" t="str">
            <v>SALOMON</v>
          </cell>
          <cell r="L165" t="str">
            <v>Pr.Sch.R</v>
          </cell>
          <cell r="M165" t="str">
            <v>MOLDED</v>
          </cell>
          <cell r="N165"/>
          <cell r="O165"/>
          <cell r="P165"/>
          <cell r="Q165">
            <v>46158</v>
          </cell>
          <cell r="R165">
            <v>46160</v>
          </cell>
          <cell r="S165">
            <v>46161</v>
          </cell>
          <cell r="T165" t="str">
            <v>l1</v>
          </cell>
          <cell r="U165"/>
          <cell r="V165">
            <v>0</v>
          </cell>
          <cell r="W165" t="b">
            <v>1</v>
          </cell>
          <cell r="X165">
            <v>0</v>
          </cell>
          <cell r="Y165">
            <v>1364</v>
          </cell>
          <cell r="Z165" t="b">
            <v>0</v>
          </cell>
          <cell r="AA165">
            <v>2</v>
          </cell>
          <cell r="AB165"/>
          <cell r="AC165"/>
          <cell r="AD165"/>
          <cell r="AE165" t="e">
            <v>#VALUE!</v>
          </cell>
          <cell r="AF165">
            <v>45</v>
          </cell>
          <cell r="AG165" t="b">
            <v>1</v>
          </cell>
          <cell r="AH165" t="str">
            <v>BDB-000123</v>
          </cell>
          <cell r="AI165" t="b">
            <v>1</v>
          </cell>
        </row>
        <row r="166">
          <cell r="A166"/>
          <cell r="B166"/>
          <cell r="C166"/>
          <cell r="D166"/>
          <cell r="E166"/>
          <cell r="F166"/>
          <cell r="G166" t="str">
            <v>RELEASE ĐỢT 1</v>
          </cell>
          <cell r="H166"/>
          <cell r="I166"/>
          <cell r="J166"/>
          <cell r="K166"/>
          <cell r="L166"/>
          <cell r="M166"/>
          <cell r="N166"/>
          <cell r="O166"/>
          <cell r="P166"/>
          <cell r="Q166"/>
          <cell r="R166"/>
          <cell r="S166"/>
          <cell r="T166"/>
          <cell r="U166"/>
          <cell r="V166">
            <v>0</v>
          </cell>
          <cell r="W166"/>
          <cell r="X166"/>
          <cell r="Y166"/>
          <cell r="Z166"/>
          <cell r="AA166">
            <v>2</v>
          </cell>
          <cell r="AB166"/>
          <cell r="AC166"/>
          <cell r="AD166"/>
          <cell r="AE166"/>
          <cell r="AI166"/>
          <cell r="AJ166"/>
          <cell r="AK166"/>
          <cell r="AL166"/>
        </row>
        <row r="167">
          <cell r="A167" t="str">
            <v>F-2026-04-243</v>
          </cell>
          <cell r="B167" t="str">
            <v>FPRO-260416-0028</v>
          </cell>
          <cell r="C167" t="str">
            <v>15/5</v>
          </cell>
          <cell r="D167" t="str">
            <v>Firm plan 16.4</v>
          </cell>
          <cell r="E167" t="str">
            <v>BDB-000113</v>
          </cell>
          <cell r="F167" t="str">
            <v>PVN-002465</v>
          </cell>
          <cell r="G167" t="str">
            <v>OrthoLite Regular-Hybrid SEEDPEARL/12-0703TPX Hybrid Flat Sheet 0.11D 25+/-4 Asker C 1.1M 2M 5mm</v>
          </cell>
          <cell r="H167">
            <v>2500</v>
          </cell>
          <cell r="I167">
            <v>90</v>
          </cell>
          <cell r="J167">
            <v>90</v>
          </cell>
          <cell r="K167" t="str">
            <v>ASICS</v>
          </cell>
          <cell r="L167" t="str">
            <v>Forecast</v>
          </cell>
          <cell r="M167" t="str">
            <v>DIE CUT</v>
          </cell>
          <cell r="N167">
            <v>126</v>
          </cell>
          <cell r="O167"/>
          <cell r="P167"/>
          <cell r="Q167">
            <v>46158</v>
          </cell>
          <cell r="R167">
            <v>46161</v>
          </cell>
          <cell r="S167">
            <v>46162</v>
          </cell>
          <cell r="T167" t="str">
            <v>l2</v>
          </cell>
          <cell r="U167"/>
          <cell r="V167">
            <v>0</v>
          </cell>
          <cell r="W167" t="b">
            <v>1</v>
          </cell>
          <cell r="X167">
            <v>0</v>
          </cell>
          <cell r="Y167">
            <v>2500</v>
          </cell>
          <cell r="Z167" t="b">
            <v>0</v>
          </cell>
          <cell r="AA167"/>
          <cell r="AB167"/>
          <cell r="AC167" t="e">
            <v>#N/A</v>
          </cell>
          <cell r="AD167" t="e">
            <v>#N/A</v>
          </cell>
          <cell r="AE167" t="e">
            <v>#VALUE!</v>
          </cell>
          <cell r="AF167">
            <v>90</v>
          </cell>
          <cell r="AG167" t="b">
            <v>1</v>
          </cell>
          <cell r="AH167" t="str">
            <v>BDB-000113</v>
          </cell>
          <cell r="AI167" t="b">
            <v>1</v>
          </cell>
        </row>
        <row r="168">
          <cell r="A168" t="str">
            <v>F-2026-04-218</v>
          </cell>
          <cell r="B168" t="str">
            <v>FPRO-260416-0003</v>
          </cell>
          <cell r="C168" t="str">
            <v>15/5</v>
          </cell>
          <cell r="D168" t="str">
            <v>Firm plan 16.4</v>
          </cell>
          <cell r="E168" t="str">
            <v>BDB-000113</v>
          </cell>
          <cell r="F168" t="str">
            <v>PVN-002501</v>
          </cell>
          <cell r="G168" t="str">
            <v>OrthoLite Regular-Hybrid SEEDPEARL/12-0703TPX Hybrid Flat Sheet 0.11D 25+/-4 Asker C 1.1M 2M 2mm</v>
          </cell>
          <cell r="H168">
            <v>1000</v>
          </cell>
          <cell r="I168">
            <v>15</v>
          </cell>
          <cell r="J168">
            <v>15</v>
          </cell>
          <cell r="K168" t="str">
            <v>ASICS</v>
          </cell>
          <cell r="L168" t="str">
            <v>Forecast</v>
          </cell>
          <cell r="M168" t="str">
            <v>SPLITTING</v>
          </cell>
          <cell r="N168"/>
          <cell r="O168"/>
          <cell r="P168"/>
          <cell r="Q168">
            <v>46158</v>
          </cell>
          <cell r="R168">
            <v>46161</v>
          </cell>
          <cell r="S168">
            <v>46162</v>
          </cell>
          <cell r="T168" t="str">
            <v>l2</v>
          </cell>
          <cell r="U168"/>
          <cell r="V168">
            <v>0</v>
          </cell>
          <cell r="W168" t="b">
            <v>1</v>
          </cell>
          <cell r="X168">
            <v>0</v>
          </cell>
          <cell r="Y168">
            <v>1000</v>
          </cell>
          <cell r="Z168" t="b">
            <v>0</v>
          </cell>
          <cell r="AA168"/>
          <cell r="AB168"/>
          <cell r="AC168" t="e">
            <v>#N/A</v>
          </cell>
          <cell r="AD168" t="e">
            <v>#N/A</v>
          </cell>
          <cell r="AE168" t="e">
            <v>#VALUE!</v>
          </cell>
          <cell r="AF168">
            <v>15</v>
          </cell>
          <cell r="AG168" t="b">
            <v>1</v>
          </cell>
          <cell r="AH168" t="str">
            <v>BDB-000113</v>
          </cell>
          <cell r="AI168" t="b">
            <v>1</v>
          </cell>
        </row>
        <row r="169">
          <cell r="A169" t="str">
            <v>F-2026-04-225</v>
          </cell>
          <cell r="B169" t="str">
            <v>FPRO-260416-0010</v>
          </cell>
          <cell r="C169" t="str">
            <v>15/5</v>
          </cell>
          <cell r="D169" t="str">
            <v>Firm plan 16.4</v>
          </cell>
          <cell r="E169" t="str">
            <v>BDB-000113</v>
          </cell>
          <cell r="F169" t="str">
            <v>PVN-002501</v>
          </cell>
          <cell r="G169" t="str">
            <v>OrthoLite Regular-Hybrid SEEDPEARL/12-0703TPX Hybrid Flat Sheet 0.11D 25+/-4 Asker C 1.1M 2M 2mm</v>
          </cell>
          <cell r="H169">
            <v>400</v>
          </cell>
          <cell r="I169">
            <v>6</v>
          </cell>
          <cell r="J169">
            <v>6</v>
          </cell>
          <cell r="K169" t="str">
            <v>ASICS</v>
          </cell>
          <cell r="L169" t="str">
            <v>Forecast</v>
          </cell>
          <cell r="M169" t="str">
            <v>SPLITTING</v>
          </cell>
          <cell r="N169"/>
          <cell r="O169"/>
          <cell r="P169"/>
          <cell r="Q169">
            <v>46160</v>
          </cell>
          <cell r="R169">
            <v>46162</v>
          </cell>
          <cell r="S169">
            <v>46163</v>
          </cell>
          <cell r="T169" t="str">
            <v>l2</v>
          </cell>
          <cell r="U169"/>
          <cell r="V169">
            <v>0</v>
          </cell>
          <cell r="W169" t="b">
            <v>1</v>
          </cell>
          <cell r="X169">
            <v>0</v>
          </cell>
          <cell r="Y169">
            <v>400</v>
          </cell>
          <cell r="Z169" t="b">
            <v>0</v>
          </cell>
          <cell r="AA169"/>
          <cell r="AB169"/>
          <cell r="AC169"/>
          <cell r="AD169"/>
          <cell r="AE169" t="e">
            <v>#VALUE!</v>
          </cell>
          <cell r="AF169">
            <v>6</v>
          </cell>
          <cell r="AG169" t="b">
            <v>1</v>
          </cell>
          <cell r="AH169" t="str">
            <v>BDB-000113</v>
          </cell>
          <cell r="AI169" t="b">
            <v>1</v>
          </cell>
        </row>
        <row r="170">
          <cell r="A170" t="str">
            <v>F-2026-04-136</v>
          </cell>
          <cell r="B170" t="str">
            <v>FPRO-260410-0006</v>
          </cell>
          <cell r="C170" t="str">
            <v>15/5</v>
          </cell>
          <cell r="D170" t="str">
            <v>Firm plan 10.4</v>
          </cell>
          <cell r="E170" t="str">
            <v>BDB-000113</v>
          </cell>
          <cell r="F170" t="str">
            <v>PVN-002501</v>
          </cell>
          <cell r="G170" t="str">
            <v>OrthoLite Regular-Hybrid SEEDPEARL/12-0703TPX Hybrid Flat Sheet 0.11D 25+/-4 Asker C 1.1M 2M 2mm</v>
          </cell>
          <cell r="H170">
            <v>1000</v>
          </cell>
          <cell r="I170">
            <v>15</v>
          </cell>
          <cell r="J170">
            <v>15</v>
          </cell>
          <cell r="K170" t="str">
            <v>ASICS</v>
          </cell>
          <cell r="L170" t="str">
            <v>Forecast</v>
          </cell>
          <cell r="M170" t="str">
            <v>SPLITTING</v>
          </cell>
          <cell r="N170"/>
          <cell r="O170"/>
          <cell r="P170"/>
          <cell r="Q170">
            <v>46160</v>
          </cell>
          <cell r="R170">
            <v>46162</v>
          </cell>
          <cell r="S170">
            <v>46163</v>
          </cell>
          <cell r="T170" t="str">
            <v>l2</v>
          </cell>
          <cell r="U170"/>
          <cell r="V170">
            <v>0</v>
          </cell>
          <cell r="W170" t="b">
            <v>1</v>
          </cell>
          <cell r="X170">
            <v>0</v>
          </cell>
          <cell r="Y170">
            <v>1000</v>
          </cell>
          <cell r="Z170" t="b">
            <v>0</v>
          </cell>
          <cell r="AA170"/>
          <cell r="AB170"/>
          <cell r="AC170" t="e">
            <v>#N/A</v>
          </cell>
          <cell r="AD170" t="e">
            <v>#N/A</v>
          </cell>
          <cell r="AE170" t="e">
            <v>#VALUE!</v>
          </cell>
          <cell r="AF170">
            <v>15</v>
          </cell>
          <cell r="AG170" t="b">
            <v>1</v>
          </cell>
          <cell r="AH170" t="str">
            <v>BDB-000113</v>
          </cell>
          <cell r="AI170" t="b">
            <v>1</v>
          </cell>
        </row>
        <row r="171">
          <cell r="A171"/>
          <cell r="B171"/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</row>
        <row r="172">
          <cell r="A172" t="str">
            <v>F-2026-02-223</v>
          </cell>
          <cell r="B172" t="str">
            <v>FPRO-260211-0043</v>
          </cell>
          <cell r="C172" t="str">
            <v>15/5-16/5</v>
          </cell>
          <cell r="D172" t="str">
            <v>Firm plan 11.2</v>
          </cell>
          <cell r="E172" t="str">
            <v>BDB-000123</v>
          </cell>
          <cell r="F172" t="str">
            <v>PVN-003298</v>
          </cell>
          <cell r="G172" t="str">
            <v>OrthoLite Ultra-Hybrid SEEDPEARL/12-0703TPX Hybrid 0.085D 25+/-4 Asker C 1.1M 2M 4mm</v>
          </cell>
          <cell r="H172">
            <v>7000</v>
          </cell>
          <cell r="I172">
            <v>200</v>
          </cell>
          <cell r="J172">
            <v>200</v>
          </cell>
          <cell r="K172" t="str">
            <v>ADIDAS</v>
          </cell>
          <cell r="L172" t="str">
            <v>Forecast</v>
          </cell>
          <cell r="M172" t="str">
            <v>SPLITTING</v>
          </cell>
          <cell r="N172">
            <v>200</v>
          </cell>
          <cell r="O172"/>
          <cell r="P172" t="str">
            <v>gấp</v>
          </cell>
          <cell r="Q172">
            <v>46160</v>
          </cell>
          <cell r="R172">
            <v>46161</v>
          </cell>
          <cell r="S172">
            <v>46162</v>
          </cell>
          <cell r="T172" t="str">
            <v>l2</v>
          </cell>
          <cell r="U172"/>
          <cell r="V172">
            <v>0</v>
          </cell>
          <cell r="W172" t="b">
            <v>1</v>
          </cell>
          <cell r="X172">
            <v>0</v>
          </cell>
          <cell r="Y172">
            <v>7000</v>
          </cell>
          <cell r="Z172" t="b">
            <v>0</v>
          </cell>
          <cell r="AA172"/>
          <cell r="AB172"/>
          <cell r="AC172" t="e">
            <v>#N/A</v>
          </cell>
          <cell r="AD172" t="e">
            <v>#N/A</v>
          </cell>
          <cell r="AE172" t="e">
            <v>#VALUE!</v>
          </cell>
          <cell r="AF172">
            <v>200</v>
          </cell>
          <cell r="AG172" t="b">
            <v>1</v>
          </cell>
          <cell r="AH172" t="str">
            <v>BDB-000123</v>
          </cell>
          <cell r="AI172" t="b">
            <v>1</v>
          </cell>
        </row>
        <row r="173">
          <cell r="A173"/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</row>
        <row r="174">
          <cell r="A174" t="str">
            <v>F-2026-03-488</v>
          </cell>
          <cell r="B174" t="str">
            <v>FPRO-260324-0060</v>
          </cell>
          <cell r="C174" t="str">
            <v>16/5</v>
          </cell>
          <cell r="D174" t="str">
            <v>Firm plan 24.3</v>
          </cell>
          <cell r="E174" t="str">
            <v>BDB-000175</v>
          </cell>
          <cell r="F174" t="str">
            <v>PVN-002875</v>
          </cell>
          <cell r="G174" t="str">
            <v>OrthoLite Ultra-Hybrid-Nike SEEDPEARL/12-0703TPX Hybrid 0.085D 25+/-4 Asker C 1.1M 2M 3mm</v>
          </cell>
          <cell r="H174">
            <v>500</v>
          </cell>
          <cell r="I174">
            <v>11</v>
          </cell>
          <cell r="J174">
            <v>11</v>
          </cell>
          <cell r="K174" t="str">
            <v>NIKE</v>
          </cell>
          <cell r="L174" t="str">
            <v>Forecast</v>
          </cell>
          <cell r="M174" t="str">
            <v>DIE CUT</v>
          </cell>
          <cell r="N174">
            <v>11</v>
          </cell>
          <cell r="O174"/>
          <cell r="P174"/>
          <cell r="Q174">
            <v>46160</v>
          </cell>
          <cell r="R174">
            <v>46162</v>
          </cell>
          <cell r="S174">
            <v>46163</v>
          </cell>
          <cell r="T174" t="str">
            <v>l2</v>
          </cell>
          <cell r="U174"/>
          <cell r="V174">
            <v>0</v>
          </cell>
          <cell r="W174" t="b">
            <v>1</v>
          </cell>
          <cell r="X174">
            <v>0</v>
          </cell>
          <cell r="Y174">
            <v>500</v>
          </cell>
          <cell r="Z174" t="b">
            <v>0</v>
          </cell>
          <cell r="AA174"/>
          <cell r="AB174"/>
          <cell r="AC174" t="e">
            <v>#N/A</v>
          </cell>
          <cell r="AD174" t="e">
            <v>#N/A</v>
          </cell>
          <cell r="AE174" t="e">
            <v>#VALUE!</v>
          </cell>
          <cell r="AF174">
            <v>11</v>
          </cell>
          <cell r="AG174" t="b">
            <v>1</v>
          </cell>
          <cell r="AH174" t="str">
            <v>BDB-000175</v>
          </cell>
          <cell r="AI174" t="b">
            <v>1</v>
          </cell>
        </row>
        <row r="175">
          <cell r="A175"/>
          <cell r="B175"/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</row>
        <row r="176">
          <cell r="A176" t="str">
            <v>F-2026-03-592</v>
          </cell>
          <cell r="B176" t="str">
            <v>FPRO-260330-0014</v>
          </cell>
          <cell r="C176" t="str">
            <v>16/5-18/5</v>
          </cell>
          <cell r="D176" t="str">
            <v>Firm plan 30.3</v>
          </cell>
          <cell r="E176" t="str">
            <v>BDB-000209</v>
          </cell>
          <cell r="F176" t="str">
            <v>PVN-003537</v>
          </cell>
          <cell r="G176" t="str">
            <v>OrthoLite HybridPlus-Recycled MINT GREEN/11-4805TPX Hybrid 0.12D 25+/-4 Asker C 1.1M 2M 4.5mm</v>
          </cell>
          <cell r="H176">
            <v>2500</v>
          </cell>
          <cell r="I176">
            <v>81</v>
          </cell>
          <cell r="J176">
            <v>81</v>
          </cell>
          <cell r="K176" t="str">
            <v>ON RUNNING</v>
          </cell>
          <cell r="L176" t="str">
            <v>Forecast</v>
          </cell>
          <cell r="M176" t="str">
            <v>MOLDED</v>
          </cell>
          <cell r="N176">
            <v>81</v>
          </cell>
          <cell r="O176"/>
          <cell r="P176" t="str">
            <v>gấp</v>
          </cell>
          <cell r="Q176">
            <v>46161</v>
          </cell>
          <cell r="R176">
            <v>46162</v>
          </cell>
          <cell r="S176">
            <v>46163</v>
          </cell>
          <cell r="T176" t="str">
            <v>l2</v>
          </cell>
          <cell r="U176"/>
          <cell r="V176">
            <v>0</v>
          </cell>
          <cell r="W176" t="b">
            <v>1</v>
          </cell>
          <cell r="X176">
            <v>0</v>
          </cell>
          <cell r="Y176">
            <v>2500</v>
          </cell>
          <cell r="Z176" t="b">
            <v>0</v>
          </cell>
          <cell r="AA176"/>
          <cell r="AB176"/>
          <cell r="AC176" t="e">
            <v>#N/A</v>
          </cell>
          <cell r="AD176" t="e">
            <v>#N/A</v>
          </cell>
          <cell r="AE176" t="e">
            <v>#VALUE!</v>
          </cell>
          <cell r="AF176">
            <v>81</v>
          </cell>
          <cell r="AG176" t="b">
            <v>1</v>
          </cell>
          <cell r="AH176" t="str">
            <v>BDB-000209</v>
          </cell>
          <cell r="AI176" t="b">
            <v>1</v>
          </cell>
        </row>
        <row r="177">
          <cell r="A177"/>
          <cell r="B177"/>
          <cell r="C177"/>
          <cell r="D177"/>
          <cell r="E177"/>
          <cell r="F177"/>
          <cell r="G177" t="str">
            <v>RELEASE ĐỢT 2</v>
          </cell>
          <cell r="H177"/>
          <cell r="I177"/>
          <cell r="J177"/>
          <cell r="K177"/>
          <cell r="L177"/>
          <cell r="M177"/>
          <cell r="N177"/>
          <cell r="O177"/>
          <cell r="P177"/>
          <cell r="Q177"/>
          <cell r="R177"/>
          <cell r="S177"/>
          <cell r="T177"/>
          <cell r="U177"/>
          <cell r="V177">
            <v>0</v>
          </cell>
          <cell r="W177"/>
          <cell r="X177"/>
          <cell r="Y177"/>
          <cell r="Z177"/>
          <cell r="AA177"/>
          <cell r="AB177"/>
          <cell r="AC177"/>
          <cell r="AD177"/>
          <cell r="AE177"/>
          <cell r="AI177"/>
          <cell r="AJ177"/>
          <cell r="AK177"/>
          <cell r="AL177"/>
        </row>
        <row r="178">
          <cell r="A178"/>
          <cell r="B178"/>
          <cell r="C178"/>
          <cell r="D178"/>
          <cell r="E178"/>
          <cell r="F178"/>
          <cell r="G178"/>
          <cell r="H178">
            <v>52423</v>
          </cell>
          <cell r="I178">
            <v>1910</v>
          </cell>
          <cell r="J178">
            <v>1910</v>
          </cell>
          <cell r="K178"/>
          <cell r="L178"/>
          <cell r="M178"/>
          <cell r="N178">
            <v>1556</v>
          </cell>
          <cell r="O178">
            <v>15</v>
          </cell>
          <cell r="P178"/>
          <cell r="Q178"/>
          <cell r="V178">
            <v>-1556</v>
          </cell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</row>
        <row r="179">
          <cell r="A179" t="str">
            <v>F-2026-04-355</v>
          </cell>
          <cell r="B179" t="str">
            <v>RPRO-260429-0443</v>
          </cell>
          <cell r="C179" t="str">
            <v>11/5</v>
          </cell>
          <cell r="D179" t="str">
            <v>MPS 28.04</v>
          </cell>
          <cell r="E179" t="str">
            <v>BDB-000010</v>
          </cell>
          <cell r="F179" t="str">
            <v>PVN-000101</v>
          </cell>
          <cell r="G179" t="str">
            <v>OrthoLite Regular AIR BLUE/16-4134TPX Flat Sheet 0.11D 25+/-4 Asker C 1.1M 2M 3mm</v>
          </cell>
          <cell r="H179">
            <v>46</v>
          </cell>
          <cell r="I179">
            <v>2</v>
          </cell>
          <cell r="J179">
            <v>2</v>
          </cell>
          <cell r="K179"/>
          <cell r="L179" t="str">
            <v>MPS</v>
          </cell>
          <cell r="M179" t="str">
            <v>SPLITTING</v>
          </cell>
          <cell r="N179">
            <v>2</v>
          </cell>
          <cell r="O179" t="str">
            <v>Đơn cũ W19</v>
          </cell>
          <cell r="P179" t="str">
            <v>ok</v>
          </cell>
          <cell r="Q179">
            <v>46153</v>
          </cell>
          <cell r="R179">
            <v>46155</v>
          </cell>
          <cell r="S179">
            <v>46156</v>
          </cell>
          <cell r="T179" t="str">
            <v/>
          </cell>
          <cell r="U179">
            <v>2</v>
          </cell>
          <cell r="V179">
            <v>0</v>
          </cell>
          <cell r="W179" t="b">
            <v>1</v>
          </cell>
          <cell r="X179">
            <v>0</v>
          </cell>
          <cell r="Y179">
            <v>46</v>
          </cell>
          <cell r="Z179" t="b">
            <v>0</v>
          </cell>
          <cell r="AA179">
            <v>3</v>
          </cell>
          <cell r="AB179"/>
          <cell r="AC179"/>
          <cell r="AD179"/>
          <cell r="AE179" t="e">
            <v>#VALUE!</v>
          </cell>
          <cell r="AF179">
            <v>2</v>
          </cell>
          <cell r="AG179" t="b">
            <v>1</v>
          </cell>
          <cell r="AH179" t="str">
            <v>BDB-000010</v>
          </cell>
          <cell r="AI179" t="b">
            <v>1</v>
          </cell>
        </row>
        <row r="180">
          <cell r="A180"/>
          <cell r="B180"/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/>
          <cell r="S180"/>
          <cell r="T180"/>
          <cell r="U180"/>
          <cell r="V180">
            <v>0</v>
          </cell>
          <cell r="W180"/>
          <cell r="X180"/>
          <cell r="Y180"/>
          <cell r="Z180"/>
          <cell r="AA180">
            <v>3</v>
          </cell>
          <cell r="AB180"/>
          <cell r="AC180"/>
          <cell r="AD180"/>
        </row>
        <row r="181">
          <cell r="A181" t="str">
            <v>F-2026-05-72</v>
          </cell>
          <cell r="B181" t="str">
            <v>RPRO-260506-0353</v>
          </cell>
          <cell r="C181" t="str">
            <v>11/5</v>
          </cell>
          <cell r="D181" t="str">
            <v>MPS 05.05</v>
          </cell>
          <cell r="E181" t="str">
            <v>BDB-000067</v>
          </cell>
          <cell r="F181" t="str">
            <v>PVN-001415</v>
          </cell>
          <cell r="G181" t="str">
            <v>OrthoLite Ultra SEEDPEARL/12-0703TPX Flat Sheet 0.085D 25+/-4 Asker C 1.1M 2M 4mm</v>
          </cell>
          <cell r="H181">
            <v>525</v>
          </cell>
          <cell r="I181">
            <v>15</v>
          </cell>
          <cell r="J181">
            <v>15</v>
          </cell>
          <cell r="K181"/>
          <cell r="L181" t="str">
            <v>MPS</v>
          </cell>
          <cell r="M181" t="str">
            <v>SPLITTING</v>
          </cell>
          <cell r="N181">
            <v>15</v>
          </cell>
          <cell r="O181" t="str">
            <v>GẤP_UU TIEN 1</v>
          </cell>
          <cell r="P181" t="str">
            <v>ok</v>
          </cell>
          <cell r="Q181">
            <v>46154</v>
          </cell>
          <cell r="R181">
            <v>46155</v>
          </cell>
          <cell r="S181">
            <v>46156</v>
          </cell>
          <cell r="T181" t="str">
            <v>l1</v>
          </cell>
          <cell r="U181">
            <v>15</v>
          </cell>
          <cell r="V181">
            <v>0</v>
          </cell>
          <cell r="W181" t="b">
            <v>1</v>
          </cell>
          <cell r="X181">
            <v>0</v>
          </cell>
          <cell r="Y181">
            <v>525</v>
          </cell>
          <cell r="Z181" t="b">
            <v>0</v>
          </cell>
          <cell r="AA181">
            <v>3</v>
          </cell>
          <cell r="AB181"/>
          <cell r="AC181"/>
          <cell r="AD181"/>
          <cell r="AE181" t="e">
            <v>#VALUE!</v>
          </cell>
          <cell r="AF181">
            <v>15</v>
          </cell>
          <cell r="AG181" t="b">
            <v>1</v>
          </cell>
          <cell r="AH181" t="str">
            <v>BDB-000067</v>
          </cell>
          <cell r="AI181" t="b">
            <v>1</v>
          </cell>
        </row>
        <row r="182">
          <cell r="A182"/>
          <cell r="B182"/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/>
          <cell r="T182"/>
          <cell r="U182"/>
          <cell r="V182">
            <v>0</v>
          </cell>
          <cell r="W182"/>
          <cell r="X182"/>
          <cell r="Y182"/>
          <cell r="Z182"/>
          <cell r="AA182">
            <v>3</v>
          </cell>
          <cell r="AB182"/>
          <cell r="AC182"/>
          <cell r="AD182"/>
          <cell r="AE182"/>
        </row>
        <row r="183">
          <cell r="A183" t="str">
            <v>F-2026-05-84</v>
          </cell>
          <cell r="B183" t="str">
            <v>RPRO-260506-0365</v>
          </cell>
          <cell r="C183" t="str">
            <v>11/5</v>
          </cell>
          <cell r="D183" t="str">
            <v>Pro.sche.report 05.05</v>
          </cell>
          <cell r="E183" t="str">
            <v>BDB-000226</v>
          </cell>
          <cell r="F183" t="str">
            <v>PVN-003517</v>
          </cell>
          <cell r="G183" t="str">
            <v>OrthoLite Regular GREY/17-1501TPX Flat Sheet 0.16D 51+/-4 Asker C 1.1M 1.7M 12mm</v>
          </cell>
          <cell r="H183">
            <v>11</v>
          </cell>
          <cell r="I183">
            <v>2</v>
          </cell>
          <cell r="J183">
            <v>2</v>
          </cell>
          <cell r="K183" t="str">
            <v>CONVERSE</v>
          </cell>
          <cell r="L183" t="str">
            <v>Pr.Sch.R</v>
          </cell>
          <cell r="M183" t="str">
            <v>DIE CUT</v>
          </cell>
          <cell r="N183">
            <v>2</v>
          </cell>
          <cell r="O183"/>
          <cell r="P183"/>
          <cell r="Q183">
            <v>46154</v>
          </cell>
          <cell r="R183">
            <v>46156</v>
          </cell>
          <cell r="S183">
            <v>46157</v>
          </cell>
          <cell r="T183" t="str">
            <v>l1</v>
          </cell>
          <cell r="U183"/>
          <cell r="V183">
            <v>-2</v>
          </cell>
          <cell r="W183" t="b">
            <v>1</v>
          </cell>
          <cell r="X183">
            <v>0</v>
          </cell>
          <cell r="Y183">
            <v>11</v>
          </cell>
          <cell r="Z183" t="b">
            <v>0</v>
          </cell>
          <cell r="AA183">
            <v>3</v>
          </cell>
          <cell r="AB183"/>
          <cell r="AC183"/>
          <cell r="AD183"/>
          <cell r="AE183" t="e">
            <v>#VALUE!</v>
          </cell>
          <cell r="AF183">
            <v>2</v>
          </cell>
          <cell r="AG183" t="b">
            <v>1</v>
          </cell>
          <cell r="AH183" t="str">
            <v>BDB-000226</v>
          </cell>
          <cell r="AI183" t="b">
            <v>1</v>
          </cell>
        </row>
        <row r="184">
          <cell r="A184"/>
          <cell r="B184"/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>
            <v>0</v>
          </cell>
          <cell r="W184"/>
          <cell r="X184"/>
          <cell r="Y184"/>
          <cell r="Z184"/>
          <cell r="AA184">
            <v>3</v>
          </cell>
          <cell r="AB184"/>
          <cell r="AC184"/>
          <cell r="AD184"/>
          <cell r="AE184"/>
        </row>
        <row r="185">
          <cell r="A185" t="str">
            <v>F-2026-04-337</v>
          </cell>
          <cell r="B185" t="str">
            <v>RPRO-260428-1293</v>
          </cell>
          <cell r="C185" t="str">
            <v>11/5</v>
          </cell>
          <cell r="D185" t="str">
            <v>Pro.sche.report 24.4+25.4</v>
          </cell>
          <cell r="E185" t="str">
            <v>BDB-000011</v>
          </cell>
          <cell r="F185" t="str">
            <v>PVN-000121</v>
          </cell>
          <cell r="G185" t="str">
            <v>OrthoLite Regular AIR BLUE/16-4134TPX Flat Sheet 0.13D 35+/-4 Asker C 1.1M 2M 12mm</v>
          </cell>
          <cell r="H185">
            <v>214</v>
          </cell>
          <cell r="I185">
            <v>19</v>
          </cell>
          <cell r="J185">
            <v>19</v>
          </cell>
          <cell r="K185" t="str">
            <v>ASICS</v>
          </cell>
          <cell r="L185" t="str">
            <v>Pr.Sch.R</v>
          </cell>
          <cell r="M185" t="str">
            <v>MOLDED</v>
          </cell>
          <cell r="N185">
            <v>81</v>
          </cell>
          <cell r="O185"/>
          <cell r="P185" t="str">
            <v>ok</v>
          </cell>
          <cell r="Q185">
            <v>46154</v>
          </cell>
          <cell r="R185">
            <v>46156</v>
          </cell>
          <cell r="S185">
            <v>46157</v>
          </cell>
          <cell r="T185" t="str">
            <v>l1</v>
          </cell>
          <cell r="U185">
            <v>81</v>
          </cell>
          <cell r="V185">
            <v>0</v>
          </cell>
          <cell r="W185" t="b">
            <v>1</v>
          </cell>
          <cell r="X185">
            <v>0</v>
          </cell>
          <cell r="Y185">
            <v>214</v>
          </cell>
          <cell r="Z185" t="b">
            <v>0</v>
          </cell>
          <cell r="AA185">
            <v>3</v>
          </cell>
          <cell r="AB185"/>
          <cell r="AC185"/>
          <cell r="AD185"/>
          <cell r="AE185" t="e">
            <v>#VALUE!</v>
          </cell>
          <cell r="AF185">
            <v>19</v>
          </cell>
          <cell r="AG185" t="b">
            <v>1</v>
          </cell>
          <cell r="AH185" t="str">
            <v>BDB-000011</v>
          </cell>
          <cell r="AI185" t="b">
            <v>1</v>
          </cell>
        </row>
        <row r="186">
          <cell r="A186" t="str">
            <v>F-2026-03-358-2</v>
          </cell>
          <cell r="B186" t="str">
            <v>FPRO-260507-0004</v>
          </cell>
          <cell r="C186" t="str">
            <v>11/5</v>
          </cell>
          <cell r="D186" t="str">
            <v>Firm plan 18.3</v>
          </cell>
          <cell r="E186" t="str">
            <v>BDB-000011</v>
          </cell>
          <cell r="F186" t="str">
            <v>PVN-000242</v>
          </cell>
          <cell r="G186" t="str">
            <v>OrthoLite Regular AIR BLUE/16-4134TPX Flat Sheet 0.13D 35+/-4 Asker C 1.1M 2M 2mm</v>
          </cell>
          <cell r="H186">
            <v>500</v>
          </cell>
          <cell r="I186">
            <v>8</v>
          </cell>
          <cell r="J186">
            <v>8</v>
          </cell>
          <cell r="K186" t="str">
            <v>ASICS</v>
          </cell>
          <cell r="L186" t="str">
            <v>Forecast</v>
          </cell>
          <cell r="M186" t="str">
            <v>SPLITTING</v>
          </cell>
          <cell r="N186"/>
          <cell r="O186"/>
          <cell r="P186" t="str">
            <v>ok</v>
          </cell>
          <cell r="Q186">
            <v>46154</v>
          </cell>
          <cell r="R186">
            <v>46156</v>
          </cell>
          <cell r="S186">
            <v>46157</v>
          </cell>
          <cell r="T186" t="str">
            <v>l1</v>
          </cell>
          <cell r="U186"/>
          <cell r="V186">
            <v>0</v>
          </cell>
          <cell r="W186" t="b">
            <v>1</v>
          </cell>
          <cell r="X186">
            <v>0</v>
          </cell>
          <cell r="Y186">
            <v>500</v>
          </cell>
          <cell r="Z186" t="b">
            <v>0</v>
          </cell>
          <cell r="AA186">
            <v>3</v>
          </cell>
          <cell r="AB186"/>
          <cell r="AC186"/>
          <cell r="AD186"/>
          <cell r="AE186" t="e">
            <v>#VALUE!</v>
          </cell>
          <cell r="AF186">
            <v>8</v>
          </cell>
          <cell r="AG186" t="b">
            <v>1</v>
          </cell>
          <cell r="AH186" t="str">
            <v>BDB-000011</v>
          </cell>
          <cell r="AI186" t="b">
            <v>1</v>
          </cell>
        </row>
        <row r="187">
          <cell r="A187" t="str">
            <v>F-2026-03-360</v>
          </cell>
          <cell r="B187" t="str">
            <v>FPRO-260318-0004</v>
          </cell>
          <cell r="C187" t="str">
            <v>11/5</v>
          </cell>
          <cell r="D187" t="str">
            <v>Firm plan 18.3</v>
          </cell>
          <cell r="E187" t="str">
            <v>BDB-000011</v>
          </cell>
          <cell r="F187" t="str">
            <v>PVN-000242</v>
          </cell>
          <cell r="G187" t="str">
            <v>OrthoLite Regular AIR BLUE/16-4134TPX Flat Sheet 0.13D 35+/-4 Asker C 1.1M 2M 2mm</v>
          </cell>
          <cell r="H187">
            <v>500</v>
          </cell>
          <cell r="I187">
            <v>8</v>
          </cell>
          <cell r="J187">
            <v>8</v>
          </cell>
          <cell r="K187" t="str">
            <v>ASICS</v>
          </cell>
          <cell r="L187" t="str">
            <v>Forecast</v>
          </cell>
          <cell r="M187" t="str">
            <v>SPLITTING</v>
          </cell>
          <cell r="N187"/>
          <cell r="O187"/>
          <cell r="P187" t="str">
            <v>ok</v>
          </cell>
          <cell r="Q187">
            <v>46156</v>
          </cell>
          <cell r="R187">
            <v>46158</v>
          </cell>
          <cell r="S187">
            <v>46160</v>
          </cell>
          <cell r="T187" t="str">
            <v>l1</v>
          </cell>
          <cell r="U187"/>
          <cell r="V187">
            <v>0</v>
          </cell>
          <cell r="W187" t="b">
            <v>1</v>
          </cell>
          <cell r="X187">
            <v>0</v>
          </cell>
          <cell r="Y187">
            <v>500</v>
          </cell>
          <cell r="Z187" t="b">
            <v>0</v>
          </cell>
          <cell r="AA187">
            <v>3</v>
          </cell>
          <cell r="AB187"/>
          <cell r="AC187"/>
          <cell r="AD187"/>
          <cell r="AE187" t="e">
            <v>#VALUE!</v>
          </cell>
          <cell r="AF187">
            <v>8</v>
          </cell>
          <cell r="AG187" t="b">
            <v>1</v>
          </cell>
          <cell r="AH187" t="str">
            <v>BDB-000011</v>
          </cell>
          <cell r="AI187" t="b">
            <v>1</v>
          </cell>
        </row>
        <row r="188">
          <cell r="A188" t="str">
            <v>F-2026-05-88</v>
          </cell>
          <cell r="B188" t="str">
            <v>RPRO-260507-0664</v>
          </cell>
          <cell r="C188" t="str">
            <v>11/5</v>
          </cell>
          <cell r="D188" t="str">
            <v>Pro.sche.report 06.05</v>
          </cell>
          <cell r="E188" t="str">
            <v>BDB-000011</v>
          </cell>
          <cell r="F188" t="str">
            <v>PVN-000121</v>
          </cell>
          <cell r="G188" t="str">
            <v>OrthoLite Regular AIR BLUE/16-4134TPX Flat Sheet 0.13D 35+/-4 Asker C 1.1M 2M 12mm</v>
          </cell>
          <cell r="H188">
            <v>11</v>
          </cell>
          <cell r="I188">
            <v>1</v>
          </cell>
          <cell r="J188">
            <v>1</v>
          </cell>
          <cell r="K188" t="str">
            <v>ASICS</v>
          </cell>
          <cell r="L188" t="str">
            <v>Pr.Sch.R</v>
          </cell>
          <cell r="M188" t="str">
            <v>MOLDED</v>
          </cell>
          <cell r="N188"/>
          <cell r="O188"/>
          <cell r="P188" t="str">
            <v>ok</v>
          </cell>
          <cell r="Q188">
            <v>46156</v>
          </cell>
          <cell r="R188">
            <v>46158</v>
          </cell>
          <cell r="S188">
            <v>46160</v>
          </cell>
          <cell r="T188" t="str">
            <v>l1</v>
          </cell>
          <cell r="U188"/>
          <cell r="V188">
            <v>0</v>
          </cell>
          <cell r="W188" t="b">
            <v>1</v>
          </cell>
          <cell r="X188">
            <v>0</v>
          </cell>
          <cell r="Y188">
            <v>11</v>
          </cell>
          <cell r="Z188" t="b">
            <v>0</v>
          </cell>
          <cell r="AA188">
            <v>3</v>
          </cell>
          <cell r="AB188"/>
          <cell r="AC188"/>
          <cell r="AD188"/>
          <cell r="AE188" t="e">
            <v>#VALUE!</v>
          </cell>
          <cell r="AF188">
            <v>1</v>
          </cell>
          <cell r="AG188" t="b">
            <v>1</v>
          </cell>
          <cell r="AH188" t="str">
            <v>BDB-000011</v>
          </cell>
          <cell r="AI188" t="b">
            <v>1</v>
          </cell>
        </row>
        <row r="189">
          <cell r="A189" t="str">
            <v>F-2026-01-486</v>
          </cell>
          <cell r="B189" t="str">
            <v>FPRO-260130-0009</v>
          </cell>
          <cell r="C189" t="str">
            <v>11/5-12/5</v>
          </cell>
          <cell r="D189" t="str">
            <v>Firm plan 30.01</v>
          </cell>
          <cell r="E189" t="str">
            <v>BDB-000011</v>
          </cell>
          <cell r="F189" t="str">
            <v>PVN-000258</v>
          </cell>
          <cell r="G189" t="str">
            <v>OrthoLite Regular AIR BLUE/16-4134TPX Flat Sheet 0.13D 35+/-4 Asker C 1.1M 2M 2.5mm</v>
          </cell>
          <cell r="H189">
            <v>2500</v>
          </cell>
          <cell r="I189">
            <v>45</v>
          </cell>
          <cell r="J189">
            <v>45</v>
          </cell>
          <cell r="K189" t="str">
            <v>ASICS</v>
          </cell>
          <cell r="L189" t="str">
            <v>Forecast</v>
          </cell>
          <cell r="M189" t="str">
            <v>SPLITTING</v>
          </cell>
          <cell r="N189"/>
          <cell r="O189"/>
          <cell r="P189"/>
          <cell r="Q189">
            <v>46156</v>
          </cell>
          <cell r="R189">
            <v>46158</v>
          </cell>
          <cell r="S189">
            <v>46160</v>
          </cell>
          <cell r="T189" t="str">
            <v>l1</v>
          </cell>
          <cell r="U189"/>
          <cell r="V189">
            <v>0</v>
          </cell>
          <cell r="W189" t="b">
            <v>1</v>
          </cell>
          <cell r="X189">
            <v>0</v>
          </cell>
          <cell r="Y189">
            <v>2500</v>
          </cell>
          <cell r="Z189" t="b">
            <v>0</v>
          </cell>
          <cell r="AA189">
            <v>3</v>
          </cell>
          <cell r="AB189"/>
          <cell r="AC189"/>
          <cell r="AD189"/>
          <cell r="AE189" t="e">
            <v>#VALUE!</v>
          </cell>
          <cell r="AF189">
            <v>45</v>
          </cell>
          <cell r="AG189" t="b">
            <v>1</v>
          </cell>
          <cell r="AH189" t="str">
            <v>BDB-000011</v>
          </cell>
          <cell r="AI189" t="b">
            <v>1</v>
          </cell>
        </row>
        <row r="190">
          <cell r="A190"/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>
            <v>0</v>
          </cell>
          <cell r="W190"/>
          <cell r="X190"/>
          <cell r="Y190"/>
          <cell r="Z190"/>
          <cell r="AA190">
            <v>3</v>
          </cell>
          <cell r="AB190"/>
          <cell r="AC190"/>
          <cell r="AD190"/>
          <cell r="AE190"/>
        </row>
        <row r="191">
          <cell r="A191" t="str">
            <v>F-2026-05-04</v>
          </cell>
          <cell r="B191" t="str">
            <v>RPRO-260504-0916</v>
          </cell>
          <cell r="C191" t="str">
            <v>12/5</v>
          </cell>
          <cell r="D191" t="str">
            <v>MPS 29.04+02.05</v>
          </cell>
          <cell r="E191" t="str">
            <v>BDB-000058</v>
          </cell>
          <cell r="F191" t="str">
            <v>PVN-001319</v>
          </cell>
          <cell r="G191" t="str">
            <v>OrthoLite Ultra GREEN/16-5932TPX 0.085D 25+/-4 Asker C 1.1M 2M 5mm</v>
          </cell>
          <cell r="H191">
            <v>196</v>
          </cell>
          <cell r="I191">
            <v>7</v>
          </cell>
          <cell r="J191">
            <v>7</v>
          </cell>
          <cell r="K191"/>
          <cell r="L191" t="str">
            <v>MPS</v>
          </cell>
          <cell r="M191" t="str">
            <v>SPLITTING</v>
          </cell>
          <cell r="N191">
            <v>15</v>
          </cell>
          <cell r="O191"/>
          <cell r="P191" t="str">
            <v>ok</v>
          </cell>
          <cell r="Q191">
            <v>46154</v>
          </cell>
          <cell r="R191">
            <v>46156</v>
          </cell>
          <cell r="S191">
            <v>46157</v>
          </cell>
          <cell r="T191" t="str">
            <v>l1</v>
          </cell>
          <cell r="U191">
            <v>15</v>
          </cell>
          <cell r="V191">
            <v>0</v>
          </cell>
          <cell r="W191" t="b">
            <v>1</v>
          </cell>
          <cell r="X191">
            <v>0</v>
          </cell>
          <cell r="Y191">
            <v>196</v>
          </cell>
          <cell r="Z191" t="b">
            <v>0</v>
          </cell>
          <cell r="AA191">
            <v>3</v>
          </cell>
          <cell r="AB191"/>
          <cell r="AC191"/>
          <cell r="AD191"/>
          <cell r="AE191" t="e">
            <v>#VALUE!</v>
          </cell>
          <cell r="AF191">
            <v>7</v>
          </cell>
          <cell r="AG191" t="b">
            <v>1</v>
          </cell>
          <cell r="AH191" t="str">
            <v>BDB-000058</v>
          </cell>
          <cell r="AI191" t="b">
            <v>1</v>
          </cell>
        </row>
        <row r="192">
          <cell r="A192" t="str">
            <v>F-2026-05-32</v>
          </cell>
          <cell r="B192" t="str">
            <v>RPRO-260505-0671</v>
          </cell>
          <cell r="C192" t="str">
            <v>12/5</v>
          </cell>
          <cell r="D192" t="str">
            <v>MPS 04.5</v>
          </cell>
          <cell r="E192" t="str">
            <v>BDB-000058</v>
          </cell>
          <cell r="F192" t="str">
            <v>PVN-001319</v>
          </cell>
          <cell r="G192" t="str">
            <v>OrthoLite Ultra GREEN/16-5932TPX 0.085D 25+/-4 Asker C 1.1M 2M 5mm</v>
          </cell>
          <cell r="H192">
            <v>224</v>
          </cell>
          <cell r="I192">
            <v>8</v>
          </cell>
          <cell r="J192">
            <v>8</v>
          </cell>
          <cell r="K192"/>
          <cell r="L192" t="str">
            <v>MPS</v>
          </cell>
          <cell r="M192" t="str">
            <v>SPLITTING</v>
          </cell>
          <cell r="N192"/>
          <cell r="O192"/>
          <cell r="P192" t="str">
            <v>ok</v>
          </cell>
          <cell r="Q192">
            <v>46154</v>
          </cell>
          <cell r="R192">
            <v>46156</v>
          </cell>
          <cell r="S192">
            <v>46157</v>
          </cell>
          <cell r="T192" t="str">
            <v>l1</v>
          </cell>
          <cell r="U192"/>
          <cell r="V192">
            <v>0</v>
          </cell>
          <cell r="W192" t="b">
            <v>1</v>
          </cell>
          <cell r="X192">
            <v>0</v>
          </cell>
          <cell r="Y192">
            <v>224</v>
          </cell>
          <cell r="Z192" t="b">
            <v>0</v>
          </cell>
          <cell r="AA192">
            <v>3</v>
          </cell>
          <cell r="AB192"/>
          <cell r="AC192"/>
          <cell r="AD192"/>
          <cell r="AE192" t="e">
            <v>#VALUE!</v>
          </cell>
          <cell r="AF192">
            <v>8</v>
          </cell>
          <cell r="AG192" t="b">
            <v>1</v>
          </cell>
          <cell r="AH192" t="str">
            <v>BDB-000058</v>
          </cell>
          <cell r="AI192" t="b">
            <v>1</v>
          </cell>
        </row>
        <row r="193">
          <cell r="A193"/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>
            <v>0</v>
          </cell>
          <cell r="W193"/>
          <cell r="X193"/>
          <cell r="Y193"/>
          <cell r="Z193"/>
          <cell r="AA193">
            <v>3</v>
          </cell>
          <cell r="AB193"/>
          <cell r="AC193"/>
          <cell r="AD193"/>
          <cell r="AE193"/>
        </row>
        <row r="194">
          <cell r="A194" t="str">
            <v>F-2026-05-85</v>
          </cell>
          <cell r="B194" t="str">
            <v>RPRO-260506-0366</v>
          </cell>
          <cell r="C194" t="str">
            <v>12/5</v>
          </cell>
          <cell r="D194" t="str">
            <v>Pro.sche.report 05.05</v>
          </cell>
          <cell r="E194" t="str">
            <v>BDB-000158</v>
          </cell>
          <cell r="F194" t="str">
            <v>PVN-001553</v>
          </cell>
          <cell r="G194" t="str">
            <v>OrthoLite Ultra-Nike YELLOW/13-0858TPX Flat Sheet 0.085D 15+/-4 Asker C 1.1M 2M 2mm</v>
          </cell>
          <cell r="H194">
            <v>210</v>
          </cell>
          <cell r="I194">
            <v>4</v>
          </cell>
          <cell r="J194">
            <v>4</v>
          </cell>
          <cell r="K194" t="str">
            <v>NIKE</v>
          </cell>
          <cell r="L194" t="str">
            <v>Pr.Sch.R</v>
          </cell>
          <cell r="M194" t="str">
            <v>DIE CUT</v>
          </cell>
          <cell r="N194">
            <v>4</v>
          </cell>
          <cell r="O194" t="str">
            <v>ppc/pur imp-keep etd</v>
          </cell>
          <cell r="P194"/>
          <cell r="Q194">
            <v>46155</v>
          </cell>
          <cell r="R194">
            <v>46157</v>
          </cell>
          <cell r="S194">
            <v>46158</v>
          </cell>
          <cell r="T194" t="str">
            <v>l1</v>
          </cell>
          <cell r="U194"/>
          <cell r="V194">
            <v>-4</v>
          </cell>
          <cell r="W194" t="b">
            <v>1</v>
          </cell>
          <cell r="X194">
            <v>0</v>
          </cell>
          <cell r="Y194">
            <v>210</v>
          </cell>
          <cell r="Z194" t="b">
            <v>0</v>
          </cell>
          <cell r="AA194">
            <v>3</v>
          </cell>
          <cell r="AB194"/>
          <cell r="AC194"/>
          <cell r="AD194"/>
          <cell r="AE194" t="e">
            <v>#VALUE!</v>
          </cell>
          <cell r="AF194">
            <v>4</v>
          </cell>
          <cell r="AG194" t="b">
            <v>1</v>
          </cell>
          <cell r="AH194" t="str">
            <v>BDB-000158</v>
          </cell>
          <cell r="AI194" t="b">
            <v>1</v>
          </cell>
        </row>
        <row r="195">
          <cell r="A195"/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>
            <v>0</v>
          </cell>
          <cell r="W195"/>
          <cell r="X195"/>
          <cell r="Y195"/>
          <cell r="Z195"/>
          <cell r="AA195">
            <v>3</v>
          </cell>
          <cell r="AB195"/>
          <cell r="AC195"/>
          <cell r="AD195"/>
          <cell r="AE195"/>
        </row>
        <row r="196">
          <cell r="A196" t="str">
            <v>F-2026-03-475</v>
          </cell>
          <cell r="B196" t="str">
            <v>FPRO-260324-0047</v>
          </cell>
          <cell r="C196" t="str">
            <v>12/5</v>
          </cell>
          <cell r="D196" t="str">
            <v>Firm plan 24.3</v>
          </cell>
          <cell r="E196" t="str">
            <v>BDB-000131</v>
          </cell>
          <cell r="F196" t="str">
            <v>PVN-001565</v>
          </cell>
          <cell r="G196" t="str">
            <v>OrthoLite Regular-Nike AIR BLUE/16-4134TPX 0.11D 15+/-4 Asker C 1.1M 2M 4mm</v>
          </cell>
          <cell r="H196">
            <v>1000</v>
          </cell>
          <cell r="I196">
            <v>29</v>
          </cell>
          <cell r="J196">
            <v>29</v>
          </cell>
          <cell r="K196" t="str">
            <v>NIKE</v>
          </cell>
          <cell r="L196" t="str">
            <v>Forecast</v>
          </cell>
          <cell r="M196" t="str">
            <v>DIE CUT</v>
          </cell>
          <cell r="N196">
            <v>29</v>
          </cell>
          <cell r="O196"/>
          <cell r="P196"/>
          <cell r="Q196">
            <v>46155</v>
          </cell>
          <cell r="R196">
            <v>46157</v>
          </cell>
          <cell r="S196">
            <v>46158</v>
          </cell>
          <cell r="T196" t="str">
            <v>l1</v>
          </cell>
          <cell r="U196">
            <v>23</v>
          </cell>
          <cell r="V196">
            <v>-6</v>
          </cell>
          <cell r="W196" t="b">
            <v>1</v>
          </cell>
          <cell r="X196">
            <v>0</v>
          </cell>
          <cell r="Y196">
            <v>1000</v>
          </cell>
          <cell r="Z196" t="b">
            <v>0</v>
          </cell>
          <cell r="AA196">
            <v>3</v>
          </cell>
          <cell r="AB196"/>
          <cell r="AC196"/>
          <cell r="AD196"/>
          <cell r="AE196" t="e">
            <v>#VALUE!</v>
          </cell>
          <cell r="AF196">
            <v>29</v>
          </cell>
          <cell r="AG196" t="b">
            <v>1</v>
          </cell>
          <cell r="AH196" t="str">
            <v>BDB-000131</v>
          </cell>
          <cell r="AI196" t="b">
            <v>1</v>
          </cell>
        </row>
        <row r="197">
          <cell r="A197"/>
          <cell r="B197"/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>
            <v>0</v>
          </cell>
          <cell r="W197"/>
          <cell r="X197"/>
          <cell r="Y197"/>
          <cell r="Z197"/>
          <cell r="AA197">
            <v>3</v>
          </cell>
          <cell r="AB197"/>
          <cell r="AC197"/>
          <cell r="AD197"/>
          <cell r="AE197"/>
        </row>
        <row r="198">
          <cell r="A198" t="str">
            <v>F-2026-03-491-1</v>
          </cell>
          <cell r="B198" t="str">
            <v>FPRO-260324-0063</v>
          </cell>
          <cell r="C198" t="str">
            <v>12/5</v>
          </cell>
          <cell r="D198" t="str">
            <v>Firm plan 24.3</v>
          </cell>
          <cell r="E198" t="str">
            <v>BDB-000125</v>
          </cell>
          <cell r="F198" t="str">
            <v>PVN-001579</v>
          </cell>
          <cell r="G198" t="str">
            <v>OrthoLite Regular-Nike AIR BLUE/16-4134TPX Flat Sheet 0.11D 25+/-4 Asker C 1.1M 2M 4mm</v>
          </cell>
          <cell r="H198">
            <v>750</v>
          </cell>
          <cell r="I198">
            <v>22</v>
          </cell>
          <cell r="J198">
            <v>22</v>
          </cell>
          <cell r="K198" t="str">
            <v>NIKE</v>
          </cell>
          <cell r="L198" t="str">
            <v>Forecast</v>
          </cell>
          <cell r="M198" t="str">
            <v>DIE CUT</v>
          </cell>
          <cell r="N198">
            <v>182</v>
          </cell>
          <cell r="O198"/>
          <cell r="P198" t="str">
            <v>ok</v>
          </cell>
          <cell r="Q198">
            <v>46155</v>
          </cell>
          <cell r="R198">
            <v>46157</v>
          </cell>
          <cell r="S198">
            <v>46158</v>
          </cell>
          <cell r="T198" t="str">
            <v>l1</v>
          </cell>
          <cell r="U198">
            <v>186</v>
          </cell>
          <cell r="V198">
            <v>4</v>
          </cell>
          <cell r="W198" t="b">
            <v>1</v>
          </cell>
          <cell r="X198">
            <v>0</v>
          </cell>
          <cell r="Y198">
            <v>750</v>
          </cell>
          <cell r="Z198" t="b">
            <v>0</v>
          </cell>
          <cell r="AA198">
            <v>3</v>
          </cell>
          <cell r="AB198"/>
          <cell r="AC198"/>
          <cell r="AD198"/>
          <cell r="AE198" t="e">
            <v>#VALUE!</v>
          </cell>
          <cell r="AF198">
            <v>22</v>
          </cell>
          <cell r="AG198" t="b">
            <v>1</v>
          </cell>
          <cell r="AH198" t="str">
            <v>BDB-000125</v>
          </cell>
          <cell r="AI198" t="b">
            <v>1</v>
          </cell>
        </row>
        <row r="199">
          <cell r="A199" t="str">
            <v>F-2026-03-447</v>
          </cell>
          <cell r="B199" t="str">
            <v>FPRO-260324-0019</v>
          </cell>
          <cell r="C199" t="str">
            <v>12/5</v>
          </cell>
          <cell r="D199" t="str">
            <v>Firm plan 24.3</v>
          </cell>
          <cell r="E199" t="str">
            <v>BDB-000125</v>
          </cell>
          <cell r="F199" t="str">
            <v>PVN-002413</v>
          </cell>
          <cell r="G199" t="str">
            <v>OrthoLite Regular-Nike AIR BLUE/16-4134TPX 0.11D 25+/-4 Asker C 1.1M 2M 4.2mm</v>
          </cell>
          <cell r="H199">
            <v>2500</v>
          </cell>
          <cell r="I199">
            <v>76</v>
          </cell>
          <cell r="J199">
            <v>76</v>
          </cell>
          <cell r="K199" t="str">
            <v>NIKE</v>
          </cell>
          <cell r="L199" t="str">
            <v>Forecast</v>
          </cell>
          <cell r="M199" t="str">
            <v>DIE CUT</v>
          </cell>
          <cell r="N199"/>
          <cell r="O199"/>
          <cell r="P199"/>
          <cell r="Q199">
            <v>46156</v>
          </cell>
          <cell r="R199">
            <v>46158</v>
          </cell>
          <cell r="S199">
            <v>46160</v>
          </cell>
          <cell r="T199" t="str">
            <v>l1</v>
          </cell>
          <cell r="U199"/>
          <cell r="V199">
            <v>0</v>
          </cell>
          <cell r="W199" t="b">
            <v>1</v>
          </cell>
          <cell r="X199">
            <v>0</v>
          </cell>
          <cell r="Y199">
            <v>2500</v>
          </cell>
          <cell r="Z199" t="b">
            <v>0</v>
          </cell>
          <cell r="AA199">
            <v>3</v>
          </cell>
          <cell r="AB199"/>
          <cell r="AC199"/>
          <cell r="AD199"/>
          <cell r="AE199" t="e">
            <v>#VALUE!</v>
          </cell>
          <cell r="AF199">
            <v>76</v>
          </cell>
          <cell r="AG199" t="b">
            <v>1</v>
          </cell>
          <cell r="AH199" t="str">
            <v>BDB-000125</v>
          </cell>
          <cell r="AI199" t="b">
            <v>1</v>
          </cell>
        </row>
        <row r="200">
          <cell r="A200" t="str">
            <v>F-2026-03-450</v>
          </cell>
          <cell r="B200" t="str">
            <v>FPRO-260324-0022</v>
          </cell>
          <cell r="C200" t="str">
            <v>12/5-13/5</v>
          </cell>
          <cell r="D200" t="str">
            <v>Firm plan 24.3</v>
          </cell>
          <cell r="E200" t="str">
            <v>BDB-000125</v>
          </cell>
          <cell r="F200" t="str">
            <v>PVN-002413</v>
          </cell>
          <cell r="G200" t="str">
            <v>OrthoLite Regular-Nike AIR BLUE/16-4134TPX 0.11D 25+/-4 Asker C 1.1M 2M 4.2mm</v>
          </cell>
          <cell r="H200">
            <v>2500</v>
          </cell>
          <cell r="I200">
            <v>76</v>
          </cell>
          <cell r="J200">
            <v>76</v>
          </cell>
          <cell r="K200" t="str">
            <v>NIKE</v>
          </cell>
          <cell r="L200" t="str">
            <v>Forecast</v>
          </cell>
          <cell r="M200" t="str">
            <v>DIE CUT</v>
          </cell>
          <cell r="N200"/>
          <cell r="O200"/>
          <cell r="P200"/>
          <cell r="Q200">
            <v>46156</v>
          </cell>
          <cell r="R200">
            <v>46158</v>
          </cell>
          <cell r="S200">
            <v>46160</v>
          </cell>
          <cell r="T200" t="str">
            <v>l1</v>
          </cell>
          <cell r="U200"/>
          <cell r="V200">
            <v>0</v>
          </cell>
          <cell r="W200" t="b">
            <v>1</v>
          </cell>
          <cell r="X200">
            <v>0</v>
          </cell>
          <cell r="Y200">
            <v>2500</v>
          </cell>
          <cell r="Z200" t="b">
            <v>0</v>
          </cell>
          <cell r="AA200">
            <v>3</v>
          </cell>
          <cell r="AB200"/>
          <cell r="AC200"/>
          <cell r="AD200"/>
          <cell r="AE200" t="e">
            <v>#VALUE!</v>
          </cell>
          <cell r="AF200">
            <v>76</v>
          </cell>
          <cell r="AG200" t="b">
            <v>1</v>
          </cell>
          <cell r="AH200" t="str">
            <v>BDB-000125</v>
          </cell>
          <cell r="AI200" t="b">
            <v>1</v>
          </cell>
        </row>
        <row r="201">
          <cell r="A201" t="str">
            <v>F-2026-05-86</v>
          </cell>
          <cell r="B201" t="str">
            <v>RPRO-260507-0662</v>
          </cell>
          <cell r="C201" t="str">
            <v>13/5</v>
          </cell>
          <cell r="D201" t="str">
            <v>MPS 06.05</v>
          </cell>
          <cell r="E201" t="str">
            <v>BDB-000125</v>
          </cell>
          <cell r="F201" t="str">
            <v>PVN-001662</v>
          </cell>
          <cell r="G201" t="str">
            <v>OrthoLite Regular-Nike AIR BLUE/16-4134TPX Flat Sheet 0.11D 25+/-4 Asker C 1.1M 2M 4.5mm</v>
          </cell>
          <cell r="H201">
            <v>217</v>
          </cell>
          <cell r="I201">
            <v>8</v>
          </cell>
          <cell r="J201">
            <v>8</v>
          </cell>
          <cell r="K201"/>
          <cell r="L201" t="str">
            <v>MPS</v>
          </cell>
          <cell r="M201" t="str">
            <v>SPLITTING</v>
          </cell>
          <cell r="N201"/>
          <cell r="O201" t="str">
            <v>ppc/pur imp-đã nhắc sx</v>
          </cell>
          <cell r="P201"/>
          <cell r="Q201">
            <v>46156</v>
          </cell>
          <cell r="R201">
            <v>46159</v>
          </cell>
          <cell r="S201">
            <v>46160</v>
          </cell>
          <cell r="T201" t="str">
            <v>l1</v>
          </cell>
          <cell r="U201"/>
          <cell r="V201">
            <v>0</v>
          </cell>
          <cell r="W201" t="b">
            <v>1</v>
          </cell>
          <cell r="X201">
            <v>0</v>
          </cell>
          <cell r="Y201">
            <v>217</v>
          </cell>
          <cell r="Z201" t="b">
            <v>1</v>
          </cell>
          <cell r="AA201">
            <v>3</v>
          </cell>
          <cell r="AB201"/>
          <cell r="AC201"/>
          <cell r="AD201"/>
          <cell r="AE201" t="e">
            <v>#VALUE!</v>
          </cell>
          <cell r="AF201">
            <v>8</v>
          </cell>
          <cell r="AG201" t="b">
            <v>1</v>
          </cell>
          <cell r="AH201" t="str">
            <v>BDB-000125</v>
          </cell>
          <cell r="AI201" t="b">
            <v>1</v>
          </cell>
        </row>
        <row r="202">
          <cell r="A202"/>
          <cell r="B202"/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>
            <v>0</v>
          </cell>
          <cell r="W202"/>
          <cell r="X202"/>
          <cell r="Y202"/>
          <cell r="Z202"/>
          <cell r="AA202">
            <v>3</v>
          </cell>
          <cell r="AB202"/>
          <cell r="AC202"/>
          <cell r="AD202"/>
          <cell r="AE202"/>
        </row>
        <row r="203">
          <cell r="A203" t="str">
            <v>F-2026-02-295</v>
          </cell>
          <cell r="B203" t="str">
            <v>FPRO-260212-0046</v>
          </cell>
          <cell r="C203" t="str">
            <v>13/5</v>
          </cell>
          <cell r="D203" t="str">
            <v>Firm plan 12.02</v>
          </cell>
          <cell r="E203" t="str">
            <v>BDB-000164</v>
          </cell>
          <cell r="F203" t="str">
            <v>PVN-001618</v>
          </cell>
          <cell r="G203" t="str">
            <v>OrthoLite Ultra-Nike GREY/17-1501TPX 0.085D 25+/-4 Asker C 1.1M 2M 4mm</v>
          </cell>
          <cell r="H203">
            <v>500</v>
          </cell>
          <cell r="I203">
            <v>15</v>
          </cell>
          <cell r="J203">
            <v>15</v>
          </cell>
          <cell r="K203" t="str">
            <v>NIKE</v>
          </cell>
          <cell r="L203" t="str">
            <v>Forecast</v>
          </cell>
          <cell r="M203" t="str">
            <v>DIE CUT</v>
          </cell>
          <cell r="N203">
            <v>0</v>
          </cell>
          <cell r="O203" t="str">
            <v xml:space="preserve">W19 đổ dư 15 bun </v>
          </cell>
          <cell r="P203"/>
          <cell r="Q203">
            <v>46156</v>
          </cell>
          <cell r="R203">
            <v>46158</v>
          </cell>
          <cell r="S203">
            <v>46160</v>
          </cell>
          <cell r="T203" t="str">
            <v>l1</v>
          </cell>
          <cell r="U203"/>
          <cell r="V203">
            <v>0</v>
          </cell>
          <cell r="W203" t="b">
            <v>1</v>
          </cell>
          <cell r="X203">
            <v>0</v>
          </cell>
          <cell r="Y203">
            <v>500</v>
          </cell>
          <cell r="Z203" t="b">
            <v>0</v>
          </cell>
          <cell r="AA203">
            <v>3</v>
          </cell>
          <cell r="AB203"/>
          <cell r="AC203"/>
          <cell r="AD203"/>
          <cell r="AE203" t="e">
            <v>#VALUE!</v>
          </cell>
          <cell r="AF203">
            <v>15</v>
          </cell>
          <cell r="AG203" t="b">
            <v>1</v>
          </cell>
          <cell r="AH203" t="str">
            <v>BDB-000164</v>
          </cell>
          <cell r="AI203" t="b">
            <v>1</v>
          </cell>
        </row>
        <row r="204">
          <cell r="A204"/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>
            <v>0</v>
          </cell>
          <cell r="W204"/>
          <cell r="X204"/>
          <cell r="Y204"/>
          <cell r="Z204"/>
          <cell r="AA204">
            <v>3</v>
          </cell>
          <cell r="AB204"/>
          <cell r="AC204"/>
          <cell r="AD204"/>
          <cell r="AE204"/>
        </row>
        <row r="205">
          <cell r="A205" t="str">
            <v>F-2026-01-394-2-2</v>
          </cell>
          <cell r="B205" t="str">
            <v>FPRO-260406-0014</v>
          </cell>
          <cell r="C205" t="str">
            <v>13/5</v>
          </cell>
          <cell r="D205" t="str">
            <v>Firm plan 28.01</v>
          </cell>
          <cell r="E205" t="str">
            <v>BDB-000160</v>
          </cell>
          <cell r="F205" t="str">
            <v>PVN-001562</v>
          </cell>
          <cell r="G205" t="str">
            <v>OrthoLite Ultra-Nike LIME GREEN/14-0452TPX 0.085D 25+/-4 Asker C 1.1M 2M 4mm</v>
          </cell>
          <cell r="H205">
            <v>1000</v>
          </cell>
          <cell r="I205">
            <v>29</v>
          </cell>
          <cell r="J205">
            <v>29</v>
          </cell>
          <cell r="K205" t="str">
            <v>NIKE</v>
          </cell>
          <cell r="L205" t="str">
            <v>Forecast</v>
          </cell>
          <cell r="M205" t="str">
            <v>DIE CUT</v>
          </cell>
          <cell r="N205">
            <v>29</v>
          </cell>
          <cell r="O205"/>
          <cell r="P205"/>
          <cell r="Q205">
            <v>46156</v>
          </cell>
          <cell r="R205">
            <v>46158</v>
          </cell>
          <cell r="S205">
            <v>46160</v>
          </cell>
          <cell r="T205" t="str">
            <v>l1</v>
          </cell>
          <cell r="U205"/>
          <cell r="V205">
            <v>-29</v>
          </cell>
          <cell r="W205" t="b">
            <v>1</v>
          </cell>
          <cell r="X205">
            <v>0</v>
          </cell>
          <cell r="Y205">
            <v>1000</v>
          </cell>
          <cell r="Z205" t="b">
            <v>0</v>
          </cell>
          <cell r="AA205">
            <v>3</v>
          </cell>
          <cell r="AB205"/>
          <cell r="AC205"/>
          <cell r="AD205"/>
          <cell r="AE205" t="e">
            <v>#VALUE!</v>
          </cell>
          <cell r="AF205">
            <v>29</v>
          </cell>
          <cell r="AG205" t="b">
            <v>1</v>
          </cell>
          <cell r="AH205" t="str">
            <v>BDB-000160</v>
          </cell>
          <cell r="AI205" t="b">
            <v>1</v>
          </cell>
        </row>
        <row r="206">
          <cell r="A206"/>
          <cell r="B206"/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>
            <v>0</v>
          </cell>
          <cell r="W206"/>
          <cell r="X206"/>
          <cell r="Y206"/>
          <cell r="Z206"/>
          <cell r="AA206">
            <v>3</v>
          </cell>
          <cell r="AB206"/>
          <cell r="AC206"/>
          <cell r="AD206"/>
          <cell r="AE206"/>
        </row>
        <row r="207">
          <cell r="A207" t="str">
            <v>F-2026-04-344</v>
          </cell>
          <cell r="B207" t="str">
            <v>RPRO-260428-1300</v>
          </cell>
          <cell r="C207" t="str">
            <v>13/5</v>
          </cell>
          <cell r="D207" t="str">
            <v>Pro.sche.report 24.4+25.4</v>
          </cell>
          <cell r="E207" t="str">
            <v>BDB-000008</v>
          </cell>
          <cell r="F207" t="str">
            <v>PVN-000412</v>
          </cell>
          <cell r="G207" t="str">
            <v>OrthoLite Regular LIME GREEN/14-0452TPX Flat Sheet 0.11D 25+/-4 Asker C 1.1M 2M 5mm</v>
          </cell>
          <cell r="H207">
            <v>84</v>
          </cell>
          <cell r="I207">
            <v>3</v>
          </cell>
          <cell r="J207">
            <v>3</v>
          </cell>
          <cell r="K207" t="str">
            <v>ASICS</v>
          </cell>
          <cell r="L207" t="str">
            <v>Pr.Sch.R</v>
          </cell>
          <cell r="M207" t="str">
            <v>DIE CUT</v>
          </cell>
          <cell r="N207">
            <v>15</v>
          </cell>
          <cell r="O207"/>
          <cell r="P207"/>
          <cell r="Q207">
            <v>46156</v>
          </cell>
          <cell r="R207">
            <v>46158</v>
          </cell>
          <cell r="S207">
            <v>46160</v>
          </cell>
          <cell r="T207" t="str">
            <v>l1</v>
          </cell>
          <cell r="U207">
            <v>2</v>
          </cell>
          <cell r="V207">
            <v>-13</v>
          </cell>
          <cell r="W207" t="b">
            <v>1</v>
          </cell>
          <cell r="X207">
            <v>0</v>
          </cell>
          <cell r="Y207">
            <v>84</v>
          </cell>
          <cell r="Z207" t="b">
            <v>1</v>
          </cell>
          <cell r="AA207">
            <v>3</v>
          </cell>
          <cell r="AB207"/>
          <cell r="AC207"/>
          <cell r="AD207"/>
          <cell r="AE207" t="e">
            <v>#VALUE!</v>
          </cell>
          <cell r="AF207">
            <v>3</v>
          </cell>
          <cell r="AG207" t="b">
            <v>1</v>
          </cell>
          <cell r="AH207" t="str">
            <v>BDB-000008</v>
          </cell>
          <cell r="AI207" t="b">
            <v>1</v>
          </cell>
        </row>
        <row r="208">
          <cell r="A208" t="str">
            <v>F-2026-05-89</v>
          </cell>
          <cell r="B208" t="str">
            <v>RPRO-260507-0665</v>
          </cell>
          <cell r="C208" t="str">
            <v>13/5</v>
          </cell>
          <cell r="D208" t="str">
            <v>Pro.sche.report 06.05</v>
          </cell>
          <cell r="E208" t="str">
            <v>BDB-000008</v>
          </cell>
          <cell r="F208" t="str">
            <v>PVN-000505</v>
          </cell>
          <cell r="G208" t="str">
            <v>OrthoLite Regular LIME GREEN/14-0452TPX Flat Sheet 0.11D 25+/-4 Asker C 1.1M 2M 12mm</v>
          </cell>
          <cell r="H208">
            <v>132</v>
          </cell>
          <cell r="I208">
            <v>12</v>
          </cell>
          <cell r="J208">
            <v>12</v>
          </cell>
          <cell r="K208" t="str">
            <v>ASICS</v>
          </cell>
          <cell r="L208" t="str">
            <v>Pr.Sch.R</v>
          </cell>
          <cell r="M208" t="str">
            <v>MOLDED</v>
          </cell>
          <cell r="N208"/>
          <cell r="O208"/>
          <cell r="P208"/>
          <cell r="Q208">
            <v>46156</v>
          </cell>
          <cell r="R208">
            <v>46158</v>
          </cell>
          <cell r="S208">
            <v>46160</v>
          </cell>
          <cell r="T208" t="str">
            <v>l1</v>
          </cell>
          <cell r="U208"/>
          <cell r="V208">
            <v>0</v>
          </cell>
          <cell r="W208" t="b">
            <v>1</v>
          </cell>
          <cell r="X208">
            <v>0</v>
          </cell>
          <cell r="Y208">
            <v>132</v>
          </cell>
          <cell r="Z208" t="b">
            <v>0</v>
          </cell>
          <cell r="AA208">
            <v>3</v>
          </cell>
          <cell r="AB208"/>
          <cell r="AC208"/>
          <cell r="AD208"/>
          <cell r="AE208" t="e">
            <v>#VALUE!</v>
          </cell>
          <cell r="AF208">
            <v>12</v>
          </cell>
          <cell r="AG208" t="b">
            <v>1</v>
          </cell>
          <cell r="AH208" t="str">
            <v>BDB-000008</v>
          </cell>
          <cell r="AI208" t="b">
            <v>1</v>
          </cell>
        </row>
        <row r="209">
          <cell r="A209"/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>
            <v>0</v>
          </cell>
          <cell r="W209"/>
          <cell r="X209"/>
          <cell r="Y209"/>
          <cell r="Z209"/>
          <cell r="AA209">
            <v>3</v>
          </cell>
          <cell r="AB209"/>
          <cell r="AC209"/>
          <cell r="AD209"/>
          <cell r="AE209"/>
        </row>
        <row r="210">
          <cell r="A210" t="str">
            <v>F-2026-04-274</v>
          </cell>
          <cell r="B210" t="str">
            <v>FPRO-260418-0004</v>
          </cell>
          <cell r="C210" t="str">
            <v>13/5</v>
          </cell>
          <cell r="D210" t="str">
            <v>Firm plan 20.04</v>
          </cell>
          <cell r="E210" t="str">
            <v>BDB-000181</v>
          </cell>
          <cell r="F210" t="str">
            <v>PVN-003238</v>
          </cell>
          <cell r="G210" t="str">
            <v>OrthoLite Eco LT-Hybrid-Converse SEEDPEARL/12-0703TPX Hybrid 0.11D 25+/-4 Asker C 1.1M 2M 5mm</v>
          </cell>
          <cell r="H210">
            <v>2209</v>
          </cell>
          <cell r="I210">
            <v>79</v>
          </cell>
          <cell r="J210">
            <v>79</v>
          </cell>
          <cell r="K210" t="str">
            <v>CONVERSE</v>
          </cell>
          <cell r="L210" t="str">
            <v>Forecast</v>
          </cell>
          <cell r="M210" t="str">
            <v>SPLITTING</v>
          </cell>
          <cell r="N210">
            <v>93</v>
          </cell>
          <cell r="O210"/>
          <cell r="P210"/>
          <cell r="Q210">
            <v>46156</v>
          </cell>
          <cell r="R210">
            <v>46158</v>
          </cell>
          <cell r="S210">
            <v>46160</v>
          </cell>
          <cell r="T210" t="str">
            <v>l1</v>
          </cell>
          <cell r="U210"/>
          <cell r="V210">
            <v>-93</v>
          </cell>
          <cell r="W210" t="b">
            <v>1</v>
          </cell>
          <cell r="X210">
            <v>0</v>
          </cell>
          <cell r="Y210">
            <v>2209</v>
          </cell>
          <cell r="Z210" t="b">
            <v>0</v>
          </cell>
          <cell r="AA210">
            <v>3</v>
          </cell>
          <cell r="AB210"/>
          <cell r="AC210"/>
          <cell r="AD210"/>
          <cell r="AE210" t="e">
            <v>#VALUE!</v>
          </cell>
          <cell r="AF210">
            <v>79</v>
          </cell>
          <cell r="AG210" t="b">
            <v>1</v>
          </cell>
          <cell r="AH210" t="str">
            <v>BDB-000181</v>
          </cell>
          <cell r="AI210" t="b">
            <v>1</v>
          </cell>
        </row>
        <row r="211">
          <cell r="A211" t="str">
            <v>F-2026-04-351</v>
          </cell>
          <cell r="B211" t="str">
            <v>RPRO-260428-1307</v>
          </cell>
          <cell r="C211" t="str">
            <v>13/5</v>
          </cell>
          <cell r="D211" t="str">
            <v>Pro.sche.report 24.4+25.4</v>
          </cell>
          <cell r="E211" t="str">
            <v>BDB-000181</v>
          </cell>
          <cell r="F211" t="str">
            <v>PVN-003238</v>
          </cell>
          <cell r="G211" t="str">
            <v>OrthoLite Eco LT-Hybrid-Converse SEEDPEARL/12-0703TPX Hybrid Flat Sheet 0.11D 25+/-4 Asker C 1.1M 2M 5mm</v>
          </cell>
          <cell r="H211">
            <v>140</v>
          </cell>
          <cell r="I211">
            <v>5</v>
          </cell>
          <cell r="J211">
            <v>5</v>
          </cell>
          <cell r="K211" t="str">
            <v>CONVERSE</v>
          </cell>
          <cell r="L211" t="str">
            <v>Pr.Sch.R</v>
          </cell>
          <cell r="M211" t="str">
            <v>DIE CUT</v>
          </cell>
          <cell r="N211"/>
          <cell r="O211"/>
          <cell r="P211"/>
          <cell r="Q211">
            <v>46156</v>
          </cell>
          <cell r="R211">
            <v>46158</v>
          </cell>
          <cell r="S211">
            <v>46160</v>
          </cell>
          <cell r="T211" t="str">
            <v>l1</v>
          </cell>
          <cell r="U211"/>
          <cell r="V211">
            <v>0</v>
          </cell>
          <cell r="W211" t="b">
            <v>1</v>
          </cell>
          <cell r="X211">
            <v>0</v>
          </cell>
          <cell r="Y211">
            <v>140</v>
          </cell>
          <cell r="Z211" t="b">
            <v>1</v>
          </cell>
          <cell r="AA211">
            <v>3</v>
          </cell>
          <cell r="AB211"/>
          <cell r="AC211"/>
          <cell r="AD211"/>
          <cell r="AE211" t="e">
            <v>#VALUE!</v>
          </cell>
          <cell r="AF211">
            <v>5</v>
          </cell>
          <cell r="AG211" t="b">
            <v>1</v>
          </cell>
          <cell r="AH211" t="str">
            <v>BDB-000181</v>
          </cell>
          <cell r="AI211" t="b">
            <v>1</v>
          </cell>
        </row>
        <row r="212">
          <cell r="A212" t="str">
            <v>F-2026-05-83</v>
          </cell>
          <cell r="B212" t="str">
            <v>RPRO-260506-0364</v>
          </cell>
          <cell r="C212" t="str">
            <v>13/5</v>
          </cell>
          <cell r="D212" t="str">
            <v>Pro.sche.report 05.05</v>
          </cell>
          <cell r="E212" t="str">
            <v>BDB-000181</v>
          </cell>
          <cell r="F212" t="str">
            <v>PVN-003238</v>
          </cell>
          <cell r="G212" t="str">
            <v>OrthoLite Eco LT-Hybrid-Converse SEEDPEARL/12-0703TPX Hybrid Flat Sheet 0.11D 25+/-4 Asker C 1.1M 2M 5mm</v>
          </cell>
          <cell r="H212">
            <v>252</v>
          </cell>
          <cell r="I212">
            <v>9</v>
          </cell>
          <cell r="J212">
            <v>9</v>
          </cell>
          <cell r="K212" t="str">
            <v>CONVERSE</v>
          </cell>
          <cell r="L212" t="str">
            <v>Pr.Sch.R</v>
          </cell>
          <cell r="M212" t="str">
            <v>DIE CUT</v>
          </cell>
          <cell r="N212"/>
          <cell r="O212"/>
          <cell r="P212"/>
          <cell r="Q212">
            <v>46160</v>
          </cell>
          <cell r="R212">
            <v>46162</v>
          </cell>
          <cell r="S212">
            <v>46163</v>
          </cell>
          <cell r="T212" t="str">
            <v>l1</v>
          </cell>
          <cell r="U212"/>
          <cell r="V212">
            <v>0</v>
          </cell>
          <cell r="W212" t="b">
            <v>1</v>
          </cell>
          <cell r="X212">
            <v>0</v>
          </cell>
          <cell r="Y212">
            <v>252</v>
          </cell>
          <cell r="Z212" t="b">
            <v>1</v>
          </cell>
          <cell r="AA212">
            <v>3</v>
          </cell>
          <cell r="AB212"/>
          <cell r="AC212"/>
          <cell r="AD212"/>
          <cell r="AE212" t="e">
            <v>#VALUE!</v>
          </cell>
          <cell r="AF212">
            <v>9</v>
          </cell>
          <cell r="AG212" t="b">
            <v>1</v>
          </cell>
          <cell r="AH212" t="str">
            <v>BDB-000181</v>
          </cell>
          <cell r="AI212" t="b">
            <v>1</v>
          </cell>
        </row>
        <row r="213">
          <cell r="A213"/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>
            <v>0</v>
          </cell>
          <cell r="W213"/>
          <cell r="X213"/>
          <cell r="Y213"/>
          <cell r="Z213"/>
          <cell r="AA213">
            <v>3</v>
          </cell>
          <cell r="AB213"/>
          <cell r="AC213"/>
          <cell r="AD213"/>
          <cell r="AE213"/>
        </row>
        <row r="214">
          <cell r="A214" t="str">
            <v>F-2026-05-48</v>
          </cell>
          <cell r="B214" t="str">
            <v>RPRO-260505-0688</v>
          </cell>
          <cell r="C214" t="str">
            <v>13/5</v>
          </cell>
          <cell r="D214" t="str">
            <v>Pro.sche.report 04.5</v>
          </cell>
          <cell r="E214" t="str">
            <v>BDB-000004</v>
          </cell>
          <cell r="F214" t="str">
            <v>PVN-003842</v>
          </cell>
          <cell r="G214" t="str">
            <v>OrthoLite Regular GREY/17-1501TPX Flat Sheet 0.11D 25+/-4 Asker C 1.1M 2M 7.5mm</v>
          </cell>
          <cell r="H214">
            <v>18</v>
          </cell>
          <cell r="I214">
            <v>2</v>
          </cell>
          <cell r="J214">
            <v>2</v>
          </cell>
          <cell r="K214" t="str">
            <v>VIOLET</v>
          </cell>
          <cell r="L214" t="str">
            <v>Pr.Sch.R</v>
          </cell>
          <cell r="M214" t="str">
            <v>MOLDED</v>
          </cell>
          <cell r="N214">
            <v>2</v>
          </cell>
          <cell r="O214"/>
          <cell r="P214"/>
          <cell r="Q214">
            <v>46158</v>
          </cell>
          <cell r="R214">
            <v>46161</v>
          </cell>
          <cell r="S214">
            <v>46162</v>
          </cell>
          <cell r="T214" t="str">
            <v>l1</v>
          </cell>
          <cell r="U214"/>
          <cell r="V214">
            <v>-2</v>
          </cell>
          <cell r="W214" t="b">
            <v>1</v>
          </cell>
          <cell r="X214">
            <v>0</v>
          </cell>
          <cell r="Y214">
            <v>18</v>
          </cell>
          <cell r="Z214" t="b">
            <v>1</v>
          </cell>
          <cell r="AA214">
            <v>3</v>
          </cell>
          <cell r="AB214"/>
          <cell r="AC214"/>
          <cell r="AD214"/>
          <cell r="AE214" t="e">
            <v>#VALUE!</v>
          </cell>
          <cell r="AF214">
            <v>2</v>
          </cell>
          <cell r="AG214" t="b">
            <v>1</v>
          </cell>
          <cell r="AH214" t="str">
            <v>BDB-000004</v>
          </cell>
          <cell r="AI214" t="b">
            <v>1</v>
          </cell>
        </row>
        <row r="215">
          <cell r="A215"/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>
            <v>0</v>
          </cell>
          <cell r="W215"/>
          <cell r="X215"/>
          <cell r="Y215"/>
          <cell r="Z215"/>
          <cell r="AA215">
            <v>3</v>
          </cell>
          <cell r="AB215"/>
          <cell r="AC215"/>
          <cell r="AD215"/>
          <cell r="AE215"/>
        </row>
        <row r="216">
          <cell r="A216" t="str">
            <v>F-2026-04-357</v>
          </cell>
          <cell r="B216" t="str">
            <v>RPRO-260429-0445</v>
          </cell>
          <cell r="C216" t="str">
            <v>13/5</v>
          </cell>
          <cell r="D216" t="str">
            <v>MPS 28.04</v>
          </cell>
          <cell r="E216" t="str">
            <v>BDB-000085</v>
          </cell>
          <cell r="F216" t="str">
            <v>PVN-001091</v>
          </cell>
          <cell r="G216" t="str">
            <v>OrthoLite Eco LT GREY/17-1501TPX Flat Sheet 0.11D 25+/-4 Asker C 1.1M 2M 4mm</v>
          </cell>
          <cell r="H216">
            <v>35</v>
          </cell>
          <cell r="I216">
            <v>1</v>
          </cell>
          <cell r="J216">
            <v>1</v>
          </cell>
          <cell r="K216"/>
          <cell r="L216" t="str">
            <v>MPS</v>
          </cell>
          <cell r="M216" t="str">
            <v>SPLITTING</v>
          </cell>
          <cell r="N216">
            <v>1</v>
          </cell>
          <cell r="O216"/>
          <cell r="P216"/>
          <cell r="Q216">
            <v>46158</v>
          </cell>
          <cell r="R216">
            <v>46160</v>
          </cell>
          <cell r="S216">
            <v>46161</v>
          </cell>
          <cell r="T216" t="str">
            <v>l1</v>
          </cell>
          <cell r="U216"/>
          <cell r="V216">
            <v>-1</v>
          </cell>
          <cell r="W216" t="b">
            <v>1</v>
          </cell>
          <cell r="X216">
            <v>0</v>
          </cell>
          <cell r="Y216">
            <v>35</v>
          </cell>
          <cell r="Z216" t="b">
            <v>1</v>
          </cell>
          <cell r="AA216">
            <v>3</v>
          </cell>
          <cell r="AB216"/>
          <cell r="AC216"/>
          <cell r="AD216"/>
          <cell r="AE216" t="e">
            <v>#VALUE!</v>
          </cell>
          <cell r="AF216">
            <v>1</v>
          </cell>
          <cell r="AG216" t="b">
            <v>1</v>
          </cell>
          <cell r="AH216" t="str">
            <v>BDB-000085</v>
          </cell>
          <cell r="AI216" t="b">
            <v>1</v>
          </cell>
        </row>
        <row r="217">
          <cell r="A217"/>
          <cell r="B217"/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>
            <v>0</v>
          </cell>
          <cell r="W217"/>
          <cell r="X217"/>
          <cell r="Y217"/>
          <cell r="Z217"/>
          <cell r="AA217">
            <v>3</v>
          </cell>
          <cell r="AB217"/>
          <cell r="AC217"/>
          <cell r="AD217"/>
          <cell r="AE217"/>
        </row>
        <row r="218">
          <cell r="A218" t="str">
            <v>F-2026-05-47</v>
          </cell>
          <cell r="B218" t="str">
            <v>RPRO-260505-0687</v>
          </cell>
          <cell r="C218" t="str">
            <v>14/5</v>
          </cell>
          <cell r="D218" t="str">
            <v>Pro.sche.report 04.5</v>
          </cell>
          <cell r="E218" t="str">
            <v>BDB-000032</v>
          </cell>
          <cell r="F218" t="str">
            <v>PVN-003872</v>
          </cell>
          <cell r="G218" t="str">
            <v>OrthoLite Regular SEEDPEARL/12-0703TPX Flat Sheet 0.11D 25+/-4 Asker C 1.1M 2M 7.5mm</v>
          </cell>
          <cell r="H218">
            <v>36</v>
          </cell>
          <cell r="I218">
            <v>3</v>
          </cell>
          <cell r="J218">
            <v>3</v>
          </cell>
          <cell r="K218" t="str">
            <v>VIOLET</v>
          </cell>
          <cell r="L218" t="str">
            <v>Pr.Sch.R</v>
          </cell>
          <cell r="M218" t="str">
            <v>MOLDED</v>
          </cell>
          <cell r="N218">
            <v>3</v>
          </cell>
          <cell r="O218"/>
          <cell r="P218"/>
          <cell r="Q218">
            <v>46158</v>
          </cell>
          <cell r="R218">
            <v>46161</v>
          </cell>
          <cell r="S218">
            <v>46162</v>
          </cell>
          <cell r="T218" t="str">
            <v>l1</v>
          </cell>
          <cell r="U218"/>
          <cell r="V218">
            <v>-3</v>
          </cell>
          <cell r="W218" t="b">
            <v>1</v>
          </cell>
          <cell r="X218">
            <v>0</v>
          </cell>
          <cell r="Y218">
            <v>36</v>
          </cell>
          <cell r="Z218" t="b">
            <v>1</v>
          </cell>
          <cell r="AA218">
            <v>3</v>
          </cell>
          <cell r="AB218"/>
          <cell r="AC218"/>
          <cell r="AD218"/>
          <cell r="AE218" t="e">
            <v>#VALUE!</v>
          </cell>
          <cell r="AF218">
            <v>3</v>
          </cell>
          <cell r="AG218" t="b">
            <v>1</v>
          </cell>
          <cell r="AH218" t="str">
            <v>BDB-000032</v>
          </cell>
          <cell r="AI218" t="b">
            <v>1</v>
          </cell>
        </row>
        <row r="219">
          <cell r="A219"/>
          <cell r="B219"/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>
            <v>0</v>
          </cell>
          <cell r="W219"/>
          <cell r="X219"/>
          <cell r="Y219"/>
          <cell r="Z219"/>
          <cell r="AA219">
            <v>3</v>
          </cell>
          <cell r="AB219"/>
          <cell r="AC219"/>
          <cell r="AD219"/>
          <cell r="AE219"/>
        </row>
        <row r="220">
          <cell r="A220" t="str">
            <v>F-2026-05-10</v>
          </cell>
          <cell r="B220" t="str">
            <v>RPRO-260504-0922</v>
          </cell>
          <cell r="C220" t="str">
            <v>14/5</v>
          </cell>
          <cell r="D220" t="str">
            <v>Pro.sche.report 29.04+02.05</v>
          </cell>
          <cell r="E220" t="str">
            <v>BDB-000083</v>
          </cell>
          <cell r="F220" t="str">
            <v>PVN-003969</v>
          </cell>
          <cell r="G220" t="str">
            <v>OrthoLite Eco LT 300C(ADIDAS BLUEBIRD) Flat Sheet 0.11D 25+/-4 Asker C 1.1M 2M 12mm</v>
          </cell>
          <cell r="H220">
            <v>11</v>
          </cell>
          <cell r="I220">
            <v>2</v>
          </cell>
          <cell r="J220">
            <v>2</v>
          </cell>
          <cell r="K220" t="str">
            <v>ADIDAS</v>
          </cell>
          <cell r="L220" t="str">
            <v>Pr.Sch.R</v>
          </cell>
          <cell r="M220" t="str">
            <v>MOLDED</v>
          </cell>
          <cell r="N220">
            <v>2</v>
          </cell>
          <cell r="O220"/>
          <cell r="P220"/>
          <cell r="Q220">
            <v>46158</v>
          </cell>
          <cell r="R220">
            <v>46160</v>
          </cell>
          <cell r="S220">
            <v>46161</v>
          </cell>
          <cell r="T220" t="str">
            <v>l1</v>
          </cell>
          <cell r="U220">
            <v>4</v>
          </cell>
          <cell r="V220">
            <v>2</v>
          </cell>
          <cell r="W220" t="b">
            <v>1</v>
          </cell>
          <cell r="X220">
            <v>0</v>
          </cell>
          <cell r="Y220">
            <v>11</v>
          </cell>
          <cell r="Z220" t="b">
            <v>1</v>
          </cell>
          <cell r="AA220">
            <v>3</v>
          </cell>
          <cell r="AB220"/>
          <cell r="AC220"/>
          <cell r="AD220"/>
          <cell r="AE220" t="e">
            <v>#VALUE!</v>
          </cell>
          <cell r="AF220">
            <v>2</v>
          </cell>
          <cell r="AG220" t="b">
            <v>1</v>
          </cell>
          <cell r="AH220" t="str">
            <v>BDB-000083</v>
          </cell>
          <cell r="AI220" t="b">
            <v>1</v>
          </cell>
        </row>
        <row r="221">
          <cell r="A221"/>
          <cell r="B221"/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>
            <v>0</v>
          </cell>
          <cell r="W221"/>
          <cell r="X221"/>
          <cell r="Y221"/>
          <cell r="Z221"/>
          <cell r="AA221">
            <v>3</v>
          </cell>
          <cell r="AB221"/>
          <cell r="AC221"/>
          <cell r="AD221"/>
          <cell r="AE221"/>
        </row>
        <row r="222">
          <cell r="A222" t="str">
            <v>F-2026-05-02</v>
          </cell>
          <cell r="B222" t="str">
            <v>RPRO-260504-0914</v>
          </cell>
          <cell r="C222" t="str">
            <v>14/5</v>
          </cell>
          <cell r="D222" t="str">
            <v>MPS 29.04+02.05</v>
          </cell>
          <cell r="E222" t="str">
            <v>BDB-000057</v>
          </cell>
          <cell r="F222" t="str">
            <v>PVN-000981</v>
          </cell>
          <cell r="G222" t="str">
            <v>OrthoLite Ultra YELLOW/13-0858TPX Flat Sheet 0.085D 25+/-4 Asker C 1.1M 2M 3mm</v>
          </cell>
          <cell r="H222">
            <v>828</v>
          </cell>
          <cell r="I222">
            <v>19</v>
          </cell>
          <cell r="J222">
            <v>19</v>
          </cell>
          <cell r="K222"/>
          <cell r="L222" t="str">
            <v>MPS</v>
          </cell>
          <cell r="M222" t="str">
            <v>SPLITTING</v>
          </cell>
          <cell r="N222">
            <v>19</v>
          </cell>
          <cell r="O222"/>
          <cell r="P222"/>
          <cell r="Q222">
            <v>46158</v>
          </cell>
          <cell r="R222">
            <v>46160</v>
          </cell>
          <cell r="S222">
            <v>46161</v>
          </cell>
          <cell r="T222" t="str">
            <v>l1</v>
          </cell>
          <cell r="U222"/>
          <cell r="V222">
            <v>-19</v>
          </cell>
          <cell r="W222" t="b">
            <v>1</v>
          </cell>
          <cell r="X222">
            <v>0</v>
          </cell>
          <cell r="Y222">
            <v>828</v>
          </cell>
          <cell r="Z222" t="b">
            <v>1</v>
          </cell>
          <cell r="AA222">
            <v>3</v>
          </cell>
          <cell r="AB222"/>
          <cell r="AC222"/>
          <cell r="AD222"/>
          <cell r="AE222" t="e">
            <v>#VALUE!</v>
          </cell>
          <cell r="AF222">
            <v>19</v>
          </cell>
          <cell r="AG222" t="b">
            <v>1</v>
          </cell>
          <cell r="AH222" t="str">
            <v>BDB-000057</v>
          </cell>
          <cell r="AI222" t="b">
            <v>1</v>
          </cell>
        </row>
        <row r="223">
          <cell r="A223"/>
          <cell r="B223"/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>
            <v>0</v>
          </cell>
          <cell r="W223"/>
          <cell r="X223"/>
          <cell r="Y223"/>
          <cell r="Z223"/>
          <cell r="AA223">
            <v>3</v>
          </cell>
          <cell r="AB223"/>
          <cell r="AC223"/>
          <cell r="AD223"/>
          <cell r="AE223"/>
        </row>
        <row r="224">
          <cell r="A224" t="str">
            <v>F-2026-05-05</v>
          </cell>
          <cell r="B224" t="str">
            <v>RPRO-260504-0917</v>
          </cell>
          <cell r="C224" t="str">
            <v>14/5</v>
          </cell>
          <cell r="D224" t="str">
            <v>MPS 29.04+02.05</v>
          </cell>
          <cell r="E224" t="str">
            <v>BDB-000016</v>
          </cell>
          <cell r="F224" t="str">
            <v>PVN-001814</v>
          </cell>
          <cell r="G224" t="str">
            <v>OrthoLite Regular GREEN/16-5932TPX Flat Sheet 0.13D 35+/-4 Asker C 1.1M 2M 3.5mm</v>
          </cell>
          <cell r="H224">
            <v>160</v>
          </cell>
          <cell r="I224">
            <v>4</v>
          </cell>
          <cell r="J224">
            <v>4</v>
          </cell>
          <cell r="K224"/>
          <cell r="L224" t="str">
            <v>MPS</v>
          </cell>
          <cell r="M224" t="str">
            <v>SPLITTING</v>
          </cell>
          <cell r="N224">
            <v>20</v>
          </cell>
          <cell r="O224"/>
          <cell r="P224"/>
          <cell r="Q224">
            <v>46158</v>
          </cell>
          <cell r="R224">
            <v>46160</v>
          </cell>
          <cell r="S224">
            <v>46161</v>
          </cell>
          <cell r="T224" t="str">
            <v>l1</v>
          </cell>
          <cell r="U224"/>
          <cell r="V224">
            <v>-20</v>
          </cell>
          <cell r="W224" t="b">
            <v>1</v>
          </cell>
          <cell r="X224">
            <v>0</v>
          </cell>
          <cell r="Y224">
            <v>160</v>
          </cell>
          <cell r="Z224" t="b">
            <v>1</v>
          </cell>
          <cell r="AA224">
            <v>3</v>
          </cell>
          <cell r="AB224"/>
          <cell r="AC224"/>
          <cell r="AD224"/>
          <cell r="AE224" t="e">
            <v>#VALUE!</v>
          </cell>
          <cell r="AF224">
            <v>4</v>
          </cell>
          <cell r="AG224" t="b">
            <v>1</v>
          </cell>
          <cell r="AH224" t="str">
            <v>BDB-000016</v>
          </cell>
          <cell r="AI224" t="b">
            <v>1</v>
          </cell>
        </row>
        <row r="225">
          <cell r="A225" t="str">
            <v>F-2026-05-71</v>
          </cell>
          <cell r="B225" t="str">
            <v>RPRO-260506-0352</v>
          </cell>
          <cell r="C225" t="str">
            <v>14/5</v>
          </cell>
          <cell r="D225" t="str">
            <v>MPS 05.05</v>
          </cell>
          <cell r="E225" t="str">
            <v>BDB-000016</v>
          </cell>
          <cell r="F225" t="str">
            <v>PVN-000458</v>
          </cell>
          <cell r="G225" t="str">
            <v>OrthoLite Regular GREEN/16-5932TPX Flat Sheet 0.13D 35+/-4 Asker C 1.1M 2M 3mm</v>
          </cell>
          <cell r="H225">
            <v>552</v>
          </cell>
          <cell r="I225">
            <v>13</v>
          </cell>
          <cell r="J225">
            <v>13</v>
          </cell>
          <cell r="K225"/>
          <cell r="L225" t="str">
            <v>MPS</v>
          </cell>
          <cell r="M225" t="str">
            <v>SPLITTING</v>
          </cell>
          <cell r="N225"/>
          <cell r="O225" t="str">
            <v>ppc/pur imp-đã nhắc sx</v>
          </cell>
          <cell r="P225"/>
          <cell r="Q225">
            <v>46158</v>
          </cell>
          <cell r="R225">
            <v>46160</v>
          </cell>
          <cell r="S225">
            <v>46161</v>
          </cell>
          <cell r="T225" t="str">
            <v>l1</v>
          </cell>
          <cell r="U225"/>
          <cell r="V225">
            <v>0</v>
          </cell>
          <cell r="W225" t="b">
            <v>1</v>
          </cell>
          <cell r="X225">
            <v>0</v>
          </cell>
          <cell r="Y225">
            <v>552</v>
          </cell>
          <cell r="Z225" t="b">
            <v>1</v>
          </cell>
          <cell r="AA225">
            <v>3</v>
          </cell>
          <cell r="AB225"/>
          <cell r="AC225"/>
          <cell r="AD225"/>
          <cell r="AE225" t="e">
            <v>#VALUE!</v>
          </cell>
          <cell r="AF225">
            <v>13</v>
          </cell>
          <cell r="AG225" t="b">
            <v>1</v>
          </cell>
          <cell r="AH225" t="str">
            <v>BDB-000016</v>
          </cell>
          <cell r="AI225" t="b">
            <v>1</v>
          </cell>
        </row>
        <row r="226">
          <cell r="A226" t="str">
            <v>F-2026-05-73</v>
          </cell>
          <cell r="B226" t="str">
            <v>RPRO-260506-0354</v>
          </cell>
          <cell r="C226" t="str">
            <v>14/5</v>
          </cell>
          <cell r="D226" t="str">
            <v>MPS 05.05</v>
          </cell>
          <cell r="E226" t="str">
            <v>BDB-000016</v>
          </cell>
          <cell r="F226" t="str">
            <v>PVN-001814</v>
          </cell>
          <cell r="G226" t="str">
            <v>OrthoLite Regular GREEN/16-5932TPX Flat Sheet 0.13D 35+/-4 Asker C 1.1M 2M 3.5mm</v>
          </cell>
          <cell r="H226">
            <v>120</v>
          </cell>
          <cell r="I226">
            <v>3</v>
          </cell>
          <cell r="J226">
            <v>3</v>
          </cell>
          <cell r="K226"/>
          <cell r="L226" t="str">
            <v>MPS</v>
          </cell>
          <cell r="M226" t="str">
            <v>SPLITTING</v>
          </cell>
          <cell r="N226"/>
          <cell r="O226"/>
          <cell r="P226"/>
          <cell r="Q226">
            <v>46160</v>
          </cell>
          <cell r="R226">
            <v>46162</v>
          </cell>
          <cell r="S226">
            <v>46163</v>
          </cell>
          <cell r="T226" t="str">
            <v>l1</v>
          </cell>
          <cell r="U226"/>
          <cell r="V226">
            <v>0</v>
          </cell>
          <cell r="W226" t="b">
            <v>1</v>
          </cell>
          <cell r="X226">
            <v>0</v>
          </cell>
          <cell r="Y226">
            <v>120</v>
          </cell>
          <cell r="Z226" t="b">
            <v>1</v>
          </cell>
          <cell r="AA226">
            <v>3</v>
          </cell>
          <cell r="AB226"/>
          <cell r="AC226"/>
          <cell r="AD226"/>
          <cell r="AE226" t="e">
            <v>#VALUE!</v>
          </cell>
          <cell r="AF226">
            <v>3</v>
          </cell>
          <cell r="AG226" t="b">
            <v>1</v>
          </cell>
          <cell r="AH226" t="str">
            <v>BDB-000016</v>
          </cell>
          <cell r="AI226" t="b">
            <v>1</v>
          </cell>
        </row>
        <row r="227">
          <cell r="A227"/>
          <cell r="B227"/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>
            <v>0</v>
          </cell>
          <cell r="W227"/>
          <cell r="X227"/>
          <cell r="Y227"/>
          <cell r="Z227"/>
          <cell r="AA227">
            <v>3</v>
          </cell>
          <cell r="AB227"/>
          <cell r="AC227"/>
          <cell r="AD227"/>
          <cell r="AE227"/>
        </row>
        <row r="228">
          <cell r="A228" t="str">
            <v>F-2026-05-03</v>
          </cell>
          <cell r="B228" t="str">
            <v>RPRO-260504-0915</v>
          </cell>
          <cell r="C228" t="str">
            <v>14/5</v>
          </cell>
          <cell r="D228" t="str">
            <v>MPS 29.04+02.05</v>
          </cell>
          <cell r="E228" t="str">
            <v>BDB-000058</v>
          </cell>
          <cell r="F228" t="str">
            <v>PVN-001277</v>
          </cell>
          <cell r="G228" t="str">
            <v>OrthoLite Ultra GREEN/16-5932TPX Flat Sheet 0.085D 25+/-4 Asker C 1.1M 2M 4mm</v>
          </cell>
          <cell r="H228">
            <v>105</v>
          </cell>
          <cell r="I228">
            <v>3</v>
          </cell>
          <cell r="J228">
            <v>3</v>
          </cell>
          <cell r="K228"/>
          <cell r="L228" t="str">
            <v>MPS</v>
          </cell>
          <cell r="M228" t="str">
            <v>SPLITTING</v>
          </cell>
          <cell r="N228">
            <v>97</v>
          </cell>
          <cell r="O228"/>
          <cell r="P228"/>
          <cell r="Q228">
            <v>46158</v>
          </cell>
          <cell r="R228">
            <v>46160</v>
          </cell>
          <cell r="S228">
            <v>46161</v>
          </cell>
          <cell r="T228" t="str">
            <v>l1</v>
          </cell>
          <cell r="U228"/>
          <cell r="V228">
            <v>-97</v>
          </cell>
          <cell r="W228" t="b">
            <v>1</v>
          </cell>
          <cell r="X228">
            <v>0</v>
          </cell>
          <cell r="Y228">
            <v>105</v>
          </cell>
          <cell r="Z228" t="b">
            <v>1</v>
          </cell>
          <cell r="AA228">
            <v>3</v>
          </cell>
          <cell r="AB228"/>
          <cell r="AC228"/>
          <cell r="AD228"/>
          <cell r="AE228" t="e">
            <v>#VALUE!</v>
          </cell>
          <cell r="AF228">
            <v>3</v>
          </cell>
          <cell r="AG228" t="b">
            <v>1</v>
          </cell>
          <cell r="AH228" t="str">
            <v>BDB-000058</v>
          </cell>
          <cell r="AI228" t="b">
            <v>1</v>
          </cell>
        </row>
        <row r="229">
          <cell r="A229" t="str">
            <v>F-2026-04-358</v>
          </cell>
          <cell r="B229" t="str">
            <v>RPRO-260429-0446</v>
          </cell>
          <cell r="C229" t="str">
            <v>14/5</v>
          </cell>
          <cell r="D229" t="str">
            <v>MPS 28.04</v>
          </cell>
          <cell r="E229" t="str">
            <v>BDB-000058</v>
          </cell>
          <cell r="F229" t="str">
            <v>PVN-001277</v>
          </cell>
          <cell r="G229" t="str">
            <v>OrthoLite Ultra GREEN/16-5932TPX Flat Sheet 0.085D 25+/-4 Asker C 1.1M 2M 4mm</v>
          </cell>
          <cell r="H229">
            <v>2835</v>
          </cell>
          <cell r="I229">
            <v>81</v>
          </cell>
          <cell r="J229">
            <v>81</v>
          </cell>
          <cell r="K229"/>
          <cell r="L229" t="str">
            <v>MPS</v>
          </cell>
          <cell r="M229" t="str">
            <v>SPLITTING</v>
          </cell>
          <cell r="N229"/>
          <cell r="O229"/>
          <cell r="P229"/>
          <cell r="Q229">
            <v>46158</v>
          </cell>
          <cell r="R229">
            <v>46160</v>
          </cell>
          <cell r="S229">
            <v>46161</v>
          </cell>
          <cell r="T229" t="str">
            <v>l1</v>
          </cell>
          <cell r="U229"/>
          <cell r="V229">
            <v>0</v>
          </cell>
          <cell r="W229" t="b">
            <v>1</v>
          </cell>
          <cell r="X229">
            <v>0</v>
          </cell>
          <cell r="Y229">
            <v>2835</v>
          </cell>
          <cell r="Z229" t="b">
            <v>1</v>
          </cell>
          <cell r="AA229">
            <v>3</v>
          </cell>
          <cell r="AB229"/>
          <cell r="AC229"/>
          <cell r="AD229"/>
          <cell r="AE229" t="e">
            <v>#VALUE!</v>
          </cell>
          <cell r="AF229">
            <v>81</v>
          </cell>
          <cell r="AG229" t="b">
            <v>1</v>
          </cell>
          <cell r="AH229" t="str">
            <v>BDB-000058</v>
          </cell>
          <cell r="AI229" t="b">
            <v>1</v>
          </cell>
        </row>
        <row r="230">
          <cell r="A230" t="str">
            <v>F-2026-05-31</v>
          </cell>
          <cell r="B230" t="str">
            <v>RPRO-260505-0670</v>
          </cell>
          <cell r="C230" t="str">
            <v>14/5</v>
          </cell>
          <cell r="D230" t="str">
            <v>MPS 04.5</v>
          </cell>
          <cell r="E230" t="str">
            <v>BDB-000058</v>
          </cell>
          <cell r="F230" t="str">
            <v>PVN-001277</v>
          </cell>
          <cell r="G230" t="str">
            <v>OrthoLite Ultra GREEN/16-5932TPX Flat Sheet 0.085D 25+/-4 Asker C 1.1M 2M 4mm</v>
          </cell>
          <cell r="H230">
            <v>455</v>
          </cell>
          <cell r="I230">
            <v>13</v>
          </cell>
          <cell r="J230">
            <v>13</v>
          </cell>
          <cell r="K230"/>
          <cell r="L230" t="str">
            <v>MPS</v>
          </cell>
          <cell r="M230" t="str">
            <v>SPLITTING</v>
          </cell>
          <cell r="N230"/>
          <cell r="O230"/>
          <cell r="P230"/>
          <cell r="Q230">
            <v>46158</v>
          </cell>
          <cell r="R230">
            <v>46161</v>
          </cell>
          <cell r="S230">
            <v>46162</v>
          </cell>
          <cell r="T230" t="str">
            <v>l1</v>
          </cell>
          <cell r="U230"/>
          <cell r="V230">
            <v>0</v>
          </cell>
          <cell r="W230" t="b">
            <v>1</v>
          </cell>
          <cell r="X230">
            <v>0</v>
          </cell>
          <cell r="Y230">
            <v>455</v>
          </cell>
          <cell r="Z230" t="b">
            <v>1</v>
          </cell>
          <cell r="AA230">
            <v>3</v>
          </cell>
          <cell r="AB230"/>
          <cell r="AC230"/>
          <cell r="AD230"/>
          <cell r="AE230" t="e">
            <v>#VALUE!</v>
          </cell>
          <cell r="AF230">
            <v>13</v>
          </cell>
          <cell r="AG230" t="b">
            <v>1</v>
          </cell>
          <cell r="AH230" t="str">
            <v>BDB-000058</v>
          </cell>
          <cell r="AI230" t="b">
            <v>1</v>
          </cell>
        </row>
        <row r="231">
          <cell r="A231"/>
          <cell r="B231"/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>
            <v>0</v>
          </cell>
          <cell r="W231"/>
          <cell r="X231"/>
          <cell r="Y231"/>
          <cell r="Z231"/>
          <cell r="AA231">
            <v>3</v>
          </cell>
          <cell r="AB231"/>
          <cell r="AC231"/>
          <cell r="AD231"/>
          <cell r="AE231"/>
        </row>
        <row r="232">
          <cell r="A232" t="str">
            <v>F-2026-05-82</v>
          </cell>
          <cell r="B232" t="str">
            <v>RPRO-260506-0363</v>
          </cell>
          <cell r="C232" t="str">
            <v>14/5</v>
          </cell>
          <cell r="D232" t="str">
            <v>Pro.sche.report 05.05</v>
          </cell>
          <cell r="E232" t="str">
            <v>BDB-000126</v>
          </cell>
          <cell r="F232" t="str">
            <v>PVN-002325</v>
          </cell>
          <cell r="G232" t="str">
            <v>OrthoLite Regular-Nike RED/19-1764TPX Flat Sheet 0.11D 25+/-4 Asker C 1.1M 2M 5.2mm</v>
          </cell>
          <cell r="H232">
            <v>26</v>
          </cell>
          <cell r="I232">
            <v>1</v>
          </cell>
          <cell r="J232">
            <v>1</v>
          </cell>
          <cell r="K232" t="str">
            <v>NIKE</v>
          </cell>
          <cell r="L232" t="str">
            <v>Pr.Sch.R</v>
          </cell>
          <cell r="M232" t="str">
            <v>MOLDED</v>
          </cell>
          <cell r="N232">
            <v>16</v>
          </cell>
          <cell r="O232" t="str">
            <v>ppc/pur imp-đã nhắc sx</v>
          </cell>
          <cell r="P232"/>
          <cell r="Q232">
            <v>46157</v>
          </cell>
          <cell r="R232">
            <v>46160</v>
          </cell>
          <cell r="S232">
            <v>46161</v>
          </cell>
          <cell r="T232" t="str">
            <v>l1</v>
          </cell>
          <cell r="U232"/>
          <cell r="V232">
            <v>-16</v>
          </cell>
          <cell r="W232" t="b">
            <v>1</v>
          </cell>
          <cell r="X232">
            <v>0</v>
          </cell>
          <cell r="Y232">
            <v>26</v>
          </cell>
          <cell r="Z232" t="b">
            <v>1</v>
          </cell>
          <cell r="AA232">
            <v>3</v>
          </cell>
          <cell r="AB232"/>
          <cell r="AC232"/>
          <cell r="AD232"/>
          <cell r="AE232" t="e">
            <v>#VALUE!</v>
          </cell>
          <cell r="AF232">
            <v>1</v>
          </cell>
          <cell r="AG232" t="b">
            <v>1</v>
          </cell>
          <cell r="AH232" t="str">
            <v>BDB-000126</v>
          </cell>
          <cell r="AI232" t="b">
            <v>1</v>
          </cell>
        </row>
        <row r="233">
          <cell r="A233" t="str">
            <v>F-2026-05-107</v>
          </cell>
          <cell r="B233" t="str">
            <v>RPRO-260508-0418</v>
          </cell>
          <cell r="C233" t="str">
            <v>14/5</v>
          </cell>
          <cell r="D233" t="str">
            <v>Pro.sche.report 07.5</v>
          </cell>
          <cell r="E233" t="str">
            <v>BDB-000126</v>
          </cell>
          <cell r="F233" t="str">
            <v>PVN-002325</v>
          </cell>
          <cell r="G233" t="str">
            <v>OrthoLite Regular-Nike RED/19-1764TPX Flat Sheet 0.11D 25+/-4 Asker C 1.1M 2M 5.2mm</v>
          </cell>
          <cell r="H233">
            <v>390</v>
          </cell>
          <cell r="I233">
            <v>15</v>
          </cell>
          <cell r="J233">
            <v>15</v>
          </cell>
          <cell r="K233" t="str">
            <v>NIKE</v>
          </cell>
          <cell r="L233" t="str">
            <v>Pr.Sch.R</v>
          </cell>
          <cell r="M233" t="str">
            <v>MOLDED</v>
          </cell>
          <cell r="N233"/>
          <cell r="O233"/>
          <cell r="P233"/>
          <cell r="Q233">
            <v>46162</v>
          </cell>
          <cell r="R233">
            <v>46164</v>
          </cell>
          <cell r="S233">
            <v>46165</v>
          </cell>
          <cell r="T233" t="str">
            <v>l1</v>
          </cell>
          <cell r="U233"/>
          <cell r="V233">
            <v>0</v>
          </cell>
          <cell r="W233" t="b">
            <v>1</v>
          </cell>
          <cell r="X233">
            <v>0</v>
          </cell>
          <cell r="Y233">
            <v>390</v>
          </cell>
          <cell r="Z233" t="b">
            <v>1</v>
          </cell>
          <cell r="AA233">
            <v>3</v>
          </cell>
          <cell r="AB233"/>
          <cell r="AC233"/>
          <cell r="AD233"/>
          <cell r="AE233" t="e">
            <v>#VALUE!</v>
          </cell>
          <cell r="AF233">
            <v>15</v>
          </cell>
          <cell r="AG233" t="b">
            <v>1</v>
          </cell>
          <cell r="AH233" t="str">
            <v>BDB-000126</v>
          </cell>
          <cell r="AI233" t="b">
            <v>1</v>
          </cell>
        </row>
        <row r="234">
          <cell r="A234"/>
          <cell r="B234"/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>
            <v>0</v>
          </cell>
          <cell r="W234"/>
          <cell r="X234"/>
          <cell r="Y234"/>
          <cell r="Z234"/>
          <cell r="AA234">
            <v>3</v>
          </cell>
          <cell r="AB234"/>
          <cell r="AC234"/>
          <cell r="AD234"/>
          <cell r="AE234"/>
        </row>
        <row r="235">
          <cell r="A235" t="str">
            <v>F-2026-05-93</v>
          </cell>
          <cell r="B235" t="str">
            <v>RPRO-260507-0669</v>
          </cell>
          <cell r="C235" t="str">
            <v>14/5</v>
          </cell>
          <cell r="D235" t="str">
            <v>Pro.sche.report 06.05</v>
          </cell>
          <cell r="E235" t="str">
            <v>BDB-000317</v>
          </cell>
          <cell r="F235" t="str">
            <v>PVN-004293</v>
          </cell>
          <cell r="G235" t="str">
            <v>OrthoLite Regular NEUTRAL GRAY/17-4402TPX Flat Sheet 0.13D 15+/-4 Asker C 1.1M 2M 22mm</v>
          </cell>
          <cell r="H235">
            <v>6</v>
          </cell>
          <cell r="I235">
            <v>2</v>
          </cell>
          <cell r="J235">
            <v>2</v>
          </cell>
          <cell r="K235" t="str">
            <v>TRAVIS MATHEW</v>
          </cell>
          <cell r="L235" t="str">
            <v>Pr.Sch.R</v>
          </cell>
          <cell r="M235" t="str">
            <v>MOLDED</v>
          </cell>
          <cell r="N235">
            <v>2</v>
          </cell>
          <cell r="O235"/>
          <cell r="P235"/>
          <cell r="Q235">
            <v>46161</v>
          </cell>
          <cell r="R235">
            <v>46163</v>
          </cell>
          <cell r="S235">
            <v>46164</v>
          </cell>
          <cell r="T235" t="str">
            <v>l1</v>
          </cell>
          <cell r="U235"/>
          <cell r="V235">
            <v>-2</v>
          </cell>
          <cell r="W235" t="b">
            <v>1</v>
          </cell>
          <cell r="X235">
            <v>0</v>
          </cell>
          <cell r="Y235">
            <v>6</v>
          </cell>
          <cell r="Z235" t="b">
            <v>1</v>
          </cell>
          <cell r="AA235">
            <v>3</v>
          </cell>
          <cell r="AB235"/>
          <cell r="AC235"/>
          <cell r="AD235"/>
          <cell r="AE235" t="e">
            <v>#VALUE!</v>
          </cell>
          <cell r="AF235">
            <v>2</v>
          </cell>
          <cell r="AG235" t="b">
            <v>1</v>
          </cell>
          <cell r="AH235" t="str">
            <v>BDB-000317</v>
          </cell>
          <cell r="AI235" t="b">
            <v>1</v>
          </cell>
        </row>
        <row r="236">
          <cell r="A236"/>
          <cell r="B236"/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>
            <v>0</v>
          </cell>
          <cell r="W236"/>
          <cell r="X236"/>
          <cell r="Y236"/>
          <cell r="Z236"/>
          <cell r="AA236">
            <v>3</v>
          </cell>
          <cell r="AB236"/>
          <cell r="AC236"/>
          <cell r="AD236"/>
          <cell r="AE236"/>
        </row>
        <row r="237">
          <cell r="A237" t="str">
            <v>F-2026-05-98</v>
          </cell>
          <cell r="B237" t="str">
            <v>RPRO-260507-0674</v>
          </cell>
          <cell r="C237" t="str">
            <v>14/5</v>
          </cell>
          <cell r="D237" t="str">
            <v>Pro.sche.report 06.05</v>
          </cell>
          <cell r="E237" t="str">
            <v>BDB-000367</v>
          </cell>
          <cell r="F237" t="str">
            <v>PVN-004409</v>
          </cell>
          <cell r="G237" t="str">
            <v>OrthoLite Ultra LIME GREEN/14-0452TPX Flat Sheet 0.095D 33+/-4 Asker C 1.1M 2M 6mm</v>
          </cell>
          <cell r="H237">
            <v>69</v>
          </cell>
          <cell r="I237">
            <v>4</v>
          </cell>
          <cell r="J237">
            <v>4</v>
          </cell>
          <cell r="K237" t="str">
            <v>PATRICK</v>
          </cell>
          <cell r="L237" t="str">
            <v>Pr.Sch.R</v>
          </cell>
          <cell r="M237" t="str">
            <v>MOLDED</v>
          </cell>
          <cell r="N237">
            <v>4</v>
          </cell>
          <cell r="O237"/>
          <cell r="P237"/>
          <cell r="Q237">
            <v>46161</v>
          </cell>
          <cell r="R237">
            <v>46163</v>
          </cell>
          <cell r="S237">
            <v>46164</v>
          </cell>
          <cell r="T237" t="str">
            <v>l1</v>
          </cell>
          <cell r="U237"/>
          <cell r="V237">
            <v>-4</v>
          </cell>
          <cell r="W237" t="str">
            <v/>
          </cell>
          <cell r="X237">
            <v>0</v>
          </cell>
          <cell r="Y237">
            <v>69</v>
          </cell>
          <cell r="Z237" t="b">
            <v>1</v>
          </cell>
          <cell r="AA237">
            <v>3</v>
          </cell>
          <cell r="AB237"/>
          <cell r="AC237"/>
          <cell r="AD237"/>
          <cell r="AE237" t="e">
            <v>#VALUE!</v>
          </cell>
          <cell r="AF237">
            <v>4</v>
          </cell>
          <cell r="AG237" t="b">
            <v>1</v>
          </cell>
          <cell r="AH237" t="str">
            <v>BDB-000367</v>
          </cell>
          <cell r="AI237" t="b">
            <v>1</v>
          </cell>
        </row>
        <row r="238">
          <cell r="A238"/>
          <cell r="B238"/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>
            <v>0</v>
          </cell>
          <cell r="W238"/>
          <cell r="X238"/>
          <cell r="Y238"/>
          <cell r="Z238"/>
          <cell r="AA238">
            <v>3</v>
          </cell>
          <cell r="AB238"/>
          <cell r="AC238"/>
          <cell r="AD238"/>
          <cell r="AE238"/>
        </row>
        <row r="239">
          <cell r="A239" t="str">
            <v>F-2026-05-101</v>
          </cell>
          <cell r="B239" t="str">
            <v>RPRO-260508-0412</v>
          </cell>
          <cell r="C239" t="str">
            <v>14/5</v>
          </cell>
          <cell r="D239" t="str">
            <v>MPS 07.5</v>
          </cell>
          <cell r="E239" t="str">
            <v>BDB-000200</v>
          </cell>
          <cell r="F239" t="str">
            <v>PVN-003425</v>
          </cell>
          <cell r="G239" t="str">
            <v>OrthoLite Ultra SEEDPEARL/12-0703TPX Flat Sheet 0.085D 78-90 Asker F 1.1M 2M 4mm</v>
          </cell>
          <cell r="H239">
            <v>35</v>
          </cell>
          <cell r="I239">
            <v>1</v>
          </cell>
          <cell r="J239">
            <v>1</v>
          </cell>
          <cell r="K239"/>
          <cell r="L239" t="str">
            <v>MPS</v>
          </cell>
          <cell r="M239" t="str">
            <v>SPLITTING</v>
          </cell>
          <cell r="N239">
            <v>1</v>
          </cell>
          <cell r="O239" t="str">
            <v>ppc/pur imp-đã nhắc sx</v>
          </cell>
          <cell r="P239"/>
          <cell r="Q239">
            <v>46158</v>
          </cell>
          <cell r="R239">
            <v>46160</v>
          </cell>
          <cell r="S239">
            <v>46161</v>
          </cell>
          <cell r="T239" t="str">
            <v>l1</v>
          </cell>
          <cell r="U239"/>
          <cell r="V239">
            <v>-1</v>
          </cell>
          <cell r="W239" t="b">
            <v>1</v>
          </cell>
          <cell r="X239">
            <v>0</v>
          </cell>
          <cell r="Y239">
            <v>35</v>
          </cell>
          <cell r="Z239" t="b">
            <v>1</v>
          </cell>
          <cell r="AA239">
            <v>3</v>
          </cell>
          <cell r="AB239"/>
          <cell r="AC239"/>
          <cell r="AD239"/>
          <cell r="AE239" t="e">
            <v>#VALUE!</v>
          </cell>
          <cell r="AF239">
            <v>1</v>
          </cell>
          <cell r="AG239" t="b">
            <v>1</v>
          </cell>
          <cell r="AH239" t="str">
            <v>BDB-000200</v>
          </cell>
          <cell r="AI239" t="b">
            <v>1</v>
          </cell>
        </row>
        <row r="240">
          <cell r="A240"/>
          <cell r="B240"/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>
            <v>0</v>
          </cell>
          <cell r="W240"/>
          <cell r="X240"/>
          <cell r="Y240"/>
          <cell r="Z240"/>
          <cell r="AA240">
            <v>3</v>
          </cell>
          <cell r="AB240"/>
          <cell r="AC240"/>
          <cell r="AD240"/>
          <cell r="AE240"/>
        </row>
        <row r="241">
          <cell r="A241" t="str">
            <v>F-2026-05-99</v>
          </cell>
          <cell r="B241" t="str">
            <v>RPRO-260508-0410</v>
          </cell>
          <cell r="C241" t="str">
            <v>14/5</v>
          </cell>
          <cell r="D241" t="str">
            <v>MPS 07.5</v>
          </cell>
          <cell r="E241" t="str">
            <v>BDB-000010</v>
          </cell>
          <cell r="F241" t="str">
            <v>PVN-000102</v>
          </cell>
          <cell r="G241" t="str">
            <v>OrthoLite Regular AIR BLUE/16-4134TPX Flat Sheet 0.11D 25+/-4 Asker C 1.1M 2M 4mm</v>
          </cell>
          <cell r="H241">
            <v>35</v>
          </cell>
          <cell r="I241">
            <v>1</v>
          </cell>
          <cell r="J241">
            <v>1</v>
          </cell>
          <cell r="K241"/>
          <cell r="L241" t="str">
            <v>MPS</v>
          </cell>
          <cell r="M241" t="str">
            <v>SPLITTING</v>
          </cell>
          <cell r="N241">
            <v>1</v>
          </cell>
          <cell r="O241"/>
          <cell r="P241"/>
          <cell r="Q241">
            <v>46162</v>
          </cell>
          <cell r="R241">
            <v>46164</v>
          </cell>
          <cell r="S241">
            <v>46165</v>
          </cell>
          <cell r="T241" t="str">
            <v>l1</v>
          </cell>
          <cell r="U241"/>
          <cell r="V241">
            <v>-1</v>
          </cell>
          <cell r="W241" t="b">
            <v>1</v>
          </cell>
          <cell r="X241">
            <v>0</v>
          </cell>
          <cell r="Y241">
            <v>35</v>
          </cell>
          <cell r="Z241" t="b">
            <v>1</v>
          </cell>
          <cell r="AA241">
            <v>3</v>
          </cell>
          <cell r="AB241"/>
          <cell r="AC241"/>
          <cell r="AD241"/>
          <cell r="AE241" t="e">
            <v>#VALUE!</v>
          </cell>
          <cell r="AF241">
            <v>1</v>
          </cell>
          <cell r="AG241" t="b">
            <v>1</v>
          </cell>
          <cell r="AH241" t="str">
            <v>BDB-000010</v>
          </cell>
          <cell r="AI241" t="b">
            <v>1</v>
          </cell>
        </row>
        <row r="242">
          <cell r="A242"/>
          <cell r="B242"/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>
            <v>0</v>
          </cell>
          <cell r="W242"/>
          <cell r="X242"/>
          <cell r="Y242"/>
          <cell r="Z242"/>
          <cell r="AA242">
            <v>3</v>
          </cell>
          <cell r="AB242"/>
          <cell r="AC242"/>
          <cell r="AD242"/>
          <cell r="AE242"/>
        </row>
        <row r="243">
          <cell r="A243" t="str">
            <v>F-2026-05-97</v>
          </cell>
          <cell r="B243" t="str">
            <v>RPRO-260507-0673</v>
          </cell>
          <cell r="C243" t="str">
            <v>14/5-15/5</v>
          </cell>
          <cell r="D243" t="str">
            <v>Pro.sche.report 06.05</v>
          </cell>
          <cell r="E243" t="str">
            <v>BDB-000137</v>
          </cell>
          <cell r="F243" t="str">
            <v>PVN-004070</v>
          </cell>
          <cell r="G243" t="str">
            <v>OrthoLite Regular-Nike AIR BLUE/16-4134TPX Flat Sheet 0.11D 25+/-4 Asker C 1.1M 1.47M 4.2mm</v>
          </cell>
          <cell r="H243">
            <v>1023</v>
          </cell>
          <cell r="I243">
            <v>31</v>
          </cell>
          <cell r="J243">
            <v>31</v>
          </cell>
          <cell r="K243" t="str">
            <v>NIKE</v>
          </cell>
          <cell r="L243" t="str">
            <v>Pr.Sch.R</v>
          </cell>
          <cell r="M243" t="str">
            <v>MOLDED</v>
          </cell>
          <cell r="N243">
            <v>31</v>
          </cell>
          <cell r="O243"/>
          <cell r="P243"/>
          <cell r="Q243">
            <v>46161</v>
          </cell>
          <cell r="R243">
            <v>46163</v>
          </cell>
          <cell r="S243">
            <v>46164</v>
          </cell>
          <cell r="T243" t="str">
            <v>l1</v>
          </cell>
          <cell r="U243">
            <v>8</v>
          </cell>
          <cell r="V243">
            <v>-23</v>
          </cell>
          <cell r="W243" t="b">
            <v>1</v>
          </cell>
          <cell r="X243">
            <v>0</v>
          </cell>
          <cell r="Y243">
            <v>1023</v>
          </cell>
          <cell r="Z243" t="b">
            <v>1</v>
          </cell>
          <cell r="AA243">
            <v>3</v>
          </cell>
          <cell r="AB243"/>
          <cell r="AC243"/>
          <cell r="AD243"/>
          <cell r="AE243" t="e">
            <v>#VALUE!</v>
          </cell>
          <cell r="AF243">
            <v>31</v>
          </cell>
          <cell r="AG243" t="b">
            <v>1</v>
          </cell>
          <cell r="AH243" t="str">
            <v>BDB-000137</v>
          </cell>
          <cell r="AI243" t="b">
            <v>1</v>
          </cell>
        </row>
        <row r="244">
          <cell r="A244"/>
          <cell r="B244"/>
          <cell r="C244"/>
          <cell r="D244"/>
          <cell r="E244"/>
          <cell r="F244"/>
          <cell r="G244" t="str">
            <v>RELEASE ĐỢT 1</v>
          </cell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>
            <v>0</v>
          </cell>
          <cell r="W244"/>
          <cell r="X244"/>
          <cell r="Y244"/>
          <cell r="Z244"/>
          <cell r="AA244">
            <v>3</v>
          </cell>
          <cell r="AB244"/>
          <cell r="AC244"/>
          <cell r="AD244"/>
          <cell r="AE244"/>
          <cell r="AI244"/>
          <cell r="AJ244"/>
          <cell r="AK244"/>
          <cell r="AL244"/>
        </row>
        <row r="245">
          <cell r="A245" t="str">
            <v>F-2026-05-133</v>
          </cell>
          <cell r="B245" t="str">
            <v>RPRO-260512-0085</v>
          </cell>
          <cell r="C245" t="str">
            <v>15/5</v>
          </cell>
          <cell r="D245" t="str">
            <v>MPS 11.05</v>
          </cell>
          <cell r="E245" t="str">
            <v>BDB-000010</v>
          </cell>
          <cell r="F245" t="str">
            <v>PVN-000101</v>
          </cell>
          <cell r="G245" t="str">
            <v>OrthoLite Regular AIR BLUE/16-4134TPX Flat Sheet 0.11D 25+/-4 Asker C 1.1M 2M 3mm</v>
          </cell>
          <cell r="H245">
            <v>46</v>
          </cell>
          <cell r="I245">
            <v>2</v>
          </cell>
          <cell r="J245">
            <v>2</v>
          </cell>
          <cell r="K245"/>
          <cell r="L245" t="str">
            <v>MPS</v>
          </cell>
          <cell r="M245" t="str">
            <v>SPLITTING</v>
          </cell>
          <cell r="N245">
            <v>2</v>
          </cell>
          <cell r="O245"/>
          <cell r="P245"/>
          <cell r="Q245">
            <v>46158</v>
          </cell>
          <cell r="R245">
            <v>46161</v>
          </cell>
          <cell r="S245">
            <v>46162</v>
          </cell>
          <cell r="T245" t="str">
            <v>l2</v>
          </cell>
          <cell r="U245"/>
          <cell r="V245">
            <v>0</v>
          </cell>
          <cell r="W245" t="b">
            <v>1</v>
          </cell>
          <cell r="X245">
            <v>0</v>
          </cell>
          <cell r="Y245">
            <v>46</v>
          </cell>
          <cell r="Z245" t="b">
            <v>0</v>
          </cell>
          <cell r="AA245"/>
          <cell r="AB245"/>
          <cell r="AC245"/>
          <cell r="AD245"/>
          <cell r="AE245" t="e">
            <v>#VALUE!</v>
          </cell>
          <cell r="AF245">
            <v>2</v>
          </cell>
          <cell r="AG245" t="b">
            <v>1</v>
          </cell>
          <cell r="AH245" t="str">
            <v>BDB-000010</v>
          </cell>
          <cell r="AI245" t="b">
            <v>1</v>
          </cell>
        </row>
        <row r="246">
          <cell r="A246"/>
          <cell r="B246"/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</row>
        <row r="247">
          <cell r="A247" t="str">
            <v>F-2026-05-116</v>
          </cell>
          <cell r="B247" t="str">
            <v>RPRO-260511-0336</v>
          </cell>
          <cell r="C247" t="str">
            <v>15/5</v>
          </cell>
          <cell r="D247" t="str">
            <v>MPS 08.5+09.5+10.5</v>
          </cell>
          <cell r="E247" t="str">
            <v>BDB-000200</v>
          </cell>
          <cell r="F247" t="str">
            <v>PVN-003418</v>
          </cell>
          <cell r="G247" t="str">
            <v>OrthoLite Ultra SEEDPEARL/12-0703TPX Flat Sheet 0.085D 78-90 Asker F 1.1M 2M 5mm</v>
          </cell>
          <cell r="H247">
            <v>112</v>
          </cell>
          <cell r="I247">
            <v>4</v>
          </cell>
          <cell r="J247">
            <v>4</v>
          </cell>
          <cell r="K247"/>
          <cell r="L247" t="str">
            <v>MPS</v>
          </cell>
          <cell r="M247" t="str">
            <v>SPLITTING</v>
          </cell>
          <cell r="N247">
            <v>5</v>
          </cell>
          <cell r="O247"/>
          <cell r="P247"/>
          <cell r="Q247">
            <v>46158</v>
          </cell>
          <cell r="R247">
            <v>46161</v>
          </cell>
          <cell r="S247">
            <v>46162</v>
          </cell>
          <cell r="T247" t="str">
            <v>l2</v>
          </cell>
          <cell r="U247"/>
          <cell r="V247">
            <v>0</v>
          </cell>
          <cell r="W247" t="b">
            <v>1</v>
          </cell>
          <cell r="X247">
            <v>0</v>
          </cell>
          <cell r="Y247">
            <v>112</v>
          </cell>
          <cell r="Z247" t="b">
            <v>0</v>
          </cell>
          <cell r="AA247"/>
          <cell r="AB247"/>
          <cell r="AC247"/>
          <cell r="AD247"/>
          <cell r="AE247" t="e">
            <v>#VALUE!</v>
          </cell>
          <cell r="AF247">
            <v>4</v>
          </cell>
          <cell r="AG247" t="b">
            <v>1</v>
          </cell>
          <cell r="AH247" t="str">
            <v>BDB-000200</v>
          </cell>
          <cell r="AI247" t="b">
            <v>1</v>
          </cell>
        </row>
        <row r="248">
          <cell r="A248" t="str">
            <v>F-2026-05-140</v>
          </cell>
          <cell r="B248" t="str">
            <v>RPRO-260512-0092</v>
          </cell>
          <cell r="C248" t="str">
            <v>15/5</v>
          </cell>
          <cell r="D248" t="str">
            <v>MPS 11.05</v>
          </cell>
          <cell r="E248" t="str">
            <v>BDB-000200</v>
          </cell>
          <cell r="F248" t="str">
            <v>PVN-003425</v>
          </cell>
          <cell r="G248" t="str">
            <v>OrthoLite Ultra SEEDPEARL/12-0703TPX Flat Sheet 0.085D 78-90 Asker F 1.1M 2M 4mm</v>
          </cell>
          <cell r="H248">
            <v>35</v>
          </cell>
          <cell r="I248">
            <v>1</v>
          </cell>
          <cell r="J248">
            <v>1</v>
          </cell>
          <cell r="K248"/>
          <cell r="L248" t="str">
            <v>MPS</v>
          </cell>
          <cell r="M248" t="str">
            <v>SPLITTING</v>
          </cell>
          <cell r="N248"/>
          <cell r="O248"/>
          <cell r="P248"/>
          <cell r="Q248">
            <v>46158</v>
          </cell>
          <cell r="R248">
            <v>46161</v>
          </cell>
          <cell r="S248">
            <v>46162</v>
          </cell>
          <cell r="T248" t="str">
            <v>l2</v>
          </cell>
          <cell r="U248"/>
          <cell r="V248">
            <v>0</v>
          </cell>
          <cell r="W248" t="b">
            <v>1</v>
          </cell>
          <cell r="X248">
            <v>0</v>
          </cell>
          <cell r="Y248">
            <v>35</v>
          </cell>
          <cell r="Z248" t="b">
            <v>0</v>
          </cell>
          <cell r="AA248"/>
          <cell r="AB248"/>
          <cell r="AC248"/>
          <cell r="AD248"/>
          <cell r="AE248" t="e">
            <v>#VALUE!</v>
          </cell>
          <cell r="AF248">
            <v>1</v>
          </cell>
          <cell r="AG248" t="b">
            <v>1</v>
          </cell>
          <cell r="AH248" t="str">
            <v>BDB-000200</v>
          </cell>
          <cell r="AI248" t="b">
            <v>1</v>
          </cell>
        </row>
        <row r="249">
          <cell r="A249"/>
          <cell r="B249"/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</row>
        <row r="250">
          <cell r="A250" t="str">
            <v>F-2026-05-134</v>
          </cell>
          <cell r="B250" t="str">
            <v>RPRO-260512-0086</v>
          </cell>
          <cell r="C250" t="str">
            <v>15/5</v>
          </cell>
          <cell r="D250" t="str">
            <v>MPS 11.05</v>
          </cell>
          <cell r="E250" t="str">
            <v>BDB-000011</v>
          </cell>
          <cell r="F250" t="str">
            <v>PVN-000126</v>
          </cell>
          <cell r="G250" t="str">
            <v>OrthoLite Regular AIR BLUE/16-4134TPX Flat Sheet 0.13D 35+/-4 Asker C 1.1M 2M 4mm</v>
          </cell>
          <cell r="H250">
            <v>35</v>
          </cell>
          <cell r="I250">
            <v>1</v>
          </cell>
          <cell r="J250">
            <v>1</v>
          </cell>
          <cell r="K250"/>
          <cell r="L250" t="str">
            <v>MPS</v>
          </cell>
          <cell r="M250" t="str">
            <v>SPLITTING</v>
          </cell>
          <cell r="N250">
            <v>29</v>
          </cell>
          <cell r="O250"/>
          <cell r="P250"/>
          <cell r="Q250">
            <v>46158</v>
          </cell>
          <cell r="R250">
            <v>46161</v>
          </cell>
          <cell r="S250">
            <v>46162</v>
          </cell>
          <cell r="T250" t="str">
            <v>l2</v>
          </cell>
          <cell r="U250"/>
          <cell r="V250">
            <v>0</v>
          </cell>
          <cell r="W250" t="b">
            <v>1</v>
          </cell>
          <cell r="X250">
            <v>0</v>
          </cell>
          <cell r="Y250">
            <v>35</v>
          </cell>
          <cell r="Z250" t="b">
            <v>0</v>
          </cell>
          <cell r="AA250"/>
          <cell r="AB250"/>
          <cell r="AC250"/>
          <cell r="AD250"/>
          <cell r="AE250" t="e">
            <v>#VALUE!</v>
          </cell>
          <cell r="AF250">
            <v>1</v>
          </cell>
          <cell r="AG250" t="b">
            <v>1</v>
          </cell>
          <cell r="AH250" t="str">
            <v>BDB-000011</v>
          </cell>
          <cell r="AI250" t="b">
            <v>1</v>
          </cell>
        </row>
        <row r="251">
          <cell r="A251" t="str">
            <v>F-2026-05-135-1</v>
          </cell>
          <cell r="B251" t="str">
            <v>RPRO-260512-0087</v>
          </cell>
          <cell r="C251" t="str">
            <v>15/5</v>
          </cell>
          <cell r="D251" t="str">
            <v>MPS 11.05</v>
          </cell>
          <cell r="E251" t="str">
            <v>BDB-000011</v>
          </cell>
          <cell r="F251" t="str">
            <v>PVN-000127</v>
          </cell>
          <cell r="G251" t="str">
            <v>OrthoLite Regular AIR BLUE/16-4134TPX Flat Sheet 0.13D 35+/-4 Asker C 1.1M 2M 5mm</v>
          </cell>
          <cell r="H251">
            <v>17</v>
          </cell>
          <cell r="I251">
            <v>1</v>
          </cell>
          <cell r="J251">
            <v>1</v>
          </cell>
          <cell r="K251"/>
          <cell r="L251" t="str">
            <v>MPS</v>
          </cell>
          <cell r="M251" t="str">
            <v>SPLITTING</v>
          </cell>
          <cell r="N251"/>
          <cell r="O251"/>
          <cell r="P251"/>
          <cell r="Q251">
            <v>46158</v>
          </cell>
          <cell r="R251">
            <v>46161</v>
          </cell>
          <cell r="S251">
            <v>46162</v>
          </cell>
          <cell r="T251" t="str">
            <v>l2</v>
          </cell>
          <cell r="U251"/>
          <cell r="V251">
            <v>0</v>
          </cell>
          <cell r="W251" t="b">
            <v>1</v>
          </cell>
          <cell r="X251">
            <v>0</v>
          </cell>
          <cell r="Y251">
            <v>17</v>
          </cell>
          <cell r="Z251" t="b">
            <v>0</v>
          </cell>
          <cell r="AA251"/>
          <cell r="AB251"/>
          <cell r="AC251"/>
          <cell r="AD251"/>
          <cell r="AE251" t="e">
            <v>#VALUE!</v>
          </cell>
          <cell r="AF251">
            <v>1</v>
          </cell>
          <cell r="AG251" t="b">
            <v>1</v>
          </cell>
          <cell r="AH251" t="str">
            <v>BDB-000011</v>
          </cell>
          <cell r="AI251" t="b">
            <v>1</v>
          </cell>
        </row>
        <row r="252">
          <cell r="A252" t="str">
            <v>F-2026-05-135-2</v>
          </cell>
          <cell r="B252" t="str">
            <v>RPRO-260512-0584</v>
          </cell>
          <cell r="C252" t="str">
            <v>15/5</v>
          </cell>
          <cell r="D252" t="str">
            <v>MPS 11.05</v>
          </cell>
          <cell r="E252" t="str">
            <v>BDB-000011</v>
          </cell>
          <cell r="F252" t="str">
            <v>PVN-000127</v>
          </cell>
          <cell r="G252" t="str">
            <v>OrthoLite Regular AIR BLUE/16-4134TPX Flat Sheet 0.13D 35+/-4 Asker C 1.1M 2M 5mm</v>
          </cell>
          <cell r="H252">
            <v>39</v>
          </cell>
          <cell r="I252">
            <v>2</v>
          </cell>
          <cell r="J252">
            <v>2</v>
          </cell>
          <cell r="K252"/>
          <cell r="L252" t="str">
            <v>MPS</v>
          </cell>
          <cell r="M252" t="str">
            <v>SPLITTING</v>
          </cell>
          <cell r="N252"/>
          <cell r="O252"/>
          <cell r="P252"/>
          <cell r="Q252">
            <v>46158</v>
          </cell>
          <cell r="R252">
            <v>46161</v>
          </cell>
          <cell r="S252">
            <v>46162</v>
          </cell>
          <cell r="T252" t="str">
            <v>l2</v>
          </cell>
          <cell r="U252"/>
          <cell r="V252">
            <v>0</v>
          </cell>
          <cell r="W252" t="b">
            <v>1</v>
          </cell>
          <cell r="X252">
            <v>0</v>
          </cell>
          <cell r="Y252">
            <v>39</v>
          </cell>
          <cell r="Z252" t="b">
            <v>0</v>
          </cell>
          <cell r="AA252"/>
          <cell r="AB252"/>
          <cell r="AC252"/>
          <cell r="AD252"/>
          <cell r="AE252" t="e">
            <v>#VALUE!</v>
          </cell>
          <cell r="AF252">
            <v>2</v>
          </cell>
          <cell r="AG252" t="b">
            <v>1</v>
          </cell>
          <cell r="AH252" t="str">
            <v>BDB-000011</v>
          </cell>
          <cell r="AI252" t="b">
            <v>1</v>
          </cell>
        </row>
        <row r="253">
          <cell r="A253" t="str">
            <v>F-2026-05-58</v>
          </cell>
          <cell r="B253" t="str">
            <v>FPRO-260504-0009</v>
          </cell>
          <cell r="C253" t="str">
            <v>15/5</v>
          </cell>
          <cell r="D253" t="str">
            <v>Firm plan 04.05</v>
          </cell>
          <cell r="E253" t="str">
            <v>BDB-000011</v>
          </cell>
          <cell r="F253" t="str">
            <v>PVN-000121</v>
          </cell>
          <cell r="G253" t="str">
            <v>OrthoLite Regular AIR BLUE/16-4134TPX Flat Sheet 0.13D 35+/-4 Asker C 1.1M 2M 12mm</v>
          </cell>
          <cell r="H253">
            <v>73</v>
          </cell>
          <cell r="I253">
            <v>7</v>
          </cell>
          <cell r="J253">
            <v>7</v>
          </cell>
          <cell r="K253" t="str">
            <v>ASICS</v>
          </cell>
          <cell r="L253" t="str">
            <v>Forecast</v>
          </cell>
          <cell r="M253" t="str">
            <v>MOLDED</v>
          </cell>
          <cell r="N253"/>
          <cell r="O253"/>
          <cell r="P253"/>
          <cell r="Q253">
            <v>46160</v>
          </cell>
          <cell r="R253">
            <v>46162</v>
          </cell>
          <cell r="S253">
            <v>46163</v>
          </cell>
          <cell r="T253" t="str">
            <v>l2</v>
          </cell>
          <cell r="U253"/>
          <cell r="V253">
            <v>0</v>
          </cell>
          <cell r="W253" t="b">
            <v>1</v>
          </cell>
          <cell r="X253">
            <v>0</v>
          </cell>
          <cell r="Y253">
            <v>73</v>
          </cell>
          <cell r="Z253" t="b">
            <v>0</v>
          </cell>
          <cell r="AA253"/>
          <cell r="AB253"/>
          <cell r="AC253" t="e">
            <v>#N/A</v>
          </cell>
          <cell r="AD253" t="e">
            <v>#N/A</v>
          </cell>
          <cell r="AE253" t="e">
            <v>#VALUE!</v>
          </cell>
          <cell r="AF253">
            <v>7</v>
          </cell>
          <cell r="AG253" t="b">
            <v>1</v>
          </cell>
          <cell r="AH253" t="str">
            <v>BDB-000011</v>
          </cell>
          <cell r="AI253" t="b">
            <v>1</v>
          </cell>
        </row>
        <row r="254">
          <cell r="A254" t="str">
            <v>F-2026-05-59</v>
          </cell>
          <cell r="B254" t="str">
            <v>FPRO-260504-0010</v>
          </cell>
          <cell r="C254" t="str">
            <v>15/5</v>
          </cell>
          <cell r="D254" t="str">
            <v>Firm plan 04.05</v>
          </cell>
          <cell r="E254" t="str">
            <v>BDB-000011</v>
          </cell>
          <cell r="F254" t="str">
            <v>PVN-000126</v>
          </cell>
          <cell r="G254" t="str">
            <v>OrthoLite Regular AIR BLUE/16-4134TPX Flat Sheet 0.13D 35+/-4 Asker C 1.1M 2M 4mm</v>
          </cell>
          <cell r="H254">
            <v>167</v>
          </cell>
          <cell r="I254">
            <v>5</v>
          </cell>
          <cell r="J254">
            <v>5</v>
          </cell>
          <cell r="K254" t="str">
            <v>ASICS</v>
          </cell>
          <cell r="L254" t="str">
            <v>Forecast</v>
          </cell>
          <cell r="M254" t="str">
            <v>SPLITTING</v>
          </cell>
          <cell r="N254"/>
          <cell r="O254"/>
          <cell r="P254"/>
          <cell r="Q254">
            <v>46160</v>
          </cell>
          <cell r="R254">
            <v>46162</v>
          </cell>
          <cell r="S254">
            <v>46163</v>
          </cell>
          <cell r="T254" t="str">
            <v>l2</v>
          </cell>
          <cell r="U254"/>
          <cell r="V254">
            <v>0</v>
          </cell>
          <cell r="W254" t="b">
            <v>1</v>
          </cell>
          <cell r="X254">
            <v>0</v>
          </cell>
          <cell r="Y254">
            <v>167</v>
          </cell>
          <cell r="Z254" t="b">
            <v>0</v>
          </cell>
          <cell r="AA254"/>
          <cell r="AB254"/>
          <cell r="AC254" t="e">
            <v>#N/A</v>
          </cell>
          <cell r="AD254" t="e">
            <v>#N/A</v>
          </cell>
          <cell r="AE254" t="e">
            <v>#VALUE!</v>
          </cell>
          <cell r="AF254">
            <v>5</v>
          </cell>
          <cell r="AG254" t="b">
            <v>1</v>
          </cell>
          <cell r="AH254" t="str">
            <v>BDB-000011</v>
          </cell>
          <cell r="AI254" t="b">
            <v>1</v>
          </cell>
        </row>
        <row r="255">
          <cell r="A255" t="str">
            <v>F-2026-05-63</v>
          </cell>
          <cell r="B255" t="str">
            <v>FPRO-260504-0014</v>
          </cell>
          <cell r="C255" t="str">
            <v>15/5</v>
          </cell>
          <cell r="D255" t="str">
            <v>Firm plan 04.05</v>
          </cell>
          <cell r="E255" t="str">
            <v>BDB-000011</v>
          </cell>
          <cell r="F255" t="str">
            <v>PVN-000127</v>
          </cell>
          <cell r="G255" t="str">
            <v>OrthoLite Regular AIR BLUE/16-4134TPX Flat Sheet 0.13D 35+/-4 Asker C 1.1M 2M 5mm</v>
          </cell>
          <cell r="H255">
            <v>355</v>
          </cell>
          <cell r="I255">
            <v>13</v>
          </cell>
          <cell r="J255">
            <v>13</v>
          </cell>
          <cell r="K255" t="str">
            <v>ASICS</v>
          </cell>
          <cell r="L255" t="str">
            <v>Forecast</v>
          </cell>
          <cell r="M255" t="str">
            <v>LAMINATING</v>
          </cell>
          <cell r="N255"/>
          <cell r="O255"/>
          <cell r="P255"/>
          <cell r="Q255">
            <v>46160</v>
          </cell>
          <cell r="R255">
            <v>46162</v>
          </cell>
          <cell r="S255">
            <v>46163</v>
          </cell>
          <cell r="T255" t="str">
            <v>l2</v>
          </cell>
          <cell r="U255"/>
          <cell r="V255">
            <v>0</v>
          </cell>
          <cell r="W255" t="b">
            <v>1</v>
          </cell>
          <cell r="X255">
            <v>0</v>
          </cell>
          <cell r="Y255">
            <v>355</v>
          </cell>
          <cell r="Z255" t="b">
            <v>0</v>
          </cell>
          <cell r="AA255"/>
          <cell r="AB255"/>
          <cell r="AC255" t="e">
            <v>#N/A</v>
          </cell>
          <cell r="AD255" t="e">
            <v>#N/A</v>
          </cell>
          <cell r="AE255" t="e">
            <v>#VALUE!</v>
          </cell>
          <cell r="AF255">
            <v>13</v>
          </cell>
          <cell r="AG255" t="b">
            <v>1</v>
          </cell>
          <cell r="AH255" t="str">
            <v>BDB-000011</v>
          </cell>
          <cell r="AI255" t="b">
            <v>1</v>
          </cell>
        </row>
        <row r="256">
          <cell r="A256"/>
          <cell r="B256"/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</row>
        <row r="257">
          <cell r="A257" t="str">
            <v>F-2026-05-56</v>
          </cell>
          <cell r="B257" t="str">
            <v>FPRO-260504-0007</v>
          </cell>
          <cell r="C257" t="str">
            <v>15/5</v>
          </cell>
          <cell r="D257" t="str">
            <v>Firm plan 04.05</v>
          </cell>
          <cell r="E257" t="str">
            <v>BDB-000057</v>
          </cell>
          <cell r="F257" t="str">
            <v>PVN-000925</v>
          </cell>
          <cell r="G257" t="str">
            <v>OrthoLite Ultra YELLOW/13-0858TPX Flat Sheet 0.085D 25+/-4 Asker C 1.1M 2M 5mm</v>
          </cell>
          <cell r="H257">
            <v>935</v>
          </cell>
          <cell r="I257">
            <v>34</v>
          </cell>
          <cell r="J257">
            <v>34</v>
          </cell>
          <cell r="K257" t="str">
            <v>ASICS</v>
          </cell>
          <cell r="L257" t="str">
            <v>Forecast</v>
          </cell>
          <cell r="M257" t="str">
            <v>LAMINATING</v>
          </cell>
          <cell r="N257">
            <v>34</v>
          </cell>
          <cell r="O257"/>
          <cell r="P257"/>
          <cell r="Q257">
            <v>46160</v>
          </cell>
          <cell r="R257">
            <v>46162</v>
          </cell>
          <cell r="S257">
            <v>46163</v>
          </cell>
          <cell r="T257" t="str">
            <v>l2</v>
          </cell>
          <cell r="U257"/>
          <cell r="V257">
            <v>0</v>
          </cell>
          <cell r="W257" t="b">
            <v>1</v>
          </cell>
          <cell r="X257">
            <v>0</v>
          </cell>
          <cell r="Y257">
            <v>935</v>
          </cell>
          <cell r="Z257" t="b">
            <v>0</v>
          </cell>
          <cell r="AA257"/>
          <cell r="AB257"/>
          <cell r="AC257" t="e">
            <v>#N/A</v>
          </cell>
          <cell r="AD257" t="e">
            <v>#N/A</v>
          </cell>
          <cell r="AE257" t="e">
            <v>#VALUE!</v>
          </cell>
          <cell r="AF257">
            <v>34</v>
          </cell>
          <cell r="AG257" t="b">
            <v>1</v>
          </cell>
          <cell r="AH257" t="str">
            <v>BDB-000057</v>
          </cell>
          <cell r="AI257" t="b">
            <v>1</v>
          </cell>
        </row>
        <row r="258">
          <cell r="A258"/>
          <cell r="B258"/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</row>
        <row r="259">
          <cell r="A259" t="str">
            <v>F-2026-01-395-1</v>
          </cell>
          <cell r="B259" t="str">
            <v>FPRO-260127-0024</v>
          </cell>
          <cell r="C259" t="str">
            <v>15/5-16/5</v>
          </cell>
          <cell r="D259" t="str">
            <v>Firm plan 28.01</v>
          </cell>
          <cell r="E259" t="str">
            <v>BDB-000160</v>
          </cell>
          <cell r="F259" t="str">
            <v>PVN-001562</v>
          </cell>
          <cell r="G259" t="str">
            <v>OrthoLite Ultra-Nike LIME GREEN/14-0452TPX 0.085D 25+/-4 Asker C 1.1M 2M 4mm</v>
          </cell>
          <cell r="H259">
            <v>1000</v>
          </cell>
          <cell r="I259">
            <v>29</v>
          </cell>
          <cell r="J259">
            <v>29</v>
          </cell>
          <cell r="K259" t="str">
            <v>NIKE</v>
          </cell>
          <cell r="L259" t="str">
            <v>Forecast</v>
          </cell>
          <cell r="M259" t="str">
            <v>DIE CUT</v>
          </cell>
          <cell r="N259">
            <v>29</v>
          </cell>
          <cell r="O259"/>
          <cell r="P259"/>
          <cell r="Q259">
            <v>46160</v>
          </cell>
          <cell r="R259">
            <v>46162</v>
          </cell>
          <cell r="S259">
            <v>46163</v>
          </cell>
          <cell r="T259" t="str">
            <v>l2</v>
          </cell>
          <cell r="U259"/>
          <cell r="V259">
            <v>0</v>
          </cell>
          <cell r="W259" t="b">
            <v>1</v>
          </cell>
          <cell r="X259">
            <v>0</v>
          </cell>
          <cell r="Y259">
            <v>1000</v>
          </cell>
          <cell r="Z259" t="b">
            <v>0</v>
          </cell>
          <cell r="AA259"/>
          <cell r="AB259"/>
          <cell r="AC259" t="e">
            <v>#N/A</v>
          </cell>
          <cell r="AD259" t="e">
            <v>#N/A</v>
          </cell>
          <cell r="AE259" t="e">
            <v>#VALUE!</v>
          </cell>
          <cell r="AF259">
            <v>29</v>
          </cell>
          <cell r="AG259" t="b">
            <v>1</v>
          </cell>
          <cell r="AH259" t="str">
            <v>BDB-000160</v>
          </cell>
          <cell r="AI259" t="b">
            <v>1</v>
          </cell>
        </row>
        <row r="260">
          <cell r="A260"/>
          <cell r="B260"/>
          <cell r="C260"/>
          <cell r="D260"/>
          <cell r="E260"/>
          <cell r="F260"/>
          <cell r="G260" t="str">
            <v>RELEASE ĐỢT 2</v>
          </cell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>
            <v>0</v>
          </cell>
          <cell r="W260"/>
          <cell r="X260"/>
          <cell r="Y260"/>
          <cell r="Z260"/>
          <cell r="AA260"/>
          <cell r="AB260"/>
          <cell r="AC260"/>
          <cell r="AD260"/>
          <cell r="AE260"/>
          <cell r="AI260"/>
          <cell r="AJ260"/>
          <cell r="AK260"/>
          <cell r="AL260"/>
        </row>
        <row r="261">
          <cell r="A261"/>
          <cell r="B261"/>
          <cell r="C261"/>
          <cell r="D261"/>
          <cell r="E261"/>
          <cell r="F261"/>
          <cell r="G261"/>
          <cell r="H261">
            <v>25774</v>
          </cell>
          <cell r="I261">
            <v>780</v>
          </cell>
          <cell r="J261">
            <v>780</v>
          </cell>
          <cell r="K261"/>
          <cell r="L261"/>
          <cell r="M261"/>
          <cell r="N261">
            <v>765</v>
          </cell>
          <cell r="O261">
            <v>-57</v>
          </cell>
          <cell r="P261"/>
          <cell r="Q261"/>
          <cell r="V261">
            <v>-765</v>
          </cell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</row>
        <row r="266">
          <cell r="C266"/>
          <cell r="D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</row>
        <row r="267">
          <cell r="C267"/>
          <cell r="D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</row>
        <row r="268">
          <cell r="C268"/>
          <cell r="D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</row>
        <row r="269">
          <cell r="C269"/>
          <cell r="D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</row>
        <row r="270">
          <cell r="C270"/>
          <cell r="D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</row>
        <row r="271">
          <cell r="C271"/>
          <cell r="D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</row>
        <row r="272">
          <cell r="C272"/>
          <cell r="D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</row>
        <row r="273">
          <cell r="C273"/>
          <cell r="D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</row>
        <row r="274">
          <cell r="C274"/>
          <cell r="D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</row>
        <row r="275">
          <cell r="C275"/>
          <cell r="D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</row>
        <row r="276">
          <cell r="C276"/>
          <cell r="D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</row>
        <row r="277">
          <cell r="C277"/>
          <cell r="D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</row>
        <row r="278">
          <cell r="C278"/>
          <cell r="D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</row>
        <row r="279">
          <cell r="C279"/>
          <cell r="D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</row>
        <row r="280">
          <cell r="C280"/>
          <cell r="D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</row>
        <row r="281">
          <cell r="C281"/>
          <cell r="D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</row>
        <row r="282">
          <cell r="C282"/>
          <cell r="D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</row>
        <row r="283">
          <cell r="C283"/>
          <cell r="D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</row>
        <row r="284">
          <cell r="C284"/>
          <cell r="D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</row>
        <row r="285">
          <cell r="C285"/>
          <cell r="D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</row>
        <row r="286">
          <cell r="C286"/>
          <cell r="D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</row>
        <row r="287">
          <cell r="C287"/>
          <cell r="D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</row>
        <row r="288">
          <cell r="C288"/>
          <cell r="D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</row>
        <row r="289">
          <cell r="C289"/>
          <cell r="D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</row>
        <row r="290">
          <cell r="C290"/>
          <cell r="D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</row>
        <row r="291">
          <cell r="C291"/>
          <cell r="D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</row>
        <row r="292">
          <cell r="C292"/>
          <cell r="D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</row>
        <row r="293">
          <cell r="C293"/>
          <cell r="D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</row>
        <row r="294">
          <cell r="C294"/>
          <cell r="D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</row>
        <row r="497">
          <cell r="A497"/>
          <cell r="B497"/>
          <cell r="C497"/>
          <cell r="E497"/>
          <cell r="F497"/>
          <cell r="G497"/>
          <cell r="H497"/>
          <cell r="I497"/>
          <cell r="J497"/>
          <cell r="K497"/>
          <cell r="L497"/>
          <cell r="M497"/>
          <cell r="N497"/>
          <cell r="O497"/>
          <cell r="P497"/>
          <cell r="Q497"/>
          <cell r="R497"/>
          <cell r="S497"/>
          <cell r="T497"/>
          <cell r="U497"/>
          <cell r="V497"/>
          <cell r="W497"/>
          <cell r="X497"/>
          <cell r="Y497"/>
          <cell r="Z497"/>
          <cell r="AA497"/>
          <cell r="AB497"/>
        </row>
        <row r="499">
          <cell r="I499"/>
        </row>
        <row r="504">
          <cell r="A504"/>
          <cell r="B504"/>
          <cell r="C504"/>
          <cell r="D504"/>
          <cell r="E504"/>
          <cell r="F504"/>
          <cell r="G504"/>
          <cell r="H504"/>
          <cell r="I504"/>
          <cell r="J504"/>
          <cell r="K504"/>
          <cell r="L504"/>
          <cell r="M504"/>
          <cell r="N504"/>
          <cell r="Q504"/>
          <cell r="R504"/>
          <cell r="S504"/>
          <cell r="T504"/>
          <cell r="U504"/>
          <cell r="V504"/>
          <cell r="W504"/>
          <cell r="X504"/>
          <cell r="Y504"/>
          <cell r="Z504"/>
          <cell r="AA504"/>
          <cell r="AB504"/>
          <cell r="AC504"/>
          <cell r="AD504"/>
          <cell r="AE504"/>
        </row>
        <row r="505">
          <cell r="A505"/>
          <cell r="B505"/>
          <cell r="C505"/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Q505"/>
          <cell r="R505"/>
          <cell r="S505"/>
          <cell r="T505"/>
          <cell r="U505"/>
          <cell r="V505"/>
          <cell r="W505"/>
          <cell r="X505"/>
          <cell r="Y505"/>
          <cell r="Z505"/>
          <cell r="AA505"/>
          <cell r="AB505"/>
          <cell r="AC505"/>
          <cell r="AD505"/>
          <cell r="AE505"/>
        </row>
        <row r="506">
          <cell r="A506"/>
          <cell r="B506"/>
          <cell r="C506"/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Q506"/>
          <cell r="R506"/>
          <cell r="S506"/>
          <cell r="T506"/>
          <cell r="U506"/>
          <cell r="V506"/>
          <cell r="W506"/>
          <cell r="X506"/>
          <cell r="Y506"/>
          <cell r="Z506"/>
          <cell r="AA506"/>
          <cell r="AB506"/>
          <cell r="AC506"/>
          <cell r="AD506"/>
          <cell r="AE506"/>
        </row>
        <row r="507">
          <cell r="A507"/>
          <cell r="B507"/>
          <cell r="C507"/>
          <cell r="D507"/>
          <cell r="E507"/>
          <cell r="F507"/>
          <cell r="G507"/>
          <cell r="H507"/>
          <cell r="I507"/>
          <cell r="J507"/>
          <cell r="K507"/>
          <cell r="L507"/>
          <cell r="M507"/>
          <cell r="N507"/>
          <cell r="Q507"/>
          <cell r="R507"/>
          <cell r="S507"/>
          <cell r="T507"/>
          <cell r="U507"/>
          <cell r="V507"/>
          <cell r="W507"/>
          <cell r="X507"/>
          <cell r="Y507"/>
          <cell r="Z507"/>
          <cell r="AA507"/>
          <cell r="AB507"/>
          <cell r="AC507"/>
          <cell r="AD507"/>
          <cell r="AE507"/>
        </row>
        <row r="508">
          <cell r="A508"/>
          <cell r="B508"/>
          <cell r="C508"/>
          <cell r="D508"/>
          <cell r="E508"/>
          <cell r="F508"/>
          <cell r="G508"/>
          <cell r="H508"/>
          <cell r="I508"/>
          <cell r="J508"/>
          <cell r="K508"/>
          <cell r="L508"/>
          <cell r="M508"/>
          <cell r="N508"/>
          <cell r="Q508"/>
          <cell r="R508"/>
          <cell r="S508"/>
          <cell r="T508"/>
          <cell r="U508"/>
          <cell r="V508"/>
          <cell r="W508"/>
          <cell r="X508"/>
          <cell r="Y508"/>
          <cell r="Z508"/>
          <cell r="AA508"/>
          <cell r="AB508"/>
          <cell r="AC508"/>
          <cell r="AD508"/>
          <cell r="AE508"/>
        </row>
        <row r="509">
          <cell r="A509"/>
          <cell r="B509"/>
          <cell r="C509"/>
          <cell r="D509"/>
          <cell r="E509"/>
          <cell r="F509"/>
          <cell r="G509"/>
          <cell r="H509"/>
          <cell r="I509"/>
          <cell r="J509"/>
          <cell r="K509"/>
          <cell r="L509"/>
          <cell r="M509"/>
          <cell r="N509"/>
          <cell r="Q509"/>
          <cell r="R509"/>
          <cell r="S509"/>
          <cell r="T509"/>
          <cell r="U509"/>
          <cell r="V509"/>
          <cell r="W509"/>
          <cell r="X509"/>
          <cell r="Y509"/>
          <cell r="Z509"/>
          <cell r="AA509"/>
          <cell r="AB509"/>
          <cell r="AC509"/>
          <cell r="AD509"/>
          <cell r="AE509"/>
        </row>
        <row r="510">
          <cell r="A510"/>
          <cell r="B510"/>
          <cell r="C510"/>
          <cell r="D510"/>
          <cell r="E510"/>
          <cell r="F510"/>
          <cell r="G510"/>
          <cell r="H510"/>
          <cell r="I510"/>
          <cell r="J510"/>
          <cell r="K510"/>
          <cell r="L510"/>
          <cell r="M510"/>
          <cell r="N510"/>
          <cell r="Q510"/>
          <cell r="R510"/>
          <cell r="S510"/>
          <cell r="T510"/>
          <cell r="U510"/>
          <cell r="V510"/>
          <cell r="W510"/>
          <cell r="X510"/>
          <cell r="Y510"/>
          <cell r="Z510"/>
          <cell r="AA510"/>
          <cell r="AB510"/>
          <cell r="AC510"/>
          <cell r="AD510"/>
          <cell r="AE510"/>
        </row>
        <row r="511">
          <cell r="A511"/>
          <cell r="B511"/>
          <cell r="C511"/>
          <cell r="D511"/>
          <cell r="E511"/>
          <cell r="F511"/>
          <cell r="G511"/>
          <cell r="H511"/>
          <cell r="I511"/>
          <cell r="J511"/>
          <cell r="K511"/>
          <cell r="L511"/>
          <cell r="M511"/>
          <cell r="N511"/>
          <cell r="Q511"/>
          <cell r="R511"/>
          <cell r="S511"/>
          <cell r="T511"/>
          <cell r="U511"/>
          <cell r="V511"/>
          <cell r="W511"/>
          <cell r="X511"/>
          <cell r="Y511"/>
          <cell r="Z511"/>
          <cell r="AA511"/>
          <cell r="AB511"/>
          <cell r="AC511"/>
          <cell r="AD511"/>
          <cell r="AE511"/>
        </row>
        <row r="512">
          <cell r="A512"/>
          <cell r="B512"/>
          <cell r="C512"/>
          <cell r="D512"/>
          <cell r="E512"/>
          <cell r="F512"/>
          <cell r="G512"/>
          <cell r="H512"/>
          <cell r="I512"/>
          <cell r="J512"/>
          <cell r="K512"/>
          <cell r="L512"/>
          <cell r="M512"/>
          <cell r="N512"/>
          <cell r="Q512"/>
          <cell r="R512"/>
          <cell r="S512"/>
          <cell r="T512"/>
          <cell r="U512"/>
          <cell r="V512"/>
          <cell r="W512"/>
          <cell r="X512"/>
          <cell r="Y512"/>
          <cell r="Z512"/>
          <cell r="AA512"/>
          <cell r="AB512"/>
          <cell r="AC512"/>
          <cell r="AD512"/>
          <cell r="AE512"/>
        </row>
        <row r="513">
          <cell r="A513"/>
          <cell r="B513"/>
          <cell r="C513"/>
          <cell r="D513"/>
          <cell r="E513"/>
          <cell r="F513"/>
          <cell r="G513"/>
          <cell r="H513"/>
          <cell r="I513"/>
          <cell r="J513"/>
          <cell r="K513"/>
          <cell r="L513"/>
          <cell r="M513"/>
          <cell r="N513"/>
          <cell r="Q513"/>
          <cell r="R513"/>
          <cell r="S513"/>
          <cell r="T513"/>
          <cell r="U513"/>
          <cell r="V513"/>
          <cell r="W513"/>
          <cell r="X513"/>
          <cell r="Y513"/>
          <cell r="Z513"/>
          <cell r="AA513"/>
          <cell r="AB513"/>
          <cell r="AC513"/>
          <cell r="AD513"/>
          <cell r="AE513"/>
        </row>
        <row r="514">
          <cell r="A514"/>
          <cell r="B514"/>
          <cell r="C514"/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Q514"/>
          <cell r="R514"/>
          <cell r="S514"/>
          <cell r="T514"/>
          <cell r="U514"/>
          <cell r="V514"/>
          <cell r="W514"/>
          <cell r="X514"/>
          <cell r="Y514"/>
          <cell r="Z514"/>
          <cell r="AA514"/>
          <cell r="AB514"/>
          <cell r="AC514"/>
          <cell r="AD514"/>
          <cell r="AE514"/>
        </row>
        <row r="515">
          <cell r="N515"/>
        </row>
        <row r="516">
          <cell r="A516"/>
          <cell r="B516"/>
          <cell r="C516"/>
          <cell r="D516"/>
          <cell r="E516"/>
          <cell r="F516"/>
          <cell r="G516"/>
          <cell r="H516"/>
          <cell r="I516"/>
          <cell r="J516"/>
          <cell r="K516"/>
          <cell r="L516"/>
          <cell r="M516"/>
          <cell r="N516"/>
          <cell r="Q516"/>
          <cell r="R516"/>
          <cell r="S516"/>
          <cell r="T516"/>
          <cell r="U516"/>
          <cell r="V516"/>
          <cell r="W516"/>
          <cell r="X516"/>
          <cell r="Y516"/>
          <cell r="Z516"/>
          <cell r="AA516"/>
          <cell r="AB516"/>
          <cell r="AC516"/>
          <cell r="AD516"/>
          <cell r="AE516"/>
        </row>
        <row r="517">
          <cell r="A517"/>
          <cell r="B517"/>
          <cell r="C517"/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Q517"/>
          <cell r="R517"/>
          <cell r="S517"/>
          <cell r="T517"/>
          <cell r="U517"/>
          <cell r="V517"/>
          <cell r="W517"/>
          <cell r="X517"/>
          <cell r="Y517"/>
          <cell r="Z517"/>
          <cell r="AA517"/>
          <cell r="AB517"/>
          <cell r="AC517"/>
          <cell r="AD517"/>
          <cell r="AE517"/>
        </row>
        <row r="518">
          <cell r="A518"/>
          <cell r="B518"/>
          <cell r="C518"/>
          <cell r="D518"/>
          <cell r="E518"/>
          <cell r="F518"/>
          <cell r="G518"/>
          <cell r="H518"/>
          <cell r="I518"/>
          <cell r="J518"/>
          <cell r="K518"/>
          <cell r="L518"/>
          <cell r="M518"/>
          <cell r="N518"/>
          <cell r="Q518"/>
          <cell r="R518"/>
          <cell r="S518"/>
          <cell r="T518"/>
          <cell r="U518"/>
          <cell r="V518"/>
          <cell r="W518"/>
          <cell r="X518"/>
          <cell r="Y518"/>
          <cell r="Z518"/>
          <cell r="AA518"/>
          <cell r="AB518"/>
          <cell r="AC518"/>
          <cell r="AD518"/>
          <cell r="AE518"/>
        </row>
        <row r="519">
          <cell r="A519"/>
          <cell r="B519"/>
          <cell r="C519"/>
          <cell r="D519"/>
          <cell r="E519"/>
          <cell r="F519"/>
          <cell r="G519"/>
          <cell r="H519"/>
          <cell r="I519"/>
          <cell r="J519"/>
          <cell r="K519"/>
          <cell r="L519"/>
          <cell r="M519"/>
          <cell r="N519"/>
          <cell r="Q519"/>
          <cell r="R519"/>
          <cell r="S519"/>
          <cell r="T519"/>
          <cell r="U519"/>
          <cell r="V519"/>
          <cell r="W519"/>
          <cell r="X519"/>
          <cell r="Y519"/>
          <cell r="Z519"/>
          <cell r="AA519"/>
          <cell r="AB519"/>
          <cell r="AC519"/>
          <cell r="AD519"/>
          <cell r="AE519"/>
        </row>
        <row r="520">
          <cell r="A520"/>
          <cell r="B520"/>
          <cell r="C520"/>
          <cell r="D520"/>
          <cell r="E520"/>
          <cell r="F520"/>
          <cell r="G520"/>
          <cell r="H520"/>
          <cell r="I520"/>
          <cell r="J520"/>
          <cell r="K520"/>
          <cell r="L520"/>
          <cell r="M520"/>
          <cell r="N520"/>
          <cell r="Q520"/>
          <cell r="R520"/>
          <cell r="S520"/>
          <cell r="T520"/>
          <cell r="U520"/>
          <cell r="V520"/>
          <cell r="W520"/>
          <cell r="X520"/>
          <cell r="Y520"/>
          <cell r="Z520"/>
          <cell r="AA520"/>
          <cell r="AB520"/>
          <cell r="AC520"/>
          <cell r="AD520"/>
          <cell r="AE520"/>
        </row>
        <row r="521">
          <cell r="A521"/>
          <cell r="B521"/>
          <cell r="C521"/>
          <cell r="D521"/>
          <cell r="E521"/>
          <cell r="F521"/>
          <cell r="G521"/>
          <cell r="H521"/>
          <cell r="I521"/>
          <cell r="J521"/>
          <cell r="K521"/>
          <cell r="L521"/>
          <cell r="M521"/>
          <cell r="N521"/>
          <cell r="Q521"/>
          <cell r="R521"/>
          <cell r="S521"/>
          <cell r="T521"/>
          <cell r="U521"/>
          <cell r="V521"/>
          <cell r="W521"/>
          <cell r="X521"/>
          <cell r="Y521"/>
          <cell r="Z521"/>
          <cell r="AA521"/>
          <cell r="AB521"/>
          <cell r="AC521"/>
          <cell r="AD521"/>
          <cell r="AE521"/>
        </row>
        <row r="522">
          <cell r="A522"/>
          <cell r="B522"/>
          <cell r="C522"/>
          <cell r="D522"/>
          <cell r="E522"/>
          <cell r="F522"/>
          <cell r="G522"/>
          <cell r="H522"/>
          <cell r="I522"/>
          <cell r="J522"/>
          <cell r="K522"/>
          <cell r="L522"/>
          <cell r="M522"/>
          <cell r="N522"/>
          <cell r="Q522"/>
          <cell r="R522"/>
          <cell r="S522"/>
          <cell r="T522"/>
          <cell r="U522"/>
          <cell r="V522"/>
          <cell r="W522"/>
          <cell r="X522"/>
          <cell r="Y522"/>
          <cell r="Z522"/>
          <cell r="AA522"/>
          <cell r="AB522"/>
          <cell r="AC522"/>
          <cell r="AD522"/>
          <cell r="AE522"/>
        </row>
        <row r="523">
          <cell r="A523"/>
          <cell r="B523"/>
          <cell r="C523"/>
          <cell r="D523"/>
          <cell r="E523"/>
          <cell r="F523"/>
          <cell r="G523"/>
          <cell r="H523"/>
          <cell r="I523"/>
          <cell r="J523"/>
          <cell r="K523"/>
          <cell r="L523"/>
          <cell r="M523"/>
          <cell r="N523"/>
          <cell r="Q523"/>
          <cell r="R523"/>
          <cell r="S523"/>
          <cell r="T523"/>
          <cell r="U523"/>
          <cell r="V523"/>
          <cell r="W523"/>
          <cell r="X523"/>
          <cell r="Y523"/>
          <cell r="Z523"/>
          <cell r="AA523"/>
          <cell r="AB523"/>
          <cell r="AC523"/>
          <cell r="AD523"/>
          <cell r="AE523"/>
        </row>
        <row r="524">
          <cell r="A524"/>
          <cell r="B524"/>
          <cell r="C524"/>
          <cell r="D524"/>
          <cell r="E524"/>
          <cell r="F524"/>
          <cell r="G524"/>
          <cell r="H524"/>
          <cell r="I524"/>
          <cell r="J524"/>
          <cell r="K524"/>
          <cell r="L524"/>
          <cell r="M524"/>
          <cell r="N524"/>
          <cell r="Q524"/>
          <cell r="R524"/>
          <cell r="S524"/>
          <cell r="T524"/>
          <cell r="U524"/>
          <cell r="V524"/>
          <cell r="W524"/>
          <cell r="X524"/>
          <cell r="Y524"/>
          <cell r="Z524"/>
          <cell r="AA524"/>
          <cell r="AB524"/>
          <cell r="AC524"/>
          <cell r="AD524"/>
          <cell r="AE524"/>
        </row>
        <row r="525">
          <cell r="A525"/>
          <cell r="B525"/>
          <cell r="C525"/>
          <cell r="D525"/>
          <cell r="E525"/>
          <cell r="F525"/>
          <cell r="G525"/>
          <cell r="H525"/>
          <cell r="I525"/>
          <cell r="J525"/>
          <cell r="K525"/>
          <cell r="L525"/>
          <cell r="M525"/>
          <cell r="N525"/>
          <cell r="Q525"/>
          <cell r="R525"/>
          <cell r="S525"/>
          <cell r="T525"/>
          <cell r="U525"/>
          <cell r="V525"/>
          <cell r="W525"/>
          <cell r="X525"/>
          <cell r="Y525"/>
          <cell r="Z525"/>
          <cell r="AA525"/>
          <cell r="AB525"/>
          <cell r="AC525"/>
          <cell r="AD525"/>
          <cell r="AE525"/>
        </row>
        <row r="526">
          <cell r="A526"/>
          <cell r="B526"/>
          <cell r="C526"/>
          <cell r="D526"/>
          <cell r="E526"/>
          <cell r="F526"/>
          <cell r="G526"/>
          <cell r="H526"/>
          <cell r="I526"/>
          <cell r="J526"/>
          <cell r="K526"/>
          <cell r="L526"/>
          <cell r="M526"/>
          <cell r="N526"/>
          <cell r="Q526"/>
          <cell r="R526"/>
          <cell r="S526"/>
          <cell r="T526"/>
          <cell r="U526"/>
          <cell r="V526"/>
          <cell r="W526"/>
          <cell r="X526"/>
          <cell r="Y526"/>
          <cell r="Z526"/>
          <cell r="AA526"/>
          <cell r="AB526"/>
          <cell r="AC526"/>
          <cell r="AD526"/>
          <cell r="AE526"/>
        </row>
        <row r="527">
          <cell r="A527"/>
          <cell r="B527"/>
          <cell r="C527"/>
          <cell r="D527"/>
          <cell r="E527"/>
          <cell r="F527"/>
          <cell r="G527"/>
          <cell r="H527"/>
          <cell r="I527"/>
          <cell r="J527"/>
          <cell r="K527"/>
          <cell r="L527"/>
          <cell r="M527"/>
          <cell r="N527"/>
          <cell r="Q527"/>
          <cell r="R527"/>
          <cell r="S527"/>
          <cell r="T527"/>
          <cell r="U527"/>
          <cell r="V527"/>
          <cell r="W527"/>
          <cell r="X527"/>
          <cell r="Y527"/>
          <cell r="Z527"/>
          <cell r="AA527"/>
          <cell r="AB527"/>
          <cell r="AC527"/>
          <cell r="AD527"/>
          <cell r="AE527"/>
        </row>
        <row r="528">
          <cell r="A528"/>
          <cell r="B528"/>
          <cell r="C528"/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Q528"/>
          <cell r="R528"/>
          <cell r="S528"/>
          <cell r="T528"/>
          <cell r="U528"/>
          <cell r="V528"/>
          <cell r="W528"/>
          <cell r="X528"/>
          <cell r="Y528"/>
          <cell r="Z528"/>
          <cell r="AA528"/>
          <cell r="AB528"/>
          <cell r="AC528"/>
          <cell r="AD528"/>
          <cell r="AE528"/>
        </row>
        <row r="529">
          <cell r="A529"/>
          <cell r="B529"/>
          <cell r="C529"/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Q529"/>
          <cell r="R529"/>
          <cell r="S529"/>
          <cell r="T529"/>
          <cell r="U529"/>
          <cell r="V529"/>
          <cell r="W529"/>
          <cell r="X529"/>
          <cell r="Y529"/>
          <cell r="Z529"/>
          <cell r="AA529"/>
          <cell r="AB529"/>
          <cell r="AC529"/>
          <cell r="AD529"/>
          <cell r="AE529"/>
        </row>
        <row r="530">
          <cell r="A530"/>
          <cell r="B530"/>
          <cell r="C530"/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Q530"/>
          <cell r="R530"/>
          <cell r="S530"/>
          <cell r="T530"/>
          <cell r="U530"/>
          <cell r="V530"/>
          <cell r="W530"/>
          <cell r="X530"/>
          <cell r="Y530"/>
          <cell r="Z530"/>
          <cell r="AA530"/>
          <cell r="AB530"/>
          <cell r="AC530"/>
          <cell r="AD530"/>
          <cell r="AE530"/>
        </row>
        <row r="531">
          <cell r="A531"/>
          <cell r="B531"/>
          <cell r="C531"/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Q531"/>
          <cell r="R531"/>
          <cell r="S531"/>
          <cell r="T531"/>
          <cell r="U531"/>
          <cell r="V531"/>
          <cell r="W531"/>
          <cell r="X531"/>
          <cell r="Y531"/>
          <cell r="Z531"/>
          <cell r="AA531"/>
          <cell r="AB531"/>
          <cell r="AC531"/>
          <cell r="AD531"/>
          <cell r="AE531"/>
        </row>
        <row r="532">
          <cell r="A532"/>
          <cell r="B532"/>
          <cell r="C532"/>
          <cell r="D532"/>
          <cell r="E532"/>
          <cell r="F532"/>
          <cell r="G532"/>
          <cell r="H532"/>
          <cell r="I532"/>
          <cell r="J532"/>
          <cell r="K532"/>
          <cell r="L532"/>
          <cell r="M532"/>
          <cell r="N532"/>
          <cell r="Q532"/>
          <cell r="R532"/>
          <cell r="S532"/>
          <cell r="T532"/>
          <cell r="U532"/>
          <cell r="V532"/>
          <cell r="W532"/>
          <cell r="X532"/>
          <cell r="Y532"/>
          <cell r="Z532"/>
          <cell r="AA532"/>
          <cell r="AB532"/>
          <cell r="AC532"/>
          <cell r="AD532"/>
          <cell r="AE532"/>
        </row>
        <row r="533">
          <cell r="A533"/>
          <cell r="B533"/>
          <cell r="C533"/>
          <cell r="D533"/>
          <cell r="E533"/>
          <cell r="F533"/>
          <cell r="G533"/>
          <cell r="H533"/>
          <cell r="I533"/>
          <cell r="J533"/>
          <cell r="K533"/>
          <cell r="L533"/>
          <cell r="M533"/>
          <cell r="N533"/>
          <cell r="Q533"/>
          <cell r="R533"/>
          <cell r="S533"/>
          <cell r="T533"/>
          <cell r="U533"/>
          <cell r="V533"/>
          <cell r="W533"/>
          <cell r="X533"/>
          <cell r="Y533"/>
          <cell r="Z533"/>
          <cell r="AA533"/>
          <cell r="AB533"/>
          <cell r="AC533"/>
          <cell r="AD533"/>
          <cell r="AE533"/>
        </row>
        <row r="534">
          <cell r="A534"/>
          <cell r="B534"/>
          <cell r="C534"/>
          <cell r="D534"/>
          <cell r="E534"/>
          <cell r="F534"/>
          <cell r="G534"/>
          <cell r="H534"/>
          <cell r="I534"/>
          <cell r="J534"/>
          <cell r="K534"/>
          <cell r="L534"/>
          <cell r="M534"/>
          <cell r="N534"/>
          <cell r="Q534"/>
          <cell r="R534"/>
          <cell r="S534"/>
          <cell r="T534"/>
          <cell r="U534"/>
          <cell r="V534"/>
          <cell r="W534"/>
          <cell r="X534"/>
          <cell r="Y534"/>
          <cell r="Z534"/>
          <cell r="AA534"/>
          <cell r="AB534"/>
          <cell r="AC534"/>
          <cell r="AD534"/>
          <cell r="AE534"/>
        </row>
        <row r="535">
          <cell r="A535"/>
          <cell r="B535"/>
          <cell r="C535"/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Q535"/>
          <cell r="R535"/>
          <cell r="S535"/>
          <cell r="T535"/>
          <cell r="U535"/>
          <cell r="V535"/>
          <cell r="W535"/>
          <cell r="X535"/>
          <cell r="Y535"/>
          <cell r="Z535"/>
          <cell r="AA535"/>
          <cell r="AB535"/>
          <cell r="AC535"/>
          <cell r="AD535"/>
          <cell r="AE535"/>
        </row>
        <row r="536">
          <cell r="A536"/>
          <cell r="B536"/>
          <cell r="C536"/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Q536"/>
          <cell r="R536"/>
          <cell r="S536"/>
          <cell r="T536"/>
          <cell r="U536"/>
          <cell r="V536"/>
          <cell r="W536"/>
          <cell r="X536"/>
          <cell r="Y536"/>
          <cell r="Z536"/>
          <cell r="AA536"/>
          <cell r="AB536"/>
          <cell r="AC536"/>
          <cell r="AD536"/>
          <cell r="AE536"/>
        </row>
        <row r="537">
          <cell r="A537"/>
          <cell r="B537"/>
          <cell r="C537"/>
          <cell r="D537"/>
          <cell r="E537"/>
          <cell r="F537"/>
          <cell r="G537"/>
          <cell r="H537"/>
          <cell r="I537"/>
          <cell r="J537"/>
          <cell r="K537"/>
          <cell r="L537"/>
          <cell r="M537"/>
          <cell r="N537"/>
          <cell r="Q537"/>
          <cell r="R537"/>
          <cell r="S537"/>
          <cell r="T537"/>
          <cell r="U537"/>
          <cell r="V537"/>
          <cell r="W537"/>
          <cell r="X537"/>
          <cell r="Y537"/>
          <cell r="Z537"/>
          <cell r="AA537"/>
          <cell r="AB537"/>
          <cell r="AC537"/>
          <cell r="AD537"/>
          <cell r="AE537"/>
        </row>
        <row r="538">
          <cell r="A538"/>
          <cell r="B538"/>
          <cell r="C538"/>
          <cell r="D538"/>
          <cell r="E538"/>
          <cell r="F538"/>
          <cell r="G538"/>
          <cell r="H538"/>
          <cell r="I538"/>
          <cell r="J538"/>
          <cell r="K538"/>
          <cell r="L538"/>
          <cell r="M538"/>
          <cell r="N538"/>
          <cell r="Q538"/>
          <cell r="R538"/>
          <cell r="S538"/>
          <cell r="T538"/>
          <cell r="U538"/>
          <cell r="V538"/>
          <cell r="W538"/>
          <cell r="X538"/>
          <cell r="Y538"/>
          <cell r="Z538"/>
          <cell r="AA538"/>
          <cell r="AB538"/>
          <cell r="AC538"/>
          <cell r="AD538"/>
          <cell r="AE538"/>
        </row>
        <row r="539">
          <cell r="A539"/>
          <cell r="B539"/>
          <cell r="C539"/>
          <cell r="D539"/>
          <cell r="E539"/>
          <cell r="F539"/>
          <cell r="G539"/>
          <cell r="H539"/>
          <cell r="I539"/>
          <cell r="J539"/>
          <cell r="K539"/>
          <cell r="L539"/>
          <cell r="M539"/>
          <cell r="N539"/>
          <cell r="Q539"/>
          <cell r="R539"/>
          <cell r="S539"/>
          <cell r="T539"/>
          <cell r="U539"/>
          <cell r="V539"/>
          <cell r="W539"/>
          <cell r="X539"/>
          <cell r="Y539"/>
          <cell r="Z539"/>
          <cell r="AA539"/>
          <cell r="AB539"/>
          <cell r="AC539"/>
          <cell r="AD539"/>
          <cell r="AE539"/>
        </row>
        <row r="540">
          <cell r="A540"/>
          <cell r="B540"/>
          <cell r="C540"/>
          <cell r="D540"/>
          <cell r="E540"/>
          <cell r="F540"/>
          <cell r="G540"/>
          <cell r="H540"/>
          <cell r="I540"/>
          <cell r="J540"/>
          <cell r="K540"/>
          <cell r="L540"/>
          <cell r="M540"/>
          <cell r="N540"/>
          <cell r="Q540"/>
          <cell r="R540"/>
          <cell r="S540"/>
          <cell r="T540"/>
          <cell r="U540"/>
          <cell r="V540"/>
          <cell r="W540"/>
          <cell r="X540"/>
          <cell r="Y540"/>
          <cell r="Z540"/>
          <cell r="AA540"/>
          <cell r="AB540"/>
          <cell r="AC540"/>
          <cell r="AD540"/>
          <cell r="AE540"/>
        </row>
        <row r="541">
          <cell r="A541"/>
          <cell r="B541"/>
          <cell r="C541"/>
          <cell r="D541"/>
          <cell r="E541"/>
          <cell r="F541"/>
          <cell r="G541"/>
          <cell r="H541"/>
          <cell r="I541"/>
          <cell r="J541"/>
          <cell r="K541"/>
          <cell r="L541"/>
          <cell r="M541"/>
          <cell r="N541"/>
          <cell r="Q541"/>
          <cell r="R541"/>
          <cell r="S541"/>
          <cell r="T541"/>
          <cell r="U541"/>
          <cell r="V541"/>
          <cell r="W541"/>
          <cell r="X541"/>
          <cell r="Y541"/>
          <cell r="Z541"/>
          <cell r="AA541"/>
          <cell r="AB541"/>
          <cell r="AC541"/>
          <cell r="AD541"/>
          <cell r="AE541"/>
        </row>
        <row r="542">
          <cell r="A542"/>
          <cell r="B542"/>
          <cell r="C542"/>
          <cell r="D542"/>
          <cell r="E542"/>
          <cell r="F542"/>
          <cell r="G542"/>
          <cell r="H542"/>
          <cell r="I542"/>
          <cell r="J542"/>
          <cell r="K542"/>
          <cell r="L542"/>
          <cell r="M542"/>
          <cell r="N542"/>
          <cell r="Q542"/>
          <cell r="R542"/>
          <cell r="S542"/>
          <cell r="T542"/>
          <cell r="U542"/>
          <cell r="V542"/>
          <cell r="W542"/>
          <cell r="X542"/>
          <cell r="Y542"/>
          <cell r="Z542"/>
          <cell r="AA542"/>
          <cell r="AB542"/>
          <cell r="AC542"/>
          <cell r="AD542"/>
          <cell r="AE542"/>
        </row>
        <row r="543">
          <cell r="A543"/>
          <cell r="B543"/>
          <cell r="C543"/>
          <cell r="D543"/>
          <cell r="E543"/>
          <cell r="F543"/>
          <cell r="G543"/>
          <cell r="H543"/>
          <cell r="I543"/>
          <cell r="J543"/>
          <cell r="K543"/>
          <cell r="L543"/>
          <cell r="M543"/>
          <cell r="N543"/>
          <cell r="Q543"/>
          <cell r="R543"/>
          <cell r="S543"/>
          <cell r="T543"/>
          <cell r="U543"/>
          <cell r="V543"/>
          <cell r="W543"/>
          <cell r="X543"/>
          <cell r="Y543"/>
          <cell r="Z543"/>
          <cell r="AA543"/>
          <cell r="AB543"/>
          <cell r="AC543"/>
          <cell r="AD543"/>
          <cell r="AE543"/>
        </row>
        <row r="544">
          <cell r="A544"/>
          <cell r="B544"/>
          <cell r="C544"/>
          <cell r="D544"/>
          <cell r="E544"/>
          <cell r="F544"/>
          <cell r="G544"/>
          <cell r="H544"/>
          <cell r="I544"/>
          <cell r="J544"/>
          <cell r="K544"/>
          <cell r="L544"/>
          <cell r="M544"/>
          <cell r="N544"/>
          <cell r="Q544"/>
          <cell r="R544"/>
          <cell r="S544"/>
          <cell r="T544"/>
          <cell r="U544"/>
          <cell r="V544"/>
          <cell r="W544"/>
          <cell r="X544"/>
          <cell r="Y544"/>
          <cell r="Z544"/>
          <cell r="AA544"/>
          <cell r="AB544"/>
          <cell r="AC544"/>
          <cell r="AD544"/>
          <cell r="AE544"/>
        </row>
        <row r="545">
          <cell r="A545"/>
          <cell r="B545"/>
          <cell r="C545"/>
          <cell r="D545"/>
          <cell r="E545"/>
          <cell r="F545"/>
          <cell r="G545"/>
          <cell r="H545"/>
          <cell r="I545"/>
          <cell r="J545"/>
          <cell r="K545"/>
          <cell r="L545"/>
          <cell r="M545"/>
          <cell r="N545"/>
          <cell r="Q545"/>
          <cell r="R545"/>
          <cell r="S545"/>
          <cell r="T545"/>
          <cell r="U545"/>
          <cell r="V545"/>
          <cell r="W545"/>
          <cell r="X545"/>
          <cell r="Y545"/>
          <cell r="Z545"/>
          <cell r="AA545"/>
          <cell r="AB545"/>
          <cell r="AC545"/>
          <cell r="AD545"/>
          <cell r="AE545"/>
        </row>
        <row r="546">
          <cell r="A546"/>
          <cell r="B546"/>
          <cell r="C546"/>
          <cell r="D546"/>
          <cell r="E546"/>
          <cell r="F546"/>
          <cell r="G546"/>
          <cell r="H546"/>
          <cell r="I546"/>
          <cell r="J546"/>
          <cell r="K546"/>
          <cell r="L546"/>
          <cell r="M546"/>
          <cell r="N546"/>
          <cell r="Q546"/>
          <cell r="R546"/>
          <cell r="S546"/>
          <cell r="T546"/>
          <cell r="U546"/>
          <cell r="V546"/>
          <cell r="W546"/>
          <cell r="X546"/>
          <cell r="Y546"/>
          <cell r="Z546"/>
          <cell r="AA546"/>
          <cell r="AB546"/>
          <cell r="AC546"/>
          <cell r="AD546"/>
          <cell r="AE546"/>
        </row>
        <row r="547">
          <cell r="A547"/>
          <cell r="B547"/>
          <cell r="C547"/>
          <cell r="D547"/>
          <cell r="E547"/>
          <cell r="F547"/>
          <cell r="G547"/>
          <cell r="H547"/>
          <cell r="I547"/>
          <cell r="J547"/>
          <cell r="K547"/>
          <cell r="L547"/>
          <cell r="M547"/>
          <cell r="N547"/>
          <cell r="Q547"/>
          <cell r="R547"/>
          <cell r="S547"/>
          <cell r="T547"/>
          <cell r="U547"/>
          <cell r="V547"/>
          <cell r="W547"/>
          <cell r="X547"/>
          <cell r="Y547"/>
          <cell r="Z547"/>
          <cell r="AA547"/>
          <cell r="AB547"/>
          <cell r="AC547"/>
          <cell r="AD547"/>
          <cell r="AE547"/>
        </row>
        <row r="548">
          <cell r="A548"/>
          <cell r="B548"/>
          <cell r="C548"/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Q548"/>
          <cell r="R548"/>
          <cell r="S548"/>
          <cell r="T548"/>
          <cell r="U548"/>
          <cell r="V548"/>
          <cell r="W548"/>
          <cell r="X548"/>
          <cell r="Y548"/>
          <cell r="Z548"/>
          <cell r="AA548"/>
          <cell r="AB548"/>
          <cell r="AC548"/>
          <cell r="AD548"/>
          <cell r="AE548"/>
        </row>
        <row r="549">
          <cell r="A549"/>
          <cell r="B549"/>
          <cell r="C549"/>
          <cell r="D549"/>
          <cell r="E549"/>
          <cell r="F549"/>
          <cell r="G549"/>
          <cell r="H549"/>
          <cell r="I549"/>
          <cell r="J549"/>
          <cell r="K549"/>
          <cell r="L549"/>
          <cell r="M549"/>
          <cell r="N549"/>
          <cell r="Q549"/>
          <cell r="R549"/>
          <cell r="S549"/>
          <cell r="T549"/>
          <cell r="U549"/>
          <cell r="V549"/>
          <cell r="W549"/>
          <cell r="X549"/>
          <cell r="Y549"/>
          <cell r="Z549"/>
          <cell r="AA549"/>
          <cell r="AB549"/>
          <cell r="AC549"/>
          <cell r="AD549"/>
          <cell r="AE549"/>
        </row>
        <row r="550">
          <cell r="A550"/>
          <cell r="B550"/>
          <cell r="C550"/>
          <cell r="D550"/>
          <cell r="E550"/>
          <cell r="F550"/>
          <cell r="G550"/>
          <cell r="H550"/>
          <cell r="I550"/>
          <cell r="J550"/>
          <cell r="K550"/>
          <cell r="L550"/>
          <cell r="M550"/>
          <cell r="N550"/>
          <cell r="Q550"/>
          <cell r="R550"/>
          <cell r="S550"/>
          <cell r="T550"/>
          <cell r="U550"/>
          <cell r="V550"/>
          <cell r="W550"/>
          <cell r="X550"/>
          <cell r="Y550"/>
          <cell r="Z550"/>
          <cell r="AA550"/>
          <cell r="AB550"/>
          <cell r="AC550"/>
          <cell r="AD550"/>
          <cell r="AE550"/>
        </row>
        <row r="551">
          <cell r="A551"/>
          <cell r="B551"/>
          <cell r="C551"/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Q551"/>
          <cell r="R551"/>
          <cell r="S551"/>
          <cell r="T551"/>
          <cell r="U551"/>
          <cell r="V551"/>
          <cell r="W551"/>
          <cell r="X551"/>
          <cell r="Y551"/>
          <cell r="Z551"/>
          <cell r="AA551"/>
          <cell r="AB551"/>
          <cell r="AC551"/>
          <cell r="AD551"/>
          <cell r="AE551"/>
        </row>
        <row r="552">
          <cell r="A552"/>
          <cell r="B552"/>
          <cell r="C552"/>
          <cell r="D552"/>
          <cell r="E552"/>
          <cell r="F552"/>
          <cell r="G552"/>
          <cell r="H552"/>
          <cell r="I552"/>
          <cell r="J552"/>
          <cell r="K552"/>
          <cell r="L552"/>
          <cell r="M552"/>
          <cell r="N552"/>
          <cell r="Q552"/>
          <cell r="R552"/>
          <cell r="S552"/>
          <cell r="T552"/>
          <cell r="U552"/>
          <cell r="V552"/>
          <cell r="W552"/>
          <cell r="X552"/>
          <cell r="Y552"/>
          <cell r="Z552"/>
          <cell r="AA552"/>
          <cell r="AB552"/>
          <cell r="AC552"/>
          <cell r="AD552"/>
          <cell r="AE552"/>
        </row>
        <row r="553">
          <cell r="A553"/>
          <cell r="B553"/>
          <cell r="C553"/>
          <cell r="D553"/>
          <cell r="E553"/>
          <cell r="F553"/>
          <cell r="G553"/>
          <cell r="H553"/>
          <cell r="I553"/>
          <cell r="J553"/>
          <cell r="K553"/>
          <cell r="L553"/>
          <cell r="M553"/>
          <cell r="N553"/>
          <cell r="Q553"/>
          <cell r="R553"/>
          <cell r="S553"/>
          <cell r="T553"/>
          <cell r="U553"/>
          <cell r="V553"/>
          <cell r="W553"/>
          <cell r="X553"/>
          <cell r="Y553"/>
          <cell r="Z553"/>
          <cell r="AA553"/>
          <cell r="AB553"/>
          <cell r="AC553"/>
          <cell r="AD553"/>
          <cell r="AE553"/>
        </row>
        <row r="554">
          <cell r="A554"/>
          <cell r="B554"/>
          <cell r="C554"/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Q554"/>
          <cell r="R554"/>
          <cell r="S554"/>
          <cell r="T554"/>
          <cell r="U554"/>
          <cell r="V554"/>
          <cell r="W554"/>
          <cell r="X554"/>
          <cell r="Y554"/>
          <cell r="Z554"/>
          <cell r="AA554"/>
          <cell r="AB554"/>
          <cell r="AC554"/>
          <cell r="AD554"/>
          <cell r="AE554"/>
        </row>
        <row r="555">
          <cell r="A555"/>
          <cell r="B555"/>
          <cell r="C555"/>
          <cell r="D555"/>
          <cell r="E555"/>
          <cell r="F555"/>
          <cell r="G555"/>
          <cell r="H555"/>
          <cell r="I555"/>
          <cell r="J555"/>
          <cell r="K555"/>
          <cell r="L555"/>
          <cell r="M555"/>
          <cell r="N555"/>
          <cell r="Q555"/>
          <cell r="R555"/>
          <cell r="S555"/>
          <cell r="T555"/>
          <cell r="U555"/>
          <cell r="V555"/>
          <cell r="W555"/>
          <cell r="X555"/>
          <cell r="Y555"/>
          <cell r="Z555"/>
          <cell r="AA555"/>
          <cell r="AB555"/>
          <cell r="AC555"/>
          <cell r="AD555"/>
          <cell r="AE555"/>
        </row>
        <row r="556">
          <cell r="A556"/>
          <cell r="B556"/>
          <cell r="C556"/>
          <cell r="D556"/>
          <cell r="E556"/>
          <cell r="F556"/>
          <cell r="G556"/>
          <cell r="H556"/>
          <cell r="I556"/>
          <cell r="J556"/>
          <cell r="K556"/>
          <cell r="L556"/>
          <cell r="M556"/>
          <cell r="N556"/>
          <cell r="Q556"/>
          <cell r="R556"/>
          <cell r="S556"/>
          <cell r="T556"/>
          <cell r="U556"/>
          <cell r="V556"/>
          <cell r="W556"/>
          <cell r="X556"/>
          <cell r="Y556"/>
          <cell r="Z556"/>
          <cell r="AA556"/>
          <cell r="AB556"/>
          <cell r="AC556"/>
          <cell r="AD556"/>
          <cell r="AE556"/>
        </row>
        <row r="557">
          <cell r="A557"/>
          <cell r="B557"/>
          <cell r="C557"/>
          <cell r="D557"/>
          <cell r="E557"/>
          <cell r="F557"/>
          <cell r="G557"/>
          <cell r="H557"/>
          <cell r="I557"/>
          <cell r="J557"/>
          <cell r="K557"/>
          <cell r="L557"/>
          <cell r="M557"/>
          <cell r="N557"/>
          <cell r="Q557"/>
          <cell r="R557"/>
          <cell r="S557"/>
          <cell r="T557"/>
          <cell r="U557"/>
          <cell r="V557"/>
          <cell r="W557"/>
          <cell r="X557"/>
          <cell r="Y557"/>
          <cell r="Z557"/>
          <cell r="AA557"/>
          <cell r="AB557"/>
          <cell r="AC557"/>
          <cell r="AD557"/>
          <cell r="AE557"/>
        </row>
        <row r="558">
          <cell r="A558"/>
          <cell r="B558"/>
          <cell r="C558"/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Q558"/>
          <cell r="R558"/>
          <cell r="S558"/>
          <cell r="T558"/>
          <cell r="U558"/>
          <cell r="V558"/>
          <cell r="W558"/>
          <cell r="X558"/>
          <cell r="Y558"/>
          <cell r="Z558"/>
          <cell r="AA558"/>
          <cell r="AB558"/>
          <cell r="AC558"/>
          <cell r="AD558"/>
          <cell r="AE558"/>
        </row>
        <row r="559">
          <cell r="A559"/>
          <cell r="B559"/>
          <cell r="C559"/>
          <cell r="D559"/>
          <cell r="E559"/>
          <cell r="F559"/>
          <cell r="G559"/>
          <cell r="H559"/>
          <cell r="I559"/>
          <cell r="J559"/>
          <cell r="K559"/>
          <cell r="L559"/>
          <cell r="M559"/>
          <cell r="N559"/>
          <cell r="Q559"/>
          <cell r="R559"/>
          <cell r="S559"/>
          <cell r="T559"/>
          <cell r="U559"/>
          <cell r="V559"/>
          <cell r="W559"/>
          <cell r="X559"/>
          <cell r="Y559"/>
          <cell r="Z559"/>
          <cell r="AA559"/>
          <cell r="AB559"/>
          <cell r="AC559"/>
          <cell r="AD559"/>
          <cell r="AE559"/>
        </row>
        <row r="560">
          <cell r="A560"/>
          <cell r="B560"/>
          <cell r="C560"/>
          <cell r="D560"/>
          <cell r="E560"/>
          <cell r="F560"/>
          <cell r="G560"/>
          <cell r="H560"/>
          <cell r="I560"/>
          <cell r="J560"/>
          <cell r="K560"/>
          <cell r="L560"/>
          <cell r="M560"/>
          <cell r="N560"/>
          <cell r="Q560"/>
          <cell r="R560"/>
          <cell r="S560"/>
          <cell r="T560"/>
          <cell r="U560"/>
          <cell r="V560"/>
          <cell r="W560"/>
          <cell r="X560"/>
          <cell r="Y560"/>
          <cell r="Z560"/>
          <cell r="AA560"/>
          <cell r="AB560"/>
          <cell r="AC560"/>
          <cell r="AD560"/>
          <cell r="AE560"/>
        </row>
        <row r="561">
          <cell r="A561"/>
          <cell r="B561"/>
          <cell r="C561"/>
          <cell r="D561"/>
          <cell r="E561"/>
          <cell r="F561"/>
          <cell r="G561"/>
          <cell r="H561"/>
          <cell r="I561"/>
          <cell r="J561"/>
          <cell r="K561"/>
          <cell r="L561"/>
          <cell r="M561"/>
          <cell r="N561"/>
          <cell r="Q561"/>
          <cell r="R561"/>
          <cell r="S561"/>
          <cell r="T561"/>
          <cell r="U561"/>
          <cell r="V561"/>
          <cell r="W561"/>
          <cell r="X561"/>
          <cell r="Y561"/>
          <cell r="Z561"/>
          <cell r="AA561"/>
          <cell r="AB561"/>
          <cell r="AC561"/>
          <cell r="AD561"/>
          <cell r="AE561"/>
        </row>
        <row r="756">
          <cell r="C756"/>
          <cell r="D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/>
          <cell r="S756"/>
          <cell r="T756"/>
          <cell r="U756"/>
          <cell r="V756"/>
          <cell r="W756"/>
          <cell r="X756"/>
          <cell r="Y756"/>
          <cell r="Z756"/>
          <cell r="AA756"/>
          <cell r="AB756"/>
          <cell r="AC756"/>
          <cell r="AD756"/>
          <cell r="AE756"/>
        </row>
        <row r="757">
          <cell r="C757"/>
          <cell r="D757"/>
          <cell r="F757"/>
          <cell r="G757"/>
          <cell r="H757"/>
          <cell r="I757"/>
          <cell r="J757"/>
          <cell r="K757"/>
          <cell r="L757"/>
          <cell r="M757"/>
          <cell r="N757"/>
          <cell r="O757"/>
          <cell r="P757"/>
          <cell r="Q757"/>
          <cell r="R757"/>
          <cell r="S757"/>
          <cell r="T757"/>
          <cell r="U757"/>
          <cell r="V757"/>
          <cell r="W757"/>
          <cell r="X757"/>
          <cell r="Y757"/>
          <cell r="Z757"/>
          <cell r="AA757"/>
          <cell r="AB757"/>
          <cell r="AC757"/>
          <cell r="AD757"/>
          <cell r="AE757"/>
        </row>
        <row r="758">
          <cell r="C758"/>
          <cell r="D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/>
          <cell r="S758"/>
          <cell r="T758"/>
          <cell r="U758"/>
          <cell r="V758"/>
          <cell r="W758"/>
          <cell r="X758"/>
          <cell r="Y758"/>
          <cell r="Z758"/>
          <cell r="AA758"/>
          <cell r="AB758"/>
          <cell r="AC758"/>
          <cell r="AD758"/>
          <cell r="AE758"/>
        </row>
        <row r="759">
          <cell r="C759"/>
          <cell r="D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/>
          <cell r="S759"/>
          <cell r="T759"/>
          <cell r="U759"/>
          <cell r="V759"/>
          <cell r="W759"/>
          <cell r="X759"/>
          <cell r="Y759"/>
          <cell r="Z759"/>
          <cell r="AA759"/>
          <cell r="AB759"/>
          <cell r="AC759"/>
          <cell r="AD759"/>
          <cell r="AE759"/>
        </row>
        <row r="760">
          <cell r="C760"/>
          <cell r="D760"/>
          <cell r="F760"/>
          <cell r="G760"/>
          <cell r="H760"/>
          <cell r="I760"/>
          <cell r="J760"/>
          <cell r="K760"/>
          <cell r="L760"/>
          <cell r="M760"/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  <cell r="X760"/>
          <cell r="Y760"/>
          <cell r="Z760"/>
          <cell r="AA760"/>
          <cell r="AB760"/>
          <cell r="AC760"/>
          <cell r="AD760"/>
          <cell r="AE760"/>
        </row>
        <row r="761">
          <cell r="C761"/>
          <cell r="D761"/>
          <cell r="F761"/>
          <cell r="G761"/>
          <cell r="H761"/>
          <cell r="I761"/>
          <cell r="J761"/>
          <cell r="K761"/>
          <cell r="L761"/>
          <cell r="M761"/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  <cell r="X761"/>
          <cell r="Y761"/>
          <cell r="Z761"/>
          <cell r="AA761"/>
          <cell r="AB761"/>
          <cell r="AC761"/>
          <cell r="AD761"/>
          <cell r="AE761"/>
        </row>
        <row r="762">
          <cell r="C762"/>
          <cell r="D762"/>
          <cell r="F762"/>
          <cell r="G762"/>
          <cell r="H762"/>
          <cell r="I762"/>
          <cell r="J762"/>
          <cell r="K762"/>
          <cell r="L762"/>
          <cell r="M762"/>
          <cell r="N762"/>
          <cell r="O762"/>
          <cell r="P762"/>
          <cell r="Q762"/>
          <cell r="R762"/>
          <cell r="S762"/>
          <cell r="T762"/>
          <cell r="U762"/>
          <cell r="V762"/>
          <cell r="W762"/>
          <cell r="X762"/>
          <cell r="Y762"/>
          <cell r="Z762"/>
          <cell r="AA762"/>
          <cell r="AB762"/>
          <cell r="AC762"/>
          <cell r="AD762"/>
          <cell r="AE762"/>
        </row>
        <row r="763">
          <cell r="C763"/>
          <cell r="D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/>
          <cell r="S763"/>
          <cell r="T763"/>
          <cell r="U763"/>
          <cell r="V763"/>
          <cell r="W763"/>
          <cell r="X763"/>
          <cell r="Y763"/>
          <cell r="Z763"/>
          <cell r="AA763"/>
          <cell r="AB763"/>
          <cell r="AC763"/>
          <cell r="AD763"/>
          <cell r="AE763"/>
        </row>
        <row r="764">
          <cell r="C764"/>
          <cell r="D764"/>
          <cell r="F764"/>
          <cell r="G764"/>
          <cell r="H764"/>
          <cell r="I764"/>
          <cell r="J764"/>
          <cell r="K764"/>
          <cell r="L764"/>
          <cell r="M764"/>
          <cell r="N764"/>
          <cell r="O764"/>
          <cell r="P764"/>
          <cell r="Q764"/>
          <cell r="R764"/>
          <cell r="S764"/>
          <cell r="T764"/>
          <cell r="U764"/>
          <cell r="V764"/>
          <cell r="W764"/>
          <cell r="X764"/>
          <cell r="Y764"/>
          <cell r="Z764"/>
          <cell r="AA764"/>
          <cell r="AB764"/>
          <cell r="AC764"/>
          <cell r="AD764"/>
          <cell r="AE764"/>
        </row>
        <row r="765">
          <cell r="C765"/>
          <cell r="D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/>
          <cell r="S765"/>
          <cell r="T765"/>
          <cell r="U765"/>
          <cell r="V765"/>
          <cell r="W765"/>
          <cell r="X765"/>
          <cell r="Y765"/>
          <cell r="Z765"/>
          <cell r="AA765"/>
          <cell r="AB765"/>
          <cell r="AC765"/>
          <cell r="AD765"/>
          <cell r="AE765"/>
        </row>
        <row r="766">
          <cell r="C766"/>
          <cell r="D766"/>
          <cell r="F766"/>
          <cell r="G766"/>
          <cell r="H766"/>
          <cell r="I766"/>
          <cell r="J766"/>
          <cell r="K766"/>
          <cell r="L766"/>
          <cell r="M766"/>
          <cell r="N766"/>
          <cell r="O766"/>
          <cell r="P766"/>
          <cell r="Q766"/>
          <cell r="R766"/>
          <cell r="S766"/>
          <cell r="T766"/>
          <cell r="U766"/>
          <cell r="V766"/>
          <cell r="W766"/>
          <cell r="X766"/>
          <cell r="Y766"/>
          <cell r="Z766"/>
          <cell r="AA766"/>
          <cell r="AB766"/>
          <cell r="AC766"/>
          <cell r="AD766"/>
          <cell r="AE766"/>
        </row>
        <row r="767">
          <cell r="C767"/>
          <cell r="D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/>
          <cell r="S767"/>
          <cell r="T767"/>
          <cell r="U767"/>
          <cell r="V767"/>
          <cell r="W767"/>
          <cell r="X767"/>
          <cell r="Y767"/>
          <cell r="Z767"/>
          <cell r="AA767"/>
          <cell r="AB767"/>
          <cell r="AC767"/>
          <cell r="AD767"/>
          <cell r="AE767"/>
        </row>
        <row r="768">
          <cell r="C768"/>
          <cell r="D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/>
          <cell r="S768"/>
          <cell r="T768"/>
          <cell r="U768"/>
          <cell r="V768"/>
          <cell r="W768"/>
          <cell r="X768"/>
          <cell r="Y768"/>
          <cell r="Z768"/>
          <cell r="AA768"/>
          <cell r="AB768"/>
          <cell r="AC768"/>
          <cell r="AD768"/>
          <cell r="AE768"/>
        </row>
        <row r="769">
          <cell r="C769"/>
          <cell r="D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  <cell r="X769"/>
          <cell r="Y769"/>
          <cell r="Z769"/>
          <cell r="AA769"/>
          <cell r="AB769"/>
          <cell r="AC769"/>
          <cell r="AD769"/>
          <cell r="AE769"/>
        </row>
        <row r="770">
          <cell r="C770"/>
          <cell r="D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  <cell r="X770"/>
          <cell r="Y770"/>
          <cell r="Z770"/>
          <cell r="AA770"/>
          <cell r="AB770"/>
          <cell r="AC770"/>
          <cell r="AD770"/>
          <cell r="AE770"/>
        </row>
        <row r="771">
          <cell r="C771"/>
          <cell r="D771"/>
          <cell r="F771"/>
          <cell r="G771"/>
          <cell r="H771"/>
          <cell r="I771"/>
          <cell r="J771"/>
          <cell r="K771"/>
          <cell r="L771"/>
          <cell r="M771"/>
          <cell r="N771"/>
          <cell r="O771"/>
          <cell r="P771"/>
          <cell r="Q771"/>
          <cell r="R771"/>
          <cell r="S771"/>
          <cell r="T771"/>
          <cell r="U771"/>
          <cell r="V771"/>
          <cell r="W771"/>
          <cell r="X771"/>
          <cell r="Y771"/>
          <cell r="Z771"/>
          <cell r="AA771"/>
          <cell r="AB771"/>
          <cell r="AC771"/>
          <cell r="AD771"/>
          <cell r="AE771"/>
        </row>
        <row r="772">
          <cell r="C772"/>
          <cell r="D772"/>
          <cell r="F772"/>
          <cell r="G772"/>
          <cell r="H772"/>
          <cell r="I772"/>
          <cell r="J772"/>
          <cell r="K772"/>
          <cell r="L772"/>
          <cell r="M772"/>
          <cell r="N772"/>
          <cell r="O772"/>
          <cell r="P772"/>
          <cell r="Q772"/>
          <cell r="R772"/>
          <cell r="S772"/>
          <cell r="T772"/>
          <cell r="U772"/>
          <cell r="V772"/>
          <cell r="W772"/>
          <cell r="X772"/>
          <cell r="Y772"/>
          <cell r="Z772"/>
          <cell r="AA772"/>
          <cell r="AB772"/>
          <cell r="AC772"/>
          <cell r="AD772"/>
          <cell r="AE772"/>
        </row>
        <row r="773">
          <cell r="C773"/>
          <cell r="D773"/>
          <cell r="F773"/>
          <cell r="G773"/>
          <cell r="H773"/>
          <cell r="I773"/>
          <cell r="J773"/>
          <cell r="K773"/>
          <cell r="L773"/>
          <cell r="M773"/>
          <cell r="N773"/>
          <cell r="O773"/>
          <cell r="P773"/>
          <cell r="Q773"/>
          <cell r="R773"/>
          <cell r="S773"/>
          <cell r="T773"/>
          <cell r="U773"/>
          <cell r="V773"/>
          <cell r="W773"/>
          <cell r="X773"/>
          <cell r="Y773"/>
          <cell r="Z773"/>
          <cell r="AA773"/>
          <cell r="AB773"/>
          <cell r="AC773"/>
          <cell r="AD773"/>
          <cell r="AE773"/>
        </row>
        <row r="774">
          <cell r="C774"/>
          <cell r="D774"/>
          <cell r="F774"/>
          <cell r="G774"/>
          <cell r="H774"/>
          <cell r="I774"/>
          <cell r="J774"/>
          <cell r="K774"/>
          <cell r="L774"/>
          <cell r="M774"/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  <cell r="X774"/>
          <cell r="Y774"/>
          <cell r="Z774"/>
          <cell r="AA774"/>
          <cell r="AB774"/>
          <cell r="AC774"/>
          <cell r="AD774"/>
          <cell r="AE774"/>
        </row>
        <row r="775">
          <cell r="C775"/>
          <cell r="D775"/>
          <cell r="F775"/>
          <cell r="G775"/>
          <cell r="H775"/>
          <cell r="I775"/>
          <cell r="J775"/>
          <cell r="K775"/>
          <cell r="L775"/>
          <cell r="M775"/>
          <cell r="N775"/>
          <cell r="O775"/>
          <cell r="P775"/>
          <cell r="Q775"/>
          <cell r="R775"/>
          <cell r="S775"/>
          <cell r="T775"/>
          <cell r="U775"/>
          <cell r="V775"/>
          <cell r="W775"/>
          <cell r="X775"/>
          <cell r="Y775"/>
          <cell r="Z775"/>
          <cell r="AA775"/>
          <cell r="AB775"/>
          <cell r="AC775"/>
          <cell r="AD775"/>
          <cell r="AE775"/>
        </row>
        <row r="776">
          <cell r="C776"/>
          <cell r="D776"/>
          <cell r="F776"/>
          <cell r="G776"/>
          <cell r="H776"/>
          <cell r="I776"/>
          <cell r="J776"/>
          <cell r="K776"/>
          <cell r="L776"/>
          <cell r="M776"/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  <cell r="X776"/>
          <cell r="Y776"/>
          <cell r="Z776"/>
          <cell r="AA776"/>
          <cell r="AB776"/>
          <cell r="AC776"/>
          <cell r="AD776"/>
          <cell r="AE776"/>
        </row>
        <row r="777">
          <cell r="C777"/>
          <cell r="D777"/>
          <cell r="F777"/>
          <cell r="G777"/>
          <cell r="H777"/>
          <cell r="I777"/>
          <cell r="J777"/>
          <cell r="K777"/>
          <cell r="L777"/>
          <cell r="M777"/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  <cell r="X777"/>
          <cell r="Y777"/>
          <cell r="Z777"/>
          <cell r="AA777"/>
          <cell r="AB777"/>
          <cell r="AC777"/>
          <cell r="AD777"/>
          <cell r="AE777"/>
        </row>
        <row r="778">
          <cell r="C778"/>
          <cell r="D778"/>
          <cell r="F778"/>
          <cell r="G778"/>
          <cell r="H778"/>
          <cell r="I778"/>
          <cell r="J778"/>
          <cell r="K778"/>
          <cell r="L778"/>
          <cell r="M778"/>
          <cell r="N778"/>
          <cell r="O778"/>
          <cell r="P778"/>
          <cell r="Q778"/>
          <cell r="R778"/>
          <cell r="S778"/>
          <cell r="T778"/>
          <cell r="U778"/>
          <cell r="V778"/>
          <cell r="W778"/>
          <cell r="X778"/>
          <cell r="Y778"/>
          <cell r="Z778"/>
          <cell r="AA778"/>
          <cell r="AB778"/>
          <cell r="AC778"/>
          <cell r="AD778"/>
          <cell r="AE778"/>
        </row>
        <row r="779">
          <cell r="C779"/>
          <cell r="D779"/>
          <cell r="F779"/>
          <cell r="G779"/>
          <cell r="H779"/>
          <cell r="I779"/>
          <cell r="J779"/>
          <cell r="K779"/>
          <cell r="L779"/>
          <cell r="M779"/>
          <cell r="N779"/>
          <cell r="O779"/>
          <cell r="P779"/>
          <cell r="Q779"/>
          <cell r="R779"/>
          <cell r="S779"/>
          <cell r="T779"/>
          <cell r="U779"/>
          <cell r="V779"/>
          <cell r="W779"/>
          <cell r="X779"/>
          <cell r="Y779"/>
          <cell r="Z779"/>
          <cell r="AA779"/>
          <cell r="AB779"/>
          <cell r="AC779"/>
          <cell r="AD779"/>
          <cell r="AE779"/>
        </row>
        <row r="780">
          <cell r="C780"/>
          <cell r="D780"/>
          <cell r="F780"/>
          <cell r="G780"/>
          <cell r="H780"/>
          <cell r="I780"/>
          <cell r="J780"/>
          <cell r="K780"/>
          <cell r="L780"/>
          <cell r="M780"/>
          <cell r="N780"/>
          <cell r="O780"/>
          <cell r="P780"/>
          <cell r="Q780"/>
          <cell r="R780"/>
          <cell r="S780"/>
          <cell r="T780"/>
          <cell r="U780"/>
          <cell r="V780"/>
          <cell r="W780"/>
          <cell r="X780"/>
          <cell r="Y780"/>
          <cell r="Z780"/>
          <cell r="AA780"/>
          <cell r="AB780"/>
          <cell r="AC780"/>
          <cell r="AD780"/>
          <cell r="AE780"/>
        </row>
        <row r="781">
          <cell r="C781"/>
          <cell r="D781"/>
          <cell r="F781"/>
          <cell r="G781"/>
          <cell r="H781"/>
          <cell r="I781"/>
          <cell r="J781"/>
          <cell r="K781"/>
          <cell r="L781"/>
          <cell r="M781"/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  <cell r="X781"/>
          <cell r="Y781"/>
          <cell r="Z781"/>
          <cell r="AA781"/>
          <cell r="AB781"/>
          <cell r="AC781"/>
          <cell r="AD781"/>
          <cell r="AE781"/>
        </row>
        <row r="782">
          <cell r="C782"/>
          <cell r="D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/>
          <cell r="S782"/>
          <cell r="T782"/>
          <cell r="U782"/>
          <cell r="V782"/>
          <cell r="W782"/>
          <cell r="X782"/>
          <cell r="Y782"/>
          <cell r="Z782"/>
          <cell r="AA782"/>
          <cell r="AB782"/>
          <cell r="AC782"/>
          <cell r="AD782"/>
          <cell r="AE782"/>
        </row>
        <row r="783">
          <cell r="C783"/>
          <cell r="D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  <cell r="X783"/>
          <cell r="Y783"/>
          <cell r="Z783"/>
          <cell r="AA783"/>
          <cell r="AB783"/>
          <cell r="AC783"/>
          <cell r="AD783"/>
          <cell r="AE783"/>
        </row>
        <row r="794">
          <cell r="A794"/>
          <cell r="B794"/>
          <cell r="C794"/>
          <cell r="D794"/>
          <cell r="E794"/>
          <cell r="F794"/>
          <cell r="G794"/>
          <cell r="H794"/>
          <cell r="I794"/>
          <cell r="K794"/>
          <cell r="L794"/>
          <cell r="M794"/>
          <cell r="N794"/>
          <cell r="O794"/>
          <cell r="P794"/>
          <cell r="Q794"/>
          <cell r="R794"/>
          <cell r="S794"/>
          <cell r="T794"/>
          <cell r="U794"/>
          <cell r="V794"/>
          <cell r="W794"/>
          <cell r="X794"/>
          <cell r="Y794"/>
          <cell r="Z794"/>
          <cell r="AA794"/>
          <cell r="AB794"/>
          <cell r="AC794"/>
          <cell r="AD794"/>
          <cell r="AE794"/>
        </row>
        <row r="4454">
          <cell r="C4454"/>
          <cell r="D4454"/>
          <cell r="E4454"/>
          <cell r="F4454"/>
          <cell r="G4454"/>
          <cell r="H4454"/>
          <cell r="I4454"/>
          <cell r="J4454"/>
          <cell r="K4454"/>
          <cell r="L4454"/>
          <cell r="M4454"/>
          <cell r="N4454"/>
          <cell r="O4454"/>
          <cell r="P4454"/>
          <cell r="Q4454"/>
          <cell r="R4454"/>
          <cell r="S4454"/>
          <cell r="T4454"/>
          <cell r="U4454"/>
          <cell r="V4454"/>
          <cell r="W4454"/>
        </row>
        <row r="4455">
          <cell r="C4455"/>
          <cell r="D4455"/>
          <cell r="E4455"/>
          <cell r="F4455"/>
          <cell r="G4455"/>
          <cell r="H4455"/>
          <cell r="I4455"/>
          <cell r="J4455"/>
          <cell r="K4455"/>
          <cell r="L4455"/>
          <cell r="M4455"/>
          <cell r="N4455"/>
          <cell r="O4455"/>
          <cell r="P4455"/>
          <cell r="Q4455"/>
          <cell r="R4455"/>
          <cell r="S4455"/>
          <cell r="T4455"/>
          <cell r="U4455"/>
          <cell r="V4455"/>
          <cell r="W4455"/>
        </row>
        <row r="4456">
          <cell r="C4456"/>
          <cell r="D4456"/>
          <cell r="E4456"/>
          <cell r="F4456"/>
          <cell r="G4456"/>
          <cell r="H4456"/>
          <cell r="I4456"/>
          <cell r="J4456"/>
          <cell r="K4456"/>
          <cell r="L4456"/>
          <cell r="M4456"/>
          <cell r="N4456"/>
          <cell r="O4456"/>
          <cell r="P4456"/>
          <cell r="Q4456"/>
          <cell r="R4456"/>
          <cell r="S4456"/>
          <cell r="T4456"/>
          <cell r="U4456"/>
          <cell r="V4456"/>
          <cell r="W4456"/>
        </row>
        <row r="4457">
          <cell r="C4457"/>
          <cell r="D4457"/>
          <cell r="E4457"/>
          <cell r="F4457"/>
          <cell r="G4457"/>
          <cell r="H4457"/>
          <cell r="I4457"/>
          <cell r="J4457"/>
          <cell r="K4457"/>
          <cell r="L4457"/>
          <cell r="M4457"/>
          <cell r="N4457"/>
          <cell r="O4457"/>
          <cell r="P4457"/>
          <cell r="Q4457"/>
          <cell r="R4457"/>
          <cell r="S4457"/>
          <cell r="T4457"/>
          <cell r="U4457"/>
          <cell r="V4457"/>
          <cell r="W4457"/>
        </row>
        <row r="4458">
          <cell r="C4458"/>
          <cell r="D4458"/>
          <cell r="E4458"/>
          <cell r="F4458"/>
          <cell r="G4458"/>
          <cell r="H4458"/>
          <cell r="I4458"/>
          <cell r="J4458"/>
          <cell r="K4458"/>
          <cell r="L4458"/>
          <cell r="M4458"/>
          <cell r="N4458"/>
          <cell r="O4458"/>
          <cell r="P4458"/>
          <cell r="Q4458"/>
          <cell r="R4458"/>
          <cell r="S4458"/>
          <cell r="T4458"/>
          <cell r="U4458"/>
          <cell r="V4458"/>
          <cell r="W4458"/>
        </row>
        <row r="4459">
          <cell r="C4459"/>
          <cell r="D4459"/>
          <cell r="E4459"/>
          <cell r="F4459"/>
          <cell r="G4459"/>
          <cell r="H4459"/>
          <cell r="I4459"/>
          <cell r="J4459"/>
          <cell r="K4459"/>
          <cell r="L4459"/>
          <cell r="M4459"/>
          <cell r="N4459"/>
          <cell r="O4459"/>
          <cell r="P4459"/>
          <cell r="Q4459"/>
          <cell r="R4459"/>
          <cell r="S4459"/>
          <cell r="T4459"/>
          <cell r="U4459"/>
          <cell r="V4459"/>
          <cell r="W4459"/>
        </row>
        <row r="4460">
          <cell r="C4460"/>
          <cell r="D4460"/>
          <cell r="E4460"/>
          <cell r="F4460"/>
          <cell r="G4460"/>
          <cell r="H4460"/>
          <cell r="I4460"/>
          <cell r="J4460"/>
          <cell r="K4460"/>
          <cell r="L4460"/>
          <cell r="M4460"/>
          <cell r="N4460"/>
          <cell r="O4460"/>
          <cell r="P4460"/>
          <cell r="Q4460"/>
          <cell r="R4460"/>
          <cell r="S4460"/>
          <cell r="T4460"/>
          <cell r="U4460"/>
          <cell r="V4460"/>
          <cell r="W4460"/>
        </row>
        <row r="4461">
          <cell r="C4461"/>
          <cell r="D4461"/>
          <cell r="E4461"/>
          <cell r="F4461"/>
          <cell r="G4461"/>
          <cell r="H4461"/>
          <cell r="I4461"/>
          <cell r="J4461"/>
          <cell r="K4461"/>
          <cell r="L4461"/>
          <cell r="M4461"/>
          <cell r="N4461"/>
          <cell r="O4461"/>
          <cell r="P4461"/>
          <cell r="Q4461"/>
          <cell r="R4461"/>
          <cell r="S4461"/>
          <cell r="T4461"/>
          <cell r="U4461"/>
          <cell r="V4461"/>
          <cell r="W4461"/>
        </row>
        <row r="4462">
          <cell r="C4462"/>
          <cell r="D4462"/>
          <cell r="E4462"/>
          <cell r="F4462"/>
          <cell r="G4462"/>
          <cell r="H4462"/>
          <cell r="I4462"/>
          <cell r="J4462"/>
          <cell r="K4462"/>
          <cell r="L4462"/>
          <cell r="M4462"/>
          <cell r="N4462"/>
          <cell r="O4462"/>
          <cell r="P4462"/>
          <cell r="Q4462"/>
          <cell r="R4462"/>
          <cell r="S4462"/>
          <cell r="T4462"/>
          <cell r="U4462"/>
          <cell r="V4462"/>
          <cell r="W4462"/>
        </row>
        <row r="4463">
          <cell r="C4463"/>
          <cell r="D4463"/>
          <cell r="E4463"/>
          <cell r="F4463"/>
          <cell r="G4463"/>
          <cell r="H4463"/>
          <cell r="I4463"/>
          <cell r="J4463"/>
          <cell r="K4463"/>
          <cell r="L4463"/>
          <cell r="M4463"/>
          <cell r="N4463"/>
          <cell r="O4463"/>
          <cell r="P4463"/>
          <cell r="Q4463"/>
          <cell r="R4463"/>
          <cell r="S4463"/>
          <cell r="T4463"/>
          <cell r="U4463"/>
          <cell r="V4463"/>
          <cell r="W4463"/>
        </row>
        <row r="4464">
          <cell r="C4464"/>
          <cell r="D4464"/>
          <cell r="E4464"/>
          <cell r="F4464"/>
          <cell r="G4464"/>
          <cell r="H4464"/>
          <cell r="I4464"/>
          <cell r="J4464"/>
          <cell r="K4464"/>
          <cell r="L4464"/>
          <cell r="M4464"/>
          <cell r="N4464"/>
          <cell r="O4464"/>
          <cell r="P4464"/>
          <cell r="Q4464"/>
          <cell r="R4464"/>
          <cell r="S4464"/>
          <cell r="T4464"/>
          <cell r="U4464"/>
          <cell r="V4464"/>
          <cell r="W4464"/>
        </row>
        <row r="4480">
          <cell r="C4480"/>
          <cell r="D4480"/>
          <cell r="E4480"/>
          <cell r="F4480"/>
          <cell r="G4480"/>
          <cell r="H4480"/>
          <cell r="I4480"/>
          <cell r="J4480"/>
          <cell r="K4480"/>
          <cell r="L4480"/>
          <cell r="M4480"/>
          <cell r="N4480"/>
          <cell r="O4480"/>
          <cell r="P4480"/>
          <cell r="Q4480"/>
          <cell r="R4480"/>
          <cell r="S4480"/>
          <cell r="T4480"/>
          <cell r="U4480"/>
          <cell r="V4480"/>
          <cell r="W4480"/>
        </row>
        <row r="4481">
          <cell r="C4481"/>
          <cell r="D4481"/>
          <cell r="E4481"/>
          <cell r="F4481"/>
          <cell r="G4481"/>
          <cell r="H4481"/>
          <cell r="I4481"/>
          <cell r="J4481"/>
          <cell r="K4481"/>
          <cell r="L4481"/>
          <cell r="M4481"/>
          <cell r="N4481"/>
          <cell r="O4481"/>
          <cell r="P4481"/>
          <cell r="Q4481"/>
          <cell r="R4481"/>
          <cell r="S4481"/>
          <cell r="T4481"/>
          <cell r="U4481"/>
          <cell r="V4481"/>
          <cell r="W4481"/>
        </row>
        <row r="4482">
          <cell r="C4482"/>
          <cell r="D4482"/>
          <cell r="E4482"/>
          <cell r="F4482"/>
          <cell r="G4482"/>
          <cell r="H4482"/>
          <cell r="I4482"/>
          <cell r="J4482"/>
          <cell r="K4482"/>
          <cell r="L4482"/>
          <cell r="M4482"/>
          <cell r="N4482"/>
          <cell r="O4482"/>
          <cell r="P4482"/>
          <cell r="Q4482"/>
          <cell r="R4482"/>
          <cell r="S4482"/>
          <cell r="T4482"/>
          <cell r="U4482"/>
          <cell r="V4482"/>
          <cell r="W4482"/>
        </row>
        <row r="4483">
          <cell r="C4483"/>
          <cell r="D4483"/>
          <cell r="E4483"/>
          <cell r="F4483"/>
          <cell r="G4483"/>
          <cell r="H4483"/>
          <cell r="I4483"/>
          <cell r="J4483"/>
          <cell r="K4483"/>
          <cell r="L4483"/>
          <cell r="M4483"/>
          <cell r="N4483"/>
          <cell r="O4483"/>
          <cell r="P4483"/>
          <cell r="Q4483"/>
          <cell r="R4483"/>
          <cell r="S4483"/>
          <cell r="T4483"/>
          <cell r="U4483"/>
          <cell r="V4483"/>
          <cell r="W4483"/>
        </row>
        <row r="4484">
          <cell r="C4484"/>
          <cell r="D4484"/>
          <cell r="E4484"/>
          <cell r="F4484"/>
          <cell r="G4484"/>
          <cell r="H4484"/>
          <cell r="I4484"/>
          <cell r="J4484"/>
          <cell r="K4484"/>
          <cell r="L4484"/>
          <cell r="M4484"/>
          <cell r="N4484"/>
          <cell r="O4484"/>
          <cell r="P4484"/>
          <cell r="Q4484"/>
          <cell r="R4484"/>
          <cell r="S4484"/>
          <cell r="T4484"/>
          <cell r="U4484"/>
          <cell r="V4484"/>
          <cell r="W4484"/>
        </row>
        <row r="4485">
          <cell r="C4485"/>
          <cell r="D4485"/>
          <cell r="E4485"/>
          <cell r="F4485"/>
          <cell r="G4485"/>
          <cell r="H4485"/>
          <cell r="I4485"/>
          <cell r="J4485"/>
          <cell r="K4485"/>
          <cell r="L4485"/>
          <cell r="M4485"/>
          <cell r="N4485"/>
          <cell r="O4485"/>
          <cell r="P4485"/>
          <cell r="Q4485"/>
          <cell r="R4485"/>
          <cell r="S4485"/>
          <cell r="T4485"/>
          <cell r="U4485"/>
          <cell r="V4485"/>
          <cell r="W4485"/>
        </row>
        <row r="4486">
          <cell r="C4486"/>
          <cell r="D4486"/>
          <cell r="E4486"/>
          <cell r="F4486"/>
          <cell r="G4486"/>
          <cell r="H4486"/>
          <cell r="I4486"/>
          <cell r="J4486"/>
          <cell r="K4486"/>
          <cell r="L4486"/>
          <cell r="M4486"/>
          <cell r="N4486"/>
          <cell r="O4486"/>
          <cell r="P4486"/>
          <cell r="Q4486"/>
          <cell r="R4486"/>
          <cell r="S4486"/>
          <cell r="T4486"/>
          <cell r="U4486"/>
          <cell r="V4486"/>
          <cell r="W4486"/>
        </row>
        <row r="4487">
          <cell r="C4487"/>
          <cell r="D4487"/>
          <cell r="E4487"/>
          <cell r="F4487"/>
          <cell r="G4487"/>
          <cell r="H4487"/>
          <cell r="I4487"/>
          <cell r="J4487"/>
          <cell r="K4487"/>
          <cell r="L4487"/>
          <cell r="M4487"/>
          <cell r="N4487"/>
          <cell r="O4487"/>
          <cell r="P4487"/>
          <cell r="Q4487"/>
          <cell r="R4487"/>
          <cell r="S4487"/>
          <cell r="T4487"/>
          <cell r="U4487"/>
          <cell r="V4487"/>
          <cell r="W4487"/>
        </row>
        <row r="4488">
          <cell r="C4488"/>
          <cell r="D4488"/>
          <cell r="E4488"/>
          <cell r="F4488"/>
          <cell r="G4488"/>
          <cell r="H4488"/>
          <cell r="I4488"/>
          <cell r="J4488"/>
          <cell r="K4488"/>
          <cell r="L4488"/>
          <cell r="M4488"/>
          <cell r="N4488"/>
          <cell r="O4488"/>
          <cell r="P4488"/>
          <cell r="Q4488"/>
          <cell r="R4488"/>
          <cell r="S4488"/>
          <cell r="T4488"/>
          <cell r="U4488"/>
          <cell r="V4488"/>
          <cell r="W4488"/>
        </row>
        <row r="4489">
          <cell r="C4489"/>
          <cell r="D4489"/>
          <cell r="E4489"/>
          <cell r="F4489"/>
          <cell r="G4489"/>
          <cell r="H4489"/>
          <cell r="I4489"/>
          <cell r="J4489"/>
          <cell r="K4489"/>
          <cell r="L4489"/>
          <cell r="M4489"/>
          <cell r="N4489"/>
          <cell r="O4489"/>
          <cell r="P4489"/>
          <cell r="Q4489"/>
          <cell r="R4489"/>
          <cell r="S4489"/>
          <cell r="T4489"/>
          <cell r="U4489"/>
          <cell r="V4489"/>
          <cell r="W4489"/>
        </row>
        <row r="4490">
          <cell r="C4490"/>
          <cell r="D4490"/>
          <cell r="E4490"/>
          <cell r="F4490"/>
          <cell r="G4490"/>
          <cell r="H4490"/>
          <cell r="I4490"/>
          <cell r="J4490"/>
          <cell r="K4490"/>
          <cell r="L4490"/>
          <cell r="M4490"/>
          <cell r="N4490"/>
          <cell r="O4490"/>
          <cell r="P4490"/>
          <cell r="Q4490"/>
          <cell r="R4490"/>
          <cell r="S4490"/>
          <cell r="T4490"/>
          <cell r="U4490"/>
          <cell r="V4490"/>
          <cell r="W4490"/>
        </row>
        <row r="4491">
          <cell r="C4491"/>
          <cell r="D4491"/>
          <cell r="E4491"/>
          <cell r="F4491"/>
          <cell r="G4491"/>
          <cell r="H4491"/>
          <cell r="I4491"/>
          <cell r="J4491"/>
          <cell r="K4491"/>
          <cell r="L4491"/>
          <cell r="M4491"/>
          <cell r="N4491"/>
          <cell r="O4491"/>
          <cell r="P4491"/>
          <cell r="Q4491"/>
          <cell r="R4491"/>
          <cell r="S4491"/>
          <cell r="T4491"/>
          <cell r="U4491"/>
          <cell r="V4491"/>
          <cell r="W4491"/>
        </row>
        <row r="4492">
          <cell r="C4492"/>
          <cell r="D4492"/>
          <cell r="E4492"/>
          <cell r="F4492"/>
          <cell r="G4492"/>
          <cell r="H4492"/>
          <cell r="I4492"/>
          <cell r="J4492"/>
          <cell r="K4492"/>
          <cell r="L4492"/>
          <cell r="M4492"/>
          <cell r="N4492"/>
          <cell r="O4492"/>
          <cell r="P4492"/>
          <cell r="Q4492"/>
          <cell r="R4492"/>
          <cell r="S4492"/>
          <cell r="T4492"/>
          <cell r="U4492"/>
          <cell r="V4492"/>
          <cell r="W4492"/>
        </row>
        <row r="4493">
          <cell r="C4493"/>
          <cell r="D4493"/>
          <cell r="E4493"/>
          <cell r="F4493"/>
          <cell r="G4493"/>
          <cell r="H4493"/>
          <cell r="I4493"/>
          <cell r="J4493"/>
          <cell r="K4493"/>
          <cell r="L4493"/>
          <cell r="M4493"/>
          <cell r="N4493"/>
          <cell r="O4493"/>
          <cell r="P4493"/>
          <cell r="Q4493"/>
          <cell r="R4493"/>
          <cell r="S4493"/>
          <cell r="T4493"/>
          <cell r="U4493"/>
          <cell r="V4493"/>
          <cell r="W4493"/>
        </row>
        <row r="4494">
          <cell r="C4494"/>
          <cell r="D4494"/>
          <cell r="E4494"/>
          <cell r="F4494"/>
          <cell r="G4494"/>
          <cell r="H4494"/>
          <cell r="I4494"/>
          <cell r="J4494"/>
          <cell r="K4494"/>
          <cell r="L4494"/>
          <cell r="M4494"/>
          <cell r="N4494"/>
          <cell r="O4494"/>
          <cell r="P4494"/>
          <cell r="Q4494"/>
          <cell r="R4494"/>
          <cell r="S4494"/>
          <cell r="T4494"/>
          <cell r="U4494"/>
          <cell r="V4494"/>
          <cell r="W4494"/>
        </row>
        <row r="8780">
          <cell r="A8780"/>
          <cell r="B8780"/>
          <cell r="C8780"/>
          <cell r="D8780"/>
          <cell r="E8780"/>
          <cell r="F8780"/>
          <cell r="G8780"/>
          <cell r="J8780"/>
          <cell r="K8780"/>
          <cell r="L8780"/>
          <cell r="M8780"/>
          <cell r="N8780"/>
          <cell r="O8780"/>
          <cell r="P8780"/>
          <cell r="Q8780"/>
          <cell r="R8780"/>
          <cell r="S8780"/>
          <cell r="T8780"/>
          <cell r="U8780"/>
          <cell r="V8780"/>
          <cell r="W8780"/>
          <cell r="X8780"/>
          <cell r="Y8780"/>
          <cell r="Z8780"/>
          <cell r="AB8780"/>
          <cell r="AC8780"/>
          <cell r="AD8780"/>
          <cell r="AE8780"/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T32xcIBkkSLf0V-umwJhvTkGeHPRM5PsDAChLm4duQOnTehZnO0TrviTf2nYWJT" itemId="01VNHEGATI57YAHAP4YRH3EQEJPML2ENQB">
      <xxl21:absoluteUrl r:id="rId2"/>
      <xxl21:relativeUrl r:id="rId3"/>
    </xxl21:alternateUrls>
    <sheetNames>
      <sheetName val="QC Check"/>
      <sheetName val="master plan "/>
      <sheetName val="Production Order List"/>
    </sheetNames>
    <sheetDataSet>
      <sheetData sheetId="0" refreshError="1"/>
      <sheetData sheetId="1" refreshError="1">
        <row r="1">
          <cell r="A1" t="str">
            <v>Total excel</v>
          </cell>
          <cell r="B1">
            <v>0</v>
          </cell>
          <cell r="C1" t="b">
            <v>0</v>
          </cell>
          <cell r="D1">
            <v>14684</v>
          </cell>
          <cell r="E1"/>
          <cell r="F1" t="str">
            <v>Sample</v>
          </cell>
          <cell r="G1" t="str">
            <v>OID</v>
          </cell>
          <cell r="H1" t="str">
            <v>OIN</v>
          </cell>
          <cell r="I1"/>
          <cell r="J1"/>
          <cell r="K1"/>
          <cell r="L1"/>
          <cell r="M1"/>
        </row>
        <row r="2">
          <cell r="A2" t="str">
            <v>Total system</v>
          </cell>
          <cell r="B2">
            <v>14684</v>
          </cell>
          <cell r="C2">
            <v>45937</v>
          </cell>
          <cell r="D2"/>
          <cell r="E2"/>
          <cell r="F2"/>
          <cell r="G2"/>
          <cell r="H2"/>
          <cell r="I2"/>
          <cell r="J2"/>
          <cell r="K2"/>
          <cell r="L2"/>
          <cell r="M2"/>
        </row>
        <row r="3">
          <cell r="A3"/>
          <cell r="B3"/>
          <cell r="C3"/>
          <cell r="D3"/>
          <cell r="E3"/>
          <cell r="F3">
            <v>846590</v>
          </cell>
          <cell r="G3">
            <v>782704</v>
          </cell>
          <cell r="H3">
            <v>382957</v>
          </cell>
          <cell r="I3">
            <v>399747</v>
          </cell>
          <cell r="J3"/>
          <cell r="K3"/>
          <cell r="L3"/>
        </row>
        <row r="4">
          <cell r="A4" t="str">
            <v>NO.Order</v>
          </cell>
          <cell r="B4" t="str">
            <v>Firm plan
(PU PVN)</v>
          </cell>
          <cell r="C4" t="str">
            <v>Bun Code</v>
          </cell>
          <cell r="D4" t="str">
            <v>PU code</v>
          </cell>
          <cell r="E4" t="str">
            <v>Material Name</v>
          </cell>
          <cell r="F4" t="str">
            <v>QTY of Order
(Sheet)</v>
          </cell>
          <cell r="G4" t="str">
            <v>QTY 
 Delivery Plan</v>
          </cell>
          <cell r="H4" t="str">
            <v>QTY
Actual Delivered
(Sheet)</v>
          </cell>
          <cell r="I4" t="str">
            <v>QTY 
not yet 
delivery
(Sheet)</v>
          </cell>
          <cell r="J4" t="str">
            <v>BRAND</v>
          </cell>
          <cell r="K4" t="str">
            <v>POV/SO</v>
          </cell>
          <cell r="L4" t="str">
            <v>Type</v>
          </cell>
          <cell r="M4" t="str">
            <v>W/H
KHO</v>
          </cell>
        </row>
        <row r="5">
          <cell r="A5" t="str">
            <v>F-2025-06-475-2</v>
          </cell>
          <cell r="B5" t="str">
            <v>FPRO-250627-0011</v>
          </cell>
          <cell r="C5" t="str">
            <v>BDB-000011</v>
          </cell>
          <cell r="D5" t="str">
            <v>PVN-000242</v>
          </cell>
          <cell r="E5" t="str">
            <v>OrthoLite Regular AIR BLUE/16-4134TPX Flat Sheet 0.13D 35+/-4 Asker C 1.1M 2M 2mm</v>
          </cell>
          <cell r="F5">
            <v>1000</v>
          </cell>
          <cell r="G5">
            <v>800</v>
          </cell>
          <cell r="H5">
            <v>800</v>
          </cell>
          <cell r="I5">
            <v>0</v>
          </cell>
          <cell r="J5" t="str">
            <v>ASICS</v>
          </cell>
          <cell r="K5" t="str">
            <v>Forecast</v>
          </cell>
          <cell r="L5" t="str">
            <v>SPLITTING</v>
          </cell>
          <cell r="M5">
            <v>2</v>
          </cell>
        </row>
        <row r="6">
          <cell r="A6" t="str">
            <v>F-2025-06-483-2</v>
          </cell>
          <cell r="B6" t="str">
            <v>FPRO-250627-0019</v>
          </cell>
          <cell r="C6" t="str">
            <v>BDB-000011</v>
          </cell>
          <cell r="D6" t="str">
            <v>PVN-000258</v>
          </cell>
          <cell r="E6" t="str">
            <v>OrthoLite Regular AIR BLUE/16-4134TPX Flat Sheet 0.13D 35+/-4 Asker C 1.1M 2M 2.5mm</v>
          </cell>
          <cell r="F6">
            <v>3000</v>
          </cell>
          <cell r="G6">
            <v>1000</v>
          </cell>
          <cell r="H6">
            <v>1000</v>
          </cell>
          <cell r="I6">
            <v>0</v>
          </cell>
          <cell r="J6" t="str">
            <v>ASICS</v>
          </cell>
          <cell r="K6" t="str">
            <v>Forecast</v>
          </cell>
          <cell r="L6" t="str">
            <v>SPLITTING</v>
          </cell>
          <cell r="M6">
            <v>2</v>
          </cell>
        </row>
        <row r="7">
          <cell r="A7" t="str">
            <v>F-2025-07-75</v>
          </cell>
          <cell r="B7" t="str">
            <v>FPRO-250702-0007</v>
          </cell>
          <cell r="C7" t="str">
            <v>BDB-000212</v>
          </cell>
          <cell r="D7" t="str">
            <v>PVN-003764</v>
          </cell>
          <cell r="E7" t="str">
            <v>OrthoLite X-25-Hybrid SEEDPEARL/12-0703TPX Hybrid 0.12D 20+/-4 Asker C 1.1M 2M 5mm</v>
          </cell>
          <cell r="F7">
            <v>450</v>
          </cell>
          <cell r="G7">
            <v>450</v>
          </cell>
          <cell r="H7">
            <v>450</v>
          </cell>
          <cell r="I7">
            <v>0</v>
          </cell>
          <cell r="J7" t="str">
            <v>FOOTJOY</v>
          </cell>
          <cell r="K7" t="str">
            <v>Forecast</v>
          </cell>
          <cell r="L7" t="str">
            <v>DIE CUT</v>
          </cell>
          <cell r="M7">
            <v>1</v>
          </cell>
        </row>
        <row r="8">
          <cell r="A8" t="str">
            <v>F-2025-07-134-2</v>
          </cell>
          <cell r="B8" t="str">
            <v>FPRO-251001-0006</v>
          </cell>
          <cell r="C8" t="str">
            <v>BDB-000161</v>
          </cell>
          <cell r="D8" t="str">
            <v>PVN-001560</v>
          </cell>
          <cell r="E8" t="str">
            <v>OrthoLite Ultra-Nike FOSSIL/17-0909TPX 0.085D 25+/-4 Asker C 1.1M 2M 4mm</v>
          </cell>
          <cell r="F8">
            <v>1000</v>
          </cell>
          <cell r="G8">
            <v>1000</v>
          </cell>
          <cell r="H8">
            <v>1000</v>
          </cell>
          <cell r="I8">
            <v>0</v>
          </cell>
          <cell r="J8" t="str">
            <v>NIKE</v>
          </cell>
          <cell r="K8" t="str">
            <v>Forecast</v>
          </cell>
          <cell r="L8" t="str">
            <v>DIE CUT</v>
          </cell>
          <cell r="M8">
            <v>1</v>
          </cell>
        </row>
        <row r="9">
          <cell r="A9" t="str">
            <v>F-2025-07-154-3</v>
          </cell>
          <cell r="B9" t="str">
            <v>FPRO-251015-0001</v>
          </cell>
          <cell r="C9" t="str">
            <v>BDB-000175</v>
          </cell>
          <cell r="D9" t="str">
            <v>PVN-002966</v>
          </cell>
          <cell r="E9" t="str">
            <v>OrthoLite Ultra-Hybrid-Nike SEEDPEARL/12-0703TPX Hybrid 0.085D 25+/-4 Asker C 1.1M 2M 4mm</v>
          </cell>
          <cell r="F9">
            <v>1000</v>
          </cell>
          <cell r="G9">
            <v>1000</v>
          </cell>
          <cell r="H9">
            <v>1000</v>
          </cell>
          <cell r="I9">
            <v>0</v>
          </cell>
          <cell r="J9" t="str">
            <v>NIKE</v>
          </cell>
          <cell r="K9" t="str">
            <v>Forecast</v>
          </cell>
          <cell r="L9" t="str">
            <v>DIE CUT</v>
          </cell>
          <cell r="M9">
            <v>1</v>
          </cell>
        </row>
        <row r="10">
          <cell r="A10" t="str">
            <v>F-2025-07-154-2</v>
          </cell>
          <cell r="B10" t="str">
            <v>FPRO-251001-0003</v>
          </cell>
          <cell r="C10" t="str">
            <v>BDB-000175</v>
          </cell>
          <cell r="D10" t="str">
            <v>PVN-002966</v>
          </cell>
          <cell r="E10" t="str">
            <v>OrthoLite Ultra-Hybrid-Nike SEEDPEARL/12-0703TPX Hybrid 0.085D 25+/-4 Asker C 1.1M 2M 4mm</v>
          </cell>
          <cell r="F10">
            <v>2000</v>
          </cell>
          <cell r="G10">
            <v>2000</v>
          </cell>
          <cell r="H10">
            <v>0</v>
          </cell>
          <cell r="I10">
            <v>2000</v>
          </cell>
          <cell r="J10" t="str">
            <v>NIKE</v>
          </cell>
          <cell r="K10" t="str">
            <v>Forecast</v>
          </cell>
          <cell r="L10" t="str">
            <v>DIE CUT</v>
          </cell>
          <cell r="M10">
            <v>1</v>
          </cell>
        </row>
        <row r="11">
          <cell r="A11" t="str">
            <v>F-2025-07-391-3</v>
          </cell>
          <cell r="B11" t="str">
            <v>FPRO-251001-0002</v>
          </cell>
          <cell r="C11" t="str">
            <v>BDB-000113</v>
          </cell>
          <cell r="D11" t="str">
            <v>PVN-002699</v>
          </cell>
          <cell r="E11" t="str">
            <v>OrthoLite Regular-Hybrid SEEDPEARL/12-0703TPX Hybrid Flat Sheet 0.11D 25+/-4 Asker C 1.1M 2M 4.5mm</v>
          </cell>
          <cell r="F11">
            <v>300</v>
          </cell>
          <cell r="G11">
            <v>300</v>
          </cell>
          <cell r="H11">
            <v>300</v>
          </cell>
          <cell r="I11">
            <v>0</v>
          </cell>
          <cell r="J11" t="str">
            <v>ASICS</v>
          </cell>
          <cell r="K11" t="str">
            <v>Forecast</v>
          </cell>
          <cell r="L11" t="str">
            <v>DIE CUT</v>
          </cell>
          <cell r="M11">
            <v>1</v>
          </cell>
        </row>
        <row r="12">
          <cell r="A12" t="str">
            <v>F-2025-07-401-1</v>
          </cell>
          <cell r="B12" t="str">
            <v>FPRO-250724-0007</v>
          </cell>
          <cell r="C12" t="str">
            <v>BDB-000161</v>
          </cell>
          <cell r="D12" t="str">
            <v>PVN-001560</v>
          </cell>
          <cell r="E12" t="str">
            <v>OrthoLite Ultra-Nike FOSSIL/17-0909TPX 0.085D 25+/-4 Asker C 1.1M 2M 4mm</v>
          </cell>
          <cell r="F12">
            <v>1350</v>
          </cell>
          <cell r="G12">
            <v>1350</v>
          </cell>
          <cell r="H12">
            <v>1350</v>
          </cell>
          <cell r="I12">
            <v>0</v>
          </cell>
          <cell r="J12" t="str">
            <v>NIKE</v>
          </cell>
          <cell r="K12" t="str">
            <v>Forecast</v>
          </cell>
          <cell r="L12" t="str">
            <v>DIE CUT</v>
          </cell>
          <cell r="M12">
            <v>1</v>
          </cell>
        </row>
        <row r="13">
          <cell r="A13" t="str">
            <v>F-2025-07-401-2</v>
          </cell>
          <cell r="B13" t="str">
            <v>FPRO-251001-0007</v>
          </cell>
          <cell r="C13" t="str">
            <v>BDB-000161</v>
          </cell>
          <cell r="D13" t="str">
            <v>PVN-001560</v>
          </cell>
          <cell r="E13" t="str">
            <v>OrthoLite Ultra-Nike FOSSIL/17-0909TPX 0.085D 25+/-4 Asker C 1.1M 2M 4mm</v>
          </cell>
          <cell r="F13">
            <v>1000</v>
          </cell>
          <cell r="G13">
            <v>1000</v>
          </cell>
          <cell r="H13">
            <v>1000</v>
          </cell>
          <cell r="I13">
            <v>0</v>
          </cell>
          <cell r="J13" t="str">
            <v>NIKE</v>
          </cell>
          <cell r="K13" t="str">
            <v>Forecast</v>
          </cell>
          <cell r="L13" t="str">
            <v>DIE CUT</v>
          </cell>
          <cell r="M13">
            <v>1</v>
          </cell>
        </row>
        <row r="14">
          <cell r="A14" t="str">
            <v>F-2025-07-433-1</v>
          </cell>
          <cell r="B14" t="str">
            <v>FPRO-250724-0055</v>
          </cell>
          <cell r="C14" t="str">
            <v>BDB-000175</v>
          </cell>
          <cell r="D14" t="str">
            <v>PVN-002966</v>
          </cell>
          <cell r="E14" t="str">
            <v>OrthoLite Ultra-Hybrid-Nike SEEDPEARL/12-0703TPX Hybrid 0.085D 25+/-4 Asker C 1.1M 2M 4mm</v>
          </cell>
          <cell r="F14">
            <v>4000</v>
          </cell>
          <cell r="G14">
            <v>4000</v>
          </cell>
          <cell r="H14">
            <v>4000</v>
          </cell>
          <cell r="I14">
            <v>0</v>
          </cell>
          <cell r="J14" t="str">
            <v>NIKE</v>
          </cell>
          <cell r="K14" t="str">
            <v>Forecast</v>
          </cell>
          <cell r="L14" t="str">
            <v>DIE CUT</v>
          </cell>
          <cell r="M14">
            <v>1</v>
          </cell>
        </row>
        <row r="15">
          <cell r="A15" t="str">
            <v>F-2025-07-433-2</v>
          </cell>
          <cell r="B15" t="str">
            <v>FPRO-251001-0005</v>
          </cell>
          <cell r="C15" t="str">
            <v>BDB-000175</v>
          </cell>
          <cell r="D15" t="str">
            <v>PVN-002966</v>
          </cell>
          <cell r="E15" t="str">
            <v>OrthoLite Ultra-Hybrid-Nike SEEDPEARL/12-0703TPX Hybrid 0.085D 25+/-4 Asker C 1.1M 2M 4mm</v>
          </cell>
          <cell r="F15">
            <v>2000</v>
          </cell>
          <cell r="G15">
            <v>2000</v>
          </cell>
          <cell r="H15">
            <v>0</v>
          </cell>
          <cell r="I15">
            <v>2000</v>
          </cell>
          <cell r="J15" t="str">
            <v>NIKE</v>
          </cell>
          <cell r="K15" t="str">
            <v>Forecast</v>
          </cell>
          <cell r="L15" t="str">
            <v>DIE CUT</v>
          </cell>
          <cell r="M15">
            <v>1</v>
          </cell>
        </row>
        <row r="16">
          <cell r="A16" t="str">
            <v>F-2025-07-434-1</v>
          </cell>
          <cell r="B16" t="str">
            <v>FPRO-250724-0056</v>
          </cell>
          <cell r="C16" t="str">
            <v>BDB-000175</v>
          </cell>
          <cell r="D16" t="str">
            <v>PVN-002966</v>
          </cell>
          <cell r="E16" t="str">
            <v>OrthoLite Ultra-Hybrid-Nike SEEDPEARL/12-0703TPX Hybrid 0.085D 25+/-4 Asker C 1.1M 2M 4mm</v>
          </cell>
          <cell r="F16">
            <v>4000</v>
          </cell>
          <cell r="G16">
            <v>4000</v>
          </cell>
          <cell r="H16">
            <v>3520</v>
          </cell>
          <cell r="I16">
            <v>480</v>
          </cell>
          <cell r="J16" t="str">
            <v>NIKE</v>
          </cell>
          <cell r="K16" t="str">
            <v>Forecast</v>
          </cell>
          <cell r="L16" t="str">
            <v>DIE CUT</v>
          </cell>
          <cell r="M16">
            <v>1</v>
          </cell>
        </row>
        <row r="17">
          <cell r="A17" t="str">
            <v>F-2025-07-434-2</v>
          </cell>
          <cell r="B17" t="str">
            <v>FPRO-251001-0004</v>
          </cell>
          <cell r="C17" t="str">
            <v>BDB-000175</v>
          </cell>
          <cell r="D17" t="str">
            <v>PVN-002966</v>
          </cell>
          <cell r="E17" t="str">
            <v>OrthoLite Ultra-Hybrid-Nike SEEDPEARL/12-0703TPX Hybrid 0.085D 25+/-4 Asker C 1.1M 2M 4mm</v>
          </cell>
          <cell r="F17">
            <v>2100</v>
          </cell>
          <cell r="G17">
            <v>2100</v>
          </cell>
          <cell r="H17">
            <v>0</v>
          </cell>
          <cell r="I17">
            <v>2100</v>
          </cell>
          <cell r="J17" t="str">
            <v>NIKE</v>
          </cell>
          <cell r="K17" t="str">
            <v>Forecast</v>
          </cell>
          <cell r="L17" t="str">
            <v>DIE CUT</v>
          </cell>
          <cell r="M17">
            <v>1</v>
          </cell>
        </row>
        <row r="18">
          <cell r="A18" t="str">
            <v>F-2025-07-440</v>
          </cell>
          <cell r="B18" t="str">
            <v>FPRO-250724-0067</v>
          </cell>
          <cell r="C18" t="str">
            <v>BDB-000160</v>
          </cell>
          <cell r="D18" t="str">
            <v>PVN-001562</v>
          </cell>
          <cell r="E18" t="str">
            <v>OrthoLite Ultra-Nike LIME GREEN/14-0452TPX 0.085D 25+/-4 Asker C 1.1M 2M 4mm</v>
          </cell>
          <cell r="F18">
            <v>3000</v>
          </cell>
          <cell r="G18">
            <v>3000</v>
          </cell>
          <cell r="H18">
            <v>0</v>
          </cell>
          <cell r="I18">
            <v>3000</v>
          </cell>
          <cell r="J18" t="str">
            <v>NIKE</v>
          </cell>
          <cell r="K18" t="str">
            <v>Forecast</v>
          </cell>
          <cell r="L18" t="str">
            <v>DIE CUT</v>
          </cell>
          <cell r="M18">
            <v>1</v>
          </cell>
        </row>
        <row r="19">
          <cell r="A19" t="str">
            <v>F-2025-07-442</v>
          </cell>
          <cell r="B19" t="str">
            <v>FPRO-250724-0069</v>
          </cell>
          <cell r="C19" t="str">
            <v>BDB-000160</v>
          </cell>
          <cell r="D19" t="str">
            <v>PVN-001562</v>
          </cell>
          <cell r="E19" t="str">
            <v>OrthoLite Ultra-Nike LIME GREEN/14-0452TPX 0.085D 25+/-4 Asker C 1.1M 2M 4mm</v>
          </cell>
          <cell r="F19">
            <v>3000</v>
          </cell>
          <cell r="G19">
            <v>3000</v>
          </cell>
          <cell r="H19">
            <v>3000</v>
          </cell>
          <cell r="I19">
            <v>0</v>
          </cell>
          <cell r="J19" t="str">
            <v>NIKE</v>
          </cell>
          <cell r="K19" t="str">
            <v>Forecast</v>
          </cell>
          <cell r="L19" t="str">
            <v>DIE CUT</v>
          </cell>
          <cell r="M19">
            <v>1</v>
          </cell>
        </row>
        <row r="20">
          <cell r="A20" t="str">
            <v>F-2025-07-443-1</v>
          </cell>
          <cell r="B20" t="str">
            <v>FPRO-250724-0070</v>
          </cell>
          <cell r="C20" t="str">
            <v>BDB-000160</v>
          </cell>
          <cell r="D20" t="str">
            <v>PVN-001562</v>
          </cell>
          <cell r="E20" t="str">
            <v>OrthoLite Ultra-Nike LIME GREEN/14-0452TPX 0.085D 25+/-4 Asker C 1.1M 2M 4mm</v>
          </cell>
          <cell r="F20">
            <v>3000</v>
          </cell>
          <cell r="G20">
            <v>1500</v>
          </cell>
          <cell r="H20">
            <v>1500</v>
          </cell>
          <cell r="I20">
            <v>0</v>
          </cell>
          <cell r="J20" t="str">
            <v>NIKE</v>
          </cell>
          <cell r="K20" t="str">
            <v>Forecast</v>
          </cell>
          <cell r="L20" t="str">
            <v>DIE CUT</v>
          </cell>
          <cell r="M20">
            <v>1</v>
          </cell>
        </row>
        <row r="21">
          <cell r="A21" t="str">
            <v>F-2025-07-443-2</v>
          </cell>
          <cell r="B21" t="str">
            <v>FPRO-251029-0001</v>
          </cell>
          <cell r="C21" t="str">
            <v>BDB-000160</v>
          </cell>
          <cell r="D21" t="str">
            <v>PVN-001562</v>
          </cell>
          <cell r="E21" t="str">
            <v>OrthoLite Ultra-Nike LIME GREEN/14-0452TPX 0.085D 25+/-4 Asker C 1.1M 2M 4mm</v>
          </cell>
          <cell r="F21">
            <v>3000</v>
          </cell>
          <cell r="G21">
            <v>1500</v>
          </cell>
          <cell r="H21">
            <v>1500</v>
          </cell>
          <cell r="I21">
            <v>0</v>
          </cell>
          <cell r="J21" t="str">
            <v>NIKE</v>
          </cell>
          <cell r="K21" t="str">
            <v>Forecast</v>
          </cell>
          <cell r="L21" t="str">
            <v>DIE CUT</v>
          </cell>
          <cell r="M21">
            <v>1</v>
          </cell>
        </row>
        <row r="22">
          <cell r="A22" t="str">
            <v>F-2025-07-444</v>
          </cell>
          <cell r="B22" t="str">
            <v>FPRO-250724-0071</v>
          </cell>
          <cell r="C22" t="str">
            <v>BDB-000160</v>
          </cell>
          <cell r="D22" t="str">
            <v>PVN-001562</v>
          </cell>
          <cell r="E22" t="str">
            <v>OrthoLite Ultra-Nike LIME GREEN/14-0452TPX 0.085D 25+/-4 Asker C 1.1M 2M 4mm</v>
          </cell>
          <cell r="F22">
            <v>3000</v>
          </cell>
          <cell r="G22">
            <v>3000</v>
          </cell>
          <cell r="H22">
            <v>0</v>
          </cell>
          <cell r="I22">
            <v>3000</v>
          </cell>
          <cell r="J22" t="str">
            <v>NIKE</v>
          </cell>
          <cell r="K22" t="str">
            <v>Forecast</v>
          </cell>
          <cell r="L22" t="str">
            <v>DIE CUT</v>
          </cell>
          <cell r="M22">
            <v>1</v>
          </cell>
        </row>
        <row r="23">
          <cell r="A23" t="str">
            <v>F-2025-08-240-2</v>
          </cell>
          <cell r="B23" t="str">
            <v>FPRO-251015-0004</v>
          </cell>
          <cell r="C23" t="str">
            <v>BDB-000011</v>
          </cell>
          <cell r="D23" t="str">
            <v>PVN-000242</v>
          </cell>
          <cell r="E23" t="str">
            <v>OrthoLite Regular AIR BLUE/16-4134TPX Flat Sheet 0.13D 35+/-4 Asker C 1.1M 2M 2mm</v>
          </cell>
          <cell r="F23">
            <v>800</v>
          </cell>
          <cell r="G23">
            <v>800</v>
          </cell>
          <cell r="H23">
            <v>800</v>
          </cell>
          <cell r="I23">
            <v>0</v>
          </cell>
          <cell r="J23" t="str">
            <v>ASICS</v>
          </cell>
          <cell r="K23" t="str">
            <v>Forecast</v>
          </cell>
          <cell r="L23" t="str">
            <v>SPLITTING</v>
          </cell>
          <cell r="M23">
            <v>2</v>
          </cell>
        </row>
        <row r="24">
          <cell r="A24" t="str">
            <v>F-2025-08-241</v>
          </cell>
          <cell r="B24" t="str">
            <v>FPRO-250814-0005</v>
          </cell>
          <cell r="C24" t="str">
            <v>BDB-000011</v>
          </cell>
          <cell r="D24" t="str">
            <v>PVN-000242</v>
          </cell>
          <cell r="E24" t="str">
            <v>OrthoLite Regular AIR BLUE/16-4134TPX Flat Sheet 0.13D 35+/-4 Asker C 1.1M 2M 2mm</v>
          </cell>
          <cell r="F24">
            <v>1000</v>
          </cell>
          <cell r="G24">
            <v>1000</v>
          </cell>
          <cell r="H24">
            <v>1000</v>
          </cell>
          <cell r="I24">
            <v>0</v>
          </cell>
          <cell r="J24" t="str">
            <v>ASICS</v>
          </cell>
          <cell r="K24" t="str">
            <v>Forecast</v>
          </cell>
          <cell r="L24" t="str">
            <v>SPLITTING</v>
          </cell>
          <cell r="M24">
            <v>2</v>
          </cell>
        </row>
        <row r="25">
          <cell r="A25" t="str">
            <v>F-2025-08-242</v>
          </cell>
          <cell r="B25" t="str">
            <v>FPRO-250814-0006</v>
          </cell>
          <cell r="C25" t="str">
            <v>BDB-000011</v>
          </cell>
          <cell r="D25" t="str">
            <v>PVN-000242</v>
          </cell>
          <cell r="E25" t="str">
            <v>OrthoLite Regular AIR BLUE/16-4134TPX Flat Sheet 0.13D 35+/-4 Asker C 1.1M 2M 2mm</v>
          </cell>
          <cell r="F25">
            <v>1000</v>
          </cell>
          <cell r="G25">
            <v>1000</v>
          </cell>
          <cell r="H25">
            <v>1000</v>
          </cell>
          <cell r="I25">
            <v>0</v>
          </cell>
          <cell r="J25" t="str">
            <v>ASICS</v>
          </cell>
          <cell r="K25" t="str">
            <v>Forecast</v>
          </cell>
          <cell r="L25" t="str">
            <v>SPLITTING</v>
          </cell>
          <cell r="M25">
            <v>2</v>
          </cell>
        </row>
        <row r="26">
          <cell r="A26" t="str">
            <v>F-2025-08-310</v>
          </cell>
          <cell r="B26" t="str">
            <v>FPRO-250819-0006</v>
          </cell>
          <cell r="C26" t="str">
            <v>BDB-000123</v>
          </cell>
          <cell r="D26" t="str">
            <v>PVN-003298</v>
          </cell>
          <cell r="E26" t="str">
            <v>OrthoLite Ultra-Hybrid SEEDPEARL/12-0703TPX Hybrid 0.085D 25+/-4 Asker C 1.1M 2M 4mm</v>
          </cell>
          <cell r="F26">
            <v>7000</v>
          </cell>
          <cell r="G26">
            <v>7000</v>
          </cell>
          <cell r="H26">
            <v>7000</v>
          </cell>
          <cell r="I26">
            <v>0</v>
          </cell>
          <cell r="J26" t="str">
            <v>ADIDAS</v>
          </cell>
          <cell r="K26" t="str">
            <v>Forecast</v>
          </cell>
          <cell r="L26" t="str">
            <v>SPLITTING</v>
          </cell>
          <cell r="M26">
            <v>2</v>
          </cell>
        </row>
        <row r="27">
          <cell r="A27" t="str">
            <v>F-2025-08-369-1</v>
          </cell>
          <cell r="B27" t="str">
            <v>FPRO-250821-0005</v>
          </cell>
          <cell r="C27" t="str">
            <v>BDB-000097</v>
          </cell>
          <cell r="D27" t="str">
            <v>PVN-003671</v>
          </cell>
          <cell r="E27" t="str">
            <v>OrthoLite Eco LT-Hybrid SEEDPEARL/12-0703TPX Hybrid 0.11D 25+/-4 Asker C 1.1M 2M 13mm</v>
          </cell>
          <cell r="F27">
            <v>1100</v>
          </cell>
          <cell r="G27">
            <v>600</v>
          </cell>
          <cell r="H27">
            <v>600</v>
          </cell>
          <cell r="I27">
            <v>0</v>
          </cell>
          <cell r="J27" t="str">
            <v>NEW BALANCE</v>
          </cell>
          <cell r="K27" t="str">
            <v>Forecast</v>
          </cell>
          <cell r="L27" t="str">
            <v>MOLDED</v>
          </cell>
          <cell r="M27">
            <v>1</v>
          </cell>
        </row>
        <row r="28">
          <cell r="A28" t="str">
            <v>F-2025-08-369-2</v>
          </cell>
          <cell r="B28" t="str">
            <v>FPRO-251022-0001</v>
          </cell>
          <cell r="C28" t="str">
            <v>BDB-000097</v>
          </cell>
          <cell r="D28" t="str">
            <v>PVN-003671</v>
          </cell>
          <cell r="E28" t="str">
            <v>OrthoLite Eco LT-Hybrid SEEDPEARL/12-0703TPX Hybrid 0.11D 25+/-4 Asker C 1.1M 2M 13mm</v>
          </cell>
          <cell r="F28">
            <v>1100</v>
          </cell>
          <cell r="G28">
            <v>500</v>
          </cell>
          <cell r="H28">
            <v>500</v>
          </cell>
          <cell r="I28">
            <v>0</v>
          </cell>
          <cell r="J28" t="str">
            <v>NEW BALANCE</v>
          </cell>
          <cell r="K28" t="str">
            <v>Forecast</v>
          </cell>
          <cell r="L28" t="str">
            <v>MOLDED</v>
          </cell>
          <cell r="M28">
            <v>1</v>
          </cell>
        </row>
        <row r="29">
          <cell r="A29" t="str">
            <v>F-2025-08-405</v>
          </cell>
          <cell r="B29" t="str">
            <v>FPRO-250825-0008</v>
          </cell>
          <cell r="C29" t="str">
            <v>BDB-000123</v>
          </cell>
          <cell r="D29" t="str">
            <v>PVN-003298</v>
          </cell>
          <cell r="E29" t="str">
            <v>OrthoLite Ultra-Hybrid SEEDPEARL/12-0703TPX Hybrid 0.085D 25+/-4 Asker C 1.1M 2M 4mm</v>
          </cell>
          <cell r="F29">
            <v>7000</v>
          </cell>
          <cell r="G29">
            <v>7000</v>
          </cell>
          <cell r="H29">
            <v>7000</v>
          </cell>
          <cell r="I29">
            <v>0</v>
          </cell>
          <cell r="J29" t="str">
            <v>SALOMON</v>
          </cell>
          <cell r="K29" t="str">
            <v>Forecast</v>
          </cell>
          <cell r="L29" t="str">
            <v>LAMINATING</v>
          </cell>
          <cell r="M29">
            <v>1</v>
          </cell>
        </row>
        <row r="30">
          <cell r="A30" t="str">
            <v>F-2025-08-406</v>
          </cell>
          <cell r="B30" t="str">
            <v>FPRO-250825-0009</v>
          </cell>
          <cell r="C30" t="str">
            <v>BDB-000123</v>
          </cell>
          <cell r="D30" t="str">
            <v>PVN-003298</v>
          </cell>
          <cell r="E30" t="str">
            <v>OrthoLite Ultra-Hybrid SEEDPEARL/12-0703TPX Hybrid 0.085D 25+/-4 Asker C 1.1M 2M 4mm</v>
          </cell>
          <cell r="F30">
            <v>7000</v>
          </cell>
          <cell r="G30">
            <v>7000</v>
          </cell>
          <cell r="H30">
            <v>7000</v>
          </cell>
          <cell r="I30">
            <v>0</v>
          </cell>
          <cell r="J30" t="str">
            <v>SALOMON</v>
          </cell>
          <cell r="K30" t="str">
            <v>Forecast</v>
          </cell>
          <cell r="L30" t="str">
            <v>LAMINATING</v>
          </cell>
          <cell r="M30">
            <v>1</v>
          </cell>
        </row>
        <row r="31">
          <cell r="A31" t="str">
            <v>F-2025-08-407</v>
          </cell>
          <cell r="B31" t="str">
            <v>FPRO-250825-0010</v>
          </cell>
          <cell r="C31" t="str">
            <v>BDB-000123</v>
          </cell>
          <cell r="D31" t="str">
            <v>PVN-003298</v>
          </cell>
          <cell r="E31" t="str">
            <v>OrthoLite Ultra-Hybrid SEEDPEARL/12-0703TPX Hybrid 0.085D 25+/-4 Asker C 1.1M 2M 4mm</v>
          </cell>
          <cell r="F31">
            <v>7000</v>
          </cell>
          <cell r="G31">
            <v>7000</v>
          </cell>
          <cell r="H31">
            <v>7000</v>
          </cell>
          <cell r="I31">
            <v>0</v>
          </cell>
          <cell r="J31" t="str">
            <v>SALOMON</v>
          </cell>
          <cell r="K31" t="str">
            <v>Forecast</v>
          </cell>
          <cell r="L31" t="str">
            <v>LAMINATING</v>
          </cell>
          <cell r="M31">
            <v>1</v>
          </cell>
        </row>
        <row r="32">
          <cell r="A32" t="str">
            <v>F-2025-08-415</v>
          </cell>
          <cell r="B32" t="str">
            <v>FPRO-250826-0004</v>
          </cell>
          <cell r="C32" t="str">
            <v>BDB-000008</v>
          </cell>
          <cell r="D32" t="str">
            <v>PVN-000505</v>
          </cell>
          <cell r="E32" t="str">
            <v>OrthoLite Regular LIME GREEN/14-0452TPX Flat Sheet 0.11D 25+/-4 Asker C 1.1M 2M 12mm</v>
          </cell>
          <cell r="F32">
            <v>400</v>
          </cell>
          <cell r="G32">
            <v>400</v>
          </cell>
          <cell r="H32">
            <v>400</v>
          </cell>
          <cell r="I32">
            <v>0</v>
          </cell>
          <cell r="J32" t="str">
            <v>ASICS</v>
          </cell>
          <cell r="K32" t="str">
            <v>Forecast</v>
          </cell>
          <cell r="L32" t="str">
            <v>MOLDED</v>
          </cell>
          <cell r="M32" t="str">
            <v>1-RM-WIP</v>
          </cell>
        </row>
        <row r="33">
          <cell r="A33" t="str">
            <v>F-2025-08-422</v>
          </cell>
          <cell r="B33" t="str">
            <v>FPRO-250826-0011</v>
          </cell>
          <cell r="C33" t="str">
            <v>BDB-000113</v>
          </cell>
          <cell r="D33" t="str">
            <v>PVN-002465</v>
          </cell>
          <cell r="E33" t="str">
            <v>OrthoLite Regular-Hybrid SEEDPEARL/12-0703TPX Hybrid Flat Sheet 0.11D 25+/-4 Asker C 1.1M 2M 5mm</v>
          </cell>
          <cell r="F33">
            <v>3000</v>
          </cell>
          <cell r="G33">
            <v>3000</v>
          </cell>
          <cell r="H33">
            <v>3000</v>
          </cell>
          <cell r="I33">
            <v>0</v>
          </cell>
          <cell r="J33" t="str">
            <v>ASICS</v>
          </cell>
          <cell r="K33" t="str">
            <v>Forecast</v>
          </cell>
          <cell r="L33" t="str">
            <v>DIE CUT</v>
          </cell>
          <cell r="M33">
            <v>1</v>
          </cell>
        </row>
        <row r="34">
          <cell r="A34" t="str">
            <v>F-2025-08-423-1</v>
          </cell>
          <cell r="B34" t="str">
            <v>FPRO-250826-0012</v>
          </cell>
          <cell r="C34" t="str">
            <v>BDB-000113</v>
          </cell>
          <cell r="D34" t="str">
            <v>PVN-002465</v>
          </cell>
          <cell r="E34" t="str">
            <v>OrthoLite Regular-Hybrid SEEDPEARL/12-0703TPX Hybrid Flat Sheet 0.11D 25+/-4 Asker C 1.1M 2M 5mm</v>
          </cell>
          <cell r="F34">
            <v>3000</v>
          </cell>
          <cell r="G34">
            <v>948</v>
          </cell>
          <cell r="H34">
            <v>948</v>
          </cell>
          <cell r="I34">
            <v>0</v>
          </cell>
          <cell r="J34" t="str">
            <v>ASICS</v>
          </cell>
          <cell r="K34" t="str">
            <v>Forecast</v>
          </cell>
          <cell r="L34" t="str">
            <v>DIE CUT</v>
          </cell>
          <cell r="M34">
            <v>1</v>
          </cell>
        </row>
        <row r="35">
          <cell r="A35" t="str">
            <v>F-2025-08-423-2</v>
          </cell>
          <cell r="B35" t="str">
            <v>FPRO-250826-0012</v>
          </cell>
          <cell r="C35" t="str">
            <v>BDB-000113</v>
          </cell>
          <cell r="D35" t="str">
            <v>PVN-002465</v>
          </cell>
          <cell r="E35" t="str">
            <v>OrthoLite Regular-Hybrid SEEDPEARL/12-0703TPX Hybrid Flat Sheet 0.11D 25+/-4 Asker C 1.1M 2M 5mm</v>
          </cell>
          <cell r="F35">
            <v>3000</v>
          </cell>
          <cell r="G35">
            <v>2052</v>
          </cell>
          <cell r="H35">
            <v>2052</v>
          </cell>
          <cell r="I35">
            <v>0</v>
          </cell>
          <cell r="J35" t="str">
            <v>ASICS</v>
          </cell>
          <cell r="K35" t="str">
            <v>Forecast</v>
          </cell>
          <cell r="L35" t="str">
            <v>DIE CUT</v>
          </cell>
          <cell r="M35">
            <v>1</v>
          </cell>
        </row>
        <row r="36">
          <cell r="A36" t="str">
            <v>F-2025-08-424</v>
          </cell>
          <cell r="B36" t="str">
            <v>FPRO-250826-0013</v>
          </cell>
          <cell r="C36" t="str">
            <v>BDB-000113</v>
          </cell>
          <cell r="D36" t="str">
            <v>PVN-002465</v>
          </cell>
          <cell r="E36" t="str">
            <v>OrthoLite Regular-Hybrid SEEDPEARL/12-0703TPX Hybrid Flat Sheet 0.11D 25+/-4 Asker C 1.1M 2M 5mm</v>
          </cell>
          <cell r="F36">
            <v>3000</v>
          </cell>
          <cell r="G36">
            <v>3000</v>
          </cell>
          <cell r="H36">
            <v>3000</v>
          </cell>
          <cell r="I36">
            <v>0</v>
          </cell>
          <cell r="J36" t="str">
            <v>ASICS</v>
          </cell>
          <cell r="K36" t="str">
            <v>Forecast</v>
          </cell>
          <cell r="L36" t="str">
            <v>DIE CUT</v>
          </cell>
          <cell r="M36">
            <v>1</v>
          </cell>
        </row>
        <row r="37">
          <cell r="A37" t="str">
            <v>F-2025-08-425-1</v>
          </cell>
          <cell r="B37" t="str">
            <v>FPRO-250826-0014</v>
          </cell>
          <cell r="C37" t="str">
            <v>BDB-000113</v>
          </cell>
          <cell r="D37" t="str">
            <v>PVN-002465</v>
          </cell>
          <cell r="E37" t="str">
            <v>OrthoLite Regular-Hybrid SEEDPEARL/12-0703TPX Hybrid Flat Sheet 0.11D 25+/-4 Asker C 1.1M 2M 5mm</v>
          </cell>
          <cell r="F37">
            <v>2500</v>
          </cell>
          <cell r="G37">
            <v>1000</v>
          </cell>
          <cell r="H37">
            <v>1000</v>
          </cell>
          <cell r="I37">
            <v>0</v>
          </cell>
          <cell r="J37" t="str">
            <v>ASICS</v>
          </cell>
          <cell r="K37" t="str">
            <v>Forecast</v>
          </cell>
          <cell r="L37" t="str">
            <v>DIE CUT</v>
          </cell>
          <cell r="M37">
            <v>1</v>
          </cell>
        </row>
        <row r="38">
          <cell r="A38" t="str">
            <v>F-2025-08-425-2</v>
          </cell>
          <cell r="B38" t="str">
            <v>FPRO-251020-0020</v>
          </cell>
          <cell r="C38" t="str">
            <v>BDB-000113</v>
          </cell>
          <cell r="D38" t="str">
            <v>PVN-002465</v>
          </cell>
          <cell r="E38" t="str">
            <v>OrthoLite Regular-Hybrid SEEDPEARL/12-0703TPX Hybrid Flat Sheet 0.11D 25+/-4 Asker C 1.1M 2M 5mm</v>
          </cell>
          <cell r="F38">
            <v>2500</v>
          </cell>
          <cell r="G38">
            <v>1500</v>
          </cell>
          <cell r="H38">
            <v>1500</v>
          </cell>
          <cell r="I38">
            <v>0</v>
          </cell>
          <cell r="J38" t="str">
            <v>ASICS</v>
          </cell>
          <cell r="K38" t="str">
            <v>Forecast</v>
          </cell>
          <cell r="L38" t="str">
            <v>DIE CUT</v>
          </cell>
          <cell r="M38">
            <v>1</v>
          </cell>
        </row>
        <row r="39">
          <cell r="A39" t="str">
            <v>F-2025-08-429</v>
          </cell>
          <cell r="B39" t="str">
            <v>FPRO-250826-0018</v>
          </cell>
          <cell r="C39" t="str">
            <v>BDB-000051</v>
          </cell>
          <cell r="D39" t="str">
            <v>PVN-003319</v>
          </cell>
          <cell r="E39" t="str">
            <v>OrthoLite X-40 TRUE BLUE/19-4057TPX Flat Sheet 0.16D 25+/-4 Asker C 1.1M 1.7M 12mm</v>
          </cell>
          <cell r="F39">
            <v>500</v>
          </cell>
          <cell r="G39">
            <v>500</v>
          </cell>
          <cell r="H39">
            <v>500</v>
          </cell>
          <cell r="I39">
            <v>0</v>
          </cell>
          <cell r="J39" t="str">
            <v>ASICS</v>
          </cell>
          <cell r="K39" t="str">
            <v>Forecast</v>
          </cell>
          <cell r="L39" t="str">
            <v>MOLDED</v>
          </cell>
          <cell r="M39" t="str">
            <v>1-RM-WIP</v>
          </cell>
        </row>
        <row r="40">
          <cell r="A40" t="str">
            <v>F-2025-08-430</v>
          </cell>
          <cell r="B40" t="str">
            <v>FPRO-250826-0019</v>
          </cell>
          <cell r="C40" t="str">
            <v>BDB-000051</v>
          </cell>
          <cell r="D40" t="str">
            <v>PVN-003319</v>
          </cell>
          <cell r="E40" t="str">
            <v>OrthoLite X-40 TRUE BLUE/19-4057TPX Flat Sheet 0.16D 25+/-4 Asker C 1.1M 1.7M 12mm</v>
          </cell>
          <cell r="F40">
            <v>500</v>
          </cell>
          <cell r="G40">
            <v>500</v>
          </cell>
          <cell r="H40">
            <v>0</v>
          </cell>
          <cell r="I40">
            <v>500</v>
          </cell>
          <cell r="J40" t="str">
            <v>ASICS</v>
          </cell>
          <cell r="K40" t="str">
            <v>Forecast</v>
          </cell>
          <cell r="L40" t="str">
            <v>MOLDED</v>
          </cell>
          <cell r="M40" t="str">
            <v>1-RM-WIP</v>
          </cell>
        </row>
        <row r="41">
          <cell r="A41" t="str">
            <v>F-2025-08-431</v>
          </cell>
          <cell r="B41" t="str">
            <v>FPRO-250826-0020</v>
          </cell>
          <cell r="C41" t="str">
            <v>BDB-000051</v>
          </cell>
          <cell r="D41" t="str">
            <v>PVN-003319</v>
          </cell>
          <cell r="E41" t="str">
            <v>OrthoLite X-40 TRUE BLUE/19-4057TPX Flat Sheet 0.16D 25+/-4 Asker C 1.1M 1.7M 12mm</v>
          </cell>
          <cell r="F41">
            <v>300</v>
          </cell>
          <cell r="G41">
            <v>300</v>
          </cell>
          <cell r="H41">
            <v>300</v>
          </cell>
          <cell r="I41">
            <v>0</v>
          </cell>
          <cell r="J41" t="str">
            <v>ASICS</v>
          </cell>
          <cell r="K41" t="str">
            <v>Forecast</v>
          </cell>
          <cell r="L41" t="str">
            <v>MOLDED</v>
          </cell>
          <cell r="M41" t="str">
            <v>1-RM-WIP</v>
          </cell>
        </row>
        <row r="42">
          <cell r="A42" t="str">
            <v>F-2025-08-436</v>
          </cell>
          <cell r="B42" t="str">
            <v>FPRO-250826-0025</v>
          </cell>
          <cell r="C42" t="str">
            <v>BDB-000113</v>
          </cell>
          <cell r="D42" t="str">
            <v>PVN-003414</v>
          </cell>
          <cell r="E42" t="str">
            <v>OrthoLite Regular-Hybrid SEEDPEARL/12-0703TPX Hybrid Flat Sheet 0.11D 25+/-4 Asker C 1.1M 2M 12mm</v>
          </cell>
          <cell r="F42">
            <v>4000</v>
          </cell>
          <cell r="G42">
            <v>4000</v>
          </cell>
          <cell r="H42">
            <v>4000</v>
          </cell>
          <cell r="I42">
            <v>0</v>
          </cell>
          <cell r="J42" t="str">
            <v>ASICS</v>
          </cell>
          <cell r="K42" t="str">
            <v>Forecast</v>
          </cell>
          <cell r="L42" t="str">
            <v>MOLDED</v>
          </cell>
          <cell r="M42" t="str">
            <v>1-RM-WIP</v>
          </cell>
        </row>
        <row r="43">
          <cell r="A43" t="str">
            <v>F-2025-08-437</v>
          </cell>
          <cell r="B43" t="str">
            <v>FPRO-250826-0026</v>
          </cell>
          <cell r="C43" t="str">
            <v>BDB-000113</v>
          </cell>
          <cell r="D43" t="str">
            <v>PVN-003414</v>
          </cell>
          <cell r="E43" t="str">
            <v>OrthoLite Regular-Hybrid SEEDPEARL/12-0703TPX Hybrid Flat Sheet 0.11D 25+/-4 Asker C 1.1M 2M 12mm</v>
          </cell>
          <cell r="F43">
            <v>4000</v>
          </cell>
          <cell r="G43">
            <v>4000</v>
          </cell>
          <cell r="H43">
            <v>4000</v>
          </cell>
          <cell r="I43">
            <v>0</v>
          </cell>
          <cell r="J43" t="str">
            <v>ASICS</v>
          </cell>
          <cell r="K43" t="str">
            <v>Forecast</v>
          </cell>
          <cell r="L43" t="str">
            <v>MOLDED</v>
          </cell>
          <cell r="M43" t="str">
            <v>1-RM-WIP</v>
          </cell>
        </row>
        <row r="44">
          <cell r="A44" t="str">
            <v>F-2025-08-438</v>
          </cell>
          <cell r="B44" t="str">
            <v>FPRO-250826-0027</v>
          </cell>
          <cell r="C44" t="str">
            <v>BDB-000113</v>
          </cell>
          <cell r="D44" t="str">
            <v>PVN-003414</v>
          </cell>
          <cell r="E44" t="str">
            <v>OrthoLite Regular-Hybrid SEEDPEARL/12-0703TPX Hybrid Flat Sheet 0.11D 25+/-4 Asker C 1.1M 2M 12mm</v>
          </cell>
          <cell r="F44">
            <v>4000</v>
          </cell>
          <cell r="G44">
            <v>4000</v>
          </cell>
          <cell r="H44">
            <v>3530</v>
          </cell>
          <cell r="I44">
            <v>470</v>
          </cell>
          <cell r="J44" t="str">
            <v>ASICS</v>
          </cell>
          <cell r="K44" t="str">
            <v>Forecast</v>
          </cell>
          <cell r="L44" t="str">
            <v>MOLDED</v>
          </cell>
          <cell r="M44" t="str">
            <v>1-RM-WIP</v>
          </cell>
        </row>
        <row r="45">
          <cell r="A45" t="str">
            <v>F-2025-08-439-1</v>
          </cell>
          <cell r="B45" t="str">
            <v>FPRO-251015-0006</v>
          </cell>
          <cell r="C45" t="str">
            <v>BDB-000113</v>
          </cell>
          <cell r="D45" t="str">
            <v>PVN-003414</v>
          </cell>
          <cell r="E45" t="str">
            <v>OrthoLite Regular-Hybrid SEEDPEARL/12-0703TPX Hybrid Flat Sheet 0.11D 25+/-4 Asker C 1.1M 2M 12mm</v>
          </cell>
          <cell r="F45">
            <v>2000</v>
          </cell>
          <cell r="G45">
            <v>1000</v>
          </cell>
          <cell r="H45">
            <v>1000</v>
          </cell>
          <cell r="I45">
            <v>0</v>
          </cell>
          <cell r="J45" t="str">
            <v>ASICS</v>
          </cell>
          <cell r="K45" t="str">
            <v>Forecast</v>
          </cell>
          <cell r="L45" t="str">
            <v>MOLDED</v>
          </cell>
          <cell r="M45" t="str">
            <v>1-RM-WIP</v>
          </cell>
        </row>
        <row r="46">
          <cell r="A46" t="str">
            <v>F-2025-08-439-3</v>
          </cell>
          <cell r="B46" t="str">
            <v>FPRO-251020-0022</v>
          </cell>
          <cell r="C46" t="str">
            <v>BDB-000113</v>
          </cell>
          <cell r="D46" t="str">
            <v>PVN-003414</v>
          </cell>
          <cell r="E46" t="str">
            <v>OrthoLite Regular-Hybrid SEEDPEARL/12-0703TPX Hybrid Flat Sheet 0.11D 25+/-4 Asker C 1.1M 2M 12mm</v>
          </cell>
          <cell r="F46">
            <v>2000</v>
          </cell>
          <cell r="G46">
            <v>1000</v>
          </cell>
          <cell r="H46">
            <v>1000</v>
          </cell>
          <cell r="I46">
            <v>0</v>
          </cell>
          <cell r="J46" t="str">
            <v>ASICS</v>
          </cell>
          <cell r="K46" t="str">
            <v>Forecast</v>
          </cell>
          <cell r="L46" t="str">
            <v>MOLDED</v>
          </cell>
          <cell r="M46" t="str">
            <v>1-RM-WIP</v>
          </cell>
        </row>
        <row r="47">
          <cell r="A47" t="str">
            <v>F-2025-08-439-2</v>
          </cell>
          <cell r="B47" t="str">
            <v>FPRO-250826-0028</v>
          </cell>
          <cell r="C47" t="str">
            <v>BDB-000113</v>
          </cell>
          <cell r="D47" t="str">
            <v>PVN-003414</v>
          </cell>
          <cell r="E47" t="str">
            <v>OrthoLite Regular-Hybrid SEEDPEARL/12-0703TPX Hybrid Flat Sheet 0.11D 25+/-4 Asker C 1.1M 2M 12mm</v>
          </cell>
          <cell r="F47">
            <v>2000</v>
          </cell>
          <cell r="G47">
            <v>365</v>
          </cell>
          <cell r="H47">
            <v>365</v>
          </cell>
          <cell r="I47">
            <v>0</v>
          </cell>
          <cell r="J47" t="str">
            <v>ASICS</v>
          </cell>
          <cell r="K47" t="str">
            <v>Forecast</v>
          </cell>
          <cell r="L47" t="str">
            <v>MOLDED</v>
          </cell>
          <cell r="M47" t="str">
            <v>1-RM-WIP</v>
          </cell>
        </row>
        <row r="48">
          <cell r="A48" t="str">
            <v>F-2025-08-439-4</v>
          </cell>
          <cell r="B48" t="str">
            <v>FPRO-250826-0028</v>
          </cell>
          <cell r="C48" t="str">
            <v>BDB-000113</v>
          </cell>
          <cell r="D48" t="str">
            <v>PVN-003414</v>
          </cell>
          <cell r="E48" t="str">
            <v>OrthoLite Regular-Hybrid SEEDPEARL/12-0703TPX Hybrid Flat Sheet 0.11D 25+/-4 Asker C 1.1M 2M 12mm</v>
          </cell>
          <cell r="F48">
            <v>2000</v>
          </cell>
          <cell r="G48">
            <v>1635</v>
          </cell>
          <cell r="H48">
            <v>1635</v>
          </cell>
          <cell r="I48">
            <v>0</v>
          </cell>
          <cell r="J48" t="str">
            <v>ASICS</v>
          </cell>
          <cell r="K48" t="str">
            <v>Forecast</v>
          </cell>
          <cell r="L48" t="str">
            <v>MOLDED</v>
          </cell>
          <cell r="M48" t="str">
            <v>1-RM-WIP</v>
          </cell>
        </row>
        <row r="49">
          <cell r="A49" t="str">
            <v>F-2025-08-440</v>
          </cell>
          <cell r="B49" t="str">
            <v>FPRO-250826-0029</v>
          </cell>
          <cell r="C49" t="str">
            <v>BDB-000113</v>
          </cell>
          <cell r="D49" t="str">
            <v>PVN-003414</v>
          </cell>
          <cell r="E49" t="str">
            <v>OrthoLite Regular-Hybrid SEEDPEARL/12-0703TPX Hybrid Flat Sheet 0.11D 25+/-4 Asker C 1.1M 2M 12mm</v>
          </cell>
          <cell r="F49">
            <v>4000</v>
          </cell>
          <cell r="G49">
            <v>4000</v>
          </cell>
          <cell r="H49">
            <v>4000</v>
          </cell>
          <cell r="I49">
            <v>0</v>
          </cell>
          <cell r="J49" t="str">
            <v>ASICS</v>
          </cell>
          <cell r="K49" t="str">
            <v>Forecast</v>
          </cell>
          <cell r="L49" t="str">
            <v>MOLDED</v>
          </cell>
          <cell r="M49" t="str">
            <v>1-RM-WIP</v>
          </cell>
        </row>
        <row r="50">
          <cell r="A50" t="str">
            <v>F-2025-08-463-1</v>
          </cell>
          <cell r="B50" t="str">
            <v>FPRO-250827-0004</v>
          </cell>
          <cell r="C50" t="str">
            <v>BDB-000162</v>
          </cell>
          <cell r="D50" t="str">
            <v>PVN-001566</v>
          </cell>
          <cell r="E50" t="str">
            <v>OrthoLite Ultra-Nike SEEDPEARL/12-0703TPX 0.085D 25+/-4 Asker C 1.1M 2M 4mm</v>
          </cell>
          <cell r="F50">
            <v>1000</v>
          </cell>
          <cell r="G50">
            <v>1000</v>
          </cell>
          <cell r="H50">
            <v>1000</v>
          </cell>
          <cell r="I50">
            <v>0</v>
          </cell>
          <cell r="J50" t="str">
            <v>NIKE</v>
          </cell>
          <cell r="K50" t="str">
            <v>Forecast</v>
          </cell>
          <cell r="L50" t="str">
            <v>DIE CUT</v>
          </cell>
          <cell r="M50">
            <v>1</v>
          </cell>
        </row>
        <row r="51">
          <cell r="A51" t="str">
            <v>F-2025-08-463-2</v>
          </cell>
          <cell r="B51" t="str">
            <v>FPRO-251006-0001</v>
          </cell>
          <cell r="C51" t="str">
            <v>BDB-000162</v>
          </cell>
          <cell r="D51" t="str">
            <v>PVN-001566</v>
          </cell>
          <cell r="E51" t="str">
            <v>OrthoLite Ultra-Nike SEEDPEARL/12-0703TPX 0.085D 25+/-4 Asker C 1.1M 2M 4mm</v>
          </cell>
          <cell r="F51">
            <v>4000</v>
          </cell>
          <cell r="G51">
            <v>1000</v>
          </cell>
          <cell r="H51">
            <v>0</v>
          </cell>
          <cell r="I51">
            <v>1000</v>
          </cell>
          <cell r="J51" t="str">
            <v>NIKE</v>
          </cell>
          <cell r="K51" t="str">
            <v>Forecast</v>
          </cell>
          <cell r="L51" t="str">
            <v>DIE CUT</v>
          </cell>
          <cell r="M51">
            <v>1</v>
          </cell>
        </row>
        <row r="52">
          <cell r="A52" t="str">
            <v>F-2025-08-463-3</v>
          </cell>
          <cell r="B52" t="str">
            <v>FPRO-251029-0003</v>
          </cell>
          <cell r="C52" t="str">
            <v>BDB-000162</v>
          </cell>
          <cell r="D52" t="str">
            <v>PVN-001566</v>
          </cell>
          <cell r="E52" t="str">
            <v>OrthoLite Ultra-Nike SEEDPEARL/12-0703TPX 0.085D 25+/-4 Asker C 1.1M 2M 4mm</v>
          </cell>
          <cell r="F52">
            <v>4000</v>
          </cell>
          <cell r="G52">
            <v>3000</v>
          </cell>
          <cell r="H52">
            <v>0</v>
          </cell>
          <cell r="I52">
            <v>3000</v>
          </cell>
          <cell r="J52" t="str">
            <v>NIKE</v>
          </cell>
          <cell r="K52" t="str">
            <v>Forecast</v>
          </cell>
          <cell r="L52" t="str">
            <v>DIE CUT</v>
          </cell>
          <cell r="M52">
            <v>1</v>
          </cell>
        </row>
        <row r="53">
          <cell r="A53" t="str">
            <v>F-2025-08-464-1</v>
          </cell>
          <cell r="B53" t="str">
            <v>FPRO-250827-0005</v>
          </cell>
          <cell r="C53" t="str">
            <v>BDB-000162</v>
          </cell>
          <cell r="D53" t="str">
            <v>PVN-001566</v>
          </cell>
          <cell r="E53" t="str">
            <v>OrthoLite Ultra-Nike SEEDPEARL/12-0703TPX 0.085D 25+/-4 Asker C 1.1M 2M 4mm</v>
          </cell>
          <cell r="F53">
            <v>5000</v>
          </cell>
          <cell r="G53">
            <v>3000</v>
          </cell>
          <cell r="H53">
            <v>3000</v>
          </cell>
          <cell r="I53">
            <v>0</v>
          </cell>
          <cell r="J53" t="str">
            <v>NIKE</v>
          </cell>
          <cell r="K53" t="str">
            <v>Forecast</v>
          </cell>
          <cell r="L53" t="str">
            <v>DIE CUT</v>
          </cell>
          <cell r="M53">
            <v>1</v>
          </cell>
        </row>
        <row r="54">
          <cell r="A54" t="str">
            <v>F-2025-08-464-2</v>
          </cell>
          <cell r="B54" t="str">
            <v>FPRO-251014-0003</v>
          </cell>
          <cell r="C54" t="str">
            <v>BDB-000162</v>
          </cell>
          <cell r="D54" t="str">
            <v>PVN-001566</v>
          </cell>
          <cell r="E54" t="str">
            <v>OrthoLite Ultra-Nike SEEDPEARL/12-0703TPX 0.085D 25+/-4 Asker C 1.1M 2M 4mm</v>
          </cell>
          <cell r="F54">
            <v>5000</v>
          </cell>
          <cell r="G54">
            <v>2000</v>
          </cell>
          <cell r="H54">
            <v>0</v>
          </cell>
          <cell r="I54">
            <v>2000</v>
          </cell>
          <cell r="J54" t="str">
            <v>NIKE</v>
          </cell>
          <cell r="K54" t="str">
            <v>Forecast</v>
          </cell>
          <cell r="L54" t="str">
            <v>DIE CUT</v>
          </cell>
          <cell r="M54">
            <v>1</v>
          </cell>
        </row>
        <row r="55">
          <cell r="A55" t="str">
            <v>F-2025-08-465-1</v>
          </cell>
          <cell r="B55" t="str">
            <v>FPRO-250827-0006</v>
          </cell>
          <cell r="C55" t="str">
            <v>BDB-000162</v>
          </cell>
          <cell r="D55" t="str">
            <v>PVN-001566</v>
          </cell>
          <cell r="E55" t="str">
            <v>OrthoLite Ultra-Nike SEEDPEARL/12-0703TPX 0.085D 25+/-4 Asker C 1.1M 2M 4mm</v>
          </cell>
          <cell r="F55">
            <v>3700</v>
          </cell>
          <cell r="G55">
            <v>1000</v>
          </cell>
          <cell r="H55">
            <v>1000</v>
          </cell>
          <cell r="I55">
            <v>0</v>
          </cell>
          <cell r="J55" t="str">
            <v>NIKE</v>
          </cell>
          <cell r="K55" t="str">
            <v>Forecast</v>
          </cell>
          <cell r="L55" t="str">
            <v>DIE CUT</v>
          </cell>
          <cell r="M55">
            <v>1</v>
          </cell>
        </row>
        <row r="56">
          <cell r="A56" t="str">
            <v>F-2025-08-465-2</v>
          </cell>
          <cell r="B56" t="str">
            <v>FPRO-251029-0002</v>
          </cell>
          <cell r="C56" t="str">
            <v>BDB-000162</v>
          </cell>
          <cell r="D56" t="str">
            <v>PVN-001566</v>
          </cell>
          <cell r="E56" t="str">
            <v>OrthoLite Ultra-Nike SEEDPEARL/12-0703TPX 0.085D 25+/-4 Asker C 1.1M 2M 4mm</v>
          </cell>
          <cell r="F56">
            <v>2700</v>
          </cell>
          <cell r="G56">
            <v>900</v>
          </cell>
          <cell r="H56">
            <v>900</v>
          </cell>
          <cell r="I56">
            <v>0</v>
          </cell>
          <cell r="J56" t="str">
            <v>NIKE</v>
          </cell>
          <cell r="K56" t="str">
            <v>Forecast</v>
          </cell>
          <cell r="L56" t="str">
            <v>DIE CUT</v>
          </cell>
          <cell r="M56">
            <v>1</v>
          </cell>
        </row>
        <row r="57">
          <cell r="A57" t="str">
            <v>F-2025-08-465-3</v>
          </cell>
          <cell r="B57" t="str">
            <v>FPRO-251029-0002</v>
          </cell>
          <cell r="C57" t="str">
            <v>BDB-000162</v>
          </cell>
          <cell r="D57" t="str">
            <v>PVN-001566</v>
          </cell>
          <cell r="E57" t="str">
            <v>OrthoLite Ultra-Nike SEEDPEARL/12-0703TPX 0.085D 25+/-4 Asker C 1.1M 2M 4mm</v>
          </cell>
          <cell r="F57">
            <v>2700</v>
          </cell>
          <cell r="G57">
            <v>1800</v>
          </cell>
          <cell r="H57">
            <v>1800</v>
          </cell>
          <cell r="I57">
            <v>0</v>
          </cell>
          <cell r="J57" t="str">
            <v>NIKE</v>
          </cell>
          <cell r="K57" t="str">
            <v>Forecast</v>
          </cell>
          <cell r="L57" t="str">
            <v>DIE CUT</v>
          </cell>
          <cell r="M57">
            <v>1</v>
          </cell>
        </row>
        <row r="58">
          <cell r="A58" t="str">
            <v>F-2025-08-467-2</v>
          </cell>
          <cell r="B58" t="str">
            <v>FPRO-251015-0002</v>
          </cell>
          <cell r="C58" t="str">
            <v>BDB-000165</v>
          </cell>
          <cell r="D58" t="str">
            <v>PVN-002053</v>
          </cell>
          <cell r="E58" t="str">
            <v>OrthoLite Ultra-Nike LIME GREEN/14-0452TPX Flat Sheet 0.085D 15+/-4 Asker C 1.1M 2M 5mm</v>
          </cell>
          <cell r="F58">
            <v>500</v>
          </cell>
          <cell r="G58">
            <v>500</v>
          </cell>
          <cell r="H58">
            <v>500</v>
          </cell>
          <cell r="I58">
            <v>0</v>
          </cell>
          <cell r="J58" t="str">
            <v>NIKE</v>
          </cell>
          <cell r="K58" t="str">
            <v>Forecast</v>
          </cell>
          <cell r="L58" t="str">
            <v>DIE CUT</v>
          </cell>
          <cell r="M58">
            <v>1</v>
          </cell>
        </row>
        <row r="59">
          <cell r="A59" t="str">
            <v>F-2025-08-468</v>
          </cell>
          <cell r="B59" t="str">
            <v>FPRO-250827-0009</v>
          </cell>
          <cell r="C59" t="str">
            <v>BDB-000165</v>
          </cell>
          <cell r="D59" t="str">
            <v>PVN-002053</v>
          </cell>
          <cell r="E59" t="str">
            <v>OrthoLite Ultra-Nike LIME GREEN/14-0452TPX Flat Sheet 0.085D 15+/-4 Asker C 1.1M 2M 5mm</v>
          </cell>
          <cell r="F59">
            <v>1100</v>
          </cell>
          <cell r="G59">
            <v>1100</v>
          </cell>
          <cell r="H59">
            <v>1100</v>
          </cell>
          <cell r="I59">
            <v>0</v>
          </cell>
          <cell r="J59" t="str">
            <v>NIKE</v>
          </cell>
          <cell r="K59" t="str">
            <v>Forecast</v>
          </cell>
          <cell r="L59" t="str">
            <v>DIE CUT</v>
          </cell>
          <cell r="M59">
            <v>1</v>
          </cell>
        </row>
        <row r="60">
          <cell r="A60" t="str">
            <v>F-2025-08-478</v>
          </cell>
          <cell r="B60" t="str">
            <v>FPRO-250827-0019</v>
          </cell>
          <cell r="C60" t="str">
            <v>BDB-000157</v>
          </cell>
          <cell r="D60" t="str">
            <v>PVN-003573</v>
          </cell>
          <cell r="E60" t="str">
            <v>OrthoLite X-35-Hybrid-Nike SEEDPEARL/12-0703TPX Hybrid 0.145D 25+/-4 Asker C 1.1M 2M 4.2mm</v>
          </cell>
          <cell r="F60">
            <v>3000</v>
          </cell>
          <cell r="G60">
            <v>3000</v>
          </cell>
          <cell r="H60">
            <v>3000</v>
          </cell>
          <cell r="I60">
            <v>0</v>
          </cell>
          <cell r="J60" t="str">
            <v>NIKE</v>
          </cell>
          <cell r="K60" t="str">
            <v>Forecast</v>
          </cell>
          <cell r="L60" t="str">
            <v>MOLDED</v>
          </cell>
          <cell r="M60">
            <v>1</v>
          </cell>
        </row>
        <row r="61">
          <cell r="A61" t="str">
            <v>F-2025-08-481</v>
          </cell>
          <cell r="B61" t="str">
            <v>FPRO-250827-0023</v>
          </cell>
          <cell r="C61" t="str">
            <v>BDB-000259</v>
          </cell>
          <cell r="D61" t="str">
            <v>PVN-003684</v>
          </cell>
          <cell r="E61" t="str">
            <v>OrthoLite Nike PP002 GLACIER GRAY/14-4102TPX Flat Sheet 0.145D 25+/-4 asker C 1.1M 2M 4.2mm</v>
          </cell>
          <cell r="F61">
            <v>2000</v>
          </cell>
          <cell r="G61">
            <v>2000</v>
          </cell>
          <cell r="H61">
            <v>2000</v>
          </cell>
          <cell r="I61">
            <v>0</v>
          </cell>
          <cell r="J61" t="str">
            <v>NIKE</v>
          </cell>
          <cell r="K61" t="str">
            <v>Forecast</v>
          </cell>
          <cell r="L61" t="str">
            <v>MOLDED</v>
          </cell>
          <cell r="M61">
            <v>1</v>
          </cell>
        </row>
        <row r="62">
          <cell r="A62" t="str">
            <v>F-2025-09-24</v>
          </cell>
          <cell r="B62" t="str">
            <v>RPRO-250903-1028</v>
          </cell>
          <cell r="C62" t="str">
            <v>BDB-000157</v>
          </cell>
          <cell r="D62" t="str">
            <v>PVN-003642</v>
          </cell>
          <cell r="E62" t="str">
            <v>OrthoLite X-35-Hybrid-Nike SEEDPEARL/12-0703TPX Hybrid Flat Sheet 0.145D 25+/-4 Asker C 1.1M 2M 6.2mm</v>
          </cell>
          <cell r="F62">
            <v>110</v>
          </cell>
          <cell r="G62">
            <v>110</v>
          </cell>
          <cell r="H62">
            <v>110</v>
          </cell>
          <cell r="I62">
            <v>0</v>
          </cell>
          <cell r="J62" t="str">
            <v>NIKE</v>
          </cell>
          <cell r="K62" t="str">
            <v>Pr.Sch.R</v>
          </cell>
          <cell r="L62" t="str">
            <v>MOLDED</v>
          </cell>
          <cell r="M62">
            <v>1</v>
          </cell>
        </row>
        <row r="63">
          <cell r="A63" t="str">
            <v>F-2025-09-46</v>
          </cell>
          <cell r="B63" t="str">
            <v>RPRO-250904-0841</v>
          </cell>
          <cell r="C63" t="str">
            <v>BDB-000157</v>
          </cell>
          <cell r="D63" t="str">
            <v>PVN-003642</v>
          </cell>
          <cell r="E63" t="str">
            <v>OrthoLite X-35-Hybrid-Nike SEEDPEARL/12-0703TPX Hybrid Flat Sheet 0.145D 25+/-4 Asker C 1.1M 2M 6.2mm</v>
          </cell>
          <cell r="F63">
            <v>110</v>
          </cell>
          <cell r="G63">
            <v>110</v>
          </cell>
          <cell r="H63">
            <v>110</v>
          </cell>
          <cell r="I63">
            <v>0</v>
          </cell>
          <cell r="J63" t="str">
            <v>NIKE</v>
          </cell>
          <cell r="K63" t="str">
            <v>Pr.Sch.R</v>
          </cell>
          <cell r="L63" t="str">
            <v>MOLDED</v>
          </cell>
          <cell r="M63">
            <v>1</v>
          </cell>
        </row>
        <row r="64">
          <cell r="A64" t="str">
            <v>F-2025-09-145</v>
          </cell>
          <cell r="B64" t="str">
            <v>RPRO-250912-0430</v>
          </cell>
          <cell r="C64" t="str">
            <v>BDB-000157</v>
          </cell>
          <cell r="D64" t="str">
            <v>PVN-003642</v>
          </cell>
          <cell r="E64" t="str">
            <v>OrthoLite X-35-Hybrid-Nike SEEDPEARL/12-0703TPX Hybrid Flat Sheet 0.145D 25+/-4 Asker C 1.1M 2M 6.2mm</v>
          </cell>
          <cell r="F64">
            <v>22</v>
          </cell>
          <cell r="G64">
            <v>22</v>
          </cell>
          <cell r="H64">
            <v>22</v>
          </cell>
          <cell r="I64">
            <v>0</v>
          </cell>
          <cell r="J64" t="str">
            <v>NIKE</v>
          </cell>
          <cell r="K64" t="str">
            <v>Pr.Sch.R</v>
          </cell>
          <cell r="L64" t="str">
            <v>MOLDED</v>
          </cell>
          <cell r="M64">
            <v>1</v>
          </cell>
        </row>
        <row r="65">
          <cell r="A65" t="str">
            <v>F-2025-09-152</v>
          </cell>
          <cell r="B65" t="str">
            <v>FPRO-250911-0002</v>
          </cell>
          <cell r="C65" t="str">
            <v>BDB-000076</v>
          </cell>
          <cell r="D65" t="str">
            <v>PVN-003745</v>
          </cell>
          <cell r="E65" t="str">
            <v>OrthoLite X-25 BILLIARD/16-5427TPX Flat Sheet 0.12D 20+/-4 Asker C 1.1M 2M 16mm</v>
          </cell>
          <cell r="F65">
            <v>550</v>
          </cell>
          <cell r="G65">
            <v>550</v>
          </cell>
          <cell r="H65">
            <v>550</v>
          </cell>
          <cell r="I65">
            <v>0</v>
          </cell>
          <cell r="J65" t="str">
            <v>FOOTJOY</v>
          </cell>
          <cell r="K65" t="str">
            <v>Forecast</v>
          </cell>
          <cell r="L65" t="str">
            <v>MOLDED</v>
          </cell>
          <cell r="M65">
            <v>1</v>
          </cell>
        </row>
        <row r="66">
          <cell r="A66" t="str">
            <v>F-2025-09-160</v>
          </cell>
          <cell r="B66" t="str">
            <v>RPRO-250915-0459</v>
          </cell>
          <cell r="C66" t="str">
            <v>BDB-000175</v>
          </cell>
          <cell r="D66" t="str">
            <v>PVN-002876</v>
          </cell>
          <cell r="E66" t="str">
            <v>OrthoLite Ultra-Hybrid-Nike SEEDPEARL/12-0703TPX Hybrid Flat Sheet 0.085D 25+/-4 Asker C 1.1M 2M 5mm</v>
          </cell>
          <cell r="F66">
            <v>28</v>
          </cell>
          <cell r="G66">
            <v>28</v>
          </cell>
          <cell r="H66">
            <v>28</v>
          </cell>
          <cell r="I66">
            <v>0</v>
          </cell>
          <cell r="J66" t="str">
            <v>NIKE</v>
          </cell>
          <cell r="K66" t="str">
            <v>Pr.Sch.R</v>
          </cell>
          <cell r="L66" t="str">
            <v>MOLDED</v>
          </cell>
          <cell r="M66">
            <v>1</v>
          </cell>
        </row>
        <row r="67">
          <cell r="A67" t="str">
            <v>F-2025-09-164-2</v>
          </cell>
          <cell r="B67" t="str">
            <v>RPRO-250917-0714</v>
          </cell>
          <cell r="C67" t="str">
            <v>BDB-000218</v>
          </cell>
          <cell r="D67" t="str">
            <v>PVN-003488</v>
          </cell>
          <cell r="E67" t="str">
            <v>OrthoLite Ultra-Nike SEEDPEARL/12-0703TPX Flat Sheet 0.085D 5-10 Asker C 1.1M 2M 4mm</v>
          </cell>
          <cell r="F67">
            <v>1000</v>
          </cell>
          <cell r="G67">
            <v>1000</v>
          </cell>
          <cell r="H67">
            <v>1000</v>
          </cell>
          <cell r="I67">
            <v>0</v>
          </cell>
          <cell r="J67" t="str">
            <v>NIKE</v>
          </cell>
          <cell r="K67" t="str">
            <v>Pr.Sch.R</v>
          </cell>
          <cell r="L67" t="str">
            <v>DIE CUT</v>
          </cell>
          <cell r="M67">
            <v>1</v>
          </cell>
        </row>
        <row r="68">
          <cell r="A68" t="str">
            <v>F-2025-09-164-3</v>
          </cell>
          <cell r="B68" t="str">
            <v>RPRO-250917-0738</v>
          </cell>
          <cell r="C68" t="str">
            <v>BDB-000218</v>
          </cell>
          <cell r="D68" t="str">
            <v>PVN-003488</v>
          </cell>
          <cell r="E68" t="str">
            <v>OrthoLite Ultra-Nike SEEDPEARL/12-0703TPX Flat Sheet 0.085D 5-10 Asker C 1.1M 2M 4mm</v>
          </cell>
          <cell r="F68">
            <v>940</v>
          </cell>
          <cell r="G68">
            <v>940</v>
          </cell>
          <cell r="H68">
            <v>940</v>
          </cell>
          <cell r="I68">
            <v>0</v>
          </cell>
          <cell r="J68" t="str">
            <v>NIKE</v>
          </cell>
          <cell r="K68" t="str">
            <v>Pr.Sch.R</v>
          </cell>
          <cell r="L68" t="str">
            <v>DIE CUT</v>
          </cell>
          <cell r="M68">
            <v>1</v>
          </cell>
        </row>
        <row r="69">
          <cell r="A69" t="str">
            <v>F-2025-09-206-1</v>
          </cell>
          <cell r="B69" t="str">
            <v>RPRO-250925-0947</v>
          </cell>
          <cell r="C69" t="str">
            <v>BDB-000123</v>
          </cell>
          <cell r="D69" t="str">
            <v>PVN-002539</v>
          </cell>
          <cell r="E69" t="str">
            <v>OrthoLite Ultra-Hybrid SEEDPEARL/12-0703TPX Hybrid Flat Sheet 0.085D 25+/-4 Asker C 1.1M 2M 5mm</v>
          </cell>
          <cell r="F69">
            <v>308</v>
          </cell>
          <cell r="G69">
            <v>308</v>
          </cell>
          <cell r="H69">
            <v>308</v>
          </cell>
          <cell r="I69">
            <v>0</v>
          </cell>
          <cell r="J69" t="str">
            <v>BROOKS</v>
          </cell>
          <cell r="K69" t="str">
            <v>Pr.Sch.R</v>
          </cell>
          <cell r="L69" t="str">
            <v>DIE CUT</v>
          </cell>
          <cell r="M69">
            <v>1</v>
          </cell>
        </row>
        <row r="70">
          <cell r="A70" t="str">
            <v>F-2025-09-214</v>
          </cell>
          <cell r="B70" t="str">
            <v>RPRO-250918-0360</v>
          </cell>
          <cell r="C70" t="str">
            <v>BDB-000157</v>
          </cell>
          <cell r="D70" t="str">
            <v>PVN-003642</v>
          </cell>
          <cell r="E70" t="str">
            <v>OrthoLite X-35-Hybrid-Nike SEEDPEARL/12-0703TPX Hybrid Flat Sheet 0.145D 25+/-4 Asker C 1.1M 2M 6.2mm</v>
          </cell>
          <cell r="F70">
            <v>88</v>
          </cell>
          <cell r="G70">
            <v>88</v>
          </cell>
          <cell r="H70">
            <v>88</v>
          </cell>
          <cell r="I70">
            <v>0</v>
          </cell>
          <cell r="J70" t="str">
            <v>NIKE</v>
          </cell>
          <cell r="K70" t="str">
            <v>Pr.Sch.R</v>
          </cell>
          <cell r="L70" t="str">
            <v>MOLDED</v>
          </cell>
          <cell r="M70">
            <v>1</v>
          </cell>
        </row>
        <row r="71">
          <cell r="A71" t="str">
            <v>F-2025-09-224-1</v>
          </cell>
          <cell r="B71" t="str">
            <v>FPRO-250917-0003</v>
          </cell>
          <cell r="C71" t="str">
            <v>BDB-000083</v>
          </cell>
          <cell r="D71" t="str">
            <v>PVN-000930</v>
          </cell>
          <cell r="E71" t="str">
            <v>OrthoLite Eco LT 300C(ADIDAS BLUEBIRD) Flat Sheet 0.11D 25+/-4 Asker C 1.1M 2M 3mm</v>
          </cell>
          <cell r="F71">
            <v>500</v>
          </cell>
          <cell r="G71">
            <v>500</v>
          </cell>
          <cell r="H71">
            <v>500</v>
          </cell>
          <cell r="I71">
            <v>0</v>
          </cell>
          <cell r="J71" t="str">
            <v>ADIDAS</v>
          </cell>
          <cell r="K71" t="str">
            <v>Forecast</v>
          </cell>
          <cell r="L71" t="str">
            <v>SPLITTING</v>
          </cell>
          <cell r="M71">
            <v>2</v>
          </cell>
        </row>
        <row r="72">
          <cell r="A72" t="str">
            <v>F-2025-09-224-2</v>
          </cell>
          <cell r="B72" t="str">
            <v>FPRO-251001-0008</v>
          </cell>
          <cell r="C72" t="str">
            <v>BDB-000083</v>
          </cell>
          <cell r="D72" t="str">
            <v>PVN-000930</v>
          </cell>
          <cell r="E72" t="str">
            <v>OrthoLite Eco LT 300C(ADIDAS BLUEBIRD) Flat Sheet 0.11D 25+/-4 Asker C 1.1M 2M 3mm</v>
          </cell>
          <cell r="F72">
            <v>500</v>
          </cell>
          <cell r="G72">
            <v>500</v>
          </cell>
          <cell r="H72">
            <v>500</v>
          </cell>
          <cell r="I72">
            <v>0</v>
          </cell>
          <cell r="J72" t="str">
            <v>ADIDAS</v>
          </cell>
          <cell r="K72" t="str">
            <v>Forecast</v>
          </cell>
          <cell r="L72" t="str">
            <v>SPLITTING</v>
          </cell>
          <cell r="M72">
            <v>2</v>
          </cell>
        </row>
        <row r="73">
          <cell r="A73" t="str">
            <v>F-2025-09-229</v>
          </cell>
          <cell r="B73" t="str">
            <v>FPRO-250917-0008</v>
          </cell>
          <cell r="C73" t="str">
            <v>BDB-000123</v>
          </cell>
          <cell r="D73" t="str">
            <v>PVN-003299</v>
          </cell>
          <cell r="E73" t="str">
            <v>OrthoLite Ultra-Hybrid SEEDPEARL/12-0703TPX Hybrid 0.085D 25+/-4 Asker C 1.1M 2M 3mm</v>
          </cell>
          <cell r="F73">
            <v>7000</v>
          </cell>
          <cell r="G73">
            <v>7000</v>
          </cell>
          <cell r="H73">
            <v>0</v>
          </cell>
          <cell r="I73">
            <v>7000</v>
          </cell>
          <cell r="J73" t="str">
            <v>ADIDAS</v>
          </cell>
          <cell r="K73" t="str">
            <v>Forecast</v>
          </cell>
          <cell r="L73" t="str">
            <v>SPLITTING</v>
          </cell>
          <cell r="M73">
            <v>2</v>
          </cell>
        </row>
        <row r="74">
          <cell r="A74" t="str">
            <v>F-2025-09-230</v>
          </cell>
          <cell r="B74" t="str">
            <v>FPRO-250917-0009</v>
          </cell>
          <cell r="C74" t="str">
            <v>BDB-000123</v>
          </cell>
          <cell r="D74" t="str">
            <v>PVN-003299</v>
          </cell>
          <cell r="E74" t="str">
            <v>OrthoLite Ultra-Hybrid SEEDPEARL/12-0703TPX Hybrid 0.085D 25+/-4 Asker C 1.1M 2M 3mm</v>
          </cell>
          <cell r="F74">
            <v>7000</v>
          </cell>
          <cell r="G74">
            <v>7000</v>
          </cell>
          <cell r="H74">
            <v>0</v>
          </cell>
          <cell r="I74">
            <v>7000</v>
          </cell>
          <cell r="J74" t="str">
            <v>ADIDAS</v>
          </cell>
          <cell r="K74" t="str">
            <v>Forecast</v>
          </cell>
          <cell r="L74" t="str">
            <v>SPLITTING</v>
          </cell>
          <cell r="M74">
            <v>2</v>
          </cell>
        </row>
        <row r="75">
          <cell r="A75" t="str">
            <v>F-2025-09-231-2</v>
          </cell>
          <cell r="B75" t="str">
            <v>FPRO-251014-0004</v>
          </cell>
          <cell r="C75" t="str">
            <v>BDB-000123</v>
          </cell>
          <cell r="D75" t="str">
            <v>PVN-003299</v>
          </cell>
          <cell r="E75" t="str">
            <v>OrthoLite Ultra-Hybrid SEEDPEARL/12-0703TPX Hybrid 0.085D 25+/-4 Asker C 1.1M 2M 3mm</v>
          </cell>
          <cell r="F75">
            <v>7000</v>
          </cell>
          <cell r="G75">
            <v>4000</v>
          </cell>
          <cell r="H75">
            <v>4000</v>
          </cell>
          <cell r="I75">
            <v>0</v>
          </cell>
          <cell r="J75" t="str">
            <v>ADIDAS</v>
          </cell>
          <cell r="K75" t="str">
            <v>Forecast</v>
          </cell>
          <cell r="L75" t="str">
            <v>SPLITTING</v>
          </cell>
          <cell r="M75">
            <v>2</v>
          </cell>
        </row>
        <row r="76">
          <cell r="A76" t="str">
            <v>F-2025-09-232</v>
          </cell>
          <cell r="B76" t="str">
            <v>FPRO-250917-0011</v>
          </cell>
          <cell r="C76" t="str">
            <v>BDB-000123</v>
          </cell>
          <cell r="D76" t="str">
            <v>PVN-003299</v>
          </cell>
          <cell r="E76" t="str">
            <v>OrthoLite Ultra-Hybrid SEEDPEARL/12-0703TPX Hybrid 0.085D 25+/-4 Asker C 1.1M 2M 3mm</v>
          </cell>
          <cell r="F76">
            <v>7000</v>
          </cell>
          <cell r="G76">
            <v>7000</v>
          </cell>
          <cell r="H76">
            <v>7000</v>
          </cell>
          <cell r="I76">
            <v>0</v>
          </cell>
          <cell r="J76" t="str">
            <v>ADIDAS</v>
          </cell>
          <cell r="K76" t="str">
            <v>Forecast</v>
          </cell>
          <cell r="L76" t="str">
            <v>SPLITTING</v>
          </cell>
          <cell r="M76">
            <v>2</v>
          </cell>
        </row>
        <row r="77">
          <cell r="A77" t="str">
            <v>F-2025-09-233</v>
          </cell>
          <cell r="B77" t="str">
            <v>FPRO-250917-0012</v>
          </cell>
          <cell r="C77" t="str">
            <v>BDB-000123</v>
          </cell>
          <cell r="D77" t="str">
            <v>PVN-003299</v>
          </cell>
          <cell r="E77" t="str">
            <v>OrthoLite Ultra-Hybrid SEEDPEARL/12-0703TPX Hybrid 0.085D 25+/-4 Asker C 1.1M 2M 3mm</v>
          </cell>
          <cell r="F77">
            <v>7000</v>
          </cell>
          <cell r="G77">
            <v>7000</v>
          </cell>
          <cell r="H77">
            <v>7000</v>
          </cell>
          <cell r="I77">
            <v>0</v>
          </cell>
          <cell r="J77" t="str">
            <v>ADIDAS</v>
          </cell>
          <cell r="K77" t="str">
            <v>Forecast</v>
          </cell>
          <cell r="L77" t="str">
            <v>SPLITTING</v>
          </cell>
          <cell r="M77">
            <v>2</v>
          </cell>
        </row>
        <row r="78">
          <cell r="A78" t="str">
            <v>F-2025-09-234</v>
          </cell>
          <cell r="B78" t="str">
            <v>FPRO-250917-0013</v>
          </cell>
          <cell r="C78" t="str">
            <v>BDB-000123</v>
          </cell>
          <cell r="D78" t="str">
            <v>PVN-003299</v>
          </cell>
          <cell r="E78" t="str">
            <v>OrthoLite Ultra-Hybrid SEEDPEARL/12-0703TPX Hybrid 0.085D 25+/-4 Asker C 1.1M 2M 3mm</v>
          </cell>
          <cell r="F78">
            <v>7000</v>
          </cell>
          <cell r="G78">
            <v>7000</v>
          </cell>
          <cell r="H78">
            <v>0</v>
          </cell>
          <cell r="I78">
            <v>7000</v>
          </cell>
          <cell r="J78" t="str">
            <v>ADIDAS</v>
          </cell>
          <cell r="K78" t="str">
            <v>Forecast</v>
          </cell>
          <cell r="L78" t="str">
            <v>SPLITTING</v>
          </cell>
          <cell r="M78">
            <v>2</v>
          </cell>
        </row>
        <row r="79">
          <cell r="A79" t="str">
            <v>F-2025-09-235</v>
          </cell>
          <cell r="B79" t="str">
            <v>FPRO-250917-0014</v>
          </cell>
          <cell r="C79" t="str">
            <v>BDB-000123</v>
          </cell>
          <cell r="D79" t="str">
            <v>PVN-003299</v>
          </cell>
          <cell r="E79" t="str">
            <v>OrthoLite Ultra-Hybrid SEEDPEARL/12-0703TPX Hybrid 0.085D 25+/-4 Asker C 1.1M 2M 3mm</v>
          </cell>
          <cell r="F79">
            <v>7000</v>
          </cell>
          <cell r="G79">
            <v>7000</v>
          </cell>
          <cell r="H79">
            <v>0</v>
          </cell>
          <cell r="I79">
            <v>7000</v>
          </cell>
          <cell r="J79" t="str">
            <v>ADIDAS</v>
          </cell>
          <cell r="K79" t="str">
            <v>Forecast</v>
          </cell>
          <cell r="L79" t="str">
            <v>SPLITTING</v>
          </cell>
          <cell r="M79">
            <v>2</v>
          </cell>
        </row>
        <row r="80">
          <cell r="A80" t="str">
            <v>F-2025-09-236</v>
          </cell>
          <cell r="B80" t="str">
            <v>FPRO-250917-0015</v>
          </cell>
          <cell r="C80" t="str">
            <v>BDB-000123</v>
          </cell>
          <cell r="D80" t="str">
            <v>PVN-003299</v>
          </cell>
          <cell r="E80" t="str">
            <v>OrthoLite Ultra-Hybrid SEEDPEARL/12-0703TPX Hybrid 0.085D 25+/-4 Asker C 1.1M 2M 3mm</v>
          </cell>
          <cell r="F80">
            <v>7000</v>
          </cell>
          <cell r="G80">
            <v>7000</v>
          </cell>
          <cell r="H80">
            <v>7000</v>
          </cell>
          <cell r="I80">
            <v>0</v>
          </cell>
          <cell r="J80" t="str">
            <v>ADIDAS</v>
          </cell>
          <cell r="K80" t="str">
            <v>Forecast</v>
          </cell>
          <cell r="L80" t="str">
            <v>SPLITTING</v>
          </cell>
          <cell r="M80">
            <v>2</v>
          </cell>
        </row>
        <row r="81">
          <cell r="A81" t="str">
            <v>F-2025-09-237</v>
          </cell>
          <cell r="B81" t="str">
            <v>FPRO-250917-0016</v>
          </cell>
          <cell r="C81" t="str">
            <v>BDB-000123</v>
          </cell>
          <cell r="D81" t="str">
            <v>PVN-003299</v>
          </cell>
          <cell r="E81" t="str">
            <v>OrthoLite Ultra-Hybrid SEEDPEARL/12-0703TPX Hybrid 0.085D 25+/-4 Asker C 1.1M 2M 3mm</v>
          </cell>
          <cell r="F81">
            <v>7000</v>
          </cell>
          <cell r="G81">
            <v>7000</v>
          </cell>
          <cell r="H81">
            <v>0</v>
          </cell>
          <cell r="I81">
            <v>7000</v>
          </cell>
          <cell r="J81" t="str">
            <v>ADIDAS</v>
          </cell>
          <cell r="K81" t="str">
            <v>Forecast</v>
          </cell>
          <cell r="L81" t="str">
            <v>SPLITTING</v>
          </cell>
          <cell r="M81">
            <v>2</v>
          </cell>
        </row>
        <row r="82">
          <cell r="A82" t="str">
            <v>F-2025-09-238</v>
          </cell>
          <cell r="B82" t="str">
            <v>FPRO-250917-0017</v>
          </cell>
          <cell r="C82" t="str">
            <v>BDB-000123</v>
          </cell>
          <cell r="D82" t="str">
            <v>PVN-003299</v>
          </cell>
          <cell r="E82" t="str">
            <v>OrthoLite Ultra-Hybrid SEEDPEARL/12-0703TPX Hybrid 0.085D 25+/-4 Asker C 1.1M 2M 3mm</v>
          </cell>
          <cell r="F82">
            <v>7000</v>
          </cell>
          <cell r="G82">
            <v>7000</v>
          </cell>
          <cell r="H82">
            <v>7000</v>
          </cell>
          <cell r="I82">
            <v>0</v>
          </cell>
          <cell r="J82" t="str">
            <v>ADIDAS</v>
          </cell>
          <cell r="K82" t="str">
            <v>Forecast</v>
          </cell>
          <cell r="L82" t="str">
            <v>SPLITTING</v>
          </cell>
          <cell r="M82">
            <v>2</v>
          </cell>
        </row>
        <row r="83">
          <cell r="A83" t="str">
            <v>F-2025-09-239</v>
          </cell>
          <cell r="B83" t="str">
            <v>FPRO-250917-0018</v>
          </cell>
          <cell r="C83" t="str">
            <v>BDB-000123</v>
          </cell>
          <cell r="D83" t="str">
            <v>PVN-003299</v>
          </cell>
          <cell r="E83" t="str">
            <v>OrthoLite Ultra-Hybrid SEEDPEARL/12-0703TPX Hybrid 0.085D 25+/-4 Asker C 1.1M 2M 3mm</v>
          </cell>
          <cell r="F83">
            <v>7000</v>
          </cell>
          <cell r="G83">
            <v>7000</v>
          </cell>
          <cell r="H83">
            <v>7000</v>
          </cell>
          <cell r="I83">
            <v>0</v>
          </cell>
          <cell r="J83" t="str">
            <v>ADIDAS</v>
          </cell>
          <cell r="K83" t="str">
            <v>Forecast</v>
          </cell>
          <cell r="L83" t="str">
            <v>SPLITTING</v>
          </cell>
          <cell r="M83">
            <v>2</v>
          </cell>
        </row>
        <row r="84">
          <cell r="A84" t="str">
            <v>F-2025-09-240</v>
          </cell>
          <cell r="B84" t="str">
            <v>FPRO-250917-0019</v>
          </cell>
          <cell r="C84" t="str">
            <v>BDB-000123</v>
          </cell>
          <cell r="D84" t="str">
            <v>PVN-003299</v>
          </cell>
          <cell r="E84" t="str">
            <v>OrthoLite Ultra-Hybrid SEEDPEARL/12-0703TPX Hybrid 0.085D 25+/-4 Asker C 1.1M 2M 3mm</v>
          </cell>
          <cell r="F84">
            <v>7000</v>
          </cell>
          <cell r="G84">
            <v>7000</v>
          </cell>
          <cell r="H84">
            <v>0</v>
          </cell>
          <cell r="I84">
            <v>7000</v>
          </cell>
          <cell r="J84" t="str">
            <v>ADIDAS</v>
          </cell>
          <cell r="K84" t="str">
            <v>Forecast</v>
          </cell>
          <cell r="L84" t="str">
            <v>SPLITTING</v>
          </cell>
          <cell r="M84">
            <v>2</v>
          </cell>
        </row>
        <row r="85">
          <cell r="A85" t="str">
            <v>F-2025-09-241</v>
          </cell>
          <cell r="B85" t="str">
            <v>FPRO-250917-0022</v>
          </cell>
          <cell r="C85" t="str">
            <v>BDB-000123</v>
          </cell>
          <cell r="D85" t="str">
            <v>PVN-003299</v>
          </cell>
          <cell r="E85" t="str">
            <v>OrthoLite Ultra-Hybrid SEEDPEARL/12-0703TPX Hybrid 0.085D 25+/-4 Asker C 1.1M 2M 3mm</v>
          </cell>
          <cell r="F85">
            <v>3000</v>
          </cell>
          <cell r="G85">
            <v>3000</v>
          </cell>
          <cell r="H85">
            <v>0</v>
          </cell>
          <cell r="I85">
            <v>3000</v>
          </cell>
          <cell r="J85" t="str">
            <v>ADIDAS</v>
          </cell>
          <cell r="K85" t="str">
            <v>Forecast</v>
          </cell>
          <cell r="L85" t="str">
            <v>SPLITTING</v>
          </cell>
          <cell r="M85">
            <v>2</v>
          </cell>
        </row>
        <row r="86">
          <cell r="A86" t="str">
            <v>F-2025-09-242-1</v>
          </cell>
          <cell r="B86" t="str">
            <v>FPRO-250917-0023</v>
          </cell>
          <cell r="C86" t="str">
            <v>BDB-000123</v>
          </cell>
          <cell r="D86" t="str">
            <v>PVN-003298</v>
          </cell>
          <cell r="E86" t="str">
            <v>OrthoLite Ultra-Hybrid SEEDPEARL/12-0703TPX Hybrid 0.085D 25+/-4 Asker C 1.1M 2M 4mm</v>
          </cell>
          <cell r="F86">
            <v>6000</v>
          </cell>
          <cell r="G86">
            <v>1138</v>
          </cell>
          <cell r="H86">
            <v>1138</v>
          </cell>
          <cell r="I86">
            <v>0</v>
          </cell>
          <cell r="J86" t="str">
            <v>ADIDAS</v>
          </cell>
          <cell r="K86" t="str">
            <v>Forecast</v>
          </cell>
          <cell r="L86" t="str">
            <v>SPLITTING</v>
          </cell>
          <cell r="M86">
            <v>2</v>
          </cell>
        </row>
        <row r="87">
          <cell r="A87" t="str">
            <v>F-2025-09-242-2</v>
          </cell>
          <cell r="B87" t="str">
            <v>FPRO-250917-0023</v>
          </cell>
          <cell r="C87" t="str">
            <v>BDB-000123</v>
          </cell>
          <cell r="D87" t="str">
            <v>PVN-003298</v>
          </cell>
          <cell r="E87" t="str">
            <v>OrthoLite Ultra-Hybrid SEEDPEARL/12-0703TPX Hybrid 0.085D 25+/-4 Asker C 1.1M 2M 4mm</v>
          </cell>
          <cell r="F87">
            <v>6000</v>
          </cell>
          <cell r="G87">
            <v>4862</v>
          </cell>
          <cell r="H87">
            <v>4862</v>
          </cell>
          <cell r="I87">
            <v>0</v>
          </cell>
          <cell r="J87" t="str">
            <v>ADIDAS</v>
          </cell>
          <cell r="K87" t="str">
            <v>Forecast</v>
          </cell>
          <cell r="L87" t="str">
            <v>SPLITTING</v>
          </cell>
          <cell r="M87">
            <v>2</v>
          </cell>
        </row>
        <row r="88">
          <cell r="A88" t="str">
            <v>F-2025-09-243</v>
          </cell>
          <cell r="B88" t="str">
            <v>FPRO-250917-0024</v>
          </cell>
          <cell r="C88" t="str">
            <v>BDB-000123</v>
          </cell>
          <cell r="D88" t="str">
            <v>PVN-003298</v>
          </cell>
          <cell r="E88" t="str">
            <v>OrthoLite Ultra-Hybrid SEEDPEARL/12-0703TPX Hybrid 0.085D 25+/-4 Asker C 1.1M 2M 4mm</v>
          </cell>
          <cell r="F88">
            <v>6000</v>
          </cell>
          <cell r="G88">
            <v>6000</v>
          </cell>
          <cell r="H88">
            <v>6000</v>
          </cell>
          <cell r="I88">
            <v>0</v>
          </cell>
          <cell r="J88" t="str">
            <v>ADIDAS</v>
          </cell>
          <cell r="K88" t="str">
            <v>Forecast</v>
          </cell>
          <cell r="L88" t="str">
            <v>SPLITTING</v>
          </cell>
          <cell r="M88">
            <v>2</v>
          </cell>
        </row>
        <row r="89">
          <cell r="A89" t="str">
            <v>F-2025-09-244</v>
          </cell>
          <cell r="B89" t="str">
            <v>FPRO-250917-0025</v>
          </cell>
          <cell r="C89" t="str">
            <v>BDB-000123</v>
          </cell>
          <cell r="D89" t="str">
            <v>PVN-003298</v>
          </cell>
          <cell r="E89" t="str">
            <v>OrthoLite Ultra-Hybrid SEEDPEARL/12-0703TPX Hybrid 0.085D 25+/-4 Asker C 1.1M 2M 4mm</v>
          </cell>
          <cell r="F89">
            <v>6000</v>
          </cell>
          <cell r="G89">
            <v>6000</v>
          </cell>
          <cell r="H89">
            <v>0</v>
          </cell>
          <cell r="I89">
            <v>6000</v>
          </cell>
          <cell r="J89" t="str">
            <v>ADIDAS</v>
          </cell>
          <cell r="K89" t="str">
            <v>Forecast</v>
          </cell>
          <cell r="L89" t="str">
            <v>SPLITTING</v>
          </cell>
          <cell r="M89">
            <v>2</v>
          </cell>
        </row>
        <row r="90">
          <cell r="A90" t="str">
            <v>F-2025-09-245</v>
          </cell>
          <cell r="B90" t="str">
            <v>FPRO-250917-0026</v>
          </cell>
          <cell r="C90" t="str">
            <v>BDB-000123</v>
          </cell>
          <cell r="D90" t="str">
            <v>PVN-003298</v>
          </cell>
          <cell r="E90" t="str">
            <v>OrthoLite Ultra-Hybrid SEEDPEARL/12-0703TPX Hybrid 0.085D 25+/-4 Asker C 1.1M 2M 4mm</v>
          </cell>
          <cell r="F90">
            <v>6000</v>
          </cell>
          <cell r="G90">
            <v>6000</v>
          </cell>
          <cell r="H90">
            <v>6000</v>
          </cell>
          <cell r="I90">
            <v>0</v>
          </cell>
          <cell r="J90" t="str">
            <v>ADIDAS</v>
          </cell>
          <cell r="K90" t="str">
            <v>Forecast</v>
          </cell>
          <cell r="L90" t="str">
            <v>SPLITTING</v>
          </cell>
          <cell r="M90">
            <v>2</v>
          </cell>
        </row>
        <row r="91">
          <cell r="A91" t="str">
            <v>F-2025-09-246</v>
          </cell>
          <cell r="B91" t="str">
            <v>FPRO-250917-0027</v>
          </cell>
          <cell r="C91" t="str">
            <v>BDB-000123</v>
          </cell>
          <cell r="D91" t="str">
            <v>PVN-003298</v>
          </cell>
          <cell r="E91" t="str">
            <v>OrthoLite Ultra-Hybrid SEEDPEARL/12-0703TPX Hybrid 0.085D 25+/-4 Asker C 1.1M 2M 4mm</v>
          </cell>
          <cell r="F91">
            <v>6000</v>
          </cell>
          <cell r="G91">
            <v>6000</v>
          </cell>
          <cell r="H91">
            <v>6000</v>
          </cell>
          <cell r="I91">
            <v>0</v>
          </cell>
          <cell r="J91" t="str">
            <v>ADIDAS</v>
          </cell>
          <cell r="K91" t="str">
            <v>Forecast</v>
          </cell>
          <cell r="L91" t="str">
            <v>SPLITTING</v>
          </cell>
          <cell r="M91">
            <v>2</v>
          </cell>
        </row>
        <row r="92">
          <cell r="A92" t="str">
            <v>F-2025-09-247</v>
          </cell>
          <cell r="B92" t="str">
            <v>FPRO-250917-0028</v>
          </cell>
          <cell r="C92" t="str">
            <v>BDB-000123</v>
          </cell>
          <cell r="D92" t="str">
            <v>PVN-003298</v>
          </cell>
          <cell r="E92" t="str">
            <v>OrthoLite Ultra-Hybrid SEEDPEARL/12-0703TPX Hybrid 0.085D 25+/-4 Asker C 1.1M 2M 4mm</v>
          </cell>
          <cell r="F92">
            <v>6000</v>
          </cell>
          <cell r="G92">
            <v>6000</v>
          </cell>
          <cell r="H92">
            <v>6000</v>
          </cell>
          <cell r="I92">
            <v>0</v>
          </cell>
          <cell r="J92" t="str">
            <v>ADIDAS</v>
          </cell>
          <cell r="K92" t="str">
            <v>Forecast</v>
          </cell>
          <cell r="L92" t="str">
            <v>SPLITTING</v>
          </cell>
          <cell r="M92">
            <v>2</v>
          </cell>
        </row>
        <row r="93">
          <cell r="A93" t="str">
            <v>F-2025-09-248</v>
          </cell>
          <cell r="B93" t="str">
            <v>FPRO-250917-0029</v>
          </cell>
          <cell r="C93" t="str">
            <v>BDB-000123</v>
          </cell>
          <cell r="D93" t="str">
            <v>PVN-003298</v>
          </cell>
          <cell r="E93" t="str">
            <v>OrthoLite Ultra-Hybrid SEEDPEARL/12-0703TPX Hybrid 0.085D 25+/-4 Asker C 1.1M 2M 4mm</v>
          </cell>
          <cell r="F93">
            <v>7000</v>
          </cell>
          <cell r="G93">
            <v>7000</v>
          </cell>
          <cell r="H93">
            <v>0</v>
          </cell>
          <cell r="I93">
            <v>7000</v>
          </cell>
          <cell r="J93" t="str">
            <v>ADIDAS</v>
          </cell>
          <cell r="K93" t="str">
            <v>Forecast</v>
          </cell>
          <cell r="L93" t="str">
            <v>SPLITTING</v>
          </cell>
          <cell r="M93">
            <v>2</v>
          </cell>
        </row>
        <row r="94">
          <cell r="A94" t="str">
            <v>F-2025-09-271</v>
          </cell>
          <cell r="B94" t="str">
            <v>RPRO-250922-0490</v>
          </cell>
          <cell r="C94" t="str">
            <v>BDB-000163</v>
          </cell>
          <cell r="D94" t="str">
            <v>PVN-001556</v>
          </cell>
          <cell r="E94" t="str">
            <v>OrthoLite Ultra-Nike YELLOW/13-0858TPX Flat Sheet 0.085D 25+/-4 Asker C 1.1M 2M 4mm</v>
          </cell>
          <cell r="F94">
            <v>140</v>
          </cell>
          <cell r="G94">
            <v>140</v>
          </cell>
          <cell r="H94">
            <v>140</v>
          </cell>
          <cell r="I94">
            <v>0</v>
          </cell>
          <cell r="J94" t="str">
            <v>NIKE</v>
          </cell>
          <cell r="K94" t="str">
            <v>Pr.Sch.R</v>
          </cell>
          <cell r="L94" t="str">
            <v>DIE CUT</v>
          </cell>
          <cell r="M94">
            <v>1</v>
          </cell>
        </row>
        <row r="95">
          <cell r="A95" t="str">
            <v>F-2025-09-285-2</v>
          </cell>
          <cell r="B95" t="str">
            <v>RPRO-250924-0264</v>
          </cell>
          <cell r="C95" t="str">
            <v>BDB-000259</v>
          </cell>
          <cell r="D95" t="str">
            <v>PVN-003684</v>
          </cell>
          <cell r="E95" t="str">
            <v>OrthoLite Nike PP002 GLACIER GRAY/14-4102TPX Flat Sheet 0.145D 25+/-4 asker C 1.1M 2M 4.2mm</v>
          </cell>
          <cell r="F95">
            <v>1500</v>
          </cell>
          <cell r="G95">
            <v>1500</v>
          </cell>
          <cell r="H95">
            <v>1500</v>
          </cell>
          <cell r="I95">
            <v>0</v>
          </cell>
          <cell r="J95" t="str">
            <v>NIKE</v>
          </cell>
          <cell r="K95" t="str">
            <v>Pr.Sch.R</v>
          </cell>
          <cell r="L95" t="str">
            <v>MOLDED</v>
          </cell>
          <cell r="M95">
            <v>1</v>
          </cell>
        </row>
        <row r="96">
          <cell r="A96" t="str">
            <v>F-2025-09-301-2</v>
          </cell>
          <cell r="B96" t="str">
            <v>FPRO-251014-0005</v>
          </cell>
          <cell r="C96" t="str">
            <v>BDB-000123</v>
          </cell>
          <cell r="D96" t="str">
            <v>PVN-002973</v>
          </cell>
          <cell r="E96" t="str">
            <v>OrthoLite Ultra-Hybrid SEEDPEARL/12-0703TPX Hybrid 0.085D 25+/-4 Asker C 1.1M 2M 4.5mm</v>
          </cell>
          <cell r="F96">
            <v>1900</v>
          </cell>
          <cell r="G96">
            <v>1000</v>
          </cell>
          <cell r="H96">
            <v>1000</v>
          </cell>
          <cell r="I96">
            <v>0</v>
          </cell>
          <cell r="J96" t="str">
            <v>SALOMON</v>
          </cell>
          <cell r="K96" t="str">
            <v>Forecast</v>
          </cell>
          <cell r="L96" t="str">
            <v>MOLDED</v>
          </cell>
          <cell r="M96">
            <v>1</v>
          </cell>
        </row>
        <row r="97">
          <cell r="A97" t="str">
            <v>F-2025-09-302</v>
          </cell>
          <cell r="B97" t="str">
            <v>FPRO-250922-0004</v>
          </cell>
          <cell r="C97" t="str">
            <v>BDB-000123</v>
          </cell>
          <cell r="D97" t="str">
            <v>PVN-003298</v>
          </cell>
          <cell r="E97" t="str">
            <v>OrthoLite Ultra-Hybrid SEEDPEARL/12-0703TPX Hybrid 0.085D 25+/-4 Asker C 1.1M 2M 4mm</v>
          </cell>
          <cell r="F97">
            <v>7000</v>
          </cell>
          <cell r="G97">
            <v>7000</v>
          </cell>
          <cell r="H97">
            <v>0</v>
          </cell>
          <cell r="I97">
            <v>7000</v>
          </cell>
          <cell r="J97" t="str">
            <v>SALOMON</v>
          </cell>
          <cell r="K97" t="str">
            <v>Forecast</v>
          </cell>
          <cell r="L97" t="str">
            <v>LAMINATING</v>
          </cell>
          <cell r="M97">
            <v>1</v>
          </cell>
        </row>
        <row r="98">
          <cell r="A98" t="str">
            <v>F-2025-09-303</v>
          </cell>
          <cell r="B98" t="str">
            <v>FPRO-250922-0005</v>
          </cell>
          <cell r="C98" t="str">
            <v>BDB-000123</v>
          </cell>
          <cell r="D98" t="str">
            <v>PVN-003298</v>
          </cell>
          <cell r="E98" t="str">
            <v>OrthoLite Ultra-Hybrid SEEDPEARL/12-0703TPX Hybrid 0.085D 25+/-4 Asker C 1.1M 2M 4mm</v>
          </cell>
          <cell r="F98">
            <v>7000</v>
          </cell>
          <cell r="G98">
            <v>7000</v>
          </cell>
          <cell r="H98">
            <v>0</v>
          </cell>
          <cell r="I98">
            <v>7000</v>
          </cell>
          <cell r="J98" t="str">
            <v>SALOMON</v>
          </cell>
          <cell r="K98" t="str">
            <v>Forecast</v>
          </cell>
          <cell r="L98" t="str">
            <v>LAMINATING</v>
          </cell>
          <cell r="M98">
            <v>1</v>
          </cell>
        </row>
        <row r="99">
          <cell r="A99" t="str">
            <v>F-2025-09-304</v>
          </cell>
          <cell r="B99" t="str">
            <v>FPRO-250922-0006</v>
          </cell>
          <cell r="C99" t="str">
            <v>BDB-000123</v>
          </cell>
          <cell r="D99" t="str">
            <v>PVN-003298</v>
          </cell>
          <cell r="E99" t="str">
            <v>OrthoLite Ultra-Hybrid SEEDPEARL/12-0703TPX Hybrid 0.085D 25+/-4 Asker C 1.1M 2M 4mm</v>
          </cell>
          <cell r="F99">
            <v>7000</v>
          </cell>
          <cell r="G99">
            <v>7000</v>
          </cell>
          <cell r="H99">
            <v>0</v>
          </cell>
          <cell r="I99">
            <v>7000</v>
          </cell>
          <cell r="J99" t="str">
            <v>SALOMON</v>
          </cell>
          <cell r="K99" t="str">
            <v>Forecast</v>
          </cell>
          <cell r="L99" t="str">
            <v>LAMINATING</v>
          </cell>
          <cell r="M99">
            <v>1</v>
          </cell>
        </row>
        <row r="100">
          <cell r="A100" t="str">
            <v>F-2025-09-305</v>
          </cell>
          <cell r="B100" t="str">
            <v>FPRO-250922-0007</v>
          </cell>
          <cell r="C100" t="str">
            <v>BDB-000123</v>
          </cell>
          <cell r="D100" t="str">
            <v>PVN-003298</v>
          </cell>
          <cell r="E100" t="str">
            <v>OrthoLite Ultra-Hybrid SEEDPEARL/12-0703TPX Hybrid 0.085D 25+/-4 Asker C 1.1M 2M 4mm</v>
          </cell>
          <cell r="F100">
            <v>1200</v>
          </cell>
          <cell r="G100">
            <v>1200</v>
          </cell>
          <cell r="H100">
            <v>0</v>
          </cell>
          <cell r="I100">
            <v>1200</v>
          </cell>
          <cell r="J100" t="str">
            <v>SALOMON</v>
          </cell>
          <cell r="K100" t="str">
            <v>Forecast</v>
          </cell>
          <cell r="L100" t="str">
            <v>LAMINATING</v>
          </cell>
          <cell r="M100">
            <v>1</v>
          </cell>
        </row>
        <row r="101">
          <cell r="A101" t="str">
            <v>F-2025-09-309</v>
          </cell>
          <cell r="B101" t="str">
            <v>RPRO-250924-0268</v>
          </cell>
          <cell r="C101" t="str">
            <v>BDB-000157</v>
          </cell>
          <cell r="D101" t="str">
            <v>PVN-003642</v>
          </cell>
          <cell r="E101" t="str">
            <v>OrthoLite X-35-Hybrid-Nike SEEDPEARL/12-0703TPX Hybrid Flat Sheet 0.145D 25+/-4 Asker C 1.1M 2M 6.2mm</v>
          </cell>
          <cell r="F101">
            <v>22</v>
          </cell>
          <cell r="G101">
            <v>22</v>
          </cell>
          <cell r="H101">
            <v>22</v>
          </cell>
          <cell r="I101">
            <v>0</v>
          </cell>
          <cell r="J101" t="str">
            <v>NIKE</v>
          </cell>
          <cell r="K101" t="str">
            <v>Pr.Sch.R</v>
          </cell>
          <cell r="L101" t="str">
            <v>MOLDED</v>
          </cell>
          <cell r="M101">
            <v>1</v>
          </cell>
        </row>
        <row r="102">
          <cell r="A102" t="str">
            <v>F-2025-09-327</v>
          </cell>
          <cell r="B102" t="str">
            <v>FPRO-250923-0002</v>
          </cell>
          <cell r="C102" t="str">
            <v>BDB-000129</v>
          </cell>
          <cell r="D102" t="str">
            <v>PVN-001550</v>
          </cell>
          <cell r="E102" t="str">
            <v>OrthoLite Regular-Nike AIR BLUE/16-4134TPX 0.11D 25+/-4 Asker C 1.1M 1.7M 2mm</v>
          </cell>
          <cell r="F102">
            <v>4000</v>
          </cell>
          <cell r="G102">
            <v>4000</v>
          </cell>
          <cell r="H102">
            <v>4000</v>
          </cell>
          <cell r="I102">
            <v>0</v>
          </cell>
          <cell r="J102" t="str">
            <v>NIKE</v>
          </cell>
          <cell r="K102" t="str">
            <v>Forecast</v>
          </cell>
          <cell r="L102" t="str">
            <v>DIE CUT</v>
          </cell>
          <cell r="M102">
            <v>1</v>
          </cell>
        </row>
        <row r="103">
          <cell r="A103" t="str">
            <v>F-2025-09-328</v>
          </cell>
          <cell r="B103" t="str">
            <v>FPRO-250923-0003</v>
          </cell>
          <cell r="C103" t="str">
            <v>BDB-000129</v>
          </cell>
          <cell r="D103" t="str">
            <v>PVN-001550</v>
          </cell>
          <cell r="E103" t="str">
            <v>OrthoLite Regular-Nike AIR BLUE/16-4134TPX 0.11D 25+/-4 Asker C 1.1M 1.7M 2mm</v>
          </cell>
          <cell r="F103">
            <v>4000</v>
          </cell>
          <cell r="G103">
            <v>4000</v>
          </cell>
          <cell r="H103">
            <v>4000</v>
          </cell>
          <cell r="I103">
            <v>0</v>
          </cell>
          <cell r="J103" t="str">
            <v>NIKE</v>
          </cell>
          <cell r="K103" t="str">
            <v>Forecast</v>
          </cell>
          <cell r="L103" t="str">
            <v>DIE CUT</v>
          </cell>
          <cell r="M103">
            <v>1</v>
          </cell>
        </row>
        <row r="104">
          <cell r="A104" t="str">
            <v>F-2025-09-330</v>
          </cell>
          <cell r="B104" t="str">
            <v>FPRO-250924-0009</v>
          </cell>
          <cell r="C104" t="str">
            <v>BDB-000163</v>
          </cell>
          <cell r="D104" t="str">
            <v>PVN-001556</v>
          </cell>
          <cell r="E104" t="str">
            <v>OrthoLite Ultra-Nike YELLOW/13-0858TPX 0.085D 25+/-4 Asker C 1.1M 2M 4mm</v>
          </cell>
          <cell r="F104">
            <v>1500</v>
          </cell>
          <cell r="G104">
            <v>1500</v>
          </cell>
          <cell r="H104">
            <v>0</v>
          </cell>
          <cell r="I104">
            <v>1500</v>
          </cell>
          <cell r="J104" t="str">
            <v>NIKE</v>
          </cell>
          <cell r="K104" t="str">
            <v>Forecast</v>
          </cell>
          <cell r="L104" t="str">
            <v>DIE CUT</v>
          </cell>
          <cell r="M104">
            <v>1</v>
          </cell>
        </row>
        <row r="105">
          <cell r="A105" t="str">
            <v>F-2025-09-331</v>
          </cell>
          <cell r="B105" t="str">
            <v>FPRO-250924-0010</v>
          </cell>
          <cell r="C105" t="str">
            <v>BDB-000163</v>
          </cell>
          <cell r="D105" t="str">
            <v>PVN-001556</v>
          </cell>
          <cell r="E105" t="str">
            <v>OrthoLite Ultra-Nike YELLOW/13-0858TPX 0.085D 25+/-4 Asker C 1.1M 2M 4mm</v>
          </cell>
          <cell r="F105">
            <v>1500</v>
          </cell>
          <cell r="G105">
            <v>1500</v>
          </cell>
          <cell r="H105">
            <v>1500</v>
          </cell>
          <cell r="I105">
            <v>0</v>
          </cell>
          <cell r="J105" t="str">
            <v>NIKE</v>
          </cell>
          <cell r="K105" t="str">
            <v>Forecast</v>
          </cell>
          <cell r="L105" t="str">
            <v>DIE CUT</v>
          </cell>
          <cell r="M105">
            <v>1</v>
          </cell>
        </row>
        <row r="106">
          <cell r="A106" t="str">
            <v>F-2025-09-333</v>
          </cell>
          <cell r="B106" t="str">
            <v>FPRO-250924-0012</v>
          </cell>
          <cell r="C106" t="str">
            <v>BDB-000163</v>
          </cell>
          <cell r="D106" t="str">
            <v>PVN-001556</v>
          </cell>
          <cell r="E106" t="str">
            <v>OrthoLite Ultra-Nike YELLOW/13-0858TPX 0.085D 25+/-4 Asker C 1.1M 2M 4mm</v>
          </cell>
          <cell r="F106">
            <v>1200</v>
          </cell>
          <cell r="G106">
            <v>1200</v>
          </cell>
          <cell r="H106">
            <v>1200</v>
          </cell>
          <cell r="I106">
            <v>0</v>
          </cell>
          <cell r="J106" t="str">
            <v>NIKE</v>
          </cell>
          <cell r="K106" t="str">
            <v>Forecast</v>
          </cell>
          <cell r="L106" t="str">
            <v>DIE CUT</v>
          </cell>
          <cell r="M106">
            <v>1</v>
          </cell>
        </row>
        <row r="107">
          <cell r="A107" t="str">
            <v>F-2025-09-335-1</v>
          </cell>
          <cell r="B107" t="str">
            <v>FPRO-250924-0014</v>
          </cell>
          <cell r="C107" t="str">
            <v>BDB-000131</v>
          </cell>
          <cell r="D107" t="str">
            <v>PVN-001565</v>
          </cell>
          <cell r="E107" t="str">
            <v>OrthoLite Regular-Nike AIR BLUE/16-4134TPX 0.11D 15+/-4 Asker C 1.1M 2M 4mm</v>
          </cell>
          <cell r="F107">
            <v>1000</v>
          </cell>
          <cell r="G107">
            <v>1000</v>
          </cell>
          <cell r="H107">
            <v>1000</v>
          </cell>
          <cell r="I107">
            <v>0</v>
          </cell>
          <cell r="J107" t="str">
            <v>NIKE</v>
          </cell>
          <cell r="K107" t="str">
            <v>Forecast</v>
          </cell>
          <cell r="L107" t="str">
            <v>DIE CUT</v>
          </cell>
          <cell r="M107">
            <v>1</v>
          </cell>
        </row>
        <row r="108">
          <cell r="A108" t="str">
            <v>F-2025-09-335-2</v>
          </cell>
          <cell r="B108" t="str">
            <v>FPRO-251015-0005</v>
          </cell>
          <cell r="C108" t="str">
            <v>BDB-000131</v>
          </cell>
          <cell r="D108" t="str">
            <v>PVN-001565</v>
          </cell>
          <cell r="E108" t="str">
            <v>OrthoLite Regular-Nike AIR BLUE/16-4134TPX 0.11D 15+/-4 Asker C 1.1M 2M 4mm</v>
          </cell>
          <cell r="F108">
            <v>1000</v>
          </cell>
          <cell r="G108">
            <v>1000</v>
          </cell>
          <cell r="H108">
            <v>0</v>
          </cell>
          <cell r="I108">
            <v>1000</v>
          </cell>
          <cell r="J108" t="str">
            <v>NIKE</v>
          </cell>
          <cell r="K108" t="str">
            <v>Forecast</v>
          </cell>
          <cell r="L108" t="str">
            <v>DIE CUT</v>
          </cell>
          <cell r="M108">
            <v>1</v>
          </cell>
        </row>
        <row r="109">
          <cell r="A109" t="str">
            <v>F-2025-09-336-2</v>
          </cell>
          <cell r="B109" t="str">
            <v>FPRO-251008-0002</v>
          </cell>
          <cell r="C109" t="str">
            <v>BDB-000131</v>
          </cell>
          <cell r="D109" t="str">
            <v>PVN-001565</v>
          </cell>
          <cell r="E109" t="str">
            <v>OrthoLite Regular-Nike AIR BLUE/16-4134TPX 0.11D 15+/-4 Asker C 1.1M 2M 4mm</v>
          </cell>
          <cell r="F109">
            <v>1650</v>
          </cell>
          <cell r="G109">
            <v>1000</v>
          </cell>
          <cell r="H109">
            <v>1000</v>
          </cell>
          <cell r="I109">
            <v>0</v>
          </cell>
          <cell r="J109" t="str">
            <v>NIKE</v>
          </cell>
          <cell r="K109" t="str">
            <v>Forecast</v>
          </cell>
          <cell r="L109" t="str">
            <v>DIE CUT</v>
          </cell>
          <cell r="M109">
            <v>1</v>
          </cell>
        </row>
        <row r="110">
          <cell r="A110" t="str">
            <v>F-2025-09-337</v>
          </cell>
          <cell r="B110" t="str">
            <v>FPRO-250924-0016</v>
          </cell>
          <cell r="C110" t="str">
            <v>BDB-000165</v>
          </cell>
          <cell r="D110" t="str">
            <v>PVN-002053</v>
          </cell>
          <cell r="E110" t="str">
            <v>OrthoLite Ultra-Nike LIME GREEN/14-0452TPX Flat Sheet 0.085D 15+/-4 Asker C 1.1M 2M 5mm</v>
          </cell>
          <cell r="F110">
            <v>1000</v>
          </cell>
          <cell r="G110">
            <v>1000</v>
          </cell>
          <cell r="H110">
            <v>0</v>
          </cell>
          <cell r="I110">
            <v>1000</v>
          </cell>
          <cell r="J110" t="str">
            <v>NIKE</v>
          </cell>
          <cell r="K110" t="str">
            <v>Forecast</v>
          </cell>
          <cell r="L110" t="str">
            <v>DIE CUT</v>
          </cell>
          <cell r="M110">
            <v>1</v>
          </cell>
        </row>
        <row r="111">
          <cell r="A111" t="str">
            <v>F-2025-09-338</v>
          </cell>
          <cell r="B111" t="str">
            <v>FPRO-250924-0017</v>
          </cell>
          <cell r="C111" t="str">
            <v>BDB-000165</v>
          </cell>
          <cell r="D111" t="str">
            <v>PVN-002053</v>
          </cell>
          <cell r="E111" t="str">
            <v>OrthoLite Ultra-Nike LIME GREEN/14-0452TPX Flat Sheet 0.085D 15+/-4 Asker C 1.1M 2M 5mm</v>
          </cell>
          <cell r="F111">
            <v>700</v>
          </cell>
          <cell r="G111">
            <v>700</v>
          </cell>
          <cell r="H111">
            <v>700</v>
          </cell>
          <cell r="I111">
            <v>0</v>
          </cell>
          <cell r="J111" t="str">
            <v>NIKE</v>
          </cell>
          <cell r="K111" t="str">
            <v>Forecast</v>
          </cell>
          <cell r="L111" t="str">
            <v>DIE CUT</v>
          </cell>
          <cell r="M111">
            <v>1</v>
          </cell>
        </row>
        <row r="112">
          <cell r="A112" t="str">
            <v>F-2025-09-339</v>
          </cell>
          <cell r="B112" t="str">
            <v>FPRO-250924-0018</v>
          </cell>
          <cell r="C112" t="str">
            <v>BDB-000156</v>
          </cell>
          <cell r="D112" t="str">
            <v>PVN-003243</v>
          </cell>
          <cell r="E112" t="str">
            <v>OrthoLite X-35-Hybrid-Nike AMAZON/18-6024TPX Hybrid 0.145D 25+/-4 Asker C 1.1M 2M 5.2mm</v>
          </cell>
          <cell r="F112">
            <v>780</v>
          </cell>
          <cell r="G112">
            <v>780</v>
          </cell>
          <cell r="H112">
            <v>780</v>
          </cell>
          <cell r="I112">
            <v>0</v>
          </cell>
          <cell r="J112" t="str">
            <v>NIKE</v>
          </cell>
          <cell r="K112" t="str">
            <v>Forecast</v>
          </cell>
          <cell r="L112" t="str">
            <v>MOLDED</v>
          </cell>
          <cell r="M112">
            <v>1</v>
          </cell>
        </row>
        <row r="113">
          <cell r="A113" t="str">
            <v>F-2025-09-341</v>
          </cell>
          <cell r="B113" t="str">
            <v>FPRO-250924-0020</v>
          </cell>
          <cell r="C113" t="str">
            <v>BDB-000156</v>
          </cell>
          <cell r="D113" t="str">
            <v>PVN-003243</v>
          </cell>
          <cell r="E113" t="str">
            <v>OrthoLite X-35-Hybrid-Nike AMAZON/18-6024TPX Hybrid 0.145D 25+/-4 Asker C 1.1M 2M 5.2mm</v>
          </cell>
          <cell r="F113">
            <v>500</v>
          </cell>
          <cell r="G113">
            <v>500</v>
          </cell>
          <cell r="H113">
            <v>500</v>
          </cell>
          <cell r="I113">
            <v>0</v>
          </cell>
          <cell r="J113" t="str">
            <v>NIKE</v>
          </cell>
          <cell r="K113" t="str">
            <v>Forecast</v>
          </cell>
          <cell r="L113" t="str">
            <v>MOLDED</v>
          </cell>
          <cell r="M113">
            <v>1</v>
          </cell>
        </row>
        <row r="114">
          <cell r="A114" t="str">
            <v>F-2025-09-342</v>
          </cell>
          <cell r="B114" t="str">
            <v>FPRO-250924-0021</v>
          </cell>
          <cell r="C114" t="str">
            <v>BDB-000175</v>
          </cell>
          <cell r="D114" t="str">
            <v>PVN-002875</v>
          </cell>
          <cell r="E114" t="str">
            <v>OrthoLite Ultra-Hybrid-Nike SEEDPEARL/12-0703TPX Hybrid 0.085D 25+/-4 Asker C 1.1M 2M 3mm</v>
          </cell>
          <cell r="F114">
            <v>1000</v>
          </cell>
          <cell r="G114">
            <v>1000</v>
          </cell>
          <cell r="H114">
            <v>1000</v>
          </cell>
          <cell r="I114">
            <v>0</v>
          </cell>
          <cell r="J114" t="str">
            <v>NIKE</v>
          </cell>
          <cell r="K114" t="str">
            <v>Forecast</v>
          </cell>
          <cell r="L114" t="str">
            <v>DIE CUT</v>
          </cell>
          <cell r="M114">
            <v>1</v>
          </cell>
        </row>
        <row r="115">
          <cell r="A115" t="str">
            <v>F-2025-09-343</v>
          </cell>
          <cell r="B115" t="str">
            <v>FPRO-250924-0022</v>
          </cell>
          <cell r="C115" t="str">
            <v>BDB-000175</v>
          </cell>
          <cell r="D115" t="str">
            <v>PVN-002875</v>
          </cell>
          <cell r="E115" t="str">
            <v>OrthoLite Ultra-Hybrid-Nike SEEDPEARL/12-0703TPX Hybrid 0.085D 25+/-4 Asker C 1.1M 2M 3mm</v>
          </cell>
          <cell r="F115">
            <v>1000</v>
          </cell>
          <cell r="G115">
            <v>1000</v>
          </cell>
          <cell r="H115">
            <v>1000</v>
          </cell>
          <cell r="I115">
            <v>0</v>
          </cell>
          <cell r="J115" t="str">
            <v>NIKE</v>
          </cell>
          <cell r="K115" t="str">
            <v>Forecast</v>
          </cell>
          <cell r="L115" t="str">
            <v>DIE CUT</v>
          </cell>
          <cell r="M115">
            <v>1</v>
          </cell>
        </row>
        <row r="116">
          <cell r="A116" t="str">
            <v>F-2025-09-344</v>
          </cell>
          <cell r="B116" t="str">
            <v>FPRO-250924-0023</v>
          </cell>
          <cell r="C116" t="str">
            <v>BDB-000175</v>
          </cell>
          <cell r="D116" t="str">
            <v>PVN-002875</v>
          </cell>
          <cell r="E116" t="str">
            <v>OrthoLite Ultra-Hybrid-Nike SEEDPEARL/12-0703TPX Hybrid 0.085D 25+/-4 Asker C 1.1M 2M 3mm</v>
          </cell>
          <cell r="F116">
            <v>1000</v>
          </cell>
          <cell r="G116">
            <v>1000</v>
          </cell>
          <cell r="H116">
            <v>1000</v>
          </cell>
          <cell r="I116">
            <v>0</v>
          </cell>
          <cell r="J116" t="str">
            <v>NIKE</v>
          </cell>
          <cell r="K116" t="str">
            <v>Forecast</v>
          </cell>
          <cell r="L116" t="str">
            <v>DIE CUT</v>
          </cell>
          <cell r="M116">
            <v>1</v>
          </cell>
        </row>
        <row r="117">
          <cell r="A117" t="str">
            <v>F-2025-09-345</v>
          </cell>
          <cell r="B117" t="str">
            <v>FPRO-250924-0024</v>
          </cell>
          <cell r="C117" t="str">
            <v>BDB-000175</v>
          </cell>
          <cell r="D117" t="str">
            <v>PVN-002875</v>
          </cell>
          <cell r="E117" t="str">
            <v>OrthoLite Ultra-Hybrid-Nike SEEDPEARL/12-0703TPX Hybrid 0.085D 25+/-4 Asker C 1.1M 2M 3mm</v>
          </cell>
          <cell r="F117">
            <v>1000</v>
          </cell>
          <cell r="G117">
            <v>1000</v>
          </cell>
          <cell r="H117">
            <v>1000</v>
          </cell>
          <cell r="I117">
            <v>0</v>
          </cell>
          <cell r="J117" t="str">
            <v>NIKE</v>
          </cell>
          <cell r="K117" t="str">
            <v>Forecast</v>
          </cell>
          <cell r="L117" t="str">
            <v>DIE CUT</v>
          </cell>
          <cell r="M117">
            <v>1</v>
          </cell>
        </row>
        <row r="118">
          <cell r="A118" t="str">
            <v>F-2025-09-347</v>
          </cell>
          <cell r="B118" t="str">
            <v>FPRO-250924-0026</v>
          </cell>
          <cell r="C118" t="str">
            <v>BDB-000259</v>
          </cell>
          <cell r="D118" t="str">
            <v>PVN-003684</v>
          </cell>
          <cell r="E118" t="str">
            <v>OrthoLite Nike PP002 GLACIER GRAY/14-4102TPX Flat Sheet 0.145D 25+/-4 asker C 1.1M 2M 4.2mm</v>
          </cell>
          <cell r="F118">
            <v>2000</v>
          </cell>
          <cell r="G118">
            <v>2000</v>
          </cell>
          <cell r="H118">
            <v>0</v>
          </cell>
          <cell r="I118">
            <v>2000</v>
          </cell>
          <cell r="J118" t="str">
            <v>NIKE</v>
          </cell>
          <cell r="K118" t="str">
            <v>Forecast</v>
          </cell>
          <cell r="L118" t="str">
            <v>MOLDED</v>
          </cell>
          <cell r="M118">
            <v>1</v>
          </cell>
        </row>
        <row r="119">
          <cell r="A119" t="str">
            <v>F-2025-09-348</v>
          </cell>
          <cell r="B119" t="str">
            <v>FPRO-250924-0027</v>
          </cell>
          <cell r="C119" t="str">
            <v>BDB-000259</v>
          </cell>
          <cell r="D119" t="str">
            <v>PVN-003684</v>
          </cell>
          <cell r="E119" t="str">
            <v>OrthoLite Nike PP002 GLACIER GRAY/14-4102TPX Flat Sheet 0.145D 25+/-4 asker C 1.1M 2M 4.2mm</v>
          </cell>
          <cell r="F119">
            <v>2000</v>
          </cell>
          <cell r="G119">
            <v>2000</v>
          </cell>
          <cell r="H119">
            <v>0</v>
          </cell>
          <cell r="I119">
            <v>2000</v>
          </cell>
          <cell r="J119" t="str">
            <v>NIKE</v>
          </cell>
          <cell r="K119" t="str">
            <v>Forecast</v>
          </cell>
          <cell r="L119" t="str">
            <v>MOLDED</v>
          </cell>
          <cell r="M119">
            <v>1</v>
          </cell>
        </row>
        <row r="120">
          <cell r="A120" t="str">
            <v>F-2025-09-349</v>
          </cell>
          <cell r="B120" t="str">
            <v>FPRO-250924-0028</v>
          </cell>
          <cell r="C120" t="str">
            <v>BDB-000259</v>
          </cell>
          <cell r="D120" t="str">
            <v>PVN-003684</v>
          </cell>
          <cell r="E120" t="str">
            <v>OrthoLite Nike PP002 GLACIER GRAY/14-4102TPX Flat Sheet 0.145D 25+/-4 asker C 1.1M 2M 4.2mm</v>
          </cell>
          <cell r="F120">
            <v>2000</v>
          </cell>
          <cell r="G120">
            <v>2000</v>
          </cell>
          <cell r="H120">
            <v>0</v>
          </cell>
          <cell r="I120">
            <v>2000</v>
          </cell>
          <cell r="J120" t="str">
            <v>NIKE</v>
          </cell>
          <cell r="K120" t="str">
            <v>Forecast</v>
          </cell>
          <cell r="L120" t="str">
            <v>MOLDED</v>
          </cell>
          <cell r="M120">
            <v>1</v>
          </cell>
        </row>
        <row r="121">
          <cell r="A121" t="str">
            <v>F-2025-09-350</v>
          </cell>
          <cell r="B121" t="str">
            <v>FPRO-250924-0029</v>
          </cell>
          <cell r="C121" t="str">
            <v>BDB-000259</v>
          </cell>
          <cell r="D121" t="str">
            <v>PVN-003684</v>
          </cell>
          <cell r="E121" t="str">
            <v>OrthoLite Nike PP002 GLACIER GRAY/14-4102TPX Flat Sheet 0.145D 25+/-4 asker C 1.1M 2M 4.2mm</v>
          </cell>
          <cell r="F121">
            <v>2000</v>
          </cell>
          <cell r="G121">
            <v>2000</v>
          </cell>
          <cell r="H121">
            <v>0</v>
          </cell>
          <cell r="I121">
            <v>2000</v>
          </cell>
          <cell r="J121" t="str">
            <v>NIKE</v>
          </cell>
          <cell r="K121" t="str">
            <v>Forecast</v>
          </cell>
          <cell r="L121" t="str">
            <v>MOLDED</v>
          </cell>
          <cell r="M121">
            <v>1</v>
          </cell>
        </row>
        <row r="122">
          <cell r="A122" t="str">
            <v>F-2025-09-351</v>
          </cell>
          <cell r="B122" t="str">
            <v>FPRO-250924-0030</v>
          </cell>
          <cell r="C122" t="str">
            <v>BDB-000259</v>
          </cell>
          <cell r="D122" t="str">
            <v>PVN-003684</v>
          </cell>
          <cell r="E122" t="str">
            <v>OrthoLite Nike PP002 GLACIER GRAY/14-4102TPX Flat Sheet 0.145D 25+/-4 asker C 1.1M 2M 4.2mm</v>
          </cell>
          <cell r="F122">
            <v>2250</v>
          </cell>
          <cell r="G122">
            <v>2250</v>
          </cell>
          <cell r="H122">
            <v>0</v>
          </cell>
          <cell r="I122">
            <v>2250</v>
          </cell>
          <cell r="J122" t="str">
            <v>NIKE</v>
          </cell>
          <cell r="K122" t="str">
            <v>Forecast</v>
          </cell>
          <cell r="L122" t="str">
            <v>MOLDED</v>
          </cell>
          <cell r="M122">
            <v>1</v>
          </cell>
        </row>
        <row r="123">
          <cell r="A123" t="str">
            <v>F-2025-09-352</v>
          </cell>
          <cell r="B123" t="str">
            <v>FPRO-250924-0031</v>
          </cell>
          <cell r="C123" t="str">
            <v>BDB-000175</v>
          </cell>
          <cell r="D123" t="str">
            <v>PVN-002966</v>
          </cell>
          <cell r="E123" t="str">
            <v>OrthoLite Ultra-Hybrid-Nike SEEDPEARL/12-0703TPX Hybrid 0.085D 25+/-4 Asker C 1.1M 2M 4mm</v>
          </cell>
          <cell r="F123">
            <v>4000</v>
          </cell>
          <cell r="G123">
            <v>4000</v>
          </cell>
          <cell r="H123">
            <v>0</v>
          </cell>
          <cell r="I123">
            <v>4000</v>
          </cell>
          <cell r="J123" t="str">
            <v>NIKE</v>
          </cell>
          <cell r="K123" t="str">
            <v>Forecast</v>
          </cell>
          <cell r="L123" t="str">
            <v>DIE CUT</v>
          </cell>
          <cell r="M123">
            <v>1</v>
          </cell>
        </row>
        <row r="124">
          <cell r="A124" t="str">
            <v>F-2025-09-353</v>
          </cell>
          <cell r="B124" t="str">
            <v>FPRO-250924-0032</v>
          </cell>
          <cell r="C124" t="str">
            <v>BDB-000175</v>
          </cell>
          <cell r="D124" t="str">
            <v>PVN-002966</v>
          </cell>
          <cell r="E124" t="str">
            <v>OrthoLite Ultra-Hybrid-Nike SEEDPEARL/12-0703TPX Hybrid 0.085D 25+/-4 Asker C 1.1M 2M 4mm</v>
          </cell>
          <cell r="F124">
            <v>4000</v>
          </cell>
          <cell r="G124">
            <v>4000</v>
          </cell>
          <cell r="H124">
            <v>4000</v>
          </cell>
          <cell r="I124">
            <v>0</v>
          </cell>
          <cell r="J124" t="str">
            <v>NIKE</v>
          </cell>
          <cell r="K124" t="str">
            <v>Forecast</v>
          </cell>
          <cell r="L124" t="str">
            <v>DIE CUT</v>
          </cell>
          <cell r="M124">
            <v>1</v>
          </cell>
        </row>
        <row r="125">
          <cell r="A125" t="str">
            <v>F-2025-09-354</v>
          </cell>
          <cell r="B125" t="str">
            <v>FPRO-250924-0033</v>
          </cell>
          <cell r="C125" t="str">
            <v>BDB-000175</v>
          </cell>
          <cell r="D125" t="str">
            <v>PVN-002966</v>
          </cell>
          <cell r="E125" t="str">
            <v>OrthoLite Ultra-Hybrid-Nike SEEDPEARL/12-0703TPX Hybrid 0.085D 25+/-4 Asker C 1.1M 2M 4mm</v>
          </cell>
          <cell r="F125">
            <v>3500</v>
          </cell>
          <cell r="G125">
            <v>3500</v>
          </cell>
          <cell r="H125">
            <v>0</v>
          </cell>
          <cell r="I125">
            <v>3500</v>
          </cell>
          <cell r="J125" t="str">
            <v>NIKE</v>
          </cell>
          <cell r="K125" t="str">
            <v>Forecast</v>
          </cell>
          <cell r="L125" t="str">
            <v>DIE CUT</v>
          </cell>
          <cell r="M125">
            <v>1</v>
          </cell>
        </row>
        <row r="126">
          <cell r="A126" t="str">
            <v>F-2025-09-356</v>
          </cell>
          <cell r="B126" t="str">
            <v>FPRO-250924-0035</v>
          </cell>
          <cell r="C126" t="str">
            <v>BDB-000125</v>
          </cell>
          <cell r="D126" t="str">
            <v>PVN-002413</v>
          </cell>
          <cell r="E126" t="str">
            <v>OrthoLite Regular-Nike AIR BLUE/16-4134TPX 0.11D 25+/-4 Asker C 1.1M 2M 4.2mm</v>
          </cell>
          <cell r="F126">
            <v>4000</v>
          </cell>
          <cell r="G126">
            <v>4000</v>
          </cell>
          <cell r="H126">
            <v>4000</v>
          </cell>
          <cell r="I126">
            <v>0</v>
          </cell>
          <cell r="J126" t="str">
            <v>NIKE</v>
          </cell>
          <cell r="K126" t="str">
            <v>Forecast</v>
          </cell>
          <cell r="L126" t="str">
            <v>MOLDED</v>
          </cell>
          <cell r="M126">
            <v>1</v>
          </cell>
        </row>
        <row r="127">
          <cell r="A127" t="str">
            <v>F-2025-09-357-1</v>
          </cell>
          <cell r="B127" t="str">
            <v>FPRO-250924-0036</v>
          </cell>
          <cell r="C127" t="str">
            <v>BDB-000125</v>
          </cell>
          <cell r="D127" t="str">
            <v>PVN-002413</v>
          </cell>
          <cell r="E127" t="str">
            <v>OrthoLite Regular-Nike AIR BLUE/16-4134TPX 0.11D 25+/-4 Asker C 1.1M 2M 4.2mm</v>
          </cell>
          <cell r="F127">
            <v>4000</v>
          </cell>
          <cell r="G127">
            <v>2000</v>
          </cell>
          <cell r="H127">
            <v>0</v>
          </cell>
          <cell r="I127">
            <v>2000</v>
          </cell>
          <cell r="J127" t="str">
            <v>NIKE</v>
          </cell>
          <cell r="K127" t="str">
            <v>Forecast</v>
          </cell>
          <cell r="L127" t="str">
            <v>MOLDED</v>
          </cell>
          <cell r="M127">
            <v>1</v>
          </cell>
        </row>
        <row r="128">
          <cell r="A128" t="str">
            <v>F-2025-09-357-2</v>
          </cell>
          <cell r="B128" t="str">
            <v>FPRO-251006-0003</v>
          </cell>
          <cell r="C128" t="str">
            <v>BDB-000125</v>
          </cell>
          <cell r="D128" t="str">
            <v>PVN-002413</v>
          </cell>
          <cell r="E128" t="str">
            <v>OrthoLite Regular-Nike AIR BLUE/16-4134TPX 0.11D 25+/-4 Asker C 1.1M 2M 4.2mm</v>
          </cell>
          <cell r="F128">
            <v>4000</v>
          </cell>
          <cell r="G128">
            <v>2000</v>
          </cell>
          <cell r="H128">
            <v>2000</v>
          </cell>
          <cell r="I128">
            <v>0</v>
          </cell>
          <cell r="J128" t="str">
            <v>NIKE</v>
          </cell>
          <cell r="K128" t="str">
            <v>Forecast</v>
          </cell>
          <cell r="L128" t="str">
            <v>MOLDED</v>
          </cell>
          <cell r="M128">
            <v>1</v>
          </cell>
        </row>
        <row r="129">
          <cell r="A129" t="str">
            <v>F-2025-09-358</v>
          </cell>
          <cell r="B129" t="str">
            <v>FPRO-250924-0037</v>
          </cell>
          <cell r="C129" t="str">
            <v>BDB-000125</v>
          </cell>
          <cell r="D129" t="str">
            <v>PVN-002413</v>
          </cell>
          <cell r="E129" t="str">
            <v>OrthoLite Regular-Nike AIR BLUE/16-4134TPX 0.11D 25+/-4 Asker C 1.1M 2M 4.2mm</v>
          </cell>
          <cell r="F129">
            <v>4000</v>
          </cell>
          <cell r="G129">
            <v>4000</v>
          </cell>
          <cell r="H129">
            <v>4000</v>
          </cell>
          <cell r="I129">
            <v>0</v>
          </cell>
          <cell r="J129" t="str">
            <v>NIKE</v>
          </cell>
          <cell r="K129" t="str">
            <v>Forecast</v>
          </cell>
          <cell r="L129" t="str">
            <v>MOLDED</v>
          </cell>
          <cell r="M129">
            <v>1</v>
          </cell>
        </row>
        <row r="130">
          <cell r="A130" t="str">
            <v>F-2025-09-359</v>
          </cell>
          <cell r="B130" t="str">
            <v>FPRO-250924-0038</v>
          </cell>
          <cell r="C130" t="str">
            <v>BDB-000125</v>
          </cell>
          <cell r="D130" t="str">
            <v>PVN-002413</v>
          </cell>
          <cell r="E130" t="str">
            <v>OrthoLite Regular-Nike AIR BLUE/16-4134TPX 0.11D 25+/-4 Asker C 1.1M 2M 4.2mm</v>
          </cell>
          <cell r="F130">
            <v>4000</v>
          </cell>
          <cell r="G130">
            <v>4000</v>
          </cell>
          <cell r="H130">
            <v>4000</v>
          </cell>
          <cell r="I130">
            <v>0</v>
          </cell>
          <cell r="J130" t="str">
            <v>NIKE</v>
          </cell>
          <cell r="K130" t="str">
            <v>Forecast</v>
          </cell>
          <cell r="L130" t="str">
            <v>MOLDED</v>
          </cell>
          <cell r="M130">
            <v>1</v>
          </cell>
        </row>
        <row r="131">
          <cell r="A131" t="str">
            <v>F-2025-09-360</v>
          </cell>
          <cell r="B131" t="str">
            <v>FPRO-250924-0039</v>
          </cell>
          <cell r="C131" t="str">
            <v>BDB-000125</v>
          </cell>
          <cell r="D131" t="str">
            <v>PVN-002413</v>
          </cell>
          <cell r="E131" t="str">
            <v>OrthoLite Regular-Nike AIR BLUE/16-4134TPX 0.11D 25+/-4 Asker C 1.1M 2M 4.2mm</v>
          </cell>
          <cell r="F131">
            <v>4000</v>
          </cell>
          <cell r="G131">
            <v>4000</v>
          </cell>
          <cell r="H131">
            <v>0</v>
          </cell>
          <cell r="I131">
            <v>4000</v>
          </cell>
          <cell r="J131" t="str">
            <v>NIKE</v>
          </cell>
          <cell r="K131" t="str">
            <v>Forecast</v>
          </cell>
          <cell r="L131" t="str">
            <v>MOLDED</v>
          </cell>
          <cell r="M131">
            <v>1</v>
          </cell>
        </row>
        <row r="132">
          <cell r="A132" t="str">
            <v>F-2025-09-361</v>
          </cell>
          <cell r="B132" t="str">
            <v>FPRO-250924-0040</v>
          </cell>
          <cell r="C132" t="str">
            <v>BDB-000125</v>
          </cell>
          <cell r="D132" t="str">
            <v>PVN-002413</v>
          </cell>
          <cell r="E132" t="str">
            <v>OrthoLite Regular-Nike AIR BLUE/16-4134TPX 0.11D 25+/-4 Asker C 1.1M 2M 4.2mm</v>
          </cell>
          <cell r="F132">
            <v>4000</v>
          </cell>
          <cell r="G132">
            <v>4000</v>
          </cell>
          <cell r="H132">
            <v>0</v>
          </cell>
          <cell r="I132">
            <v>4000</v>
          </cell>
          <cell r="J132" t="str">
            <v>NIKE</v>
          </cell>
          <cell r="K132" t="str">
            <v>Forecast</v>
          </cell>
          <cell r="L132" t="str">
            <v>MOLDED</v>
          </cell>
          <cell r="M132">
            <v>1</v>
          </cell>
        </row>
        <row r="133">
          <cell r="A133" t="str">
            <v>F-2025-09-362</v>
          </cell>
          <cell r="B133" t="str">
            <v>FPRO-250924-0041</v>
          </cell>
          <cell r="C133" t="str">
            <v>BDB-000125</v>
          </cell>
          <cell r="D133" t="str">
            <v>PVN-002413</v>
          </cell>
          <cell r="E133" t="str">
            <v>OrthoLite Regular-Nike AIR BLUE/16-4134TPX 0.11D 25+/-4 Asker C 1.1M 2M 4.2mm</v>
          </cell>
          <cell r="F133">
            <v>4000</v>
          </cell>
          <cell r="G133">
            <v>4000</v>
          </cell>
          <cell r="H133">
            <v>4000</v>
          </cell>
          <cell r="I133">
            <v>0</v>
          </cell>
          <cell r="J133" t="str">
            <v>NIKE</v>
          </cell>
          <cell r="K133" t="str">
            <v>Forecast</v>
          </cell>
          <cell r="L133" t="str">
            <v>MOLDED</v>
          </cell>
          <cell r="M133">
            <v>1</v>
          </cell>
        </row>
        <row r="134">
          <cell r="A134" t="str">
            <v>F-2025-09-364</v>
          </cell>
          <cell r="B134" t="str">
            <v>FPRO-250924-0001</v>
          </cell>
          <cell r="C134" t="str">
            <v>BDB-000039</v>
          </cell>
          <cell r="D134" t="str">
            <v>PVN-002019</v>
          </cell>
          <cell r="E134" t="str">
            <v>OrthoLite Regular NEUTRAL GRAY/17-4402TPX 0.11D 25+/-4 Asker C 1.1M 2M 13mm</v>
          </cell>
          <cell r="F134">
            <v>500</v>
          </cell>
          <cell r="G134">
            <v>500</v>
          </cell>
          <cell r="H134">
            <v>0</v>
          </cell>
          <cell r="I134">
            <v>500</v>
          </cell>
          <cell r="J134" t="str">
            <v>NEW BALANCE</v>
          </cell>
          <cell r="K134" t="str">
            <v>Forecast</v>
          </cell>
          <cell r="L134" t="str">
            <v>MOLDED</v>
          </cell>
          <cell r="M134">
            <v>1</v>
          </cell>
        </row>
        <row r="135">
          <cell r="A135" t="str">
            <v>F-2025-09-365</v>
          </cell>
          <cell r="B135" t="str">
            <v>FPRO-250924-0002</v>
          </cell>
          <cell r="C135" t="str">
            <v>BDB-000039</v>
          </cell>
          <cell r="D135" t="str">
            <v>PVN-002019</v>
          </cell>
          <cell r="E135" t="str">
            <v>OrthoLite Regular NEUTRAL GRAY/17-4402TPX 0.11D 25+/-4 Asker C 1.1M 2M 13mm</v>
          </cell>
          <cell r="F135">
            <v>550</v>
          </cell>
          <cell r="G135">
            <v>550</v>
          </cell>
          <cell r="H135">
            <v>0</v>
          </cell>
          <cell r="I135">
            <v>550</v>
          </cell>
          <cell r="J135" t="str">
            <v>NEW BALANCE</v>
          </cell>
          <cell r="K135" t="str">
            <v>Forecast</v>
          </cell>
          <cell r="L135" t="str">
            <v>MOLDED</v>
          </cell>
          <cell r="M135">
            <v>1</v>
          </cell>
        </row>
        <row r="136">
          <cell r="A136" t="str">
            <v>F-2025-09-397</v>
          </cell>
          <cell r="B136" t="str">
            <v>RPRO-250929-0430</v>
          </cell>
          <cell r="C136" t="str">
            <v>BDB-000175</v>
          </cell>
          <cell r="D136" t="str">
            <v>PVN-002876</v>
          </cell>
          <cell r="E136" t="str">
            <v>OrthoLite Ultra-Hybrid-Nike SEEDPEARL/12-0703TPX Hybrid Flat Sheet 0.085D 25+/-4 Asker C 1.1M 2M 5mm</v>
          </cell>
          <cell r="F136">
            <v>672</v>
          </cell>
          <cell r="G136">
            <v>672</v>
          </cell>
          <cell r="H136">
            <v>672</v>
          </cell>
          <cell r="I136">
            <v>0</v>
          </cell>
          <cell r="J136" t="str">
            <v>NIKE</v>
          </cell>
          <cell r="K136" t="str">
            <v>Pr.Sch.R</v>
          </cell>
          <cell r="L136" t="str">
            <v>MOLDED</v>
          </cell>
          <cell r="M136">
            <v>1</v>
          </cell>
        </row>
        <row r="137">
          <cell r="A137" t="str">
            <v>F-2025-09-400</v>
          </cell>
          <cell r="B137" t="str">
            <v>RPRO-250929-0433</v>
          </cell>
          <cell r="C137" t="str">
            <v>BDB-000252</v>
          </cell>
          <cell r="D137" t="str">
            <v>PVN-003714</v>
          </cell>
          <cell r="E137" t="str">
            <v>OrthoLite Nike PP002 AMAZON/18-6024TPX Flat Sheet 0.145D 25+/-4 asker C 1.1M 2M 5.2mm</v>
          </cell>
          <cell r="F137">
            <v>78</v>
          </cell>
          <cell r="G137">
            <v>78</v>
          </cell>
          <cell r="H137">
            <v>78</v>
          </cell>
          <cell r="I137">
            <v>0</v>
          </cell>
          <cell r="J137" t="str">
            <v>NIKE</v>
          </cell>
          <cell r="K137" t="str">
            <v>Pr.Sch.R</v>
          </cell>
          <cell r="L137" t="str">
            <v>MOLDED</v>
          </cell>
          <cell r="M137">
            <v>1</v>
          </cell>
        </row>
        <row r="138">
          <cell r="A138" t="str">
            <v>F-2025-09-427</v>
          </cell>
          <cell r="B138" t="str">
            <v>RPRO-250930-0961</v>
          </cell>
          <cell r="C138" t="str">
            <v>BDB-000252</v>
          </cell>
          <cell r="D138" t="str">
            <v>PVN-003714</v>
          </cell>
          <cell r="E138" t="str">
            <v>OrthoLite Nike PP002 AMAZON/18-6024TPX Flat Sheet 0.145D 25+/-4 asker C 1.1M 2M 5.2mm</v>
          </cell>
          <cell r="F138">
            <v>26</v>
          </cell>
          <cell r="G138">
            <v>26</v>
          </cell>
          <cell r="H138">
            <v>26</v>
          </cell>
          <cell r="I138">
            <v>0</v>
          </cell>
          <cell r="J138" t="str">
            <v>NIKE</v>
          </cell>
          <cell r="K138" t="str">
            <v>Pr.Sch.R</v>
          </cell>
          <cell r="L138" t="str">
            <v>MOLDED</v>
          </cell>
          <cell r="M138">
            <v>1</v>
          </cell>
        </row>
        <row r="139">
          <cell r="A139" t="str">
            <v>F-2025-09-429-2</v>
          </cell>
          <cell r="B139" t="str">
            <v>RPRO-251013-0222</v>
          </cell>
          <cell r="C139" t="str">
            <v>BDB-000234</v>
          </cell>
          <cell r="D139" t="str">
            <v>PVN-003581</v>
          </cell>
          <cell r="E139" t="str">
            <v>OrthoLite X-30-Hybrid BROWN SUGAR/17-1134TPX Hybrid Flat Sheet 0.13D 25+/-4 Asker C 1.1M 2M 12mm</v>
          </cell>
          <cell r="F139">
            <v>2673</v>
          </cell>
          <cell r="G139">
            <v>1000</v>
          </cell>
          <cell r="H139">
            <v>1000</v>
          </cell>
          <cell r="I139">
            <v>0</v>
          </cell>
          <cell r="J139" t="str">
            <v>ASICS</v>
          </cell>
          <cell r="K139" t="str">
            <v>Pr.Sch.R</v>
          </cell>
          <cell r="L139" t="str">
            <v>MOLDED</v>
          </cell>
          <cell r="M139" t="str">
            <v>1-RM-WIP</v>
          </cell>
        </row>
        <row r="140">
          <cell r="A140" t="str">
            <v>F-2025-09-432-2</v>
          </cell>
          <cell r="B140" t="str">
            <v>RPRO-251013-0248</v>
          </cell>
          <cell r="C140" t="str">
            <v>BDB-000107</v>
          </cell>
          <cell r="D140" t="str">
            <v>PVN-003482</v>
          </cell>
          <cell r="E140" t="str">
            <v>OrthoLite Eco LT-Hybrid SEEDPEARL/12-0703TPX Hybrid Flat Sheet 0.11D 25+/-4 Asker C 1.1M 1.47M 4mm</v>
          </cell>
          <cell r="F140">
            <v>1925</v>
          </cell>
          <cell r="G140">
            <v>1000</v>
          </cell>
          <cell r="H140">
            <v>1000</v>
          </cell>
          <cell r="I140">
            <v>0</v>
          </cell>
          <cell r="J140" t="str">
            <v>NEW BALANCE</v>
          </cell>
          <cell r="K140" t="str">
            <v>Pr.Sch.R</v>
          </cell>
          <cell r="L140" t="str">
            <v>DIE CUT</v>
          </cell>
          <cell r="M140">
            <v>1</v>
          </cell>
        </row>
        <row r="141">
          <cell r="A141" t="str">
            <v>F-2025-10-10</v>
          </cell>
          <cell r="B141" t="str">
            <v>RPRO-251001-0690</v>
          </cell>
          <cell r="C141" t="str">
            <v>BDB-000235</v>
          </cell>
          <cell r="D141" t="str">
            <v>PVN-003576</v>
          </cell>
          <cell r="E141" t="str">
            <v>OrthoLite X-55-Hybrid FOSSIL/17-0909TPX Hybrid Flat Sheet 0.16D 25+/-4 Asker C 1.1M 1.7M 12mm</v>
          </cell>
          <cell r="F141">
            <v>1784</v>
          </cell>
          <cell r="G141">
            <v>1784</v>
          </cell>
          <cell r="H141">
            <v>1784</v>
          </cell>
          <cell r="I141">
            <v>0</v>
          </cell>
          <cell r="J141" t="str">
            <v>ASICS</v>
          </cell>
          <cell r="K141" t="str">
            <v>Pr.Sch.R</v>
          </cell>
          <cell r="L141" t="str">
            <v>MOLDED</v>
          </cell>
          <cell r="M141" t="str">
            <v>1-RM-WIP</v>
          </cell>
        </row>
        <row r="142">
          <cell r="A142" t="str">
            <v>F-2025-10-17</v>
          </cell>
          <cell r="B142" t="str">
            <v>FPRO-251001-0001</v>
          </cell>
          <cell r="C142" t="str">
            <v>BDB-000180</v>
          </cell>
          <cell r="D142" t="str">
            <v>PVN-003236</v>
          </cell>
          <cell r="E142" t="str">
            <v>OrthoLite Eco LT-Hybrid-Converse SEEDPEARL/12-0703TPX Hybrid 0.13D 25+/-4 Asker C 1.1M 2M 5mm</v>
          </cell>
          <cell r="F142">
            <v>220</v>
          </cell>
          <cell r="G142">
            <v>220</v>
          </cell>
          <cell r="H142">
            <v>220</v>
          </cell>
          <cell r="I142">
            <v>0</v>
          </cell>
          <cell r="J142" t="str">
            <v>CONVERSE</v>
          </cell>
          <cell r="K142" t="str">
            <v>Forecast</v>
          </cell>
          <cell r="L142" t="str">
            <v>DIE CUT</v>
          </cell>
          <cell r="M142">
            <v>1</v>
          </cell>
        </row>
        <row r="143">
          <cell r="A143" t="str">
            <v>F-2025-10-39</v>
          </cell>
          <cell r="B143" t="str">
            <v>RPRO-251003-0391</v>
          </cell>
          <cell r="C143" t="str">
            <v>BDB-000123</v>
          </cell>
          <cell r="D143" t="str">
            <v>PVN-002539</v>
          </cell>
          <cell r="E143" t="str">
            <v>OrthoLite Ultra-Hybrid SEEDPEARL/12-0703TPX Hybrid Flat Sheet 0.085D 25+/-4 Asker C 1.1M 2M 5mm</v>
          </cell>
          <cell r="F143">
            <v>168</v>
          </cell>
          <cell r="G143">
            <v>168</v>
          </cell>
          <cell r="H143">
            <v>168</v>
          </cell>
          <cell r="I143">
            <v>0</v>
          </cell>
          <cell r="J143" t="str">
            <v>BROOKS</v>
          </cell>
          <cell r="K143" t="str">
            <v>Pr.Sch.R</v>
          </cell>
          <cell r="L143" t="str">
            <v>DIE CUT</v>
          </cell>
          <cell r="M143">
            <v>1</v>
          </cell>
        </row>
        <row r="144">
          <cell r="A144" t="str">
            <v>F-2025-10-53</v>
          </cell>
          <cell r="B144" t="str">
            <v>RPRO-251006-0389</v>
          </cell>
          <cell r="C144" t="str">
            <v>BDB-000242</v>
          </cell>
          <cell r="D144" t="str">
            <v>PVN-003614</v>
          </cell>
          <cell r="E144" t="str">
            <v>OrthoLite Regular GREY/17-1501TPX Flat Sheet 0.11D 5-10 Asker C 1.1M 2M 3.5mm</v>
          </cell>
          <cell r="F144">
            <v>240</v>
          </cell>
          <cell r="G144">
            <v>240</v>
          </cell>
          <cell r="H144">
            <v>240</v>
          </cell>
          <cell r="I144">
            <v>0</v>
          </cell>
          <cell r="J144" t="str">
            <v>TRAVIS MATHEW</v>
          </cell>
          <cell r="K144" t="str">
            <v>Pr.Sch.R</v>
          </cell>
          <cell r="L144" t="str">
            <v>MOLDED</v>
          </cell>
          <cell r="M144">
            <v>1</v>
          </cell>
        </row>
        <row r="145">
          <cell r="A145" t="str">
            <v>F-2025-10-56</v>
          </cell>
          <cell r="B145" t="str">
            <v>RPRO-251006-0392</v>
          </cell>
          <cell r="C145" t="str">
            <v>BDB-000217</v>
          </cell>
          <cell r="D145" t="str">
            <v>PVN-003539</v>
          </cell>
          <cell r="E145" t="str">
            <v>OrthoLite X-40-Hybrid SEEDPEARL/12-0703TPX Hybrid Flat Sheet 0.16D 35+/-4 Asker C 1.1M 1.7M 6.2mm</v>
          </cell>
          <cell r="F145">
            <v>264</v>
          </cell>
          <cell r="G145">
            <v>264</v>
          </cell>
          <cell r="H145">
            <v>264</v>
          </cell>
          <cell r="I145">
            <v>0</v>
          </cell>
          <cell r="J145" t="str">
            <v>BROOKS</v>
          </cell>
          <cell r="K145" t="str">
            <v>Pr.Sch.R</v>
          </cell>
          <cell r="L145" t="str">
            <v>MOLDED</v>
          </cell>
          <cell r="M145">
            <v>1</v>
          </cell>
        </row>
        <row r="146">
          <cell r="A146" t="str">
            <v>F-2025-10-65</v>
          </cell>
          <cell r="B146" t="str">
            <v>RPRO-251007-0946</v>
          </cell>
          <cell r="C146" t="str">
            <v>BDB-000235</v>
          </cell>
          <cell r="D146" t="str">
            <v>PVN-003576</v>
          </cell>
          <cell r="E146" t="str">
            <v>OrthoLite X-55-Hybrid FOSSIL/17-0909TPX Hybrid Flat Sheet 0.16D 25+/-4 Asker C 1.1M 1.7M 12mm</v>
          </cell>
          <cell r="F146">
            <v>1485</v>
          </cell>
          <cell r="G146">
            <v>1485</v>
          </cell>
          <cell r="H146">
            <v>1485</v>
          </cell>
          <cell r="I146">
            <v>0</v>
          </cell>
          <cell r="J146" t="str">
            <v>ASICS</v>
          </cell>
          <cell r="K146" t="str">
            <v>Pr.Sch.R</v>
          </cell>
          <cell r="L146" t="str">
            <v>MOLDED</v>
          </cell>
          <cell r="M146" t="str">
            <v>1-RM-WIP</v>
          </cell>
        </row>
        <row r="147">
          <cell r="A147" t="str">
            <v>F-2025-10-66</v>
          </cell>
          <cell r="B147" t="str">
            <v>RPRO-251007-0947</v>
          </cell>
          <cell r="C147" t="str">
            <v>BDB-000252</v>
          </cell>
          <cell r="D147" t="str">
            <v>PVN-003714</v>
          </cell>
          <cell r="E147" t="str">
            <v>OrthoLite Nike PP002 AMAZON/18-6024TPX Flat Sheet 0.145D 25+/-4 asker C 1.1M 2M 5.2mm</v>
          </cell>
          <cell r="F147">
            <v>260</v>
          </cell>
          <cell r="G147">
            <v>260</v>
          </cell>
          <cell r="H147">
            <v>260</v>
          </cell>
          <cell r="I147">
            <v>0</v>
          </cell>
          <cell r="J147" t="str">
            <v>NIKE</v>
          </cell>
          <cell r="K147" t="str">
            <v>Pr.Sch.R</v>
          </cell>
          <cell r="L147" t="str">
            <v>MOLDED</v>
          </cell>
          <cell r="M147">
            <v>1</v>
          </cell>
        </row>
        <row r="148">
          <cell r="A148" t="str">
            <v>F-2025-10-67</v>
          </cell>
          <cell r="B148" t="str">
            <v>RPRO-251007-0948</v>
          </cell>
          <cell r="C148" t="str">
            <v>BDB-000149</v>
          </cell>
          <cell r="D148" t="str">
            <v>PVN-002827</v>
          </cell>
          <cell r="E148" t="str">
            <v>OrthoLite Regular-Hybrid-Nike SEEDPEARL/12-0703TPX Hybrid Flat Sheet 0.11D 25+/-4 Asker C 1.1M 2M 5mm</v>
          </cell>
          <cell r="F148">
            <v>280</v>
          </cell>
          <cell r="G148">
            <v>280</v>
          </cell>
          <cell r="H148">
            <v>280</v>
          </cell>
          <cell r="I148">
            <v>0</v>
          </cell>
          <cell r="J148" t="str">
            <v>NIKE</v>
          </cell>
          <cell r="K148" t="str">
            <v>Pr.Sch.R</v>
          </cell>
          <cell r="L148" t="str">
            <v>MOLDED</v>
          </cell>
          <cell r="M148">
            <v>1</v>
          </cell>
        </row>
        <row r="149">
          <cell r="A149" t="str">
            <v>F-2025-10-69</v>
          </cell>
          <cell r="B149" t="str">
            <v>RPRO-251007-0950</v>
          </cell>
          <cell r="C149" t="str">
            <v>BDB-000157</v>
          </cell>
          <cell r="D149" t="str">
            <v>PVN-003573</v>
          </cell>
          <cell r="E149" t="str">
            <v>OrthoLite X-35-Hybrid-Nike SEEDPEARL/12-0703TPX Hybrid Flat Sheet 0.145D 25+/-4 Asker C 1.1M 2M 4.2mm</v>
          </cell>
          <cell r="F149">
            <v>1188</v>
          </cell>
          <cell r="G149">
            <v>1188</v>
          </cell>
          <cell r="H149">
            <v>1188</v>
          </cell>
          <cell r="I149">
            <v>0</v>
          </cell>
          <cell r="J149" t="str">
            <v>NIKE</v>
          </cell>
          <cell r="K149" t="str">
            <v>Pr.Sch.R</v>
          </cell>
          <cell r="L149" t="str">
            <v>MOLDED</v>
          </cell>
          <cell r="M149">
            <v>1</v>
          </cell>
        </row>
        <row r="150">
          <cell r="A150" t="str">
            <v>F-2025-10-74</v>
          </cell>
          <cell r="B150" t="str">
            <v>RPRO-251007-0955</v>
          </cell>
          <cell r="C150" t="str">
            <v>BDB-000234</v>
          </cell>
          <cell r="D150" t="str">
            <v>PVN-003581</v>
          </cell>
          <cell r="E150" t="str">
            <v>OrthoLite X-30-Hybrid BROWN SUGAR/17-1134TPX Hybrid Flat Sheet 0.13D 25+/-4 Asker C 1.1M 2M 12mm</v>
          </cell>
          <cell r="F150">
            <v>11</v>
          </cell>
          <cell r="G150">
            <v>11</v>
          </cell>
          <cell r="H150">
            <v>11</v>
          </cell>
          <cell r="I150">
            <v>0</v>
          </cell>
          <cell r="J150" t="str">
            <v>ASICS</v>
          </cell>
          <cell r="K150" t="str">
            <v>Pr.Sch.R</v>
          </cell>
          <cell r="L150" t="str">
            <v>MOLDED</v>
          </cell>
          <cell r="M150" t="str">
            <v>1-RM-WIP</v>
          </cell>
        </row>
        <row r="151">
          <cell r="A151" t="str">
            <v>F-2025-10-86</v>
          </cell>
          <cell r="B151" t="str">
            <v>RPRO-251008-0351</v>
          </cell>
          <cell r="C151" t="str">
            <v>BDB-000125</v>
          </cell>
          <cell r="D151" t="str">
            <v>PVN-001579</v>
          </cell>
          <cell r="E151" t="str">
            <v>OrthoLite Regular-Nike AIR BLUE/16-4134TPX Flat Sheet 0.11D 25+/-4 Asker C 1.1M 2M 4mm</v>
          </cell>
          <cell r="F151">
            <v>455</v>
          </cell>
          <cell r="G151">
            <v>455</v>
          </cell>
          <cell r="H151">
            <v>455</v>
          </cell>
          <cell r="I151">
            <v>0</v>
          </cell>
          <cell r="J151" t="str">
            <v>NIKE</v>
          </cell>
          <cell r="K151" t="str">
            <v>Pr.Sch.R</v>
          </cell>
          <cell r="L151" t="str">
            <v>LAMINATING</v>
          </cell>
          <cell r="M151">
            <v>1</v>
          </cell>
        </row>
        <row r="152">
          <cell r="A152" t="str">
            <v>F-2025-10-87</v>
          </cell>
          <cell r="B152" t="str">
            <v>RPRO-251008-0352</v>
          </cell>
          <cell r="C152" t="str">
            <v>BDB-000234</v>
          </cell>
          <cell r="D152" t="str">
            <v>PVN-003581</v>
          </cell>
          <cell r="E152" t="str">
            <v>OrthoLite X-30-Hybrid BROWN SUGAR/17-1134TPX Hybrid Flat Sheet 0.13D 25+/-4 Asker C 1.1M 2M 12mm</v>
          </cell>
          <cell r="F152">
            <v>121</v>
          </cell>
          <cell r="G152">
            <v>121</v>
          </cell>
          <cell r="H152">
            <v>121</v>
          </cell>
          <cell r="I152">
            <v>0</v>
          </cell>
          <cell r="J152" t="str">
            <v>ASICS</v>
          </cell>
          <cell r="K152" t="str">
            <v>Pr.Sch.R</v>
          </cell>
          <cell r="L152" t="str">
            <v>MOLDED</v>
          </cell>
          <cell r="M152" t="str">
            <v>1-RM-WIP</v>
          </cell>
        </row>
        <row r="153">
          <cell r="A153" t="str">
            <v>F-2025-10-91</v>
          </cell>
          <cell r="B153" t="str">
            <v>FPRO-251008-0001</v>
          </cell>
          <cell r="C153" t="str">
            <v>BDB-000334</v>
          </cell>
          <cell r="D153" t="str">
            <v>PVN-004158</v>
          </cell>
          <cell r="E153" t="str">
            <v>OrthoLite X-55-Hybrid FOSSIL/17-0909TPX Hybrid Flat Sheet 0.16D 25+/-4 Asker C 1.1M 2M 5mm</v>
          </cell>
          <cell r="F153">
            <v>19</v>
          </cell>
          <cell r="G153">
            <v>19</v>
          </cell>
          <cell r="H153">
            <v>19</v>
          </cell>
          <cell r="I153">
            <v>0</v>
          </cell>
          <cell r="J153" t="str">
            <v>ASICS</v>
          </cell>
          <cell r="K153" t="str">
            <v>Forecast</v>
          </cell>
          <cell r="L153" t="str">
            <v>DIE CUT</v>
          </cell>
          <cell r="M153">
            <v>1</v>
          </cell>
        </row>
        <row r="154">
          <cell r="A154" t="str">
            <v>F-2025-10-94</v>
          </cell>
          <cell r="B154" t="str">
            <v>RPRO-251009-0184</v>
          </cell>
          <cell r="C154" t="str">
            <v>BDB-000242</v>
          </cell>
          <cell r="D154" t="str">
            <v>PVN-003614</v>
          </cell>
          <cell r="E154" t="str">
            <v>OrthoLite Regular GREY/17-1501TPX Flat Sheet 0.11D 5-10 Asker C 1.1M 2M 3.5mm</v>
          </cell>
          <cell r="F154">
            <v>80</v>
          </cell>
          <cell r="G154">
            <v>80</v>
          </cell>
          <cell r="H154">
            <v>80</v>
          </cell>
          <cell r="I154">
            <v>0</v>
          </cell>
          <cell r="J154" t="str">
            <v>TRAVIS MATHEW</v>
          </cell>
          <cell r="K154" t="str">
            <v>Pr.Sch.R</v>
          </cell>
          <cell r="L154" t="str">
            <v>MOLDED</v>
          </cell>
          <cell r="M154">
            <v>1</v>
          </cell>
        </row>
        <row r="155">
          <cell r="A155" t="str">
            <v>F-2025-10-97</v>
          </cell>
          <cell r="B155" t="str">
            <v>RPRO-251009-0187</v>
          </cell>
          <cell r="C155" t="str">
            <v>BDB-000252</v>
          </cell>
          <cell r="D155" t="str">
            <v>PVN-003714</v>
          </cell>
          <cell r="E155" t="str">
            <v>OrthoLite Nike PP002 AMAZON/18-6024TPX Flat Sheet 0.145D 25+/-4 asker C 1.1M 2M 5.2mm</v>
          </cell>
          <cell r="F155">
            <v>26</v>
          </cell>
          <cell r="G155">
            <v>26</v>
          </cell>
          <cell r="H155">
            <v>26</v>
          </cell>
          <cell r="I155">
            <v>0</v>
          </cell>
          <cell r="J155" t="str">
            <v>NIKE</v>
          </cell>
          <cell r="K155" t="str">
            <v>Pr.Sch.R</v>
          </cell>
          <cell r="L155" t="str">
            <v>MOLDED</v>
          </cell>
          <cell r="M155">
            <v>1</v>
          </cell>
        </row>
        <row r="156">
          <cell r="A156" t="str">
            <v>F-2025-10-99</v>
          </cell>
          <cell r="B156" t="str">
            <v>RPRO-251009-0189</v>
          </cell>
          <cell r="C156" t="str">
            <v>BDB-000209</v>
          </cell>
          <cell r="D156" t="str">
            <v>PVN-003462</v>
          </cell>
          <cell r="E156" t="str">
            <v>OrthoLite HybridPlus-Recycled MINT GREEN/11-4805TPX Hybrid Flat Sheet 0.12D 25+/-4 Asker C 1.1M 2M 12mm</v>
          </cell>
          <cell r="F156">
            <v>99</v>
          </cell>
          <cell r="G156">
            <v>99</v>
          </cell>
          <cell r="H156">
            <v>99</v>
          </cell>
          <cell r="I156">
            <v>0</v>
          </cell>
          <cell r="J156" t="str">
            <v>BROOKS</v>
          </cell>
          <cell r="K156" t="str">
            <v>Pr.Sch.R</v>
          </cell>
          <cell r="L156" t="str">
            <v>MOLDED</v>
          </cell>
          <cell r="M156">
            <v>1</v>
          </cell>
        </row>
        <row r="157">
          <cell r="A157" t="str">
            <v>F-2025-10-100</v>
          </cell>
          <cell r="B157" t="str">
            <v>RPRO-251009-0190</v>
          </cell>
          <cell r="C157" t="str">
            <v>BDB-000157</v>
          </cell>
          <cell r="D157" t="str">
            <v>PVN-003642</v>
          </cell>
          <cell r="E157" t="str">
            <v>OrthoLite X-35-Hybrid-Nike SEEDPEARL/12-0703TPX Hybrid Flat Sheet 0.145D 25+/-4 Asker C 1.1M 2M 6.2mm</v>
          </cell>
          <cell r="F157">
            <v>242</v>
          </cell>
          <cell r="G157">
            <v>242</v>
          </cell>
          <cell r="H157">
            <v>242</v>
          </cell>
          <cell r="I157">
            <v>0</v>
          </cell>
          <cell r="J157" t="str">
            <v>NIKE</v>
          </cell>
          <cell r="K157" t="str">
            <v>Pr.Sch.R</v>
          </cell>
          <cell r="L157" t="str">
            <v>MOLDED</v>
          </cell>
          <cell r="M157">
            <v>1</v>
          </cell>
        </row>
        <row r="158">
          <cell r="A158" t="str">
            <v>F-2025-10-101</v>
          </cell>
          <cell r="B158" t="str">
            <v>RPRO-251009-0191</v>
          </cell>
          <cell r="C158" t="str">
            <v>BDB-000217</v>
          </cell>
          <cell r="D158" t="str">
            <v>PVN-003539</v>
          </cell>
          <cell r="E158" t="str">
            <v>OrthoLite X-40-Hybrid SEEDPEARL/12-0703TPX Hybrid Flat Sheet 0.16D 35+/-4 Asker C 1.1M 1.7M 6.2mm</v>
          </cell>
          <cell r="F158">
            <v>22</v>
          </cell>
          <cell r="G158">
            <v>22</v>
          </cell>
          <cell r="H158">
            <v>22</v>
          </cell>
          <cell r="I158">
            <v>0</v>
          </cell>
          <cell r="J158" t="str">
            <v>BROOKS</v>
          </cell>
          <cell r="K158" t="str">
            <v>Pr.Sch.R</v>
          </cell>
          <cell r="L158" t="str">
            <v>MOLDED</v>
          </cell>
          <cell r="M158">
            <v>1</v>
          </cell>
        </row>
        <row r="159">
          <cell r="A159" t="str">
            <v>F-2025-10-108</v>
          </cell>
          <cell r="B159" t="str">
            <v>RPRO-251010-0119</v>
          </cell>
          <cell r="C159" t="str">
            <v>BDB-000107</v>
          </cell>
          <cell r="D159" t="str">
            <v>PVN-003482</v>
          </cell>
          <cell r="E159" t="str">
            <v>OrthoLite Eco LT-Hybrid SEEDPEARL/12-0703TPX Hybrid Flat Sheet 0.11D 25+/-4 Asker C 1.1M 1.47M 4mm</v>
          </cell>
          <cell r="F159">
            <v>805</v>
          </cell>
          <cell r="G159">
            <v>805</v>
          </cell>
          <cell r="H159">
            <v>805</v>
          </cell>
          <cell r="I159">
            <v>0</v>
          </cell>
          <cell r="J159" t="str">
            <v>NEW BALANCE</v>
          </cell>
          <cell r="K159" t="str">
            <v>Pr.Sch.R</v>
          </cell>
          <cell r="L159" t="str">
            <v>DIE CUT</v>
          </cell>
          <cell r="M159">
            <v>1</v>
          </cell>
        </row>
        <row r="160">
          <cell r="A160" t="str">
            <v>F-2025-10-116</v>
          </cell>
          <cell r="B160" t="str">
            <v>FPRO-251010-0001</v>
          </cell>
          <cell r="C160" t="str">
            <v>BDB-000097</v>
          </cell>
          <cell r="D160" t="str">
            <v>PVN-002478</v>
          </cell>
          <cell r="E160" t="str">
            <v>OrthoLite Eco LT-Hybrid SEEDPEARL/12-0703TPX Hybrid 0.11D 25+/-4 Asker C 1.1M 2M 4mm</v>
          </cell>
          <cell r="F160">
            <v>3000</v>
          </cell>
          <cell r="G160">
            <v>3000</v>
          </cell>
          <cell r="H160">
            <v>3000</v>
          </cell>
          <cell r="I160">
            <v>0</v>
          </cell>
          <cell r="J160" t="str">
            <v>NEW BALANCE</v>
          </cell>
          <cell r="K160" t="str">
            <v>Forecast</v>
          </cell>
          <cell r="L160" t="str">
            <v>DIE CUT</v>
          </cell>
          <cell r="M160">
            <v>1</v>
          </cell>
        </row>
        <row r="161">
          <cell r="A161" t="str">
            <v>F-2025-10-117</v>
          </cell>
          <cell r="B161" t="str">
            <v>FPRO-251010-0002</v>
          </cell>
          <cell r="C161" t="str">
            <v>BDB-000097</v>
          </cell>
          <cell r="D161" t="str">
            <v>PVN-002478</v>
          </cell>
          <cell r="E161" t="str">
            <v>OrthoLite Eco LT-Hybrid SEEDPEARL/12-0703TPX Hybrid 0.11D 25+/-4 Asker C 1.1M 2M 4mm</v>
          </cell>
          <cell r="F161">
            <v>2010</v>
          </cell>
          <cell r="G161">
            <v>2010</v>
          </cell>
          <cell r="H161">
            <v>2010</v>
          </cell>
          <cell r="I161">
            <v>0</v>
          </cell>
          <cell r="J161" t="str">
            <v>NEW BALANCE</v>
          </cell>
          <cell r="K161" t="str">
            <v>Forecast</v>
          </cell>
          <cell r="L161" t="str">
            <v>DIE CUT</v>
          </cell>
          <cell r="M161">
            <v>1</v>
          </cell>
        </row>
        <row r="162">
          <cell r="A162" t="str">
            <v>F-2025-10-119</v>
          </cell>
          <cell r="B162" t="str">
            <v>FPRO-251010-0004</v>
          </cell>
          <cell r="C162" t="str">
            <v>BDB-000107</v>
          </cell>
          <cell r="D162" t="str">
            <v>PVN-003482</v>
          </cell>
          <cell r="E162" t="str">
            <v>OrthoLite Eco LT-Hybrid SEEDPEARL/12-0703TPX Hybrid 0.11D 25+/-4 Asker C 1.1M 1.47M 4mm</v>
          </cell>
          <cell r="F162">
            <v>1000</v>
          </cell>
          <cell r="G162">
            <v>1000</v>
          </cell>
          <cell r="H162">
            <v>0</v>
          </cell>
          <cell r="I162">
            <v>1000</v>
          </cell>
          <cell r="J162" t="str">
            <v>NEW BALANCE</v>
          </cell>
          <cell r="K162" t="str">
            <v>Forecast</v>
          </cell>
          <cell r="L162" t="str">
            <v>DIE CUT</v>
          </cell>
          <cell r="M162">
            <v>1</v>
          </cell>
        </row>
        <row r="163">
          <cell r="A163" t="str">
            <v>F-2025-10-120</v>
          </cell>
          <cell r="B163" t="str">
            <v>FPRO-251010-0005</v>
          </cell>
          <cell r="C163" t="str">
            <v>BDB-000107</v>
          </cell>
          <cell r="D163" t="str">
            <v>PVN-003482</v>
          </cell>
          <cell r="E163" t="str">
            <v>OrthoLite Eco LT-Hybrid SEEDPEARL/12-0703TPX Hybrid 0.11D 25+/-4 Asker C 1.1M 1.47M 4mm</v>
          </cell>
          <cell r="F163">
            <v>1000</v>
          </cell>
          <cell r="G163">
            <v>1000</v>
          </cell>
          <cell r="H163">
            <v>0</v>
          </cell>
          <cell r="I163">
            <v>1000</v>
          </cell>
          <cell r="J163" t="str">
            <v>NEW BALANCE</v>
          </cell>
          <cell r="K163" t="str">
            <v>Forecast</v>
          </cell>
          <cell r="L163" t="str">
            <v>DIE CUT</v>
          </cell>
          <cell r="M163">
            <v>1</v>
          </cell>
        </row>
        <row r="164">
          <cell r="A164" t="str">
            <v>F-2025-10-121</v>
          </cell>
          <cell r="B164" t="str">
            <v>FPRO-251010-0006</v>
          </cell>
          <cell r="C164" t="str">
            <v>BDB-000107</v>
          </cell>
          <cell r="D164" t="str">
            <v>PVN-003482</v>
          </cell>
          <cell r="E164" t="str">
            <v>OrthoLite Eco LT-Hybrid SEEDPEARL/12-0703TPX Hybrid 0.11D 25+/-4 Asker C 1.1M 1.47M 4mm</v>
          </cell>
          <cell r="F164">
            <v>1000</v>
          </cell>
          <cell r="G164">
            <v>1000</v>
          </cell>
          <cell r="H164">
            <v>0</v>
          </cell>
          <cell r="I164">
            <v>1000</v>
          </cell>
          <cell r="J164" t="str">
            <v>NEW BALANCE</v>
          </cell>
          <cell r="K164" t="str">
            <v>Forecast</v>
          </cell>
          <cell r="L164" t="str">
            <v>DIE CUT</v>
          </cell>
          <cell r="M164">
            <v>1</v>
          </cell>
        </row>
        <row r="165">
          <cell r="A165" t="str">
            <v>F-2025-10-122</v>
          </cell>
          <cell r="B165" t="str">
            <v>FPRO-251010-0007</v>
          </cell>
          <cell r="C165" t="str">
            <v>BDB-000107</v>
          </cell>
          <cell r="D165" t="str">
            <v>PVN-003482</v>
          </cell>
          <cell r="E165" t="str">
            <v>OrthoLite Eco LT-Hybrid SEEDPEARL/12-0703TPX Hybrid 0.11D 25+/-4 Asker C 1.1M 1.47M 4mm</v>
          </cell>
          <cell r="F165">
            <v>850</v>
          </cell>
          <cell r="G165">
            <v>850</v>
          </cell>
          <cell r="H165">
            <v>850</v>
          </cell>
          <cell r="I165">
            <v>0</v>
          </cell>
          <cell r="J165" t="str">
            <v>NEW BALANCE</v>
          </cell>
          <cell r="K165" t="str">
            <v>Forecast</v>
          </cell>
          <cell r="L165" t="str">
            <v>DIE CUT</v>
          </cell>
          <cell r="M165">
            <v>1</v>
          </cell>
        </row>
        <row r="166">
          <cell r="A166" t="str">
            <v>F-2025-10-127</v>
          </cell>
          <cell r="B166" t="str">
            <v>RPRO-251013-0456</v>
          </cell>
          <cell r="C166" t="str">
            <v>BDB-000077</v>
          </cell>
          <cell r="D166" t="str">
            <v>PVN-003513</v>
          </cell>
          <cell r="E166" t="str">
            <v>OrthoLite X-25 SEEDPEARL/12-0703TPX Flat Sheet 0.12D 20+/-4 Asker C 1.1M 2M 2mm</v>
          </cell>
          <cell r="F166">
            <v>140</v>
          </cell>
          <cell r="G166">
            <v>140</v>
          </cell>
          <cell r="H166">
            <v>140</v>
          </cell>
          <cell r="I166">
            <v>0</v>
          </cell>
          <cell r="J166"/>
          <cell r="K166" t="str">
            <v>MPS</v>
          </cell>
          <cell r="L166" t="str">
            <v>SPLITTING</v>
          </cell>
          <cell r="M166">
            <v>2</v>
          </cell>
        </row>
        <row r="167">
          <cell r="A167" t="str">
            <v>F-2025-10-128</v>
          </cell>
          <cell r="B167" t="str">
            <v>RPRO-251013-0457</v>
          </cell>
          <cell r="C167" t="str">
            <v>BDB-000194</v>
          </cell>
          <cell r="D167" t="str">
            <v>PVN-003967</v>
          </cell>
          <cell r="E167" t="str">
            <v>OrthoLite Ultra-Hybrid SEEDPEARL/12-0703TPX Hybrid Flat Sheet 0.085D 15+/-4 Asker C 1.1M 2M 3mm</v>
          </cell>
          <cell r="F167">
            <v>46</v>
          </cell>
          <cell r="G167">
            <v>46</v>
          </cell>
          <cell r="H167">
            <v>46</v>
          </cell>
          <cell r="I167">
            <v>0</v>
          </cell>
          <cell r="J167"/>
          <cell r="K167" t="str">
            <v>MPS</v>
          </cell>
          <cell r="L167" t="str">
            <v>SPLITTING</v>
          </cell>
          <cell r="M167">
            <v>2</v>
          </cell>
        </row>
        <row r="168">
          <cell r="A168" t="str">
            <v>F-2025-10-129</v>
          </cell>
          <cell r="B168" t="str">
            <v>RPRO-251013-0458</v>
          </cell>
          <cell r="C168" t="str">
            <v>BDB-000010</v>
          </cell>
          <cell r="D168" t="str">
            <v>PVN-003437</v>
          </cell>
          <cell r="E168" t="str">
            <v>OrthoLite Regular AIR BLUE/16-4134TPX Flat Sheet 0.11D 25+/-4 Asker C 1.1M 2M 10.5mm</v>
          </cell>
          <cell r="F168">
            <v>24</v>
          </cell>
          <cell r="G168">
            <v>24</v>
          </cell>
          <cell r="H168">
            <v>24</v>
          </cell>
          <cell r="I168">
            <v>0</v>
          </cell>
          <cell r="J168" t="str">
            <v>TRAVIS MATHEW</v>
          </cell>
          <cell r="K168" t="str">
            <v>Pr.Sch.R</v>
          </cell>
          <cell r="L168" t="str">
            <v>MOLDED</v>
          </cell>
          <cell r="M168">
            <v>1</v>
          </cell>
        </row>
        <row r="169">
          <cell r="A169" t="str">
            <v>F-2025-10-130</v>
          </cell>
          <cell r="B169" t="str">
            <v>RPRO-251013-0459</v>
          </cell>
          <cell r="C169" t="str">
            <v>BDB-000242</v>
          </cell>
          <cell r="D169" t="str">
            <v>PVN-003614</v>
          </cell>
          <cell r="E169" t="str">
            <v>OrthoLite Regular GREY/17-1501TPX Flat Sheet 0.11D 5-10 Asker C 1.1M 2M 3.5mm</v>
          </cell>
          <cell r="F169">
            <v>40</v>
          </cell>
          <cell r="G169">
            <v>40</v>
          </cell>
          <cell r="H169">
            <v>40</v>
          </cell>
          <cell r="I169">
            <v>0</v>
          </cell>
          <cell r="J169" t="str">
            <v>TRAVIS MATHEW</v>
          </cell>
          <cell r="K169" t="str">
            <v>Pr.Sch.R</v>
          </cell>
          <cell r="L169" t="str">
            <v>MOLDED</v>
          </cell>
          <cell r="M169">
            <v>1</v>
          </cell>
        </row>
        <row r="170">
          <cell r="A170" t="str">
            <v>F-2025-10-132</v>
          </cell>
          <cell r="B170" t="str">
            <v>RPRO-251013-0461</v>
          </cell>
          <cell r="C170" t="str">
            <v>BDB-000209</v>
          </cell>
          <cell r="D170" t="str">
            <v>PVN-003462</v>
          </cell>
          <cell r="E170" t="str">
            <v>OrthoLite HybridPlus-Recycled MINT GREEN/11-4805TPX Hybrid Flat Sheet 0.12D 25+/-4 Asker C 1.1M 2M 12mm</v>
          </cell>
          <cell r="F170">
            <v>528</v>
          </cell>
          <cell r="G170">
            <v>528</v>
          </cell>
          <cell r="H170">
            <v>528</v>
          </cell>
          <cell r="I170">
            <v>0</v>
          </cell>
          <cell r="J170" t="str">
            <v>BROOKS</v>
          </cell>
          <cell r="K170" t="str">
            <v>Pr.Sch.R</v>
          </cell>
          <cell r="L170" t="str">
            <v>MOLDED</v>
          </cell>
          <cell r="M170">
            <v>1</v>
          </cell>
        </row>
        <row r="171">
          <cell r="A171" t="str">
            <v>F-2025-10-133</v>
          </cell>
          <cell r="B171" t="str">
            <v>RPRO-251013-0462</v>
          </cell>
          <cell r="C171" t="str">
            <v>BDB-000157</v>
          </cell>
          <cell r="D171" t="str">
            <v>PVN-003642</v>
          </cell>
          <cell r="E171" t="str">
            <v>OrthoLite X-35-Hybrid-Nike SEEDPEARL/12-0703TPX Hybrid Flat Sheet 0.145D 25+/-4 Asker C 1.1M 2M 6.2mm</v>
          </cell>
          <cell r="F171">
            <v>44</v>
          </cell>
          <cell r="G171">
            <v>44</v>
          </cell>
          <cell r="H171">
            <v>44</v>
          </cell>
          <cell r="I171">
            <v>0</v>
          </cell>
          <cell r="J171" t="str">
            <v>NIKE</v>
          </cell>
          <cell r="K171" t="str">
            <v>Pr.Sch.R</v>
          </cell>
          <cell r="L171" t="str">
            <v>MOLDED</v>
          </cell>
          <cell r="M171">
            <v>1</v>
          </cell>
        </row>
        <row r="172">
          <cell r="A172" t="str">
            <v>F-2025-10-135</v>
          </cell>
          <cell r="B172" t="str">
            <v>RPRO-251013-0464</v>
          </cell>
          <cell r="C172" t="str">
            <v>BDB-000314</v>
          </cell>
          <cell r="D172" t="str">
            <v>PVN-004066</v>
          </cell>
          <cell r="E172" t="str">
            <v>OrthoLite Regular NEUTRAL GRAY/17-4402TPX Flat Sheet 0.16D 51+/-4 Asker C 1.1M 1.7M 9.5mm</v>
          </cell>
          <cell r="F172">
            <v>42</v>
          </cell>
          <cell r="G172">
            <v>42</v>
          </cell>
          <cell r="H172">
            <v>42</v>
          </cell>
          <cell r="I172">
            <v>0</v>
          </cell>
          <cell r="J172" t="str">
            <v>FOOTJOY</v>
          </cell>
          <cell r="K172" t="str">
            <v>Pr.Sch.R</v>
          </cell>
          <cell r="L172" t="str">
            <v>MOLDED</v>
          </cell>
          <cell r="M172">
            <v>1</v>
          </cell>
        </row>
        <row r="173">
          <cell r="A173" t="str">
            <v>F-2025-10-137</v>
          </cell>
          <cell r="B173" t="str">
            <v>RPRO-251013-0466</v>
          </cell>
          <cell r="C173" t="str">
            <v>BDB-000234</v>
          </cell>
          <cell r="D173" t="str">
            <v>PVN-003581</v>
          </cell>
          <cell r="E173" t="str">
            <v>OrthoLite X-30-Hybrid BROWN SUGAR/17-1134TPX Hybrid Flat Sheet 0.13D 25+/-4 Asker C 1.1M 2M 12mm</v>
          </cell>
          <cell r="F173">
            <v>11</v>
          </cell>
          <cell r="G173">
            <v>11</v>
          </cell>
          <cell r="H173">
            <v>11</v>
          </cell>
          <cell r="I173">
            <v>0</v>
          </cell>
          <cell r="J173" t="str">
            <v>ASICS</v>
          </cell>
          <cell r="K173" t="str">
            <v>Pr.Sch.R</v>
          </cell>
          <cell r="L173" t="str">
            <v>MOLDED</v>
          </cell>
          <cell r="M173" t="str">
            <v>1-RM-WIP</v>
          </cell>
        </row>
        <row r="174">
          <cell r="A174" t="str">
            <v>F-2025-10-143</v>
          </cell>
          <cell r="B174" t="str">
            <v>RPRO-251014-0268</v>
          </cell>
          <cell r="C174" t="str">
            <v>BDB-000123</v>
          </cell>
          <cell r="D174" t="str">
            <v>PVN-003300</v>
          </cell>
          <cell r="E174" t="str">
            <v>OrthoLite Ultra-Hybrid SEEDPEARL/12-0703TPX Hybrid Flat Sheet 0.085D 25+/-4 Asker C 1.1M 2M 2mm</v>
          </cell>
          <cell r="F174">
            <v>350</v>
          </cell>
          <cell r="G174">
            <v>350</v>
          </cell>
          <cell r="H174">
            <v>350</v>
          </cell>
          <cell r="I174">
            <v>0</v>
          </cell>
          <cell r="J174"/>
          <cell r="K174" t="str">
            <v>MPS</v>
          </cell>
          <cell r="L174" t="str">
            <v>SPLITTING</v>
          </cell>
          <cell r="M174">
            <v>2</v>
          </cell>
        </row>
        <row r="175">
          <cell r="A175" t="str">
            <v>F-2025-10-144</v>
          </cell>
          <cell r="B175" t="str">
            <v>RPRO-251014-0269</v>
          </cell>
          <cell r="C175" t="str">
            <v>BDB-000076</v>
          </cell>
          <cell r="D175" t="str">
            <v>PVN-003448</v>
          </cell>
          <cell r="E175" t="str">
            <v>OrthoLite X-25 BILLIARD/16-5427TPX Flat Sheet 0.12D 20+/-4 Asker C 1.1M 2M 6.2mm</v>
          </cell>
          <cell r="F175">
            <v>22</v>
          </cell>
          <cell r="G175">
            <v>22</v>
          </cell>
          <cell r="H175">
            <v>22</v>
          </cell>
          <cell r="I175">
            <v>0</v>
          </cell>
          <cell r="J175" t="str">
            <v>ADIDAS</v>
          </cell>
          <cell r="K175" t="str">
            <v>Pr.Sch.R</v>
          </cell>
          <cell r="L175" t="str">
            <v>MOLDED</v>
          </cell>
          <cell r="M175">
            <v>1</v>
          </cell>
        </row>
        <row r="176">
          <cell r="A176" t="str">
            <v>F-2025-10-147</v>
          </cell>
          <cell r="B176" t="str">
            <v>RPRO-251014-0272</v>
          </cell>
          <cell r="C176" t="str">
            <v>BDB-000197</v>
          </cell>
          <cell r="D176" t="str">
            <v>PVN-003406</v>
          </cell>
          <cell r="E176" t="str">
            <v>OrthoLite Ultra-Hybrid SEEDPEARL/12-0703TPX Hybrid Flat Sheet 0.085D 5-10 Asker C 1.1M 2M 2mm</v>
          </cell>
          <cell r="F176">
            <v>140</v>
          </cell>
          <cell r="G176">
            <v>140</v>
          </cell>
          <cell r="H176">
            <v>140</v>
          </cell>
          <cell r="I176">
            <v>0</v>
          </cell>
          <cell r="J176" t="str">
            <v>ADIDAS</v>
          </cell>
          <cell r="K176" t="str">
            <v>Pr.Sch.R</v>
          </cell>
          <cell r="L176" t="str">
            <v>DIE CUT</v>
          </cell>
          <cell r="M176">
            <v>1</v>
          </cell>
        </row>
        <row r="177">
          <cell r="A177" t="str">
            <v>F-2025-10-148</v>
          </cell>
          <cell r="B177" t="str">
            <v>RPRO-251014-0273</v>
          </cell>
          <cell r="C177" t="str">
            <v>BDB-000234</v>
          </cell>
          <cell r="D177" t="str">
            <v>PVN-003581</v>
          </cell>
          <cell r="E177" t="str">
            <v>OrthoLite X-30-Hybrid BROWN SUGAR/17-1134TPX Hybrid Flat Sheet 0.13D 25+/-4 Asker C 1.1M 2M 12mm</v>
          </cell>
          <cell r="F177">
            <v>11</v>
          </cell>
          <cell r="G177">
            <v>11</v>
          </cell>
          <cell r="H177">
            <v>11</v>
          </cell>
          <cell r="I177">
            <v>0</v>
          </cell>
          <cell r="J177" t="str">
            <v>ASICS</v>
          </cell>
          <cell r="K177" t="str">
            <v>Pr.Sch.R</v>
          </cell>
          <cell r="L177" t="str">
            <v>MOLDED</v>
          </cell>
          <cell r="M177" t="str">
            <v>1-RM-WIP</v>
          </cell>
        </row>
        <row r="178">
          <cell r="A178" t="str">
            <v>F-2025-10-149</v>
          </cell>
          <cell r="B178" t="str">
            <v>RPRO-251014-0274</v>
          </cell>
          <cell r="C178" t="str">
            <v>BDB-000040</v>
          </cell>
          <cell r="D178" t="str">
            <v>PVN-000761</v>
          </cell>
          <cell r="E178" t="str">
            <v>OrthoLite Regular AIR BLUE/16-4134TPX Flat Sheet 0.13D 35+/-4 Asker C 1.1M 1.7M 2mm</v>
          </cell>
          <cell r="F178">
            <v>140</v>
          </cell>
          <cell r="G178">
            <v>140</v>
          </cell>
          <cell r="H178">
            <v>140</v>
          </cell>
          <cell r="I178">
            <v>0</v>
          </cell>
          <cell r="J178" t="str">
            <v>ADIDAS</v>
          </cell>
          <cell r="K178" t="str">
            <v>Pr.Sch.R</v>
          </cell>
          <cell r="L178" t="str">
            <v>LAMINATING</v>
          </cell>
          <cell r="M178">
            <v>1</v>
          </cell>
        </row>
        <row r="179">
          <cell r="A179" t="str">
            <v>F-2025-10-150</v>
          </cell>
          <cell r="B179" t="str">
            <v>RPRO-251014-0275</v>
          </cell>
          <cell r="C179" t="str">
            <v>BDB-000011</v>
          </cell>
          <cell r="D179" t="str">
            <v>PVN-000184</v>
          </cell>
          <cell r="E179" t="str">
            <v>OrthoLite Regular AIR BLUE/16-4134TPX Flat Sheet 0.13D 35+/-4 Asker C 1.1M 2M 14mm</v>
          </cell>
          <cell r="F179">
            <v>18</v>
          </cell>
          <cell r="G179">
            <v>18</v>
          </cell>
          <cell r="H179">
            <v>18</v>
          </cell>
          <cell r="I179">
            <v>0</v>
          </cell>
          <cell r="J179" t="str">
            <v>ADIDAS</v>
          </cell>
          <cell r="K179" t="str">
            <v>Pr.Sch.R</v>
          </cell>
          <cell r="L179" t="str">
            <v>MOLDED</v>
          </cell>
          <cell r="M179">
            <v>1</v>
          </cell>
        </row>
        <row r="180">
          <cell r="A180" t="str">
            <v>F-2025-10-151</v>
          </cell>
          <cell r="B180" t="str">
            <v>RPRO-251014-0276</v>
          </cell>
          <cell r="C180" t="str">
            <v>BDB-000336</v>
          </cell>
          <cell r="D180" t="str">
            <v>PVN-004168</v>
          </cell>
          <cell r="E180" t="str">
            <v>OrthoLite X-40-Nike SEEDPEARL/12-0703TPX Flat Sheet 0.16D 35+/-4 Asker C 1.1M 2M 4.5mm</v>
          </cell>
          <cell r="F180">
            <v>465</v>
          </cell>
          <cell r="G180">
            <v>465</v>
          </cell>
          <cell r="H180">
            <v>0</v>
          </cell>
          <cell r="I180">
            <v>465</v>
          </cell>
          <cell r="J180" t="str">
            <v>NIKE</v>
          </cell>
          <cell r="K180" t="str">
            <v>Pr.Sch.R</v>
          </cell>
          <cell r="L180" t="str">
            <v>MOLDED</v>
          </cell>
          <cell r="M180">
            <v>1</v>
          </cell>
        </row>
        <row r="181">
          <cell r="A181" t="str">
            <v>F-2025-10-153</v>
          </cell>
          <cell r="B181" t="str">
            <v>FPRO-251014-0006</v>
          </cell>
          <cell r="C181" t="str">
            <v>BDB-000325</v>
          </cell>
          <cell r="D181" t="str">
            <v>PVN-004115</v>
          </cell>
          <cell r="E181" t="str">
            <v>OrthoLite X-40 TRUE BLUE/19-4057TPX Flat Sheet 0.16D 35+/-4 Asker C 1.1M 2M 4mm</v>
          </cell>
          <cell r="F181">
            <v>374</v>
          </cell>
          <cell r="G181">
            <v>374</v>
          </cell>
          <cell r="H181">
            <v>374</v>
          </cell>
          <cell r="I181">
            <v>0</v>
          </cell>
          <cell r="J181" t="str">
            <v>ASICS</v>
          </cell>
          <cell r="K181" t="str">
            <v>Forecast</v>
          </cell>
          <cell r="L181" t="str">
            <v>MOLDED</v>
          </cell>
          <cell r="M181" t="str">
            <v>1-SLT</v>
          </cell>
        </row>
        <row r="182">
          <cell r="A182" t="str">
            <v>F-2025-10-154</v>
          </cell>
          <cell r="B182" t="str">
            <v>FPRO-251014-0007</v>
          </cell>
          <cell r="C182" t="str">
            <v>BDB-000317</v>
          </cell>
          <cell r="D182" t="str">
            <v>PVN-004076</v>
          </cell>
          <cell r="E182" t="str">
            <v>OrthoLite Regular NEUTRAL GRAY/17-4402TPX Flat Sheet 0.13D 15+/-4 Asker C 1.1M 2M 24mm</v>
          </cell>
          <cell r="F182">
            <v>187</v>
          </cell>
          <cell r="G182">
            <v>187</v>
          </cell>
          <cell r="H182">
            <v>187</v>
          </cell>
          <cell r="I182">
            <v>0</v>
          </cell>
          <cell r="J182" t="str">
            <v>ASICS</v>
          </cell>
          <cell r="K182" t="str">
            <v>Forecast</v>
          </cell>
          <cell r="L182" t="str">
            <v>MOLDED</v>
          </cell>
          <cell r="M182" t="str">
            <v>1-SLT</v>
          </cell>
        </row>
        <row r="183">
          <cell r="A183" t="str">
            <v>F-2025-10-155-1</v>
          </cell>
          <cell r="B183" t="str">
            <v>FPRO-251014-0008</v>
          </cell>
          <cell r="C183" t="str">
            <v>BDB-000123</v>
          </cell>
          <cell r="D183" t="str">
            <v>PVN-002973</v>
          </cell>
          <cell r="E183" t="str">
            <v>OrthoLite Ultra-Hybrid SEEDPEARL/12-0703TPX Hybrid 0.085D 25+/-4 Asker C 1.1M 2M 4.5mm</v>
          </cell>
          <cell r="F183">
            <v>1100</v>
          </cell>
          <cell r="G183">
            <v>600</v>
          </cell>
          <cell r="H183">
            <v>600</v>
          </cell>
          <cell r="I183">
            <v>0</v>
          </cell>
          <cell r="J183" t="str">
            <v>SALOMON</v>
          </cell>
          <cell r="K183" t="str">
            <v>Forecast</v>
          </cell>
          <cell r="L183" t="str">
            <v>MOLDED</v>
          </cell>
          <cell r="M183">
            <v>1</v>
          </cell>
        </row>
        <row r="184">
          <cell r="A184" t="str">
            <v>F-2025-10-155-2</v>
          </cell>
          <cell r="B184" t="str">
            <v>FPRO-251030-0001</v>
          </cell>
          <cell r="C184" t="str">
            <v>BDB-000123</v>
          </cell>
          <cell r="D184" t="str">
            <v>PVN-002973</v>
          </cell>
          <cell r="E184" t="str">
            <v>OrthoLite Ultra-Hybrid SEEDPEARL/12-0703TPX Hybrid 0.085D 25+/-4 Asker C 1.1M 2M 4.5mm</v>
          </cell>
          <cell r="F184">
            <v>1100</v>
          </cell>
          <cell r="G184">
            <v>500</v>
          </cell>
          <cell r="H184">
            <v>500</v>
          </cell>
          <cell r="I184">
            <v>0</v>
          </cell>
          <cell r="J184" t="str">
            <v>SALOMON</v>
          </cell>
          <cell r="K184" t="str">
            <v>Forecast</v>
          </cell>
          <cell r="L184" t="str">
            <v>MOLDED</v>
          </cell>
          <cell r="M184">
            <v>1</v>
          </cell>
        </row>
        <row r="185">
          <cell r="A185" t="str">
            <v>F-2025-10-156</v>
          </cell>
          <cell r="B185" t="str">
            <v>FPRO-251014-0009</v>
          </cell>
          <cell r="C185" t="str">
            <v>BDB-000123</v>
          </cell>
          <cell r="D185" t="str">
            <v>PVN-002973</v>
          </cell>
          <cell r="E185" t="str">
            <v>OrthoLite Ultra-Hybrid SEEDPEARL/12-0703TPX Hybrid 0.085D 25+/-4 Asker C 1.1M 2M 4.5mm</v>
          </cell>
          <cell r="F185">
            <v>1000</v>
          </cell>
          <cell r="G185">
            <v>1000</v>
          </cell>
          <cell r="H185">
            <v>1000</v>
          </cell>
          <cell r="I185">
            <v>0</v>
          </cell>
          <cell r="J185" t="str">
            <v>SALOMON</v>
          </cell>
          <cell r="K185" t="str">
            <v>Forecast</v>
          </cell>
          <cell r="L185" t="str">
            <v>MOLDED</v>
          </cell>
          <cell r="M185">
            <v>1</v>
          </cell>
        </row>
        <row r="186">
          <cell r="A186" t="str">
            <v>F-2025-10-157</v>
          </cell>
          <cell r="B186" t="str">
            <v>RPRO-251015-0339</v>
          </cell>
          <cell r="C186" t="str">
            <v>BDB-000113</v>
          </cell>
          <cell r="D186" t="str">
            <v>PVN-002501</v>
          </cell>
          <cell r="E186" t="str">
            <v>OrthoLite Regular-Hybrid SEEDPEARL/12-0703TPX Hybrid Flat Sheet 0.11D 25+/-4 Asker C 1.1M 2M 2mm</v>
          </cell>
          <cell r="F186">
            <v>70</v>
          </cell>
          <cell r="G186">
            <v>70</v>
          </cell>
          <cell r="H186">
            <v>70</v>
          </cell>
          <cell r="I186">
            <v>0</v>
          </cell>
          <cell r="J186"/>
          <cell r="K186" t="str">
            <v>MPS</v>
          </cell>
          <cell r="L186" t="str">
            <v>SPLITTING</v>
          </cell>
          <cell r="M186">
            <v>2</v>
          </cell>
        </row>
        <row r="187">
          <cell r="A187" t="str">
            <v>F-2025-10-158</v>
          </cell>
          <cell r="B187" t="str">
            <v>RPRO-251015-0340</v>
          </cell>
          <cell r="C187" t="str">
            <v>BDB-000209</v>
          </cell>
          <cell r="D187" t="str">
            <v>PVN-003462</v>
          </cell>
          <cell r="E187" t="str">
            <v>OrthoLite HybridPlus-Recycled MINT GREEN/11-4805TPX Hybrid Flat Sheet 0.12D 25+/-4 Asker C 1.1M 2M 12mm</v>
          </cell>
          <cell r="F187">
            <v>44</v>
          </cell>
          <cell r="G187">
            <v>44</v>
          </cell>
          <cell r="H187">
            <v>44</v>
          </cell>
          <cell r="I187">
            <v>0</v>
          </cell>
          <cell r="J187" t="str">
            <v>BROOKS</v>
          </cell>
          <cell r="K187" t="str">
            <v>Pr.Sch.R</v>
          </cell>
          <cell r="L187" t="str">
            <v>MOLDED</v>
          </cell>
          <cell r="M187">
            <v>1</v>
          </cell>
        </row>
        <row r="188">
          <cell r="A188" t="str">
            <v>F-2025-10-159</v>
          </cell>
          <cell r="B188" t="str">
            <v>RPRO-251015-0341</v>
          </cell>
          <cell r="C188" t="str">
            <v>BDB-000314</v>
          </cell>
          <cell r="D188" t="str">
            <v>PVN-004066</v>
          </cell>
          <cell r="E188" t="str">
            <v>OrthoLite Regular NEUTRAL GRAY/17-4402TPX Flat Sheet 0.16D 51+/-4 Asker C 1.1M 1.7M 9.5mm</v>
          </cell>
          <cell r="F188">
            <v>56</v>
          </cell>
          <cell r="G188">
            <v>56</v>
          </cell>
          <cell r="H188">
            <v>56</v>
          </cell>
          <cell r="I188">
            <v>0</v>
          </cell>
          <cell r="J188" t="str">
            <v>FOOTJOY</v>
          </cell>
          <cell r="K188" t="str">
            <v>Pr.Sch.R</v>
          </cell>
          <cell r="L188" t="str">
            <v>MOLDED</v>
          </cell>
          <cell r="M188">
            <v>1</v>
          </cell>
        </row>
        <row r="189">
          <cell r="A189" t="str">
            <v>F-2025-10-160</v>
          </cell>
          <cell r="B189" t="str">
            <v>RPRO-251015-0342</v>
          </cell>
          <cell r="C189" t="str">
            <v>BDB-000217</v>
          </cell>
          <cell r="D189" t="str">
            <v>PVN-003539</v>
          </cell>
          <cell r="E189" t="str">
            <v>OrthoLite X-40-Hybrid SEEDPEARL/12-0703TPX Hybrid Flat Sheet 0.16D 35+/-4 Asker C 1.1M 1.7M 6.2mm</v>
          </cell>
          <cell r="F189">
            <v>22</v>
          </cell>
          <cell r="G189">
            <v>22</v>
          </cell>
          <cell r="H189">
            <v>22</v>
          </cell>
          <cell r="I189">
            <v>0</v>
          </cell>
          <cell r="J189" t="str">
            <v>BROOKS</v>
          </cell>
          <cell r="K189" t="str">
            <v>Pr.Sch.R</v>
          </cell>
          <cell r="L189" t="str">
            <v>MOLDED</v>
          </cell>
          <cell r="M189">
            <v>1</v>
          </cell>
        </row>
        <row r="190">
          <cell r="A190" t="str">
            <v>F-2025-10-162</v>
          </cell>
          <cell r="B190" t="str">
            <v>RPRO-251015-0344</v>
          </cell>
          <cell r="C190" t="str">
            <v>BDB-000217</v>
          </cell>
          <cell r="D190" t="str">
            <v>PVN-003483</v>
          </cell>
          <cell r="E190" t="str">
            <v>OrthoLite X-40-Hybrid SEEDPEARL/12-0703TPX Hybrid Flat Sheet 0.16D 35+/-4 Asker C 1.1M 1.7M 12mm</v>
          </cell>
          <cell r="F190">
            <v>297</v>
          </cell>
          <cell r="G190">
            <v>297</v>
          </cell>
          <cell r="H190">
            <v>297</v>
          </cell>
          <cell r="I190">
            <v>0</v>
          </cell>
          <cell r="J190" t="str">
            <v>BROOKS</v>
          </cell>
          <cell r="K190" t="str">
            <v>Pr.Sch.R</v>
          </cell>
          <cell r="L190" t="str">
            <v>MOLDED</v>
          </cell>
          <cell r="M190">
            <v>1</v>
          </cell>
        </row>
        <row r="191">
          <cell r="A191" t="str">
            <v>F-2025-10-165</v>
          </cell>
          <cell r="B191" t="str">
            <v>RPRO-251015-0347</v>
          </cell>
          <cell r="C191" t="str">
            <v>BDB-000149</v>
          </cell>
          <cell r="D191" t="str">
            <v>PVN-002773</v>
          </cell>
          <cell r="E191" t="str">
            <v>OrthoLite Regular-Hybrid-Nike SEEDPEARL/12-0703TPX Hybrid Flat Sheet 0.11D 25+/-4 Asker C 1.1M 2M 4mm</v>
          </cell>
          <cell r="F191">
            <v>140</v>
          </cell>
          <cell r="G191">
            <v>140</v>
          </cell>
          <cell r="H191">
            <v>140</v>
          </cell>
          <cell r="I191">
            <v>0</v>
          </cell>
          <cell r="J191" t="str">
            <v>NIKE</v>
          </cell>
          <cell r="K191" t="str">
            <v>Pr.Sch.R</v>
          </cell>
          <cell r="L191" t="str">
            <v>DIE CUT</v>
          </cell>
          <cell r="M191">
            <v>1</v>
          </cell>
        </row>
        <row r="192">
          <cell r="A192" t="str">
            <v>F-2025-10-168</v>
          </cell>
          <cell r="B192" t="str">
            <v>RPRO-251015-0350</v>
          </cell>
          <cell r="C192" t="str">
            <v>BDB-000123</v>
          </cell>
          <cell r="D192" t="str">
            <v>PVN-003815</v>
          </cell>
          <cell r="E192" t="str">
            <v>OrthoLite Ultra-Hybrid SEEDPEARL/12-0703TPX Hybrid Flat Sheet 0.085D 25+/-4 Asker C 1.1M 2M 6mm</v>
          </cell>
          <cell r="F192">
            <v>23</v>
          </cell>
          <cell r="G192">
            <v>23</v>
          </cell>
          <cell r="H192">
            <v>23</v>
          </cell>
          <cell r="I192">
            <v>0</v>
          </cell>
          <cell r="J192" t="str">
            <v>FOOTJOY</v>
          </cell>
          <cell r="K192" t="str">
            <v>Pr.Sch.R</v>
          </cell>
          <cell r="L192" t="str">
            <v>MOLDED</v>
          </cell>
          <cell r="M192">
            <v>1</v>
          </cell>
        </row>
        <row r="193">
          <cell r="A193" t="str">
            <v>F-2025-10-170</v>
          </cell>
          <cell r="B193" t="str">
            <v>RPRO-251016-0152</v>
          </cell>
          <cell r="C193" t="str">
            <v>BDB-000314</v>
          </cell>
          <cell r="D193" t="str">
            <v>PVN-004066</v>
          </cell>
          <cell r="E193" t="str">
            <v>OrthoLite Regular NEUTRAL GRAY/17-4402TPX Flat Sheet 0.16D 51+/-4 Asker C 1.1M 1.7M 9.5mm</v>
          </cell>
          <cell r="F193">
            <v>14</v>
          </cell>
          <cell r="G193">
            <v>14</v>
          </cell>
          <cell r="H193">
            <v>14</v>
          </cell>
          <cell r="I193">
            <v>0</v>
          </cell>
          <cell r="J193" t="str">
            <v>FOOTJOY</v>
          </cell>
          <cell r="K193" t="str">
            <v>Pr.Sch.R</v>
          </cell>
          <cell r="L193" t="str">
            <v>MOLDED</v>
          </cell>
          <cell r="M193">
            <v>1</v>
          </cell>
        </row>
        <row r="194">
          <cell r="A194" t="str">
            <v>F-2025-10-171</v>
          </cell>
          <cell r="B194" t="str">
            <v>RPRO-251016-0154</v>
          </cell>
          <cell r="C194" t="str">
            <v>BDB-000336</v>
          </cell>
          <cell r="D194" t="str">
            <v>PVN-004168</v>
          </cell>
          <cell r="E194" t="str">
            <v>OrthoLite X-40-Nike SEEDPEARL/12-0703TPX Flat Sheet 0.16D 35+/-4 Asker C 1.1M 2M 4.5mm</v>
          </cell>
          <cell r="F194">
            <v>62</v>
          </cell>
          <cell r="G194">
            <v>62</v>
          </cell>
          <cell r="H194">
            <v>62</v>
          </cell>
          <cell r="I194">
            <v>0</v>
          </cell>
          <cell r="J194" t="str">
            <v>NIKE</v>
          </cell>
          <cell r="K194" t="str">
            <v>Pr.Sch.R</v>
          </cell>
          <cell r="L194" t="str">
            <v>MOLDED</v>
          </cell>
          <cell r="M194">
            <v>1</v>
          </cell>
        </row>
        <row r="195">
          <cell r="A195" t="str">
            <v>OIN-2025.10.15-01</v>
          </cell>
          <cell r="B195" t="str">
            <v>RPRO-251017-0001</v>
          </cell>
          <cell r="C195" t="str">
            <v>BDB-000025</v>
          </cell>
          <cell r="D195" t="str">
            <v>PVN-003785</v>
          </cell>
          <cell r="E195" t="str">
            <v>[116-247] Regular 25+/-4 Asker C 0.11D Green 16-5932 Tpx 1.10M X 2.00M 47mm</v>
          </cell>
          <cell r="F195">
            <v>10</v>
          </cell>
          <cell r="G195">
            <v>10</v>
          </cell>
          <cell r="H195">
            <v>10</v>
          </cell>
          <cell r="I195">
            <v>0</v>
          </cell>
          <cell r="J195" t="str">
            <v>M&amp;H</v>
          </cell>
          <cell r="K195" t="str">
            <v>PO-5981-SO-251017-0001</v>
          </cell>
          <cell r="L195" t="str">
            <v>FLAT SHEET</v>
          </cell>
          <cell r="M195">
            <v>2</v>
          </cell>
        </row>
        <row r="196">
          <cell r="A196" t="str">
            <v>OIN-2025.10.15-02</v>
          </cell>
          <cell r="B196" t="str">
            <v>RPRO-251017-0002</v>
          </cell>
          <cell r="C196" t="str">
            <v>BDB-000057</v>
          </cell>
          <cell r="D196" t="str">
            <v>PVN-004173</v>
          </cell>
          <cell r="E196" t="str">
            <v>[116-11320] Ultra 25+/-4 Asker C 0.085D Yellow 13-0858 Tpx 1.10M X 2.00M 47mm</v>
          </cell>
          <cell r="F196">
            <v>51</v>
          </cell>
          <cell r="G196">
            <v>51</v>
          </cell>
          <cell r="H196">
            <v>51</v>
          </cell>
          <cell r="I196">
            <v>0</v>
          </cell>
          <cell r="J196" t="str">
            <v>All Saints</v>
          </cell>
          <cell r="K196" t="str">
            <v>PO-5981-SO-251017-0002</v>
          </cell>
          <cell r="L196" t="str">
            <v>FLAT SHEET</v>
          </cell>
          <cell r="M196">
            <v>2</v>
          </cell>
        </row>
        <row r="197">
          <cell r="A197" t="str">
            <v>OIN-2025.10.16-01</v>
          </cell>
          <cell r="B197" t="str">
            <v>RPRO-251017-0003</v>
          </cell>
          <cell r="C197" t="str">
            <v>BDB-000025</v>
          </cell>
          <cell r="D197" t="str">
            <v>PVN-003785</v>
          </cell>
          <cell r="E197" t="str">
            <v>[116-247] Regular 25+/-4 Asker C 0.11D Green 16-5932 Tpx 1.10M X 2.00M 47mm</v>
          </cell>
          <cell r="F197">
            <v>10</v>
          </cell>
          <cell r="G197">
            <v>10</v>
          </cell>
          <cell r="H197">
            <v>10</v>
          </cell>
          <cell r="I197">
            <v>0</v>
          </cell>
          <cell r="J197" t="str">
            <v>CLARKS</v>
          </cell>
          <cell r="K197" t="str">
            <v>PO-5990-SO-251017-0003</v>
          </cell>
          <cell r="L197" t="str">
            <v>FLAT SHEET</v>
          </cell>
          <cell r="M197">
            <v>2</v>
          </cell>
        </row>
        <row r="198">
          <cell r="A198" t="str">
            <v>F-2025-10-172</v>
          </cell>
          <cell r="B198" t="str">
            <v>RPRO-251017-0235</v>
          </cell>
          <cell r="C198" t="str">
            <v>BDB-000123</v>
          </cell>
          <cell r="D198" t="str">
            <v>PVN-003315</v>
          </cell>
          <cell r="E198" t="str">
            <v>OrthoLite Ultra-Hybrid SEEDPEARL/12-0703TPX Hybrid 0.085D 25+/-4 Asker C 1.1M 2M 3.5mm</v>
          </cell>
          <cell r="F198">
            <v>120</v>
          </cell>
          <cell r="G198">
            <v>120</v>
          </cell>
          <cell r="H198">
            <v>120</v>
          </cell>
          <cell r="I198">
            <v>0</v>
          </cell>
          <cell r="J198"/>
          <cell r="K198" t="str">
            <v>MPS</v>
          </cell>
          <cell r="L198" t="str">
            <v>SPLITTING</v>
          </cell>
          <cell r="M198">
            <v>2</v>
          </cell>
        </row>
        <row r="199">
          <cell r="A199" t="str">
            <v>F-2025-10-173</v>
          </cell>
          <cell r="B199" t="str">
            <v>RPRO-251017-0236</v>
          </cell>
          <cell r="C199" t="str">
            <v>BDB-000066</v>
          </cell>
          <cell r="D199" t="str">
            <v>PVN-004010</v>
          </cell>
          <cell r="E199" t="str">
            <v>OrthoLite Ultra GREY/17-1501TPX Flat Sheet 0.085D 25+/-4 Asker C 1.1M 2M 2mm</v>
          </cell>
          <cell r="F199">
            <v>70</v>
          </cell>
          <cell r="G199">
            <v>70</v>
          </cell>
          <cell r="H199">
            <v>70</v>
          </cell>
          <cell r="I199">
            <v>0</v>
          </cell>
          <cell r="J199"/>
          <cell r="K199" t="str">
            <v>MPS</v>
          </cell>
          <cell r="L199" t="str">
            <v>SPLITTING</v>
          </cell>
          <cell r="M199">
            <v>2</v>
          </cell>
        </row>
        <row r="200">
          <cell r="A200" t="str">
            <v>F-2025-10-174</v>
          </cell>
          <cell r="B200" t="str">
            <v>RPRO-251017-0237</v>
          </cell>
          <cell r="C200" t="str">
            <v>BDB-000129</v>
          </cell>
          <cell r="D200" t="str">
            <v>PVN-001550</v>
          </cell>
          <cell r="E200" t="str">
            <v>OrthoLite Regular-Nike AIR BLUE/16-4134TPX Flat Sheet 0.11D 25+/-4 Asker C 1.1M 1.7M 2mm</v>
          </cell>
          <cell r="F200">
            <v>140</v>
          </cell>
          <cell r="G200">
            <v>140</v>
          </cell>
          <cell r="H200">
            <v>140</v>
          </cell>
          <cell r="I200">
            <v>0</v>
          </cell>
          <cell r="J200" t="str">
            <v>NIKE</v>
          </cell>
          <cell r="K200" t="str">
            <v>Pr.Sch.R</v>
          </cell>
          <cell r="L200" t="str">
            <v>LAMINATING</v>
          </cell>
          <cell r="M200">
            <v>1</v>
          </cell>
        </row>
        <row r="201">
          <cell r="A201" t="str">
            <v>F-2025-10-175</v>
          </cell>
          <cell r="B201" t="str">
            <v>RPRO-251017-0238</v>
          </cell>
          <cell r="C201" t="str">
            <v>BDB-000235</v>
          </cell>
          <cell r="D201" t="str">
            <v>PVN-003576</v>
          </cell>
          <cell r="E201" t="str">
            <v>OrthoLite X-55-Hybrid FOSSIL/17-0909TPX Hybrid Flat Sheet 0.16D 25+/-4 Asker C 1.1M 1.7M 12mm</v>
          </cell>
          <cell r="F201">
            <v>660</v>
          </cell>
          <cell r="G201">
            <v>660</v>
          </cell>
          <cell r="H201">
            <v>660</v>
          </cell>
          <cell r="I201">
            <v>0</v>
          </cell>
          <cell r="J201" t="str">
            <v>ASICS</v>
          </cell>
          <cell r="K201" t="str">
            <v>Pr.Sch.R</v>
          </cell>
          <cell r="L201" t="str">
            <v>MOLDED</v>
          </cell>
          <cell r="M201" t="str">
            <v>1-RM-WIP</v>
          </cell>
        </row>
        <row r="202">
          <cell r="A202" t="str">
            <v>F-2025-10-176</v>
          </cell>
          <cell r="B202" t="str">
            <v>RPRO-251017-0239</v>
          </cell>
          <cell r="C202" t="str">
            <v>BDB-000149</v>
          </cell>
          <cell r="D202" t="str">
            <v>PVN-002827</v>
          </cell>
          <cell r="E202" t="str">
            <v>OrthoLite Regular-Hybrid-Nike SEEDPEARL/12-0703TPX Hybrid Flat Sheet 0.11D 25+/-4 Asker C 1.1M 2M 5mm</v>
          </cell>
          <cell r="F202">
            <v>28</v>
          </cell>
          <cell r="G202">
            <v>28</v>
          </cell>
          <cell r="H202">
            <v>28</v>
          </cell>
          <cell r="I202">
            <v>0</v>
          </cell>
          <cell r="J202" t="str">
            <v>NIKE</v>
          </cell>
          <cell r="K202" t="str">
            <v>Pr.Sch.R</v>
          </cell>
          <cell r="L202" t="str">
            <v>MOLDED</v>
          </cell>
          <cell r="M202">
            <v>1</v>
          </cell>
        </row>
        <row r="203">
          <cell r="A203" t="str">
            <v>F-2025-10-177</v>
          </cell>
          <cell r="B203" t="str">
            <v>RPRO-251017-0240</v>
          </cell>
          <cell r="C203" t="str">
            <v>BDB-000209</v>
          </cell>
          <cell r="D203" t="str">
            <v>PVN-003462</v>
          </cell>
          <cell r="E203" t="str">
            <v>OrthoLite HybridPlus-Recycled MINT GREEN/11-4805TPX Hybrid Flat Sheet 0.12D 25+/-4 Asker C 1.1M 2M 12mm</v>
          </cell>
          <cell r="F203">
            <v>55</v>
          </cell>
          <cell r="G203">
            <v>55</v>
          </cell>
          <cell r="H203">
            <v>55</v>
          </cell>
          <cell r="I203">
            <v>0</v>
          </cell>
          <cell r="J203" t="str">
            <v>BROOKS</v>
          </cell>
          <cell r="K203" t="str">
            <v>Pr.Sch.R</v>
          </cell>
          <cell r="L203" t="str">
            <v>MOLDED</v>
          </cell>
          <cell r="M203">
            <v>1</v>
          </cell>
        </row>
        <row r="204">
          <cell r="A204" t="str">
            <v>F-2025-10-178</v>
          </cell>
          <cell r="B204" t="str">
            <v>RPRO-251017-0241</v>
          </cell>
          <cell r="C204" t="str">
            <v>BDB-000157</v>
          </cell>
          <cell r="D204" t="str">
            <v>PVN-003642</v>
          </cell>
          <cell r="E204" t="str">
            <v>OrthoLite X-35-Hybrid-Nike SEEDPEARL/12-0703TPX Hybrid Flat Sheet 0.145D 25+/-4 Asker C 1.1M 2M 6.2mm</v>
          </cell>
          <cell r="F204">
            <v>22</v>
          </cell>
          <cell r="G204">
            <v>22</v>
          </cell>
          <cell r="H204">
            <v>22</v>
          </cell>
          <cell r="I204">
            <v>0</v>
          </cell>
          <cell r="J204" t="str">
            <v>NIKE</v>
          </cell>
          <cell r="K204" t="str">
            <v>Pr.Sch.R</v>
          </cell>
          <cell r="L204" t="str">
            <v>MOLDED</v>
          </cell>
          <cell r="M204">
            <v>1</v>
          </cell>
        </row>
        <row r="205">
          <cell r="A205" t="str">
            <v>F-2025-10-179</v>
          </cell>
          <cell r="B205" t="str">
            <v>RPRO-251017-0242</v>
          </cell>
          <cell r="C205" t="str">
            <v>BDB-000209</v>
          </cell>
          <cell r="D205" t="str">
            <v>PVN-003537</v>
          </cell>
          <cell r="E205" t="str">
            <v>OrthoLite HybridPlus-Recycled MINT GREEN/11-4805TPX Hybrid Flat Sheet 0.12D 25+/-4 Asker C 1.1M 2M 4.5mm</v>
          </cell>
          <cell r="F205">
            <v>31</v>
          </cell>
          <cell r="G205">
            <v>31</v>
          </cell>
          <cell r="H205">
            <v>31</v>
          </cell>
          <cell r="I205">
            <v>0</v>
          </cell>
          <cell r="J205" t="str">
            <v>ON RUNNING</v>
          </cell>
          <cell r="K205" t="str">
            <v>Pr.Sch.R</v>
          </cell>
          <cell r="L205" t="str">
            <v>MOLDED</v>
          </cell>
          <cell r="M205">
            <v>1</v>
          </cell>
        </row>
        <row r="206">
          <cell r="A206" t="str">
            <v>F-2025-10-180</v>
          </cell>
          <cell r="B206" t="str">
            <v>RPRO-251017-0244</v>
          </cell>
          <cell r="C206" t="str">
            <v>BDB-000234</v>
          </cell>
          <cell r="D206" t="str">
            <v>PVN-003581</v>
          </cell>
          <cell r="E206" t="str">
            <v>OrthoLite X-30-Hybrid BROWN SUGAR/17-1134TPX Hybrid Flat Sheet 0.13D 25+/-4 Asker C 1.1M 2M 12mm</v>
          </cell>
          <cell r="F206">
            <v>165</v>
          </cell>
          <cell r="G206">
            <v>165</v>
          </cell>
          <cell r="H206">
            <v>165</v>
          </cell>
          <cell r="I206">
            <v>0</v>
          </cell>
          <cell r="J206" t="str">
            <v>ASICS</v>
          </cell>
          <cell r="K206" t="str">
            <v>Pr.Sch.R</v>
          </cell>
          <cell r="L206" t="str">
            <v>MOLDED</v>
          </cell>
          <cell r="M206" t="str">
            <v>1-RM-WIP</v>
          </cell>
        </row>
        <row r="207">
          <cell r="A207" t="str">
            <v>F-2025-10-181</v>
          </cell>
          <cell r="B207" t="str">
            <v>RPRO-251017-0245</v>
          </cell>
          <cell r="C207" t="str">
            <v>BDB-000156</v>
          </cell>
          <cell r="D207" t="str">
            <v>PVN-003243</v>
          </cell>
          <cell r="E207" t="str">
            <v>OrthoLite X-35-Hybrid-Nike AMAZON/18-6024TPX Hybrid Flat Sheet 0.145D 25+/-4 Asker C 1.1M 2M 5.2mm</v>
          </cell>
          <cell r="F207">
            <v>338</v>
          </cell>
          <cell r="G207">
            <v>338</v>
          </cell>
          <cell r="H207">
            <v>338</v>
          </cell>
          <cell r="I207">
            <v>0</v>
          </cell>
          <cell r="J207" t="str">
            <v>NIKE</v>
          </cell>
          <cell r="K207" t="str">
            <v>Pr.Sch.R</v>
          </cell>
          <cell r="L207" t="str">
            <v>MOLDED</v>
          </cell>
          <cell r="M207">
            <v>1</v>
          </cell>
        </row>
        <row r="208">
          <cell r="A208" t="str">
            <v>F-2025-10-182</v>
          </cell>
          <cell r="B208" t="str">
            <v>RPRO-251017-0246</v>
          </cell>
          <cell r="C208" t="str">
            <v>BDB-000076</v>
          </cell>
          <cell r="D208" t="str">
            <v>PVN-004072</v>
          </cell>
          <cell r="E208" t="str">
            <v>OrthoLite X-25 BILLIARD/16-5427TPX Flat Sheet 0.12D 20+/-4 Asker C 1.1M 2M 20mm</v>
          </cell>
          <cell r="F208">
            <v>6</v>
          </cell>
          <cell r="G208">
            <v>6</v>
          </cell>
          <cell r="H208">
            <v>6</v>
          </cell>
          <cell r="I208">
            <v>0</v>
          </cell>
          <cell r="J208" t="str">
            <v>FOOTJOY</v>
          </cell>
          <cell r="K208" t="str">
            <v>Pr.Sch.R</v>
          </cell>
          <cell r="L208" t="str">
            <v>MOLDED</v>
          </cell>
          <cell r="M208">
            <v>1</v>
          </cell>
        </row>
        <row r="209">
          <cell r="A209" t="str">
            <v>F-2025-10-183</v>
          </cell>
          <cell r="B209" t="str">
            <v>RPRO-251017-0247</v>
          </cell>
          <cell r="C209" t="str">
            <v>BDB-000229</v>
          </cell>
          <cell r="D209" t="str">
            <v>PVN-003692</v>
          </cell>
          <cell r="E209" t="str">
            <v>OrthoLite Ultra-Hybrid SEEDPEARL/12-0703TPX Hybrid Flat Sheet 0.095D 33+/-4 Asker C 1.1M 2M 15.5mm</v>
          </cell>
          <cell r="F209">
            <v>48</v>
          </cell>
          <cell r="G209">
            <v>48</v>
          </cell>
          <cell r="H209">
            <v>48</v>
          </cell>
          <cell r="I209">
            <v>0</v>
          </cell>
          <cell r="J209" t="str">
            <v>GARMONT</v>
          </cell>
          <cell r="K209" t="str">
            <v>Pr.Sch.R</v>
          </cell>
          <cell r="L209" t="str">
            <v>MOLDED</v>
          </cell>
          <cell r="M209">
            <v>1</v>
          </cell>
        </row>
        <row r="210">
          <cell r="A210" t="str">
            <v>F-2025-10-184</v>
          </cell>
          <cell r="B210" t="str">
            <v>RPRO-251017-0248</v>
          </cell>
          <cell r="C210" t="str">
            <v>BDB-000125</v>
          </cell>
          <cell r="D210" t="str">
            <v>PVN-001412</v>
          </cell>
          <cell r="E210" t="str">
            <v>OrthoLite Regular-Nike AIR BLUE/16-4134TPX Flat Sheet 0.11D 25+/-4 Asker C 1.1M 2M 5mm</v>
          </cell>
          <cell r="F210">
            <v>56</v>
          </cell>
          <cell r="G210">
            <v>56</v>
          </cell>
          <cell r="H210">
            <v>56</v>
          </cell>
          <cell r="I210">
            <v>0</v>
          </cell>
          <cell r="J210" t="str">
            <v>NIKE</v>
          </cell>
          <cell r="K210" t="str">
            <v>Pr.Sch.R</v>
          </cell>
          <cell r="L210" t="str">
            <v>MOLDED</v>
          </cell>
          <cell r="M210">
            <v>1</v>
          </cell>
        </row>
        <row r="211">
          <cell r="A211" t="str">
            <v>F-2025-10-185</v>
          </cell>
          <cell r="B211" t="str">
            <v>RPRO-251017-0249</v>
          </cell>
          <cell r="C211" t="str">
            <v>BDB-000210</v>
          </cell>
          <cell r="D211" t="str">
            <v>PVN-003453</v>
          </cell>
          <cell r="E211" t="str">
            <v>OrthoLite Eco LT-Hybrid BLACK/19-4007TPX Hybrid Flat Sheet 0.13D 35+/-4 Asker C 1.1M 2M 3mm</v>
          </cell>
          <cell r="F211">
            <v>92</v>
          </cell>
          <cell r="G211">
            <v>92</v>
          </cell>
          <cell r="H211">
            <v>92</v>
          </cell>
          <cell r="I211">
            <v>0</v>
          </cell>
          <cell r="J211" t="str">
            <v>GEOX</v>
          </cell>
          <cell r="K211" t="str">
            <v>Pr.Sch.R</v>
          </cell>
          <cell r="L211" t="str">
            <v>LAMINATING</v>
          </cell>
          <cell r="M211">
            <v>1</v>
          </cell>
        </row>
        <row r="212">
          <cell r="A212" t="str">
            <v>F-2025-10-186</v>
          </cell>
          <cell r="B212" t="str">
            <v>RPRO-251020-0323</v>
          </cell>
          <cell r="C212" t="str">
            <v>BDB-000058</v>
          </cell>
          <cell r="D212" t="str">
            <v>PVN-001319</v>
          </cell>
          <cell r="E212" t="str">
            <v>OrthoLite Ultra GREEN/16-5932TPX 0.085D 25+/-4 Asker C 1.1M 2M 5mm</v>
          </cell>
          <cell r="F212">
            <v>868</v>
          </cell>
          <cell r="G212">
            <v>868</v>
          </cell>
          <cell r="H212">
            <v>868</v>
          </cell>
          <cell r="I212">
            <v>0</v>
          </cell>
          <cell r="J212"/>
          <cell r="K212" t="str">
            <v>MPS</v>
          </cell>
          <cell r="L212" t="str">
            <v>SPLITTING</v>
          </cell>
          <cell r="M212">
            <v>2</v>
          </cell>
        </row>
        <row r="213">
          <cell r="A213" t="str">
            <v>F-2025-10-187</v>
          </cell>
          <cell r="B213" t="str">
            <v>RPRO-251020-0324</v>
          </cell>
          <cell r="C213" t="str">
            <v>BDB-000054</v>
          </cell>
          <cell r="D213" t="str">
            <v>PVN-003895</v>
          </cell>
          <cell r="E213" t="str">
            <v>OrthoLite X-40 RED/19-1764TPX Flat Sheet 0.16D 25+/-4 Asker C 1.1M 1.7M 5mm</v>
          </cell>
          <cell r="F213">
            <v>280</v>
          </cell>
          <cell r="G213">
            <v>280</v>
          </cell>
          <cell r="H213">
            <v>280</v>
          </cell>
          <cell r="I213">
            <v>0</v>
          </cell>
          <cell r="J213" t="str">
            <v>PAYNTR</v>
          </cell>
          <cell r="K213" t="str">
            <v>Pr.Sch.R</v>
          </cell>
          <cell r="L213" t="str">
            <v>MOLDED</v>
          </cell>
          <cell r="M213">
            <v>1</v>
          </cell>
        </row>
        <row r="214">
          <cell r="A214" t="str">
            <v>F-2025-10-188</v>
          </cell>
          <cell r="B214" t="str">
            <v>RPRO-251020-0325</v>
          </cell>
          <cell r="C214" t="str">
            <v>BDB-000145</v>
          </cell>
          <cell r="D214" t="str">
            <v>PVN-002811</v>
          </cell>
          <cell r="E214" t="str">
            <v>OrthoLite Regular-Hybrid-Nike YELLOW/13-0858TPX Hybrid Flat Sheet 0.11D 25+/-4 Asker C 1.1M 1.7M 2mm</v>
          </cell>
          <cell r="F214">
            <v>140</v>
          </cell>
          <cell r="G214">
            <v>140</v>
          </cell>
          <cell r="H214">
            <v>140</v>
          </cell>
          <cell r="I214">
            <v>0</v>
          </cell>
          <cell r="J214" t="str">
            <v>NIKE</v>
          </cell>
          <cell r="K214" t="str">
            <v>Pr.Sch.R</v>
          </cell>
          <cell r="L214" t="str">
            <v>DIE CUT</v>
          </cell>
          <cell r="M214">
            <v>1</v>
          </cell>
        </row>
        <row r="215">
          <cell r="A215" t="str">
            <v>F-2025-10-189</v>
          </cell>
          <cell r="B215" t="str">
            <v>RPRO-251020-0326</v>
          </cell>
          <cell r="C215" t="str">
            <v>BDB-000336</v>
          </cell>
          <cell r="D215" t="str">
            <v>PVN-004168</v>
          </cell>
          <cell r="E215" t="str">
            <v>OrthoLite X-40-Nike SEEDPEARL/12-0703TPX Flat Sheet 0.16D 35+/-4 Asker C 1.1M 2M 4.5mm</v>
          </cell>
          <cell r="F215">
            <v>62</v>
          </cell>
          <cell r="G215">
            <v>62</v>
          </cell>
          <cell r="H215">
            <v>62</v>
          </cell>
          <cell r="I215">
            <v>0</v>
          </cell>
          <cell r="J215" t="str">
            <v>NIKE</v>
          </cell>
          <cell r="K215" t="str">
            <v>Pr.Sch.R</v>
          </cell>
          <cell r="L215" t="str">
            <v>MOLDED</v>
          </cell>
          <cell r="M215">
            <v>1</v>
          </cell>
        </row>
        <row r="216">
          <cell r="A216" t="str">
            <v>OIN-2025.10.18-01</v>
          </cell>
          <cell r="B216" t="str">
            <v>RPRO-251021-0009</v>
          </cell>
          <cell r="C216" t="str">
            <v>BDB-000078</v>
          </cell>
          <cell r="D216" t="str">
            <v>PVN-003912</v>
          </cell>
          <cell r="E216" t="str">
            <v>[116-1517] X 30 25+/-4 Asker C 0.13D Red 19-1764 Tpx 1.10M X 2.00M 47mm</v>
          </cell>
          <cell r="F216">
            <v>105</v>
          </cell>
          <cell r="G216">
            <v>105</v>
          </cell>
          <cell r="H216">
            <v>105</v>
          </cell>
          <cell r="I216">
            <v>0</v>
          </cell>
          <cell r="J216" t="str">
            <v>Bata</v>
          </cell>
          <cell r="K216" t="str">
            <v>PO-6001-SO-251020-0533</v>
          </cell>
          <cell r="L216" t="str">
            <v>FLAT SHEET</v>
          </cell>
          <cell r="M216">
            <v>2</v>
          </cell>
        </row>
        <row r="217">
          <cell r="A217" t="str">
            <v>OIN-2025.10.18-02</v>
          </cell>
          <cell r="B217" t="str">
            <v>RPRO-251021-0012</v>
          </cell>
          <cell r="C217" t="str">
            <v>BDB-000020</v>
          </cell>
          <cell r="D217" t="str">
            <v>PVN-004180</v>
          </cell>
          <cell r="E217" t="str">
            <v>[116-013] Regular 35+/-4 Asker C 0.13D Red 19-1764 Tpx 1.10M X 2.00M 12.5mm</v>
          </cell>
          <cell r="F217">
            <v>440</v>
          </cell>
          <cell r="G217">
            <v>440</v>
          </cell>
          <cell r="H217">
            <v>440</v>
          </cell>
          <cell r="I217">
            <v>0</v>
          </cell>
          <cell r="J217" t="str">
            <v>Hugo Boss</v>
          </cell>
          <cell r="K217" t="str">
            <v>PO-6001-SO-251020-0534</v>
          </cell>
          <cell r="L217" t="str">
            <v>FLAT SHEET</v>
          </cell>
          <cell r="M217">
            <v>2</v>
          </cell>
        </row>
        <row r="218">
          <cell r="A218" t="str">
            <v>OIN-2025.10.18-03</v>
          </cell>
          <cell r="B218" t="str">
            <v>RPRO-251021-0014</v>
          </cell>
          <cell r="C218" t="str">
            <v>BDB-000179</v>
          </cell>
          <cell r="D218" t="str">
            <v>PVN-004176</v>
          </cell>
          <cell r="E218" t="str">
            <v>[116-10958] X 55 25+/-4 Asker C 0.16D Red 19-1764 Tpx 1.10M X 1.70M 15mm</v>
          </cell>
          <cell r="F218">
            <v>495</v>
          </cell>
          <cell r="G218">
            <v>495</v>
          </cell>
          <cell r="H218">
            <v>495</v>
          </cell>
          <cell r="I218">
            <v>0</v>
          </cell>
          <cell r="J218" t="str">
            <v>Toni Rossi</v>
          </cell>
          <cell r="K218" t="str">
            <v>PO-6001-SO-251020-0535</v>
          </cell>
          <cell r="L218" t="str">
            <v>FLAT SHEET</v>
          </cell>
          <cell r="M218">
            <v>2</v>
          </cell>
        </row>
        <row r="219">
          <cell r="A219" t="str">
            <v>OIN-2025.10.18-04</v>
          </cell>
          <cell r="B219" t="str">
            <v>RPRO-251021-0016</v>
          </cell>
          <cell r="C219" t="str">
            <v>BDB-000025</v>
          </cell>
          <cell r="D219" t="str">
            <v>PVN-003785</v>
          </cell>
          <cell r="E219" t="str">
            <v>[116-247] Regular 25+/-4 Asker C 0.11D Green 16-5932 Tpx 1.10M X 2.00M 47mm</v>
          </cell>
          <cell r="F219">
            <v>18</v>
          </cell>
          <cell r="G219">
            <v>18</v>
          </cell>
          <cell r="H219">
            <v>18</v>
          </cell>
          <cell r="I219">
            <v>0</v>
          </cell>
          <cell r="J219" t="str">
            <v>Clarks</v>
          </cell>
          <cell r="K219" t="str">
            <v>PO-6001-SO-251020-0536</v>
          </cell>
          <cell r="L219" t="str">
            <v>FLAT SHEET</v>
          </cell>
          <cell r="M219">
            <v>2</v>
          </cell>
        </row>
        <row r="220">
          <cell r="A220" t="str">
            <v>F-2025-10-190</v>
          </cell>
          <cell r="B220" t="str">
            <v>RPRO-251021-0617</v>
          </cell>
          <cell r="C220" t="str">
            <v>BDB-000123</v>
          </cell>
          <cell r="D220" t="str">
            <v>PVN-002539</v>
          </cell>
          <cell r="E220" t="str">
            <v>OrthoLite Ultra-Hybrid SEEDPEARL/12-0703TPX Hybrid Flat Sheet 0.085D 25+/-4 Asker C 1.1M 2M 5mm</v>
          </cell>
          <cell r="F220">
            <v>168</v>
          </cell>
          <cell r="G220">
            <v>168</v>
          </cell>
          <cell r="H220">
            <v>168</v>
          </cell>
          <cell r="I220">
            <v>0</v>
          </cell>
          <cell r="J220"/>
          <cell r="K220" t="str">
            <v>MPS</v>
          </cell>
          <cell r="L220" t="str">
            <v>SPLITTING</v>
          </cell>
          <cell r="M220">
            <v>2</v>
          </cell>
        </row>
        <row r="221">
          <cell r="A221" t="str">
            <v>F-2025-10-191</v>
          </cell>
          <cell r="B221" t="str">
            <v>RPRO-251021-0618</v>
          </cell>
          <cell r="C221" t="str">
            <v>BDB-000067</v>
          </cell>
          <cell r="D221" t="str">
            <v>PVN-002129</v>
          </cell>
          <cell r="E221" t="str">
            <v>OrthoLite Ultra SEEDPEARL/12-0703TPX Flat Sheet 0.085D 25+/-4 Asker C 1.1M 2M 6mm</v>
          </cell>
          <cell r="F221">
            <v>46</v>
          </cell>
          <cell r="G221">
            <v>46</v>
          </cell>
          <cell r="H221">
            <v>46</v>
          </cell>
          <cell r="I221">
            <v>0</v>
          </cell>
          <cell r="J221" t="str">
            <v>BABOLAT</v>
          </cell>
          <cell r="K221" t="str">
            <v>Pr.Sch.R</v>
          </cell>
          <cell r="L221" t="str">
            <v>DIE CUT</v>
          </cell>
          <cell r="M221">
            <v>1</v>
          </cell>
        </row>
        <row r="222">
          <cell r="A222" t="str">
            <v>F-2025-10-192</v>
          </cell>
          <cell r="B222" t="str">
            <v>RPRO-251021-0619</v>
          </cell>
          <cell r="C222" t="str">
            <v>BDB-000209</v>
          </cell>
          <cell r="D222" t="str">
            <v>PVN-003462</v>
          </cell>
          <cell r="E222" t="str">
            <v>OrthoLite HybridPlus-Recycled MINT GREEN/11-4805TPX Hybrid Flat Sheet 0.12D 25+/-4 Asker C 1.1M 2M 12mm</v>
          </cell>
          <cell r="F222">
            <v>308</v>
          </cell>
          <cell r="G222">
            <v>308</v>
          </cell>
          <cell r="H222">
            <v>308</v>
          </cell>
          <cell r="I222">
            <v>0</v>
          </cell>
          <cell r="J222" t="str">
            <v>BROOKS</v>
          </cell>
          <cell r="K222" t="str">
            <v>Pr.Sch.R</v>
          </cell>
          <cell r="L222" t="str">
            <v>MOLDED</v>
          </cell>
          <cell r="M222">
            <v>1</v>
          </cell>
        </row>
        <row r="223">
          <cell r="A223" t="str">
            <v>F-2025-10-193</v>
          </cell>
          <cell r="B223" t="str">
            <v>RPRO-251021-0620</v>
          </cell>
          <cell r="C223" t="str">
            <v>BDB-000209</v>
          </cell>
          <cell r="D223" t="str">
            <v>PVN-003537</v>
          </cell>
          <cell r="E223" t="str">
            <v>OrthoLite HybridPlus-Recycled MINT GREEN/11-4805TPX Hybrid Flat Sheet 0.12D 25+/-4 Asker C 1.1M 2M 4.5mm</v>
          </cell>
          <cell r="F223">
            <v>3000</v>
          </cell>
          <cell r="G223">
            <v>3000</v>
          </cell>
          <cell r="H223">
            <v>3000</v>
          </cell>
          <cell r="I223">
            <v>0</v>
          </cell>
          <cell r="J223" t="str">
            <v>AKU</v>
          </cell>
          <cell r="K223" t="str">
            <v>Pr.Sch.R</v>
          </cell>
          <cell r="L223" t="str">
            <v>MOLDED</v>
          </cell>
          <cell r="M223">
            <v>1</v>
          </cell>
        </row>
        <row r="224">
          <cell r="A224" t="str">
            <v>F-2025-10-194</v>
          </cell>
          <cell r="B224" t="str">
            <v>RPRO-251021-0621</v>
          </cell>
          <cell r="C224" t="str">
            <v>BDB-000209</v>
          </cell>
          <cell r="D224" t="str">
            <v>PVN-003537</v>
          </cell>
          <cell r="E224" t="str">
            <v>OrthoLite HybridPlus-Recycled MINT GREEN/11-4805TPX Hybrid Flat Sheet 0.12D 25+/-4 Asker C 1.1M 2M 4.5mm</v>
          </cell>
          <cell r="F224">
            <v>2239</v>
          </cell>
          <cell r="G224">
            <v>2239</v>
          </cell>
          <cell r="H224">
            <v>2239</v>
          </cell>
          <cell r="I224">
            <v>0</v>
          </cell>
          <cell r="J224" t="str">
            <v>AKU</v>
          </cell>
          <cell r="K224" t="str">
            <v>Pr.Sch.R</v>
          </cell>
          <cell r="L224" t="str">
            <v>MOLDED</v>
          </cell>
          <cell r="M224">
            <v>1</v>
          </cell>
        </row>
        <row r="225">
          <cell r="A225" t="str">
            <v>F-2025-10-195</v>
          </cell>
          <cell r="B225" t="str">
            <v>RPRO-251021-0622</v>
          </cell>
          <cell r="C225" t="str">
            <v>BDB-000217</v>
          </cell>
          <cell r="D225" t="str">
            <v>PVN-003539</v>
          </cell>
          <cell r="E225" t="str">
            <v>OrthoLite X-40-Hybrid SEEDPEARL/12-0703TPX Hybrid Flat Sheet 0.16D 35+/-4 Asker C 1.1M 1.7M 6.2mm</v>
          </cell>
          <cell r="F225">
            <v>2000</v>
          </cell>
          <cell r="G225">
            <v>2000</v>
          </cell>
          <cell r="H225">
            <v>2000</v>
          </cell>
          <cell r="I225">
            <v>0</v>
          </cell>
          <cell r="J225" t="str">
            <v>BROOKS</v>
          </cell>
          <cell r="K225" t="str">
            <v>Pr.Sch.R</v>
          </cell>
          <cell r="L225" t="str">
            <v>MOLDED</v>
          </cell>
          <cell r="M225">
            <v>1</v>
          </cell>
        </row>
        <row r="226">
          <cell r="A226" t="str">
            <v>F-2025-10-196-1</v>
          </cell>
          <cell r="B226" t="str">
            <v>RPRO-251021-0623</v>
          </cell>
          <cell r="C226" t="str">
            <v>BDB-000217</v>
          </cell>
          <cell r="D226" t="str">
            <v>PVN-003539</v>
          </cell>
          <cell r="E226" t="str">
            <v>OrthoLite X-40-Hybrid SEEDPEARL/12-0703TPX Hybrid Flat Sheet 0.16D 35+/-4 Asker C 1.1M 1.7M 6.2mm</v>
          </cell>
          <cell r="F226">
            <v>608</v>
          </cell>
          <cell r="G226">
            <v>608</v>
          </cell>
          <cell r="H226">
            <v>608</v>
          </cell>
          <cell r="I226">
            <v>0</v>
          </cell>
          <cell r="J226" t="str">
            <v>BROOKS</v>
          </cell>
          <cell r="K226" t="str">
            <v>Pr.Sch.R</v>
          </cell>
          <cell r="L226" t="str">
            <v>MOLDED</v>
          </cell>
          <cell r="M226">
            <v>1</v>
          </cell>
        </row>
        <row r="227">
          <cell r="A227" t="str">
            <v>F-2025-10-196-2-1</v>
          </cell>
          <cell r="B227" t="str">
            <v>RPRO-251105-0934</v>
          </cell>
          <cell r="C227" t="str">
            <v>BDB-000217</v>
          </cell>
          <cell r="D227" t="str">
            <v>PVN-003539</v>
          </cell>
          <cell r="E227" t="str">
            <v>OrthoLite X-40-Hybrid SEEDPEARL/12-0703TPX Hybrid Flat Sheet 0.16D 35+/-4 Asker C 1.1M 1.7M 6.2mm</v>
          </cell>
          <cell r="F227">
            <v>1000</v>
          </cell>
          <cell r="G227">
            <v>270</v>
          </cell>
          <cell r="H227">
            <v>270</v>
          </cell>
          <cell r="I227">
            <v>0</v>
          </cell>
          <cell r="J227" t="str">
            <v>BROOKS</v>
          </cell>
          <cell r="K227" t="str">
            <v>Pr.Sch.R</v>
          </cell>
          <cell r="L227" t="str">
            <v>MOLDED</v>
          </cell>
          <cell r="M227">
            <v>1</v>
          </cell>
        </row>
        <row r="228">
          <cell r="A228" t="str">
            <v>F-2025-10-196-2-2</v>
          </cell>
          <cell r="B228" t="str">
            <v>RPRO-251105-0934</v>
          </cell>
          <cell r="C228" t="str">
            <v>BDB-000217</v>
          </cell>
          <cell r="D228" t="str">
            <v>PVN-003539</v>
          </cell>
          <cell r="E228" t="str">
            <v>OrthoLite X-40-Hybrid SEEDPEARL/12-0703TPX Hybrid Flat Sheet 0.16D 35+/-4 Asker C 1.1M 1.7M 6.2mm</v>
          </cell>
          <cell r="F228">
            <v>1000</v>
          </cell>
          <cell r="G228">
            <v>730</v>
          </cell>
          <cell r="H228">
            <v>730</v>
          </cell>
          <cell r="I228">
            <v>0</v>
          </cell>
          <cell r="J228" t="str">
            <v>BROOKS</v>
          </cell>
          <cell r="K228" t="str">
            <v>Pr.Sch.R</v>
          </cell>
          <cell r="L228" t="str">
            <v>MOLDED</v>
          </cell>
          <cell r="M228">
            <v>1</v>
          </cell>
        </row>
        <row r="229">
          <cell r="A229" t="str">
            <v>F-2025-10-197</v>
          </cell>
          <cell r="B229" t="str">
            <v>RPRO-251021-0624</v>
          </cell>
          <cell r="C229" t="str">
            <v>BDB-000234</v>
          </cell>
          <cell r="D229" t="str">
            <v>PVN-003581</v>
          </cell>
          <cell r="E229" t="str">
            <v>OrthoLite X-30-Hybrid BROWN SUGAR/17-1134TPX Hybrid Flat Sheet 0.13D 25+/-4 Asker C 1.1M 2M 12mm</v>
          </cell>
          <cell r="F229">
            <v>11</v>
          </cell>
          <cell r="G229">
            <v>11</v>
          </cell>
          <cell r="H229">
            <v>11</v>
          </cell>
          <cell r="I229">
            <v>0</v>
          </cell>
          <cell r="J229" t="str">
            <v>ASICS</v>
          </cell>
          <cell r="K229" t="str">
            <v>Pr.Sch.R</v>
          </cell>
          <cell r="L229" t="str">
            <v>MOLDED</v>
          </cell>
          <cell r="M229" t="str">
            <v>1-RM-WIP</v>
          </cell>
        </row>
        <row r="230">
          <cell r="A230" t="str">
            <v>F-2025-10-198</v>
          </cell>
          <cell r="B230" t="str">
            <v>RPRO-251021-0625</v>
          </cell>
          <cell r="C230" t="str">
            <v>BDB-000217</v>
          </cell>
          <cell r="D230" t="str">
            <v>PVN-003483</v>
          </cell>
          <cell r="E230" t="str">
            <v>OrthoLite X-40-Hybrid SEEDPEARL/12-0703TPX Hybrid Flat Sheet 0.16D 35+/-4 Asker C 1.1M 1.7M 12mm</v>
          </cell>
          <cell r="F230">
            <v>11</v>
          </cell>
          <cell r="G230">
            <v>11</v>
          </cell>
          <cell r="H230">
            <v>11</v>
          </cell>
          <cell r="I230">
            <v>0</v>
          </cell>
          <cell r="J230" t="str">
            <v>BROOKS</v>
          </cell>
          <cell r="K230" t="str">
            <v>Pr.Sch.R</v>
          </cell>
          <cell r="L230" t="str">
            <v>MOLDED</v>
          </cell>
          <cell r="M230">
            <v>1</v>
          </cell>
        </row>
        <row r="231">
          <cell r="A231" t="str">
            <v>F-2025-10-199</v>
          </cell>
          <cell r="B231" t="str">
            <v>RPRO-251021-0626</v>
          </cell>
          <cell r="C231" t="str">
            <v>BDB-000218</v>
          </cell>
          <cell r="D231" t="str">
            <v>PVN-003488</v>
          </cell>
          <cell r="E231" t="str">
            <v>OrthoLite Ultra-Nike SEEDPEARL/12-0703TPX Flat Sheet 0.085D 5-10 Asker C 1.1M 2M 4mm</v>
          </cell>
          <cell r="F231">
            <v>910</v>
          </cell>
          <cell r="G231">
            <v>910</v>
          </cell>
          <cell r="H231">
            <v>910</v>
          </cell>
          <cell r="I231">
            <v>0</v>
          </cell>
          <cell r="J231" t="str">
            <v>NIKE</v>
          </cell>
          <cell r="K231" t="str">
            <v>Pr.Sch.R</v>
          </cell>
          <cell r="L231" t="str">
            <v>DIE CUT</v>
          </cell>
          <cell r="M231">
            <v>1</v>
          </cell>
        </row>
        <row r="232">
          <cell r="A232" t="str">
            <v>F-2025-10-200</v>
          </cell>
          <cell r="B232" t="str">
            <v>RPRO-251021-0627</v>
          </cell>
          <cell r="C232" t="str">
            <v>BDB-000107</v>
          </cell>
          <cell r="D232" t="str">
            <v>PVN-003545</v>
          </cell>
          <cell r="E232" t="str">
            <v>OrthoLite Eco LT-Hybrid SEEDPEARL/12-0703TPX Hybrid Flat Sheet 0.11D 25+/-4 Asker C 1.1M 1.47M 12.5mm</v>
          </cell>
          <cell r="F232">
            <v>10</v>
          </cell>
          <cell r="G232">
            <v>10</v>
          </cell>
          <cell r="H232">
            <v>10</v>
          </cell>
          <cell r="I232">
            <v>0</v>
          </cell>
          <cell r="J232" t="str">
            <v>NEW BALANCE</v>
          </cell>
          <cell r="K232" t="str">
            <v>Pr.Sch.R</v>
          </cell>
          <cell r="L232" t="str">
            <v>MOLDED</v>
          </cell>
          <cell r="M232">
            <v>1</v>
          </cell>
        </row>
        <row r="233">
          <cell r="A233" t="str">
            <v>F-2025-10-202</v>
          </cell>
          <cell r="B233" t="str">
            <v>RPRO-251021-0629</v>
          </cell>
          <cell r="C233" t="str">
            <v>BDB-000229</v>
          </cell>
          <cell r="D233" t="str">
            <v>PVN-003692</v>
          </cell>
          <cell r="E233" t="str">
            <v>OrthoLite Ultra-Hybrid SEEDPEARL/12-0703TPX Hybrid Flat Sheet 0.095D 33+/-4 Asker C 1.1M 2M 15.5mm</v>
          </cell>
          <cell r="F233">
            <v>240</v>
          </cell>
          <cell r="G233">
            <v>240</v>
          </cell>
          <cell r="H233">
            <v>240</v>
          </cell>
          <cell r="I233">
            <v>0</v>
          </cell>
          <cell r="J233" t="str">
            <v>GARMONT</v>
          </cell>
          <cell r="K233" t="str">
            <v>Pr.Sch.R</v>
          </cell>
          <cell r="L233" t="str">
            <v>MOLDED</v>
          </cell>
          <cell r="M233">
            <v>1</v>
          </cell>
        </row>
        <row r="234">
          <cell r="A234" t="str">
            <v>F-2025-10-203</v>
          </cell>
          <cell r="B234" t="str">
            <v>RPRO-251021-0630</v>
          </cell>
          <cell r="C234" t="str">
            <v>BDB-000229</v>
          </cell>
          <cell r="D234" t="str">
            <v>PVN-003878</v>
          </cell>
          <cell r="E234" t="str">
            <v>OrthoLite Ultra-Hybrid SEEDPEARL/12-0703TPX Hybrid Flat Sheet 0.095D 33+/-4 Asker C 1.1M 2M 4mm</v>
          </cell>
          <cell r="F234">
            <v>210</v>
          </cell>
          <cell r="G234">
            <v>210</v>
          </cell>
          <cell r="H234">
            <v>210</v>
          </cell>
          <cell r="I234">
            <v>0</v>
          </cell>
          <cell r="J234" t="str">
            <v>ON RUNNING</v>
          </cell>
          <cell r="K234" t="str">
            <v>Pr.Sch.R</v>
          </cell>
          <cell r="L234" t="str">
            <v>DIE CUT</v>
          </cell>
          <cell r="M234">
            <v>1</v>
          </cell>
        </row>
        <row r="235">
          <cell r="A235" t="str">
            <v>F-2025-10-204</v>
          </cell>
          <cell r="B235" t="str">
            <v>RPRO-251021-0631</v>
          </cell>
          <cell r="C235" t="str">
            <v>BDB-000332</v>
          </cell>
          <cell r="D235" t="str">
            <v>PVN-004146</v>
          </cell>
          <cell r="E235" t="str">
            <v>OrthoLite X-25 CASTLEROCK/18-0201TPX Flat Sheet 0.12D 20+/-4 Asker C 1.1M 2M 5.5mm</v>
          </cell>
          <cell r="F235">
            <v>1375</v>
          </cell>
          <cell r="G235">
            <v>1375</v>
          </cell>
          <cell r="H235">
            <v>1375</v>
          </cell>
          <cell r="I235">
            <v>0</v>
          </cell>
          <cell r="J235" t="str">
            <v>ON RUNNING</v>
          </cell>
          <cell r="K235" t="str">
            <v>Pr.Sch.R</v>
          </cell>
          <cell r="L235" t="str">
            <v>MOLDED</v>
          </cell>
          <cell r="M235">
            <v>1</v>
          </cell>
        </row>
        <row r="236">
          <cell r="A236" t="str">
            <v>F-2025-10-205</v>
          </cell>
          <cell r="B236" t="str">
            <v>RPRO-251021-0632</v>
          </cell>
          <cell r="C236" t="str">
            <v>BDB-000123</v>
          </cell>
          <cell r="D236" t="str">
            <v>PVN-003011</v>
          </cell>
          <cell r="E236" t="str">
            <v>OrthoLite Ultra-Hybrid SEEDPEARL/12-0703TPX Hybrid Flat Sheet 0.085D 25+/-4 Asker C 1.1M 2M 16mm</v>
          </cell>
          <cell r="F236">
            <v>96</v>
          </cell>
          <cell r="G236">
            <v>96</v>
          </cell>
          <cell r="H236">
            <v>96</v>
          </cell>
          <cell r="I236">
            <v>0</v>
          </cell>
          <cell r="J236" t="str">
            <v>CLARKS</v>
          </cell>
          <cell r="K236" t="str">
            <v>Pr.Sch.R</v>
          </cell>
          <cell r="L236" t="str">
            <v>MOLDED</v>
          </cell>
          <cell r="M236">
            <v>1</v>
          </cell>
        </row>
        <row r="237">
          <cell r="A237" t="str">
            <v>F-2025-10-206</v>
          </cell>
          <cell r="B237" t="str">
            <v>RPRO-251021-0633</v>
          </cell>
          <cell r="C237" t="str">
            <v>BDB-000122</v>
          </cell>
          <cell r="D237" t="str">
            <v>PVN-003012</v>
          </cell>
          <cell r="E237" t="str">
            <v>OrthoLite Ultra-Hybrid AIR BLUE/16-4134TPX Hybrid Flat Sheet 0.085D 25+/-4 Asker C 1.1M 2M 2.5mm</v>
          </cell>
          <cell r="F237">
            <v>112</v>
          </cell>
          <cell r="G237">
            <v>112</v>
          </cell>
          <cell r="H237">
            <v>112</v>
          </cell>
          <cell r="I237">
            <v>0</v>
          </cell>
          <cell r="J237" t="str">
            <v>CLARKS</v>
          </cell>
          <cell r="K237" t="str">
            <v>Pr.Sch.R</v>
          </cell>
          <cell r="L237" t="str">
            <v>MOLDED</v>
          </cell>
          <cell r="M237">
            <v>1</v>
          </cell>
        </row>
        <row r="238">
          <cell r="A238" t="str">
            <v>F-2025-10-207</v>
          </cell>
          <cell r="B238" t="str">
            <v>RPRO-251021-0634</v>
          </cell>
          <cell r="C238" t="str">
            <v>BDB-000201</v>
          </cell>
          <cell r="D238" t="str">
            <v>PVN-003415</v>
          </cell>
          <cell r="E238" t="str">
            <v>OrthoLite Ultra YELLOW/13-0858TPX Flat Sheet 0.085D 5-10 Asker C 1.1M 2M 2.5mm</v>
          </cell>
          <cell r="F238">
            <v>224</v>
          </cell>
          <cell r="G238">
            <v>224</v>
          </cell>
          <cell r="H238">
            <v>224</v>
          </cell>
          <cell r="I238">
            <v>0</v>
          </cell>
          <cell r="J238" t="str">
            <v>CLARKS</v>
          </cell>
          <cell r="K238" t="str">
            <v>Pr.Sch.R</v>
          </cell>
          <cell r="L238" t="str">
            <v>MOLDED</v>
          </cell>
          <cell r="M238">
            <v>1</v>
          </cell>
        </row>
        <row r="239">
          <cell r="A239" t="str">
            <v>F-2025-10-208</v>
          </cell>
          <cell r="B239" t="str">
            <v>RPRO-251022-0708</v>
          </cell>
          <cell r="C239" t="str">
            <v>BDB-000235</v>
          </cell>
          <cell r="D239" t="str">
            <v>PVN-003576</v>
          </cell>
          <cell r="E239" t="str">
            <v>OrthoLite X-55-Hybrid FOSSIL/17-0909TPX Hybrid Flat Sheet 0.16D 25+/-4 Asker C 1.1M 1.7M 12mm</v>
          </cell>
          <cell r="F239">
            <v>11</v>
          </cell>
          <cell r="G239">
            <v>11</v>
          </cell>
          <cell r="H239">
            <v>11</v>
          </cell>
          <cell r="I239">
            <v>0</v>
          </cell>
          <cell r="J239" t="str">
            <v>ASICS</v>
          </cell>
          <cell r="K239" t="str">
            <v>Pr.Sch.R</v>
          </cell>
          <cell r="L239" t="str">
            <v>MOLDED</v>
          </cell>
          <cell r="M239" t="str">
            <v>1-RM-WIP</v>
          </cell>
        </row>
        <row r="240">
          <cell r="A240" t="str">
            <v>F-2025-10-209</v>
          </cell>
          <cell r="B240" t="str">
            <v>RPRO-251022-0709</v>
          </cell>
          <cell r="C240" t="str">
            <v>BDB-000157</v>
          </cell>
          <cell r="D240" t="str">
            <v>PVN-003642</v>
          </cell>
          <cell r="E240" t="str">
            <v>OrthoLite X-35-Hybrid-Nike SEEDPEARL/12-0703TPX Hybrid Flat Sheet 0.145D 25+/-4 Asker C 1.1M 2M 6.2mm</v>
          </cell>
          <cell r="F240">
            <v>176</v>
          </cell>
          <cell r="G240">
            <v>176</v>
          </cell>
          <cell r="H240">
            <v>176</v>
          </cell>
          <cell r="I240">
            <v>0</v>
          </cell>
          <cell r="J240" t="str">
            <v>NIKE</v>
          </cell>
          <cell r="K240" t="str">
            <v>Pr.Sch.R</v>
          </cell>
          <cell r="L240" t="str">
            <v>MOLDED</v>
          </cell>
          <cell r="M240">
            <v>1</v>
          </cell>
        </row>
        <row r="241">
          <cell r="A241" t="str">
            <v>F-2025-10-210</v>
          </cell>
          <cell r="B241" t="str">
            <v>RPRO-251022-0710</v>
          </cell>
          <cell r="C241" t="str">
            <v>BDB-000209</v>
          </cell>
          <cell r="D241" t="str">
            <v>PVN-003537</v>
          </cell>
          <cell r="E241" t="str">
            <v>OrthoLite HybridPlus-Recycled MINT GREEN/11-4805TPX Hybrid Flat Sheet 0.12D 25+/-4 Asker C 1.1M 2M 4.5mm</v>
          </cell>
          <cell r="F241">
            <v>1395</v>
          </cell>
          <cell r="G241">
            <v>1395</v>
          </cell>
          <cell r="H241">
            <v>1395</v>
          </cell>
          <cell r="I241">
            <v>0</v>
          </cell>
          <cell r="J241" t="str">
            <v>AKU</v>
          </cell>
          <cell r="K241" t="str">
            <v>Pr.Sch.R</v>
          </cell>
          <cell r="L241" t="str">
            <v>MOLDED</v>
          </cell>
          <cell r="M241">
            <v>1</v>
          </cell>
        </row>
        <row r="242">
          <cell r="A242" t="str">
            <v>F-2025-10-211</v>
          </cell>
          <cell r="B242" t="str">
            <v>RPRO-251022-0711</v>
          </cell>
          <cell r="C242" t="str">
            <v>BDB-000209</v>
          </cell>
          <cell r="D242" t="str">
            <v>PVN-003463</v>
          </cell>
          <cell r="E242" t="str">
            <v>OrthoLite HybridPlus-Recycled MINT GREEN/11-4805TPX Hybrid Flat Sheet 0.12D 25+/-4 Asker C 1.1M 2M 15.5mm</v>
          </cell>
          <cell r="F242">
            <v>40</v>
          </cell>
          <cell r="G242">
            <v>40</v>
          </cell>
          <cell r="H242">
            <v>40</v>
          </cell>
          <cell r="I242">
            <v>0</v>
          </cell>
          <cell r="J242" t="str">
            <v>GARMONT</v>
          </cell>
          <cell r="K242" t="str">
            <v>Pr.Sch.R</v>
          </cell>
          <cell r="L242" t="str">
            <v>MOLDED</v>
          </cell>
          <cell r="M242">
            <v>1</v>
          </cell>
        </row>
        <row r="243">
          <cell r="A243" t="str">
            <v>F-2025-10-212</v>
          </cell>
          <cell r="B243" t="str">
            <v>RPRO-251022-0712-ddax xoa firm plan (pu 12mm xai rmw)</v>
          </cell>
          <cell r="C243" t="str">
            <v>BDB-000011</v>
          </cell>
          <cell r="D243" t="str">
            <v>PVN-000121</v>
          </cell>
          <cell r="E243" t="str">
            <v>OrthoLite Regular AIR BLUE/16-4134TPX Flat Sheet 0.13D 35+/-4 Asker C 1.1M 2M 12mm</v>
          </cell>
          <cell r="F243">
            <v>22</v>
          </cell>
          <cell r="G243">
            <v>22</v>
          </cell>
          <cell r="H243">
            <v>0</v>
          </cell>
          <cell r="I243">
            <v>22</v>
          </cell>
          <cell r="J243" t="str">
            <v>ASICS</v>
          </cell>
          <cell r="K243" t="str">
            <v>Pr.Sch.R</v>
          </cell>
          <cell r="L243" t="str">
            <v>MOLDED</v>
          </cell>
          <cell r="M243" t="str">
            <v>1-RM-WIP</v>
          </cell>
        </row>
        <row r="244">
          <cell r="A244" t="str">
            <v>F-2025-10-213</v>
          </cell>
          <cell r="B244" t="str">
            <v>RPRO-251022-0713</v>
          </cell>
          <cell r="C244" t="str">
            <v>BDB-000234</v>
          </cell>
          <cell r="D244" t="str">
            <v>PVN-003581</v>
          </cell>
          <cell r="E244" t="str">
            <v>OrthoLite X-30-Hybrid BROWN SUGAR/17-1134TPX Hybrid Flat Sheet 0.13D 25+/-4 Asker C 1.1M 2M 12mm</v>
          </cell>
          <cell r="F244">
            <v>11</v>
          </cell>
          <cell r="G244">
            <v>11</v>
          </cell>
          <cell r="H244">
            <v>11</v>
          </cell>
          <cell r="I244">
            <v>0</v>
          </cell>
          <cell r="J244" t="str">
            <v>ASICS</v>
          </cell>
          <cell r="K244" t="str">
            <v>Pr.Sch.R</v>
          </cell>
          <cell r="L244" t="str">
            <v>MOLDED</v>
          </cell>
          <cell r="M244" t="str">
            <v>1-RM-WIP</v>
          </cell>
        </row>
        <row r="245">
          <cell r="A245" t="str">
            <v>F-2025-10-214</v>
          </cell>
          <cell r="B245" t="str">
            <v>RPRO-251022-0714</v>
          </cell>
          <cell r="C245" t="str">
            <v>BDB-000217</v>
          </cell>
          <cell r="D245" t="str">
            <v>PVN-003483</v>
          </cell>
          <cell r="E245" t="str">
            <v>OrthoLite X-40-Hybrid SEEDPEARL/12-0703TPX Hybrid Flat Sheet 0.16D 35+/-4 Asker C 1.1M 1.7M 12mm</v>
          </cell>
          <cell r="F245">
            <v>11</v>
          </cell>
          <cell r="G245">
            <v>11</v>
          </cell>
          <cell r="H245">
            <v>11</v>
          </cell>
          <cell r="I245">
            <v>0</v>
          </cell>
          <cell r="J245" t="str">
            <v>BROOKS</v>
          </cell>
          <cell r="K245" t="str">
            <v>Pr.Sch.R</v>
          </cell>
          <cell r="L245" t="str">
            <v>MOLDED</v>
          </cell>
          <cell r="M245">
            <v>1</v>
          </cell>
        </row>
        <row r="246">
          <cell r="A246" t="str">
            <v>F-2025-10-215</v>
          </cell>
          <cell r="B246" t="str">
            <v>RPRO-251022-0715</v>
          </cell>
          <cell r="C246" t="str">
            <v>BDB-000212</v>
          </cell>
          <cell r="D246" t="str">
            <v>PVN-003460</v>
          </cell>
          <cell r="E246" t="str">
            <v>OrthoLite X-25-Hybrid SEEDPEARL/12-0703TPX Hybrid Flat Sheet 0.12D 20+/-4 Asker C 1.1M 2M 5.5mm</v>
          </cell>
          <cell r="F246">
            <v>1000</v>
          </cell>
          <cell r="G246">
            <v>1000</v>
          </cell>
          <cell r="H246">
            <v>1000</v>
          </cell>
          <cell r="I246">
            <v>0</v>
          </cell>
          <cell r="J246" t="str">
            <v>ON RUNNING</v>
          </cell>
          <cell r="K246" t="str">
            <v>Pr.Sch.R</v>
          </cell>
          <cell r="L246" t="str">
            <v>MOLDED</v>
          </cell>
          <cell r="M246">
            <v>1</v>
          </cell>
        </row>
        <row r="247">
          <cell r="A247" t="str">
            <v>F-2025-10-216</v>
          </cell>
          <cell r="B247" t="str">
            <v>RPRO-251022-0716</v>
          </cell>
          <cell r="C247" t="str">
            <v>BDB-000313</v>
          </cell>
          <cell r="D247" t="str">
            <v>PVN-004061</v>
          </cell>
          <cell r="E247" t="str">
            <v>OrthoLite X-55 RED/19-1764TPX Flat Sheet 0.16D 25+/-4 Asker C 1.1M 1.47M 18mm</v>
          </cell>
          <cell r="F247">
            <v>7</v>
          </cell>
          <cell r="G247">
            <v>7</v>
          </cell>
          <cell r="H247">
            <v>7</v>
          </cell>
          <cell r="I247">
            <v>0</v>
          </cell>
          <cell r="J247" t="str">
            <v>WILSON</v>
          </cell>
          <cell r="K247" t="str">
            <v>Pr.Sch.R</v>
          </cell>
          <cell r="L247" t="str">
            <v>MOLDED</v>
          </cell>
          <cell r="M247">
            <v>1</v>
          </cell>
        </row>
        <row r="248">
          <cell r="A248" t="str">
            <v>F-2025-10-217</v>
          </cell>
          <cell r="B248" t="str">
            <v>RPRO-251022-0717</v>
          </cell>
          <cell r="C248" t="str">
            <v>BDB-000332</v>
          </cell>
          <cell r="D248" t="str">
            <v>PVN-004146</v>
          </cell>
          <cell r="E248" t="str">
            <v>OrthoLite X-25 CASTLEROCK/18-0201TPX Flat Sheet 0.12D 20+/-4 Asker C 1.1M 2M 5.5mm</v>
          </cell>
          <cell r="F248">
            <v>450</v>
          </cell>
          <cell r="G248">
            <v>450</v>
          </cell>
          <cell r="H248">
            <v>450</v>
          </cell>
          <cell r="I248">
            <v>0</v>
          </cell>
          <cell r="J248" t="str">
            <v>ON RUNNING</v>
          </cell>
          <cell r="K248" t="str">
            <v>Pr.Sch.R</v>
          </cell>
          <cell r="L248" t="str">
            <v>MOLDED</v>
          </cell>
          <cell r="M248">
            <v>1</v>
          </cell>
        </row>
        <row r="249">
          <cell r="A249" t="str">
            <v>F-2025-10-218</v>
          </cell>
          <cell r="B249" t="str">
            <v>RPRO-251022-0718</v>
          </cell>
          <cell r="C249" t="str">
            <v>BDB-000077</v>
          </cell>
          <cell r="D249" t="str">
            <v>PVN-004147</v>
          </cell>
          <cell r="E249" t="str">
            <v>OrthoLite X-25 SEEDPEARL/12-0703TPX Flat Sheet 0.12D 20+/-4 Asker C 1.1M 2M 5.5mm</v>
          </cell>
          <cell r="F249">
            <v>100</v>
          </cell>
          <cell r="G249">
            <v>100</v>
          </cell>
          <cell r="H249">
            <v>100</v>
          </cell>
          <cell r="I249">
            <v>0</v>
          </cell>
          <cell r="J249" t="str">
            <v>ON RUNNING</v>
          </cell>
          <cell r="K249" t="str">
            <v>Pr.Sch.R</v>
          </cell>
          <cell r="L249" t="str">
            <v>MOLDED</v>
          </cell>
          <cell r="M249">
            <v>1</v>
          </cell>
        </row>
        <row r="250">
          <cell r="A250" t="str">
            <v>F-2025-10-219</v>
          </cell>
          <cell r="B250" t="str">
            <v>RPRO-251022-0719</v>
          </cell>
          <cell r="C250" t="str">
            <v>BDB-000336</v>
          </cell>
          <cell r="D250" t="str">
            <v>PVN-004168</v>
          </cell>
          <cell r="E250" t="str">
            <v>OrthoLite X-40-Nike SEEDPEARL/12-0703TPX Flat Sheet 0.16D 35+/-4 Asker C 1.1M 2M 4.5mm</v>
          </cell>
          <cell r="F250">
            <v>186</v>
          </cell>
          <cell r="G250">
            <v>186</v>
          </cell>
          <cell r="H250">
            <v>186</v>
          </cell>
          <cell r="I250">
            <v>0</v>
          </cell>
          <cell r="J250" t="str">
            <v>NIKE</v>
          </cell>
          <cell r="K250" t="str">
            <v>Pr.Sch.R</v>
          </cell>
          <cell r="L250" t="str">
            <v>MOLDED</v>
          </cell>
          <cell r="M250">
            <v>1</v>
          </cell>
        </row>
        <row r="251">
          <cell r="A251" t="str">
            <v>F-2025-10-220</v>
          </cell>
          <cell r="B251" t="str">
            <v>RPRO-251022-0720</v>
          </cell>
          <cell r="C251" t="str">
            <v>BDB-000076</v>
          </cell>
          <cell r="D251" t="str">
            <v>PVN-003622</v>
          </cell>
          <cell r="E251" t="str">
            <v>OrthoLite X-25 BILLIARD/16-5427TPX Flat Sheet 0.12D 20+/-4 Asker C 1.1M 2M 3mm</v>
          </cell>
          <cell r="F251">
            <v>46</v>
          </cell>
          <cell r="G251">
            <v>46</v>
          </cell>
          <cell r="H251">
            <v>46</v>
          </cell>
          <cell r="I251">
            <v>0</v>
          </cell>
          <cell r="J251" t="str">
            <v>ORVIS</v>
          </cell>
          <cell r="K251" t="str">
            <v>Pr.Sch.R</v>
          </cell>
          <cell r="L251" t="str">
            <v>OTHERS</v>
          </cell>
          <cell r="M251">
            <v>1</v>
          </cell>
        </row>
        <row r="252">
          <cell r="A252" t="str">
            <v>F-2025-10-221</v>
          </cell>
          <cell r="B252" t="str">
            <v>RPRO-251022-0721</v>
          </cell>
          <cell r="C252" t="str">
            <v>BDB-000076</v>
          </cell>
          <cell r="D252" t="str">
            <v>PVN-003341</v>
          </cell>
          <cell r="E252" t="str">
            <v>OrthoLite X-25 BILLIARD/16-5427TPX Flat Sheet 0.12D 20+/-4 Asker C 1.1M 2M 6mm</v>
          </cell>
          <cell r="F252">
            <v>46</v>
          </cell>
          <cell r="G252">
            <v>46</v>
          </cell>
          <cell r="H252">
            <v>46</v>
          </cell>
          <cell r="I252">
            <v>0</v>
          </cell>
          <cell r="J252" t="str">
            <v>ORVIS</v>
          </cell>
          <cell r="K252" t="str">
            <v>Pr.Sch.R</v>
          </cell>
          <cell r="L252" t="str">
            <v>OTHERS</v>
          </cell>
          <cell r="M252">
            <v>1</v>
          </cell>
        </row>
        <row r="253">
          <cell r="A253" t="str">
            <v>F-2025-10-222</v>
          </cell>
          <cell r="B253" t="str">
            <v>FPRO-251020-0001</v>
          </cell>
          <cell r="C253" t="str">
            <v>BDB-000162</v>
          </cell>
          <cell r="D253" t="str">
            <v>PVN-001566</v>
          </cell>
          <cell r="E253" t="str">
            <v>OrthoLite Ultra-Nike SEEDPEARL/12-0703TPX 0.085D 25+/-4 Asker C 1.1M 2M 4mm</v>
          </cell>
          <cell r="F253">
            <v>3000</v>
          </cell>
          <cell r="G253">
            <v>3000</v>
          </cell>
          <cell r="H253">
            <v>0</v>
          </cell>
          <cell r="I253">
            <v>3000</v>
          </cell>
          <cell r="J253" t="str">
            <v>NIKE</v>
          </cell>
          <cell r="K253" t="str">
            <v>Forecast</v>
          </cell>
          <cell r="L253" t="str">
            <v>DIE CUT</v>
          </cell>
          <cell r="M253">
            <v>1</v>
          </cell>
        </row>
        <row r="254">
          <cell r="A254" t="str">
            <v>F-2025-10-223</v>
          </cell>
          <cell r="B254" t="str">
            <v>FPRO-251020-0002</v>
          </cell>
          <cell r="C254" t="str">
            <v>BDB-000162</v>
          </cell>
          <cell r="D254" t="str">
            <v>PVN-001566</v>
          </cell>
          <cell r="E254" t="str">
            <v>OrthoLite Ultra-Nike SEEDPEARL/12-0703TPX 0.085D 25+/-4 Asker C 1.1M 2M 4mm</v>
          </cell>
          <cell r="F254">
            <v>3000</v>
          </cell>
          <cell r="G254">
            <v>3000</v>
          </cell>
          <cell r="H254">
            <v>0</v>
          </cell>
          <cell r="I254">
            <v>3000</v>
          </cell>
          <cell r="J254" t="str">
            <v>NIKE</v>
          </cell>
          <cell r="K254" t="str">
            <v>Forecast</v>
          </cell>
          <cell r="L254" t="str">
            <v>DIE CUT</v>
          </cell>
          <cell r="M254">
            <v>1</v>
          </cell>
        </row>
        <row r="255">
          <cell r="A255" t="str">
            <v>F-2025-10-224</v>
          </cell>
          <cell r="B255" t="str">
            <v>FPRO-251020-0003</v>
          </cell>
          <cell r="C255" t="str">
            <v>BDB-000162</v>
          </cell>
          <cell r="D255" t="str">
            <v>PVN-001566</v>
          </cell>
          <cell r="E255" t="str">
            <v>OrthoLite Ultra-Nike SEEDPEARL/12-0703TPX 0.085D 25+/-4 Asker C 1.1M 2M 4mm</v>
          </cell>
          <cell r="F255">
            <v>3000</v>
          </cell>
          <cell r="G255">
            <v>3000</v>
          </cell>
          <cell r="H255">
            <v>0</v>
          </cell>
          <cell r="I255">
            <v>3000</v>
          </cell>
          <cell r="J255" t="str">
            <v>NIKE</v>
          </cell>
          <cell r="K255" t="str">
            <v>Forecast</v>
          </cell>
          <cell r="L255" t="str">
            <v>DIE CUT</v>
          </cell>
          <cell r="M255">
            <v>1</v>
          </cell>
        </row>
        <row r="256">
          <cell r="A256" t="str">
            <v>F-2025-10-225</v>
          </cell>
          <cell r="B256" t="str">
            <v>FPRO-251020-0004</v>
          </cell>
          <cell r="C256" t="str">
            <v>BDB-000162</v>
          </cell>
          <cell r="D256" t="str">
            <v>PVN-001566</v>
          </cell>
          <cell r="E256" t="str">
            <v>OrthoLite Ultra-Nike SEEDPEARL/12-0703TPX 0.085D 25+/-4 Asker C 1.1M 2M 4mm</v>
          </cell>
          <cell r="F256">
            <v>3000</v>
          </cell>
          <cell r="G256">
            <v>3000</v>
          </cell>
          <cell r="H256">
            <v>0</v>
          </cell>
          <cell r="I256">
            <v>3000</v>
          </cell>
          <cell r="J256" t="str">
            <v>NIKE</v>
          </cell>
          <cell r="K256" t="str">
            <v>Forecast</v>
          </cell>
          <cell r="L256" t="str">
            <v>DIE CUT</v>
          </cell>
          <cell r="M256">
            <v>1</v>
          </cell>
        </row>
        <row r="257">
          <cell r="A257" t="str">
            <v>F-2025-10-226</v>
          </cell>
          <cell r="B257" t="str">
            <v>FPRO-251020-0005</v>
          </cell>
          <cell r="C257" t="str">
            <v>BDB-000162</v>
          </cell>
          <cell r="D257" t="str">
            <v>PVN-001566</v>
          </cell>
          <cell r="E257" t="str">
            <v>OrthoLite Ultra-Nike SEEDPEARL/12-0703TPX 0.085D 25+/-4 Asker C 1.1M 2M 4mm</v>
          </cell>
          <cell r="F257">
            <v>3000</v>
          </cell>
          <cell r="G257">
            <v>3000</v>
          </cell>
          <cell r="H257">
            <v>0</v>
          </cell>
          <cell r="I257">
            <v>3000</v>
          </cell>
          <cell r="J257" t="str">
            <v>NIKE</v>
          </cell>
          <cell r="K257" t="str">
            <v>Forecast</v>
          </cell>
          <cell r="L257" t="str">
            <v>DIE CUT</v>
          </cell>
          <cell r="M257">
            <v>1</v>
          </cell>
        </row>
        <row r="258">
          <cell r="A258" t="str">
            <v>F-2025-10-227</v>
          </cell>
          <cell r="B258" t="str">
            <v>FPRO-251020-0006</v>
          </cell>
          <cell r="C258" t="str">
            <v>BDB-000162</v>
          </cell>
          <cell r="D258" t="str">
            <v>PVN-001566</v>
          </cell>
          <cell r="E258" t="str">
            <v>OrthoLite Ultra-Nike SEEDPEARL/12-0703TPX 0.085D 25+/-4 Asker C 1.1M 2M 4mm</v>
          </cell>
          <cell r="F258">
            <v>1600</v>
          </cell>
          <cell r="G258">
            <v>1600</v>
          </cell>
          <cell r="H258">
            <v>0</v>
          </cell>
          <cell r="I258">
            <v>1600</v>
          </cell>
          <cell r="J258" t="str">
            <v>NIKE</v>
          </cell>
          <cell r="K258" t="str">
            <v>Forecast</v>
          </cell>
          <cell r="L258" t="str">
            <v>DIE CUT</v>
          </cell>
          <cell r="M258">
            <v>1</v>
          </cell>
        </row>
        <row r="259">
          <cell r="A259" t="str">
            <v>F-2025-10-228</v>
          </cell>
          <cell r="B259" t="str">
            <v>FPRO-251020-0007</v>
          </cell>
          <cell r="C259" t="str">
            <v>BDB-000160</v>
          </cell>
          <cell r="D259" t="str">
            <v>PVN-001562</v>
          </cell>
          <cell r="E259" t="str">
            <v>OrthoLite Ultra-Nike LIME GREEN/14-0452TPX 0.085D 25+/-4 Asker C 1.1M 2M 4mm</v>
          </cell>
          <cell r="F259">
            <v>2500</v>
          </cell>
          <cell r="G259">
            <v>2500</v>
          </cell>
          <cell r="H259">
            <v>0</v>
          </cell>
          <cell r="I259">
            <v>2500</v>
          </cell>
          <cell r="J259" t="str">
            <v>NIKE</v>
          </cell>
          <cell r="K259" t="str">
            <v>Forecast</v>
          </cell>
          <cell r="L259" t="str">
            <v>DIE CUT</v>
          </cell>
          <cell r="M259">
            <v>1</v>
          </cell>
        </row>
        <row r="260">
          <cell r="A260" t="str">
            <v>F-2025-10-229</v>
          </cell>
          <cell r="B260" t="str">
            <v>FPRO-251020-0008</v>
          </cell>
          <cell r="C260" t="str">
            <v>BDB-000160</v>
          </cell>
          <cell r="D260" t="str">
            <v>PVN-001562</v>
          </cell>
          <cell r="E260" t="str">
            <v>OrthoLite Ultra-Nike LIME GREEN/14-0452TPX 0.085D 25+/-4 Asker C 1.1M 2M 4mm</v>
          </cell>
          <cell r="F260">
            <v>2500</v>
          </cell>
          <cell r="G260">
            <v>2500</v>
          </cell>
          <cell r="H260">
            <v>0</v>
          </cell>
          <cell r="I260">
            <v>2500</v>
          </cell>
          <cell r="J260" t="str">
            <v>NIKE</v>
          </cell>
          <cell r="K260" t="str">
            <v>Forecast</v>
          </cell>
          <cell r="L260" t="str">
            <v>DIE CUT</v>
          </cell>
          <cell r="M260">
            <v>1</v>
          </cell>
        </row>
        <row r="261">
          <cell r="A261" t="str">
            <v>F-2025-10-230</v>
          </cell>
          <cell r="B261" t="str">
            <v>FPRO-251020-0009</v>
          </cell>
          <cell r="C261" t="str">
            <v>BDB-000160</v>
          </cell>
          <cell r="D261" t="str">
            <v>PVN-001562</v>
          </cell>
          <cell r="E261" t="str">
            <v>OrthoLite Ultra-Nike LIME GREEN/14-0452TPX 0.085D 25+/-4 Asker C 1.1M 2M 4mm</v>
          </cell>
          <cell r="F261">
            <v>2500</v>
          </cell>
          <cell r="G261">
            <v>2500</v>
          </cell>
          <cell r="H261">
            <v>0</v>
          </cell>
          <cell r="I261">
            <v>2500</v>
          </cell>
          <cell r="J261" t="str">
            <v>NIKE</v>
          </cell>
          <cell r="K261" t="str">
            <v>Forecast</v>
          </cell>
          <cell r="L261" t="str">
            <v>DIE CUT</v>
          </cell>
          <cell r="M261">
            <v>1</v>
          </cell>
        </row>
        <row r="262">
          <cell r="A262" t="str">
            <v>F-2025-10-231</v>
          </cell>
          <cell r="B262" t="str">
            <v>FPRO-251020-0010</v>
          </cell>
          <cell r="C262" t="str">
            <v>BDB-000160</v>
          </cell>
          <cell r="D262" t="str">
            <v>PVN-001562</v>
          </cell>
          <cell r="E262" t="str">
            <v>OrthoLite Ultra-Nike LIME GREEN/14-0452TPX 0.085D 25+/-4 Asker C 1.1M 2M 4mm</v>
          </cell>
          <cell r="F262">
            <v>2500</v>
          </cell>
          <cell r="G262">
            <v>2500</v>
          </cell>
          <cell r="H262">
            <v>0</v>
          </cell>
          <cell r="I262">
            <v>2500</v>
          </cell>
          <cell r="J262" t="str">
            <v>NIKE</v>
          </cell>
          <cell r="K262" t="str">
            <v>Forecast</v>
          </cell>
          <cell r="L262" t="str">
            <v>DIE CUT</v>
          </cell>
          <cell r="M262">
            <v>1</v>
          </cell>
        </row>
        <row r="263">
          <cell r="A263" t="str">
            <v>F-2025-10-232</v>
          </cell>
          <cell r="B263" t="str">
            <v>FPRO-251020-0011</v>
          </cell>
          <cell r="C263" t="str">
            <v>BDB-000160</v>
          </cell>
          <cell r="D263" t="str">
            <v>PVN-001562</v>
          </cell>
          <cell r="E263" t="str">
            <v>OrthoLite Ultra-Nike LIME GREEN/14-0452TPX 0.085D 25+/-4 Asker C 1.1M 2M 4mm</v>
          </cell>
          <cell r="F263">
            <v>2500</v>
          </cell>
          <cell r="G263">
            <v>2500</v>
          </cell>
          <cell r="H263">
            <v>0</v>
          </cell>
          <cell r="I263">
            <v>2500</v>
          </cell>
          <cell r="J263" t="str">
            <v>NIKE</v>
          </cell>
          <cell r="K263" t="str">
            <v>Forecast</v>
          </cell>
          <cell r="L263" t="str">
            <v>DIE CUT</v>
          </cell>
          <cell r="M263">
            <v>1</v>
          </cell>
        </row>
        <row r="264">
          <cell r="A264" t="str">
            <v>F-2025-10-233</v>
          </cell>
          <cell r="B264" t="str">
            <v>FPRO-251020-0012</v>
          </cell>
          <cell r="C264" t="str">
            <v>BDB-000160</v>
          </cell>
          <cell r="D264" t="str">
            <v>PVN-001562</v>
          </cell>
          <cell r="E264" t="str">
            <v>OrthoLite Ultra-Nike LIME GREEN/14-0452TPX 0.085D 25+/-4 Asker C 1.1M 2M 4mm</v>
          </cell>
          <cell r="F264">
            <v>2500</v>
          </cell>
          <cell r="G264">
            <v>2500</v>
          </cell>
          <cell r="H264">
            <v>0</v>
          </cell>
          <cell r="I264">
            <v>2500</v>
          </cell>
          <cell r="J264" t="str">
            <v>NIKE</v>
          </cell>
          <cell r="K264" t="str">
            <v>Forecast</v>
          </cell>
          <cell r="L264" t="str">
            <v>DIE CUT</v>
          </cell>
          <cell r="M264">
            <v>1</v>
          </cell>
        </row>
        <row r="265">
          <cell r="A265" t="str">
            <v>F-2025-10-234</v>
          </cell>
          <cell r="B265" t="str">
            <v>FPRO-251020-0013</v>
          </cell>
          <cell r="C265" t="str">
            <v>BDB-000160</v>
          </cell>
          <cell r="D265" t="str">
            <v>PVN-001562</v>
          </cell>
          <cell r="E265" t="str">
            <v>OrthoLite Ultra-Nike LIME GREEN/14-0452TPX 0.085D 25+/-4 Asker C 1.1M 2M 4mm</v>
          </cell>
          <cell r="F265">
            <v>2500</v>
          </cell>
          <cell r="G265">
            <v>2500</v>
          </cell>
          <cell r="H265">
            <v>0</v>
          </cell>
          <cell r="I265">
            <v>2500</v>
          </cell>
          <cell r="J265" t="str">
            <v>NIKE</v>
          </cell>
          <cell r="K265" t="str">
            <v>Forecast</v>
          </cell>
          <cell r="L265" t="str">
            <v>DIE CUT</v>
          </cell>
          <cell r="M265">
            <v>1</v>
          </cell>
        </row>
        <row r="266">
          <cell r="A266" t="str">
            <v>F-2025-10-235</v>
          </cell>
          <cell r="B266" t="str">
            <v>FPRO-251020-0014</v>
          </cell>
          <cell r="C266" t="str">
            <v>BDB-000160</v>
          </cell>
          <cell r="D266" t="str">
            <v>PVN-001562</v>
          </cell>
          <cell r="E266" t="str">
            <v>OrthoLite Ultra-Nike LIME GREEN/14-0452TPX 0.085D 25+/-4 Asker C 1.1M 2M 4mm</v>
          </cell>
          <cell r="F266">
            <v>2400</v>
          </cell>
          <cell r="G266">
            <v>2400</v>
          </cell>
          <cell r="H266">
            <v>0</v>
          </cell>
          <cell r="I266">
            <v>2400</v>
          </cell>
          <cell r="J266" t="str">
            <v>NIKE</v>
          </cell>
          <cell r="K266" t="str">
            <v>Forecast</v>
          </cell>
          <cell r="L266" t="str">
            <v>DIE CUT</v>
          </cell>
          <cell r="M266">
            <v>1</v>
          </cell>
        </row>
        <row r="267">
          <cell r="A267" t="str">
            <v>F-2025-10-236</v>
          </cell>
          <cell r="B267" t="str">
            <v>FPRO-251020-0015</v>
          </cell>
          <cell r="C267" t="str">
            <v>BDB-000163</v>
          </cell>
          <cell r="D267" t="str">
            <v>PVN-001556</v>
          </cell>
          <cell r="E267" t="str">
            <v>OrthoLite Ultra-Nike YELLOW/13-0858TPX 0.085D 25+/-4 Asker C 1.1M 2M 4mm</v>
          </cell>
          <cell r="F267">
            <v>1200</v>
          </cell>
          <cell r="G267">
            <v>1200</v>
          </cell>
          <cell r="H267">
            <v>0</v>
          </cell>
          <cell r="I267">
            <v>1200</v>
          </cell>
          <cell r="J267" t="str">
            <v>NIKE</v>
          </cell>
          <cell r="K267" t="str">
            <v>Forecast</v>
          </cell>
          <cell r="L267" t="str">
            <v>DIE CUT</v>
          </cell>
          <cell r="M267">
            <v>1</v>
          </cell>
        </row>
        <row r="268">
          <cell r="A268" t="str">
            <v>F-2025-10-237</v>
          </cell>
          <cell r="B268" t="str">
            <v>FPRO-251020-0016</v>
          </cell>
          <cell r="C268" t="str">
            <v>BDB-000163</v>
          </cell>
          <cell r="D268" t="str">
            <v>PVN-001556</v>
          </cell>
          <cell r="E268" t="str">
            <v>OrthoLite Ultra-Nike YELLOW/13-0858TPX 0.085D 25+/-4 Asker C 1.1M 2M 4mm</v>
          </cell>
          <cell r="F268">
            <v>1200</v>
          </cell>
          <cell r="G268">
            <v>1200</v>
          </cell>
          <cell r="H268">
            <v>0</v>
          </cell>
          <cell r="I268">
            <v>1200</v>
          </cell>
          <cell r="J268" t="str">
            <v>NIKE</v>
          </cell>
          <cell r="K268" t="str">
            <v>Forecast</v>
          </cell>
          <cell r="L268" t="str">
            <v>DIE CUT</v>
          </cell>
          <cell r="M268">
            <v>1</v>
          </cell>
        </row>
        <row r="269">
          <cell r="A269" t="str">
            <v>F-2025-10-238</v>
          </cell>
          <cell r="B269" t="str">
            <v>FPRO-251020-0017</v>
          </cell>
          <cell r="C269" t="str">
            <v>BDB-000163</v>
          </cell>
          <cell r="D269" t="str">
            <v>PVN-001556</v>
          </cell>
          <cell r="E269" t="str">
            <v>OrthoLite Ultra-Nike YELLOW/13-0858TPX 0.085D 25+/-4 Asker C 1.1M 2M 4mm</v>
          </cell>
          <cell r="F269">
            <v>1200</v>
          </cell>
          <cell r="G269">
            <v>1200</v>
          </cell>
          <cell r="H269">
            <v>0</v>
          </cell>
          <cell r="I269">
            <v>1200</v>
          </cell>
          <cell r="J269" t="str">
            <v>NIKE</v>
          </cell>
          <cell r="K269" t="str">
            <v>Forecast</v>
          </cell>
          <cell r="L269" t="str">
            <v>DIE CUT</v>
          </cell>
          <cell r="M269">
            <v>1</v>
          </cell>
        </row>
        <row r="270">
          <cell r="A270" t="str">
            <v>F-2025-10-239</v>
          </cell>
          <cell r="B270" t="str">
            <v>FPRO-251020-0018</v>
          </cell>
          <cell r="C270" t="str">
            <v>BDB-000163</v>
          </cell>
          <cell r="D270" t="str">
            <v>PVN-001556</v>
          </cell>
          <cell r="E270" t="str">
            <v>OrthoLite Ultra-Nike YELLOW/13-0858TPX 0.085D 25+/-4 Asker C 1.1M 2M 4mm</v>
          </cell>
          <cell r="F270">
            <v>900</v>
          </cell>
          <cell r="G270">
            <v>900</v>
          </cell>
          <cell r="H270">
            <v>900</v>
          </cell>
          <cell r="I270">
            <v>0</v>
          </cell>
          <cell r="J270" t="str">
            <v>NIKE</v>
          </cell>
          <cell r="K270" t="str">
            <v>Forecast</v>
          </cell>
          <cell r="L270" t="str">
            <v>DIE CUT</v>
          </cell>
          <cell r="M270">
            <v>1</v>
          </cell>
        </row>
        <row r="271">
          <cell r="A271" t="str">
            <v>F-2025-10-240</v>
          </cell>
          <cell r="B271" t="str">
            <v>FPRO-251020-0019</v>
          </cell>
          <cell r="C271" t="str">
            <v>BDB-000125</v>
          </cell>
          <cell r="D271" t="str">
            <v>PVN-002413</v>
          </cell>
          <cell r="E271" t="str">
            <v>OrthoLite Regular-Nike AIR BLUE/16-4134TPX 0.11D 25+/-4 Asker C 1.1M 2M 4.2mm</v>
          </cell>
          <cell r="F271">
            <v>2500</v>
          </cell>
          <cell r="G271">
            <v>2500</v>
          </cell>
          <cell r="H271">
            <v>0</v>
          </cell>
          <cell r="I271">
            <v>2500</v>
          </cell>
          <cell r="J271" t="str">
            <v>NIKE</v>
          </cell>
          <cell r="K271" t="str">
            <v>Forecast</v>
          </cell>
          <cell r="L271" t="str">
            <v>MOLDED</v>
          </cell>
          <cell r="M271">
            <v>1</v>
          </cell>
        </row>
        <row r="272">
          <cell r="A272" t="str">
            <v>F-2025-10-241</v>
          </cell>
          <cell r="B272" t="str">
            <v>FPRO-251020-0021</v>
          </cell>
          <cell r="C272" t="str">
            <v>BDB-000125</v>
          </cell>
          <cell r="D272" t="str">
            <v>PVN-002413</v>
          </cell>
          <cell r="E272" t="str">
            <v>OrthoLite Regular-Nike AIR BLUE/16-4134TPX 0.11D 25+/-4 Asker C 1.1M 2M 4.2mm</v>
          </cell>
          <cell r="F272">
            <v>2500</v>
          </cell>
          <cell r="G272">
            <v>2500</v>
          </cell>
          <cell r="H272">
            <v>0</v>
          </cell>
          <cell r="I272">
            <v>2500</v>
          </cell>
          <cell r="J272" t="str">
            <v>NIKE</v>
          </cell>
          <cell r="K272" t="str">
            <v>Forecast</v>
          </cell>
          <cell r="L272" t="str">
            <v>MOLDED</v>
          </cell>
          <cell r="M272">
            <v>1</v>
          </cell>
        </row>
        <row r="273">
          <cell r="A273" t="str">
            <v>F-2025-10-242</v>
          </cell>
          <cell r="B273" t="str">
            <v>FPRO-251020-0023</v>
          </cell>
          <cell r="C273" t="str">
            <v>BDB-000125</v>
          </cell>
          <cell r="D273" t="str">
            <v>PVN-002413</v>
          </cell>
          <cell r="E273" t="str">
            <v>OrthoLite Regular-Nike AIR BLUE/16-4134TPX 0.11D 25+/-4 Asker C 1.1M 2M 4.2mm</v>
          </cell>
          <cell r="F273">
            <v>2500</v>
          </cell>
          <cell r="G273">
            <v>2500</v>
          </cell>
          <cell r="H273">
            <v>0</v>
          </cell>
          <cell r="I273">
            <v>2500</v>
          </cell>
          <cell r="J273" t="str">
            <v>NIKE</v>
          </cell>
          <cell r="K273" t="str">
            <v>Forecast</v>
          </cell>
          <cell r="L273" t="str">
            <v>MOLDED</v>
          </cell>
          <cell r="M273">
            <v>1</v>
          </cell>
        </row>
        <row r="274">
          <cell r="A274" t="str">
            <v>F-2025-10-243</v>
          </cell>
          <cell r="B274" t="str">
            <v>FPRO-251020-0024</v>
          </cell>
          <cell r="C274" t="str">
            <v>BDB-000125</v>
          </cell>
          <cell r="D274" t="str">
            <v>PVN-002413</v>
          </cell>
          <cell r="E274" t="str">
            <v>OrthoLite Regular-Nike AIR BLUE/16-4134TPX 0.11D 25+/-4 Asker C 1.1M 2M 4.2mm</v>
          </cell>
          <cell r="F274">
            <v>2500</v>
          </cell>
          <cell r="G274">
            <v>2500</v>
          </cell>
          <cell r="H274">
            <v>0</v>
          </cell>
          <cell r="I274">
            <v>2500</v>
          </cell>
          <cell r="J274" t="str">
            <v>NIKE</v>
          </cell>
          <cell r="K274" t="str">
            <v>Forecast</v>
          </cell>
          <cell r="L274" t="str">
            <v>MOLDED</v>
          </cell>
          <cell r="M274">
            <v>1</v>
          </cell>
        </row>
        <row r="275">
          <cell r="A275" t="str">
            <v>F-2025-10-244</v>
          </cell>
          <cell r="B275" t="str">
            <v>FPRO-251020-0025</v>
          </cell>
          <cell r="C275" t="str">
            <v>BDB-000125</v>
          </cell>
          <cell r="D275" t="str">
            <v>PVN-002413</v>
          </cell>
          <cell r="E275" t="str">
            <v>OrthoLite Regular-Nike AIR BLUE/16-4134TPX 0.11D 25+/-4 Asker C 1.1M 2M 4.2mm</v>
          </cell>
          <cell r="F275">
            <v>2500</v>
          </cell>
          <cell r="G275">
            <v>2500</v>
          </cell>
          <cell r="H275">
            <v>0</v>
          </cell>
          <cell r="I275">
            <v>2500</v>
          </cell>
          <cell r="J275" t="str">
            <v>NIKE</v>
          </cell>
          <cell r="K275" t="str">
            <v>Forecast</v>
          </cell>
          <cell r="L275" t="str">
            <v>DIE CUT</v>
          </cell>
          <cell r="M275">
            <v>1</v>
          </cell>
        </row>
        <row r="276">
          <cell r="A276" t="str">
            <v>F-2025-10-245</v>
          </cell>
          <cell r="B276" t="str">
            <v>FPRO-251020-0026</v>
          </cell>
          <cell r="C276" t="str">
            <v>BDB-000125</v>
          </cell>
          <cell r="D276" t="str">
            <v>PVN-002413</v>
          </cell>
          <cell r="E276" t="str">
            <v>OrthoLite Regular-Nike AIR BLUE/16-4134TPX 0.11D 25+/-4 Asker C 1.1M 2M 4.2mm</v>
          </cell>
          <cell r="F276">
            <v>700</v>
          </cell>
          <cell r="G276">
            <v>700</v>
          </cell>
          <cell r="H276">
            <v>0</v>
          </cell>
          <cell r="I276">
            <v>700</v>
          </cell>
          <cell r="J276" t="str">
            <v>NIKE</v>
          </cell>
          <cell r="K276" t="str">
            <v>Forecast</v>
          </cell>
          <cell r="L276" t="str">
            <v>MOLDED</v>
          </cell>
          <cell r="M276">
            <v>1</v>
          </cell>
        </row>
        <row r="277">
          <cell r="A277" t="str">
            <v>F-2025-10-246</v>
          </cell>
          <cell r="B277" t="str">
            <v>FPRO-251020-0027</v>
          </cell>
          <cell r="C277" t="str">
            <v>BDB-000161</v>
          </cell>
          <cell r="D277" t="str">
            <v>PVN-001560</v>
          </cell>
          <cell r="E277" t="str">
            <v>OrthoLite Ultra-Nike FOSSIL/17-0909TPX 0.085D 25+/-4 Asker C 1.1M 2M 4mm</v>
          </cell>
          <cell r="F277">
            <v>1100</v>
          </cell>
          <cell r="G277">
            <v>1100</v>
          </cell>
          <cell r="H277">
            <v>0</v>
          </cell>
          <cell r="I277">
            <v>1100</v>
          </cell>
          <cell r="J277" t="str">
            <v>NIKE</v>
          </cell>
          <cell r="K277" t="str">
            <v>Forecast</v>
          </cell>
          <cell r="L277" t="str">
            <v>DIE CUT</v>
          </cell>
          <cell r="M277">
            <v>1</v>
          </cell>
        </row>
        <row r="278">
          <cell r="A278" t="str">
            <v>F-2025-10-247</v>
          </cell>
          <cell r="B278" t="str">
            <v>FPRO-251020-0028</v>
          </cell>
          <cell r="C278" t="str">
            <v>BDB-000161</v>
          </cell>
          <cell r="D278" t="str">
            <v>PVN-001560</v>
          </cell>
          <cell r="E278" t="str">
            <v>OrthoLite Ultra-Nike FOSSIL/17-0909TPX 0.085D 25+/-4 Asker C 1.1M 2M 4mm</v>
          </cell>
          <cell r="F278">
            <v>1000</v>
          </cell>
          <cell r="G278">
            <v>1000</v>
          </cell>
          <cell r="H278">
            <v>0</v>
          </cell>
          <cell r="I278">
            <v>1000</v>
          </cell>
          <cell r="J278" t="str">
            <v>NIKE</v>
          </cell>
          <cell r="K278" t="str">
            <v>Forecast</v>
          </cell>
          <cell r="L278" t="str">
            <v>DIE CUT</v>
          </cell>
          <cell r="M278">
            <v>1</v>
          </cell>
        </row>
        <row r="279">
          <cell r="A279" t="str">
            <v>F-2025-10-248</v>
          </cell>
          <cell r="B279" t="str">
            <v>FPRO-251020-0029</v>
          </cell>
          <cell r="C279" t="str">
            <v>BDB-000161</v>
          </cell>
          <cell r="D279" t="str">
            <v>PVN-001560</v>
          </cell>
          <cell r="E279" t="str">
            <v>OrthoLite Ultra-Nike FOSSIL/17-0909TPX 0.085D 25+/-4 Asker C 1.1M 2M 4mm</v>
          </cell>
          <cell r="F279">
            <v>1000</v>
          </cell>
          <cell r="G279">
            <v>1000</v>
          </cell>
          <cell r="H279">
            <v>0</v>
          </cell>
          <cell r="I279">
            <v>1000</v>
          </cell>
          <cell r="J279" t="str">
            <v>NIKE</v>
          </cell>
          <cell r="K279" t="str">
            <v>Forecast</v>
          </cell>
          <cell r="L279" t="str">
            <v>DIE CUT</v>
          </cell>
          <cell r="M279">
            <v>1</v>
          </cell>
        </row>
        <row r="280">
          <cell r="A280" t="str">
            <v>F-2025-10-249</v>
          </cell>
          <cell r="B280" t="str">
            <v>FPRO-251021-0001</v>
          </cell>
          <cell r="C280" t="str">
            <v>BDB-000161</v>
          </cell>
          <cell r="D280" t="str">
            <v>PVN-001560</v>
          </cell>
          <cell r="E280" t="str">
            <v>OrthoLite Ultra-Nike FOSSIL/17-0909TPX 0.085D 25+/-4 Asker C 1.1M 2M 4mm</v>
          </cell>
          <cell r="F280">
            <v>1000</v>
          </cell>
          <cell r="G280">
            <v>1000</v>
          </cell>
          <cell r="H280">
            <v>0</v>
          </cell>
          <cell r="I280">
            <v>1000</v>
          </cell>
          <cell r="J280" t="str">
            <v>NIKE</v>
          </cell>
          <cell r="K280" t="str">
            <v>Forecast</v>
          </cell>
          <cell r="L280" t="str">
            <v>DIE CUT</v>
          </cell>
          <cell r="M280">
            <v>1</v>
          </cell>
        </row>
        <row r="281">
          <cell r="A281" t="str">
            <v>F-2025-10-250</v>
          </cell>
          <cell r="B281" t="str">
            <v>FPRO-251021-0002</v>
          </cell>
          <cell r="C281" t="str">
            <v>BDB-000161</v>
          </cell>
          <cell r="D281" t="str">
            <v>PVN-001560</v>
          </cell>
          <cell r="E281" t="str">
            <v>OrthoLite Ultra-Nike FOSSIL/17-0909TPX 0.085D 25+/-4 Asker C 1.1M 2M 4mm</v>
          </cell>
          <cell r="F281">
            <v>1000</v>
          </cell>
          <cell r="G281">
            <v>1000</v>
          </cell>
          <cell r="H281">
            <v>0</v>
          </cell>
          <cell r="I281">
            <v>1000</v>
          </cell>
          <cell r="J281" t="str">
            <v>NIKE</v>
          </cell>
          <cell r="K281" t="str">
            <v>Forecast</v>
          </cell>
          <cell r="L281" t="str">
            <v>DIE CUT</v>
          </cell>
          <cell r="M281">
            <v>1</v>
          </cell>
        </row>
        <row r="282">
          <cell r="A282" t="str">
            <v>F-2025-10-251</v>
          </cell>
          <cell r="B282" t="str">
            <v>FPRO-251021-0003</v>
          </cell>
          <cell r="C282" t="str">
            <v>BDB-000161</v>
          </cell>
          <cell r="D282" t="str">
            <v>PVN-001560</v>
          </cell>
          <cell r="E282" t="str">
            <v>OrthoLite Ultra-Nike FOSSIL/17-0909TPX 0.085D 25+/-4 Asker C 1.1M 2M 4mm</v>
          </cell>
          <cell r="F282">
            <v>1000</v>
          </cell>
          <cell r="G282">
            <v>1000</v>
          </cell>
          <cell r="H282">
            <v>0</v>
          </cell>
          <cell r="I282">
            <v>1000</v>
          </cell>
          <cell r="J282" t="str">
            <v>NIKE</v>
          </cell>
          <cell r="K282" t="str">
            <v>Forecast</v>
          </cell>
          <cell r="L282" t="str">
            <v>DIE CUT</v>
          </cell>
          <cell r="M282">
            <v>1</v>
          </cell>
        </row>
        <row r="283">
          <cell r="A283" t="str">
            <v>F-2025-10-252</v>
          </cell>
          <cell r="B283" t="str">
            <v>FPRO-251021-0004</v>
          </cell>
          <cell r="C283" t="str">
            <v>BDB-000161</v>
          </cell>
          <cell r="D283" t="str">
            <v>PVN-001560</v>
          </cell>
          <cell r="E283" t="str">
            <v>OrthoLite Ultra-Nike FOSSIL/17-0909TPX 0.085D 25+/-4 Asker C 1.1M 2M 4mm</v>
          </cell>
          <cell r="F283">
            <v>1000</v>
          </cell>
          <cell r="G283">
            <v>1000</v>
          </cell>
          <cell r="H283">
            <v>0</v>
          </cell>
          <cell r="I283">
            <v>1000</v>
          </cell>
          <cell r="J283" t="str">
            <v>NIKE</v>
          </cell>
          <cell r="K283" t="str">
            <v>Forecast</v>
          </cell>
          <cell r="L283" t="str">
            <v>DIE CUT</v>
          </cell>
          <cell r="M283">
            <v>1</v>
          </cell>
        </row>
        <row r="284">
          <cell r="A284" t="str">
            <v>F-2025-10-253</v>
          </cell>
          <cell r="B284" t="str">
            <v>FPRO-251021-0005</v>
          </cell>
          <cell r="C284" t="str">
            <v>BDB-000161</v>
          </cell>
          <cell r="D284" t="str">
            <v>PVN-001560</v>
          </cell>
          <cell r="E284" t="str">
            <v>OrthoLite Ultra-Nike FOSSIL/17-0909TPX 0.085D 25+/-4 Asker C 1.1M 2M 4mm</v>
          </cell>
          <cell r="F284">
            <v>1000</v>
          </cell>
          <cell r="G284">
            <v>1000</v>
          </cell>
          <cell r="H284">
            <v>0</v>
          </cell>
          <cell r="I284">
            <v>1000</v>
          </cell>
          <cell r="J284" t="str">
            <v>NIKE</v>
          </cell>
          <cell r="K284" t="str">
            <v>Forecast</v>
          </cell>
          <cell r="L284" t="str">
            <v>DIE CUT</v>
          </cell>
          <cell r="M284">
            <v>1</v>
          </cell>
        </row>
        <row r="285">
          <cell r="A285" t="str">
            <v>F-2025-10-254</v>
          </cell>
          <cell r="B285" t="str">
            <v>FPRO-251021-0006</v>
          </cell>
          <cell r="C285" t="str">
            <v>BDB-000161</v>
          </cell>
          <cell r="D285" t="str">
            <v>PVN-001560</v>
          </cell>
          <cell r="E285" t="str">
            <v>OrthoLite Ultra-Nike FOSSIL/17-0909TPX 0.085D 25+/-4 Asker C 1.1M 2M 4mm</v>
          </cell>
          <cell r="F285">
            <v>1000</v>
          </cell>
          <cell r="G285">
            <v>1000</v>
          </cell>
          <cell r="H285">
            <v>0</v>
          </cell>
          <cell r="I285">
            <v>1000</v>
          </cell>
          <cell r="J285" t="str">
            <v>NIKE</v>
          </cell>
          <cell r="K285" t="str">
            <v>Forecast</v>
          </cell>
          <cell r="L285" t="str">
            <v>DIE CUT</v>
          </cell>
          <cell r="M285">
            <v>1</v>
          </cell>
        </row>
        <row r="286">
          <cell r="A286" t="str">
            <v>F-2025-10-255</v>
          </cell>
          <cell r="B286" t="str">
            <v>FPRO-251021-0007</v>
          </cell>
          <cell r="C286" t="str">
            <v>BDB-000161</v>
          </cell>
          <cell r="D286" t="str">
            <v>PVN-001560</v>
          </cell>
          <cell r="E286" t="str">
            <v>OrthoLite Ultra-Nike FOSSIL/17-0909TPX 0.085D 25+/-4 Asker C 1.1M 2M 4mm</v>
          </cell>
          <cell r="F286">
            <v>1000</v>
          </cell>
          <cell r="G286">
            <v>1000</v>
          </cell>
          <cell r="H286">
            <v>0</v>
          </cell>
          <cell r="I286">
            <v>1000</v>
          </cell>
          <cell r="J286" t="str">
            <v>NIKE</v>
          </cell>
          <cell r="K286" t="str">
            <v>Forecast</v>
          </cell>
          <cell r="L286" t="str">
            <v>DIE CUT</v>
          </cell>
          <cell r="M286">
            <v>1</v>
          </cell>
        </row>
        <row r="287">
          <cell r="A287" t="str">
            <v>F-2025-10-256</v>
          </cell>
          <cell r="B287" t="str">
            <v>FPRO-251021-0008</v>
          </cell>
          <cell r="C287" t="str">
            <v>BDB-000156</v>
          </cell>
          <cell r="D287" t="str">
            <v>PVN-003243</v>
          </cell>
          <cell r="E287" t="str">
            <v>OrthoLite X-35-Hybrid-Nike AMAZON/18-6024TPX Hybrid 0.145D 25+/-4 Asker C 1.1M 2M 5.2mm</v>
          </cell>
          <cell r="F287">
            <v>500</v>
          </cell>
          <cell r="G287">
            <v>500</v>
          </cell>
          <cell r="H287">
            <v>500</v>
          </cell>
          <cell r="I287">
            <v>0</v>
          </cell>
          <cell r="J287" t="str">
            <v>NIKE</v>
          </cell>
          <cell r="K287" t="str">
            <v>Forecast</v>
          </cell>
          <cell r="L287" t="str">
            <v>MOLDED</v>
          </cell>
          <cell r="M287">
            <v>1</v>
          </cell>
        </row>
        <row r="288">
          <cell r="A288" t="str">
            <v>F-2025-10-257</v>
          </cell>
          <cell r="B288" t="str">
            <v>FPRO-251021-0009</v>
          </cell>
          <cell r="C288" t="str">
            <v>BDB-000156</v>
          </cell>
          <cell r="D288" t="str">
            <v>PVN-003243</v>
          </cell>
          <cell r="E288" t="str">
            <v>OrthoLite X-35-Hybrid-Nike AMAZON/18-6024TPX Hybrid 0.145D 25+/-4 Asker C 1.1M 2M 5.2mm</v>
          </cell>
          <cell r="F288">
            <v>500</v>
          </cell>
          <cell r="G288">
            <v>500</v>
          </cell>
          <cell r="H288">
            <v>0</v>
          </cell>
          <cell r="I288">
            <v>500</v>
          </cell>
          <cell r="J288" t="str">
            <v>NIKE</v>
          </cell>
          <cell r="K288" t="str">
            <v>Forecast</v>
          </cell>
          <cell r="L288" t="str">
            <v>MOLDED</v>
          </cell>
          <cell r="M288">
            <v>1</v>
          </cell>
        </row>
        <row r="289">
          <cell r="A289" t="str">
            <v>F-2025-10-258</v>
          </cell>
          <cell r="B289" t="str">
            <v>FPRO-251021-0010</v>
          </cell>
          <cell r="C289" t="str">
            <v>BDB-000156</v>
          </cell>
          <cell r="D289" t="str">
            <v>PVN-003243</v>
          </cell>
          <cell r="E289" t="str">
            <v>OrthoLite X-35-Hybrid-Nike AMAZON/18-6024TPX Hybrid 0.145D 25+/-4 Asker C 1.1M 2M 5.2mm</v>
          </cell>
          <cell r="F289">
            <v>500</v>
          </cell>
          <cell r="G289">
            <v>500</v>
          </cell>
          <cell r="H289">
            <v>0</v>
          </cell>
          <cell r="I289">
            <v>500</v>
          </cell>
          <cell r="J289" t="str">
            <v>NIKE</v>
          </cell>
          <cell r="K289" t="str">
            <v>Forecast</v>
          </cell>
          <cell r="L289" t="str">
            <v>MOLDED</v>
          </cell>
          <cell r="M289">
            <v>1</v>
          </cell>
        </row>
        <row r="290">
          <cell r="A290" t="str">
            <v>F-2025-10-259</v>
          </cell>
          <cell r="B290" t="str">
            <v>FPRO-251021-0011</v>
          </cell>
          <cell r="C290" t="str">
            <v>BDB-000156</v>
          </cell>
          <cell r="D290" t="str">
            <v>PVN-003243</v>
          </cell>
          <cell r="E290" t="str">
            <v>OrthoLite X-35-Hybrid-Nike AMAZON/18-6024TPX Hybrid 0.145D 25+/-4 Asker C 1.1M 2M 5.2mm</v>
          </cell>
          <cell r="F290">
            <v>500</v>
          </cell>
          <cell r="G290">
            <v>500</v>
          </cell>
          <cell r="H290">
            <v>0</v>
          </cell>
          <cell r="I290">
            <v>500</v>
          </cell>
          <cell r="J290" t="str">
            <v>NIKE</v>
          </cell>
          <cell r="K290" t="str">
            <v>Forecast</v>
          </cell>
          <cell r="L290" t="str">
            <v>MOLDED</v>
          </cell>
          <cell r="M290">
            <v>1</v>
          </cell>
        </row>
        <row r="291">
          <cell r="A291" t="str">
            <v>F-2025-10-260</v>
          </cell>
          <cell r="B291" t="str">
            <v>FPRO-251021-0012</v>
          </cell>
          <cell r="C291" t="str">
            <v>BDB-000156</v>
          </cell>
          <cell r="D291" t="str">
            <v>PVN-003243</v>
          </cell>
          <cell r="E291" t="str">
            <v>OrthoLite X-35-Hybrid-Nike AMAZON/18-6024TPX Hybrid 0.145D 25+/-4 Asker C 1.1M 2M 5.2mm</v>
          </cell>
          <cell r="F291">
            <v>450</v>
          </cell>
          <cell r="G291">
            <v>450</v>
          </cell>
          <cell r="H291">
            <v>0</v>
          </cell>
          <cell r="I291">
            <v>450</v>
          </cell>
          <cell r="J291" t="str">
            <v>NIKE</v>
          </cell>
          <cell r="K291" t="str">
            <v>Forecast</v>
          </cell>
          <cell r="L291" t="str">
            <v>MOLDED</v>
          </cell>
          <cell r="M291">
            <v>1</v>
          </cell>
        </row>
        <row r="292">
          <cell r="A292" t="str">
            <v>F-2025-10-261</v>
          </cell>
          <cell r="B292" t="str">
            <v>FPRO-251021-0013</v>
          </cell>
          <cell r="C292" t="str">
            <v>BDB-000259</v>
          </cell>
          <cell r="D292" t="str">
            <v>PVN-003684</v>
          </cell>
          <cell r="E292" t="str">
            <v>OrthoLite Nike PP002 GLACIER GRAY/14-4102TPX Flat Sheet 0.145D 25+/-4 asker C 1.1M 2M 4.2mm</v>
          </cell>
          <cell r="F292">
            <v>2000</v>
          </cell>
          <cell r="G292">
            <v>2000</v>
          </cell>
          <cell r="H292">
            <v>0</v>
          </cell>
          <cell r="I292">
            <v>2000</v>
          </cell>
          <cell r="J292" t="str">
            <v>NIKE</v>
          </cell>
          <cell r="K292" t="str">
            <v>Forecast</v>
          </cell>
          <cell r="L292" t="str">
            <v>MOLDED</v>
          </cell>
          <cell r="M292">
            <v>1</v>
          </cell>
        </row>
        <row r="293">
          <cell r="A293" t="str">
            <v>F-2025-10-262</v>
          </cell>
          <cell r="B293" t="str">
            <v>FPRO-251021-0014</v>
          </cell>
          <cell r="C293" t="str">
            <v>BDB-000259</v>
          </cell>
          <cell r="D293" t="str">
            <v>PVN-003684</v>
          </cell>
          <cell r="E293" t="str">
            <v>OrthoLite Nike PP002 GLACIER GRAY/14-4102TPX Flat Sheet 0.145D 25+/-4 asker C 1.1M 2M 4.2mm</v>
          </cell>
          <cell r="F293">
            <v>2000</v>
          </cell>
          <cell r="G293">
            <v>2000</v>
          </cell>
          <cell r="H293">
            <v>0</v>
          </cell>
          <cell r="I293">
            <v>2000</v>
          </cell>
          <cell r="J293" t="str">
            <v>NIKE</v>
          </cell>
          <cell r="K293" t="str">
            <v>Forecast</v>
          </cell>
          <cell r="L293" t="str">
            <v>MOLDED</v>
          </cell>
          <cell r="M293">
            <v>1</v>
          </cell>
        </row>
        <row r="294">
          <cell r="A294" t="str">
            <v>F-2025-10-263</v>
          </cell>
          <cell r="B294" t="str">
            <v>FPRO-251021-0015</v>
          </cell>
          <cell r="C294" t="str">
            <v>BDB-000259</v>
          </cell>
          <cell r="D294" t="str">
            <v>PVN-003684</v>
          </cell>
          <cell r="E294" t="str">
            <v>OrthoLite Nike PP002 GLACIER GRAY/14-4102TPX Flat Sheet 0.145D 25+/-4 asker C 1.1M 2M 4.2mm</v>
          </cell>
          <cell r="F294">
            <v>2000</v>
          </cell>
          <cell r="G294">
            <v>2000</v>
          </cell>
          <cell r="H294">
            <v>0</v>
          </cell>
          <cell r="I294">
            <v>2000</v>
          </cell>
          <cell r="J294" t="str">
            <v>NIKE</v>
          </cell>
          <cell r="K294" t="str">
            <v>Forecast</v>
          </cell>
          <cell r="L294" t="str">
            <v>MOLDED</v>
          </cell>
          <cell r="M294">
            <v>1</v>
          </cell>
        </row>
        <row r="295">
          <cell r="A295" t="str">
            <v>F-2025-10-264</v>
          </cell>
          <cell r="B295" t="str">
            <v>FPRO-251021-0016</v>
          </cell>
          <cell r="C295" t="str">
            <v>BDB-000259</v>
          </cell>
          <cell r="D295" t="str">
            <v>PVN-003684</v>
          </cell>
          <cell r="E295" t="str">
            <v>OrthoLite Nike PP002 GLACIER GRAY/14-4102TPX Flat Sheet 0.145D 25+/-4 asker C 1.1M 2M 4.2mm</v>
          </cell>
          <cell r="F295">
            <v>1100</v>
          </cell>
          <cell r="G295">
            <v>1100</v>
          </cell>
          <cell r="H295">
            <v>1100</v>
          </cell>
          <cell r="I295">
            <v>0</v>
          </cell>
          <cell r="J295" t="str">
            <v>NIKE</v>
          </cell>
          <cell r="K295" t="str">
            <v>Forecast</v>
          </cell>
          <cell r="L295" t="str">
            <v>MOLDED</v>
          </cell>
          <cell r="M295">
            <v>1</v>
          </cell>
        </row>
        <row r="296">
          <cell r="A296" t="str">
            <v>F-2025-10-265</v>
          </cell>
          <cell r="B296" t="str">
            <v>FPRO-251021-0017</v>
          </cell>
          <cell r="C296" t="str">
            <v>BDB-000129</v>
          </cell>
          <cell r="D296" t="str">
            <v>PVN-001550</v>
          </cell>
          <cell r="E296" t="str">
            <v>OrthoLite Regular-Nike AIR BLUE/16-4134TPX 0.11D 25+/-4 Asker C 1.1M 1.7M 2mm</v>
          </cell>
          <cell r="F296">
            <v>3500</v>
          </cell>
          <cell r="G296">
            <v>3500</v>
          </cell>
          <cell r="H296">
            <v>0</v>
          </cell>
          <cell r="I296">
            <v>3500</v>
          </cell>
          <cell r="J296" t="str">
            <v>NIKE</v>
          </cell>
          <cell r="K296" t="str">
            <v>Forecast</v>
          </cell>
          <cell r="L296" t="str">
            <v>DIE CUT</v>
          </cell>
          <cell r="M296">
            <v>1</v>
          </cell>
        </row>
        <row r="297">
          <cell r="A297" t="str">
            <v>F-2025-10-266</v>
          </cell>
          <cell r="B297" t="str">
            <v>FPRO-251021-0018</v>
          </cell>
          <cell r="C297" t="str">
            <v>BDB-000129</v>
          </cell>
          <cell r="D297" t="str">
            <v>PVN-001550</v>
          </cell>
          <cell r="E297" t="str">
            <v>OrthoLite Regular-Nike AIR BLUE/16-4134TPX 0.11D 25+/-4 Asker C 1.1M 1.7M 2mm</v>
          </cell>
          <cell r="F297">
            <v>3500</v>
          </cell>
          <cell r="G297">
            <v>3500</v>
          </cell>
          <cell r="H297">
            <v>3500</v>
          </cell>
          <cell r="I297">
            <v>0</v>
          </cell>
          <cell r="J297" t="str">
            <v>NIKE</v>
          </cell>
          <cell r="K297" t="str">
            <v>Forecast</v>
          </cell>
          <cell r="L297" t="str">
            <v>DIE CUT</v>
          </cell>
          <cell r="M297">
            <v>1</v>
          </cell>
        </row>
        <row r="298">
          <cell r="A298" t="str">
            <v>F-2025-10-267</v>
          </cell>
          <cell r="B298" t="str">
            <v>FPRO-251021-0019</v>
          </cell>
          <cell r="C298" t="str">
            <v>BDB-000129</v>
          </cell>
          <cell r="D298" t="str">
            <v>PVN-001550</v>
          </cell>
          <cell r="E298" t="str">
            <v>OrthoLite Regular-Nike AIR BLUE/16-4134TPX 0.11D 25+/-4 Asker C 1.1M 1.7M 2mm</v>
          </cell>
          <cell r="F298">
            <v>3500</v>
          </cell>
          <cell r="G298">
            <v>3500</v>
          </cell>
          <cell r="H298">
            <v>0</v>
          </cell>
          <cell r="I298">
            <v>3500</v>
          </cell>
          <cell r="J298" t="str">
            <v>NIKE</v>
          </cell>
          <cell r="K298" t="str">
            <v>Forecast</v>
          </cell>
          <cell r="L298" t="str">
            <v>DIE CUT</v>
          </cell>
          <cell r="M298">
            <v>1</v>
          </cell>
        </row>
        <row r="299">
          <cell r="A299" t="str">
            <v>F-2025-10-268-1</v>
          </cell>
          <cell r="B299" t="str">
            <v>FPRO-251021-0020</v>
          </cell>
          <cell r="C299" t="str">
            <v>BDB-000129</v>
          </cell>
          <cell r="D299" t="str">
            <v>PVN-001550</v>
          </cell>
          <cell r="E299" t="str">
            <v>OrthoLite Regular-Nike AIR BLUE/16-4134TPX 0.11D 25+/-4 Asker C 1.1M 1.7M 2mm</v>
          </cell>
          <cell r="F299">
            <v>3500</v>
          </cell>
          <cell r="G299">
            <v>1000</v>
          </cell>
          <cell r="H299">
            <v>0</v>
          </cell>
          <cell r="I299">
            <v>1000</v>
          </cell>
          <cell r="J299" t="str">
            <v>NIKE</v>
          </cell>
          <cell r="K299" t="str">
            <v>Forecast</v>
          </cell>
          <cell r="L299" t="str">
            <v>DIE CUT</v>
          </cell>
          <cell r="M299">
            <v>1</v>
          </cell>
        </row>
        <row r="300">
          <cell r="A300" t="str">
            <v>F-2025-10-268-2</v>
          </cell>
          <cell r="B300"/>
          <cell r="C300" t="str">
            <v>BDB-000129</v>
          </cell>
          <cell r="D300" t="str">
            <v>PVN-001550</v>
          </cell>
          <cell r="E300" t="str">
            <v>OrthoLite Regular-Nike AIR BLUE/16-4134TPX 0.11D 25+/-4 Asker C 1.1M 1.7M 2mm</v>
          </cell>
          <cell r="F300">
            <v>3500</v>
          </cell>
          <cell r="G300">
            <v>2500</v>
          </cell>
          <cell r="H300">
            <v>0</v>
          </cell>
          <cell r="I300">
            <v>2500</v>
          </cell>
          <cell r="J300" t="str">
            <v>NIKE</v>
          </cell>
          <cell r="K300" t="str">
            <v>Forecast</v>
          </cell>
          <cell r="L300" t="str">
            <v>DIE CUT</v>
          </cell>
          <cell r="M300">
            <v>1</v>
          </cell>
        </row>
        <row r="301">
          <cell r="A301" t="str">
            <v>F-2025-10-269</v>
          </cell>
          <cell r="B301" t="str">
            <v>FPRO-251021-0021</v>
          </cell>
          <cell r="C301" t="str">
            <v>BDB-000129</v>
          </cell>
          <cell r="D301" t="str">
            <v>PVN-001550</v>
          </cell>
          <cell r="E301" t="str">
            <v>OrthoLite Regular-Nike AIR BLUE/16-4134TPX 0.11D 25+/-4 Asker C 1.1M 1.7M 2mm</v>
          </cell>
          <cell r="F301">
            <v>700</v>
          </cell>
          <cell r="G301">
            <v>700</v>
          </cell>
          <cell r="H301">
            <v>700</v>
          </cell>
          <cell r="I301">
            <v>0</v>
          </cell>
          <cell r="J301" t="str">
            <v>NIKE</v>
          </cell>
          <cell r="K301" t="str">
            <v>Forecast</v>
          </cell>
          <cell r="L301" t="str">
            <v>DIE CUT</v>
          </cell>
          <cell r="M301">
            <v>1</v>
          </cell>
        </row>
        <row r="302">
          <cell r="A302" t="str">
            <v>F-2025-10-270</v>
          </cell>
          <cell r="B302" t="str">
            <v>FPRO-251021-0022</v>
          </cell>
          <cell r="C302" t="str">
            <v>BDB-000131</v>
          </cell>
          <cell r="D302" t="str">
            <v>PVN-001565</v>
          </cell>
          <cell r="E302" t="str">
            <v>OrthoLite Regular-Nike AIR BLUE/16-4134TPX 0.11D 15+/-4 Asker C 1.1M 2M 4mm</v>
          </cell>
          <cell r="F302">
            <v>1000</v>
          </cell>
          <cell r="G302">
            <v>1000</v>
          </cell>
          <cell r="H302">
            <v>1000</v>
          </cell>
          <cell r="I302">
            <v>0</v>
          </cell>
          <cell r="J302" t="str">
            <v>NIKE</v>
          </cell>
          <cell r="K302" t="str">
            <v>Forecast</v>
          </cell>
          <cell r="L302" t="str">
            <v>DIE CUT</v>
          </cell>
          <cell r="M302">
            <v>1</v>
          </cell>
        </row>
        <row r="303">
          <cell r="A303" t="str">
            <v>F-2025-10-271</v>
          </cell>
          <cell r="B303" t="str">
            <v>FPRO-251021-0023</v>
          </cell>
          <cell r="C303" t="str">
            <v>BDB-000131</v>
          </cell>
          <cell r="D303" t="str">
            <v>PVN-001565</v>
          </cell>
          <cell r="E303" t="str">
            <v>OrthoLite Regular-Nike AIR BLUE/16-4134TPX 0.11D 15+/-4 Asker C 1.1M 2M 4mm</v>
          </cell>
          <cell r="F303">
            <v>1000</v>
          </cell>
          <cell r="G303">
            <v>1000</v>
          </cell>
          <cell r="H303">
            <v>0</v>
          </cell>
          <cell r="I303">
            <v>1000</v>
          </cell>
          <cell r="J303" t="str">
            <v>NIKE</v>
          </cell>
          <cell r="K303" t="str">
            <v>Forecast</v>
          </cell>
          <cell r="L303" t="str">
            <v>DIE CUT</v>
          </cell>
          <cell r="M303">
            <v>1</v>
          </cell>
        </row>
        <row r="304">
          <cell r="A304" t="str">
            <v>F-2025-10-272</v>
          </cell>
          <cell r="B304" t="str">
            <v>FPRO-251021-0024</v>
          </cell>
          <cell r="C304" t="str">
            <v>BDB-000131</v>
          </cell>
          <cell r="D304" t="str">
            <v>PVN-001565</v>
          </cell>
          <cell r="E304" t="str">
            <v>OrthoLite Regular-Nike AIR BLUE/16-4134TPX 0.11D 15+/-4 Asker C 1.1M 2M 4mm</v>
          </cell>
          <cell r="F304">
            <v>700</v>
          </cell>
          <cell r="G304">
            <v>700</v>
          </cell>
          <cell r="H304">
            <v>0</v>
          </cell>
          <cell r="I304">
            <v>700</v>
          </cell>
          <cell r="J304" t="str">
            <v>NIKE</v>
          </cell>
          <cell r="K304" t="str">
            <v>Forecast</v>
          </cell>
          <cell r="L304" t="str">
            <v>DIE CUT</v>
          </cell>
          <cell r="M304">
            <v>1</v>
          </cell>
        </row>
        <row r="305">
          <cell r="A305" t="str">
            <v>F-2025-10-273</v>
          </cell>
          <cell r="B305" t="str">
            <v>FPRO-251021-0025</v>
          </cell>
          <cell r="C305" t="str">
            <v>BDB-000175</v>
          </cell>
          <cell r="D305" t="str">
            <v>PVN-002875</v>
          </cell>
          <cell r="E305" t="str">
            <v>OrthoLite Ultra-Hybrid-Nike SEEDPEARL/12-0703TPX Hybrid 0.085D 25+/-4 Asker C 1.1M 2M 3mm</v>
          </cell>
          <cell r="F305">
            <v>1200</v>
          </cell>
          <cell r="G305">
            <v>1200</v>
          </cell>
          <cell r="H305">
            <v>0</v>
          </cell>
          <cell r="I305">
            <v>1200</v>
          </cell>
          <cell r="J305" t="str">
            <v>NIKE</v>
          </cell>
          <cell r="K305" t="str">
            <v>Forecast</v>
          </cell>
          <cell r="L305" t="str">
            <v>DIE CUT</v>
          </cell>
          <cell r="M305">
            <v>1</v>
          </cell>
        </row>
        <row r="306">
          <cell r="A306" t="str">
            <v>F-2025-10-274</v>
          </cell>
          <cell r="B306" t="str">
            <v>FPRO-251021-0026</v>
          </cell>
          <cell r="C306" t="str">
            <v>BDB-000175</v>
          </cell>
          <cell r="D306" t="str">
            <v>PVN-002875</v>
          </cell>
          <cell r="E306" t="str">
            <v>OrthoLite Ultra-Hybrid-Nike SEEDPEARL/12-0703TPX Hybrid 0.085D 25+/-4 Asker C 1.1M 2M 3mm</v>
          </cell>
          <cell r="F306">
            <v>1000</v>
          </cell>
          <cell r="G306">
            <v>1000</v>
          </cell>
          <cell r="H306">
            <v>0</v>
          </cell>
          <cell r="I306">
            <v>1000</v>
          </cell>
          <cell r="J306" t="str">
            <v>NIKE</v>
          </cell>
          <cell r="K306" t="str">
            <v>Forecast</v>
          </cell>
          <cell r="L306" t="str">
            <v>DIE CUT</v>
          </cell>
          <cell r="M306">
            <v>1</v>
          </cell>
        </row>
        <row r="307">
          <cell r="A307" t="str">
            <v>F-2025-10-275</v>
          </cell>
          <cell r="B307" t="str">
            <v>FPRO-251021-0027</v>
          </cell>
          <cell r="C307" t="str">
            <v>BDB-000175</v>
          </cell>
          <cell r="D307" t="str">
            <v>PVN-002875</v>
          </cell>
          <cell r="E307" t="str">
            <v>OrthoLite Ultra-Hybrid-Nike SEEDPEARL/12-0703TPX Hybrid 0.085D 25+/-4 Asker C 1.1M 2M 3mm</v>
          </cell>
          <cell r="F307">
            <v>1000</v>
          </cell>
          <cell r="G307">
            <v>1000</v>
          </cell>
          <cell r="H307">
            <v>0</v>
          </cell>
          <cell r="I307">
            <v>1000</v>
          </cell>
          <cell r="J307" t="str">
            <v>NIKE</v>
          </cell>
          <cell r="K307" t="str">
            <v>Forecast</v>
          </cell>
          <cell r="L307" t="str">
            <v>DIE CUT</v>
          </cell>
          <cell r="M307">
            <v>1</v>
          </cell>
        </row>
        <row r="308">
          <cell r="A308" t="str">
            <v>F-2025-10-276</v>
          </cell>
          <cell r="B308" t="str">
            <v>FPRO-251021-0028</v>
          </cell>
          <cell r="C308" t="str">
            <v>BDB-000175</v>
          </cell>
          <cell r="D308" t="str">
            <v>PVN-002875</v>
          </cell>
          <cell r="E308" t="str">
            <v>OrthoLite Ultra-Hybrid-Nike SEEDPEARL/12-0703TPX Hybrid 0.085D 25+/-4 Asker C 1.1M 2M 3mm</v>
          </cell>
          <cell r="F308">
            <v>1000</v>
          </cell>
          <cell r="G308">
            <v>1000</v>
          </cell>
          <cell r="H308">
            <v>0</v>
          </cell>
          <cell r="I308">
            <v>1000</v>
          </cell>
          <cell r="J308" t="str">
            <v>NIKE</v>
          </cell>
          <cell r="K308" t="str">
            <v>Forecast</v>
          </cell>
          <cell r="L308" t="str">
            <v>DIE CUT</v>
          </cell>
          <cell r="M308">
            <v>1</v>
          </cell>
        </row>
        <row r="309">
          <cell r="A309" t="str">
            <v>F-2025-10-277</v>
          </cell>
          <cell r="B309" t="str">
            <v>FPRO-251021-0029</v>
          </cell>
          <cell r="C309" t="str">
            <v>BDB-000175</v>
          </cell>
          <cell r="D309" t="str">
            <v>PVN-002875</v>
          </cell>
          <cell r="E309" t="str">
            <v>OrthoLite Ultra-Hybrid-Nike SEEDPEARL/12-0703TPX Hybrid 0.085D 25+/-4 Asker C 1.1M 2M 3mm</v>
          </cell>
          <cell r="F309">
            <v>1000</v>
          </cell>
          <cell r="G309">
            <v>1000</v>
          </cell>
          <cell r="H309">
            <v>1000</v>
          </cell>
          <cell r="I309">
            <v>0</v>
          </cell>
          <cell r="J309" t="str">
            <v>NIKE</v>
          </cell>
          <cell r="K309" t="str">
            <v>Forecast</v>
          </cell>
          <cell r="L309" t="str">
            <v>DIE CUT</v>
          </cell>
          <cell r="M309">
            <v>1</v>
          </cell>
        </row>
        <row r="310">
          <cell r="A310" t="str">
            <v>F-2025-10-278</v>
          </cell>
          <cell r="B310" t="str">
            <v>FPRO-251021-0030</v>
          </cell>
          <cell r="C310" t="str">
            <v>BDB-000157</v>
          </cell>
          <cell r="D310" t="str">
            <v>PVN-003573</v>
          </cell>
          <cell r="E310" t="str">
            <v>OrthoLite X-35-Hybrid-Nike SEEDPEARL/12-0703TPX Hybrid 0.145D 25+/-4 Asker C 1.1M 2M 4.2mm</v>
          </cell>
          <cell r="F310">
            <v>3000</v>
          </cell>
          <cell r="G310">
            <v>3000</v>
          </cell>
          <cell r="H310">
            <v>3000</v>
          </cell>
          <cell r="I310">
            <v>0</v>
          </cell>
          <cell r="J310" t="str">
            <v>NIKE</v>
          </cell>
          <cell r="K310" t="str">
            <v>Forecast</v>
          </cell>
          <cell r="L310" t="str">
            <v>MOLDED</v>
          </cell>
          <cell r="M310">
            <v>1</v>
          </cell>
        </row>
        <row r="311">
          <cell r="A311" t="str">
            <v>F-2025-10-279</v>
          </cell>
          <cell r="B311" t="str">
            <v>FPRO-251021-0031</v>
          </cell>
          <cell r="C311" t="str">
            <v>BDB-000157</v>
          </cell>
          <cell r="D311" t="str">
            <v>PVN-003573</v>
          </cell>
          <cell r="E311" t="str">
            <v>OrthoLite X-35-Hybrid-Nike SEEDPEARL/12-0703TPX Hybrid 0.145D 25+/-4 Asker C 1.1M 2M 4.2mm</v>
          </cell>
          <cell r="F311">
            <v>3000</v>
          </cell>
          <cell r="G311">
            <v>3000</v>
          </cell>
          <cell r="H311">
            <v>3000</v>
          </cell>
          <cell r="I311">
            <v>0</v>
          </cell>
          <cell r="J311" t="str">
            <v>NIKE</v>
          </cell>
          <cell r="K311" t="str">
            <v>Forecast</v>
          </cell>
          <cell r="L311" t="str">
            <v>MOLDED</v>
          </cell>
          <cell r="M311">
            <v>1</v>
          </cell>
        </row>
        <row r="312">
          <cell r="A312" t="str">
            <v>F-2025-10-280</v>
          </cell>
          <cell r="B312" t="str">
            <v>FPRO-251021-0032</v>
          </cell>
          <cell r="C312" t="str">
            <v>BDB-000157</v>
          </cell>
          <cell r="D312" t="str">
            <v>PVN-003573</v>
          </cell>
          <cell r="E312" t="str">
            <v>OrthoLite X-35-Hybrid-Nike SEEDPEARL/12-0703TPX Hybrid 0.145D 25+/-4 Asker C 1.1M 2M 4.2mm</v>
          </cell>
          <cell r="F312">
            <v>3000</v>
          </cell>
          <cell r="G312">
            <v>3000</v>
          </cell>
          <cell r="H312">
            <v>0</v>
          </cell>
          <cell r="I312">
            <v>3000</v>
          </cell>
          <cell r="J312" t="str">
            <v>NIKE</v>
          </cell>
          <cell r="K312" t="str">
            <v>Forecast</v>
          </cell>
          <cell r="L312" t="str">
            <v>MOLDED</v>
          </cell>
          <cell r="M312">
            <v>1</v>
          </cell>
        </row>
        <row r="313">
          <cell r="A313" t="str">
            <v>F-2025-10-281</v>
          </cell>
          <cell r="B313" t="str">
            <v>FPRO-251021-0033</v>
          </cell>
          <cell r="C313" t="str">
            <v>BDB-000157</v>
          </cell>
          <cell r="D313" t="str">
            <v>PVN-003573</v>
          </cell>
          <cell r="E313" t="str">
            <v>OrthoLite X-35-Hybrid-Nike SEEDPEARL/12-0703TPX Hybrid 0.145D 25+/-4 Asker C 1.1M 2M 4.2mm</v>
          </cell>
          <cell r="F313">
            <v>3000</v>
          </cell>
          <cell r="G313">
            <v>3000</v>
          </cell>
          <cell r="H313">
            <v>0</v>
          </cell>
          <cell r="I313">
            <v>3000</v>
          </cell>
          <cell r="J313" t="str">
            <v>NIKE</v>
          </cell>
          <cell r="K313" t="str">
            <v>Forecast</v>
          </cell>
          <cell r="L313" t="str">
            <v>MOLDED</v>
          </cell>
          <cell r="M313">
            <v>1</v>
          </cell>
        </row>
        <row r="314">
          <cell r="A314" t="str">
            <v>F-2025-10-282</v>
          </cell>
          <cell r="B314" t="str">
            <v>FPRO-251021-0034</v>
          </cell>
          <cell r="C314" t="str">
            <v>BDB-000157</v>
          </cell>
          <cell r="D314" t="str">
            <v>PVN-003573</v>
          </cell>
          <cell r="E314" t="str">
            <v>OrthoLite X-35-Hybrid-Nike SEEDPEARL/12-0703TPX Hybrid 0.145D 25+/-4 Asker C 1.1M 2M 4.2mm</v>
          </cell>
          <cell r="F314">
            <v>900</v>
          </cell>
          <cell r="G314">
            <v>900</v>
          </cell>
          <cell r="H314">
            <v>900</v>
          </cell>
          <cell r="I314">
            <v>0</v>
          </cell>
          <cell r="J314" t="str">
            <v>NIKE</v>
          </cell>
          <cell r="K314" t="str">
            <v>Forecast</v>
          </cell>
          <cell r="L314" t="str">
            <v>MOLDED</v>
          </cell>
          <cell r="M314">
            <v>1</v>
          </cell>
        </row>
        <row r="315">
          <cell r="A315" t="str">
            <v>F-2025-10-283</v>
          </cell>
          <cell r="B315" t="str">
            <v>FPRO-251021-0035</v>
          </cell>
          <cell r="C315" t="str">
            <v>BDB-000123</v>
          </cell>
          <cell r="D315" t="str">
            <v>PVN-003298</v>
          </cell>
          <cell r="E315" t="str">
            <v>OrthoLite Ultra-Hybrid SEEDPEARL/12-0703TPX Hybrid 0.085D 25+/-4 Asker C 1.1M 2M 4mm</v>
          </cell>
          <cell r="F315">
            <v>7000</v>
          </cell>
          <cell r="G315">
            <v>7000</v>
          </cell>
          <cell r="H315">
            <v>0</v>
          </cell>
          <cell r="I315">
            <v>7000</v>
          </cell>
          <cell r="J315" t="str">
            <v>SALOMON</v>
          </cell>
          <cell r="K315" t="str">
            <v>Forecast</v>
          </cell>
          <cell r="L315" t="str">
            <v>LAMINATING</v>
          </cell>
          <cell r="M315">
            <v>1</v>
          </cell>
        </row>
        <row r="316">
          <cell r="A316" t="str">
            <v>F-2025-10-284</v>
          </cell>
          <cell r="B316" t="str">
            <v>FPRO-251021-0036</v>
          </cell>
          <cell r="C316" t="str">
            <v>BDB-000123</v>
          </cell>
          <cell r="D316" t="str">
            <v>PVN-003298</v>
          </cell>
          <cell r="E316" t="str">
            <v>OrthoLite Ultra-Hybrid SEEDPEARL/12-0703TPX Hybrid 0.085D 25+/-4 Asker C 1.1M 2M 4mm</v>
          </cell>
          <cell r="F316">
            <v>7000</v>
          </cell>
          <cell r="G316">
            <v>7000</v>
          </cell>
          <cell r="H316">
            <v>0</v>
          </cell>
          <cell r="I316">
            <v>7000</v>
          </cell>
          <cell r="J316" t="str">
            <v>SALOMON</v>
          </cell>
          <cell r="K316" t="str">
            <v>Forecast</v>
          </cell>
          <cell r="L316" t="str">
            <v>LAMINATING</v>
          </cell>
          <cell r="M316">
            <v>1</v>
          </cell>
        </row>
        <row r="317">
          <cell r="A317" t="str">
            <v>F-2025-10-285</v>
          </cell>
          <cell r="B317" t="str">
            <v>FPRO-251021-0037</v>
          </cell>
          <cell r="C317" t="str">
            <v>BDB-000123</v>
          </cell>
          <cell r="D317" t="str">
            <v>PVN-003298</v>
          </cell>
          <cell r="E317" t="str">
            <v>OrthoLite Ultra-Hybrid SEEDPEARL/12-0703TPX Hybrid 0.085D 25+/-4 Asker C 1.1M 2M 4mm</v>
          </cell>
          <cell r="F317">
            <v>1100</v>
          </cell>
          <cell r="G317">
            <v>1100</v>
          </cell>
          <cell r="H317">
            <v>0</v>
          </cell>
          <cell r="I317">
            <v>1100</v>
          </cell>
          <cell r="J317" t="str">
            <v>SALOMON</v>
          </cell>
          <cell r="K317" t="str">
            <v>Forecast</v>
          </cell>
          <cell r="L317" t="str">
            <v>LAMINATING</v>
          </cell>
          <cell r="M317">
            <v>1</v>
          </cell>
        </row>
        <row r="318">
          <cell r="A318" t="str">
            <v>F-2025-10-286</v>
          </cell>
          <cell r="B318" t="str">
            <v>RPRO-251023-0512</v>
          </cell>
          <cell r="C318" t="str">
            <v>BDB-000113</v>
          </cell>
          <cell r="D318" t="str">
            <v>PVN-002501</v>
          </cell>
          <cell r="E318" t="str">
            <v>OrthoLite Regular-Hybrid SEEDPEARL/12-0703TPX Hybrid Flat Sheet 0.11D 25+/-4 Asker C 1.1M 2M 2mm</v>
          </cell>
          <cell r="F318">
            <v>140</v>
          </cell>
          <cell r="G318">
            <v>140</v>
          </cell>
          <cell r="H318">
            <v>140</v>
          </cell>
          <cell r="I318">
            <v>0</v>
          </cell>
          <cell r="J318"/>
          <cell r="K318" t="str">
            <v>MPS</v>
          </cell>
          <cell r="L318" t="str">
            <v>SPLITTING</v>
          </cell>
          <cell r="M318">
            <v>2</v>
          </cell>
        </row>
        <row r="319">
          <cell r="A319" t="str">
            <v>F-2025-10-287</v>
          </cell>
          <cell r="B319" t="str">
            <v>RPRO-251023-0513</v>
          </cell>
          <cell r="C319" t="str">
            <v>BDB-000209</v>
          </cell>
          <cell r="D319" t="str">
            <v>PVN-003461</v>
          </cell>
          <cell r="E319" t="str">
            <v>OrthoLite HybridPlus-Recycled MINT GREEN/11-4805TPX Hybrid Flat Sheet 0.12D 25+/-4 Asker C 1.1M 2M 11mm</v>
          </cell>
          <cell r="F319">
            <v>168</v>
          </cell>
          <cell r="G319">
            <v>168</v>
          </cell>
          <cell r="H319">
            <v>168</v>
          </cell>
          <cell r="I319">
            <v>0</v>
          </cell>
          <cell r="J319" t="str">
            <v>AKU</v>
          </cell>
          <cell r="K319" t="str">
            <v>Pr.Sch.R</v>
          </cell>
          <cell r="L319" t="str">
            <v>MOLDED</v>
          </cell>
          <cell r="M319">
            <v>1</v>
          </cell>
        </row>
        <row r="320">
          <cell r="A320" t="str">
            <v>F-2025-10-288</v>
          </cell>
          <cell r="B320" t="str">
            <v>RPRO-251023-0514</v>
          </cell>
          <cell r="C320" t="str">
            <v>BDB-000209</v>
          </cell>
          <cell r="D320" t="str">
            <v>PVN-003537</v>
          </cell>
          <cell r="E320" t="str">
            <v>OrthoLite HybridPlus-Recycled MINT GREEN/11-4805TPX Hybrid Flat Sheet 0.12D 25+/-4 Asker C 1.1M 2M 4.5mm</v>
          </cell>
          <cell r="F320">
            <v>558</v>
          </cell>
          <cell r="G320">
            <v>558</v>
          </cell>
          <cell r="H320">
            <v>558</v>
          </cell>
          <cell r="I320">
            <v>0</v>
          </cell>
          <cell r="J320" t="str">
            <v>AKU</v>
          </cell>
          <cell r="K320" t="str">
            <v>Pr.Sch.R</v>
          </cell>
          <cell r="L320" t="str">
            <v>MOLDED</v>
          </cell>
          <cell r="M320">
            <v>1</v>
          </cell>
        </row>
        <row r="321">
          <cell r="A321" t="str">
            <v>F-2025-10-289</v>
          </cell>
          <cell r="B321" t="str">
            <v>RPRO-251023-0515</v>
          </cell>
          <cell r="C321" t="str">
            <v>BDB-000117</v>
          </cell>
          <cell r="D321" t="str">
            <v>PVN-003234</v>
          </cell>
          <cell r="E321" t="str">
            <v>OrthoLite X-35-Hybrid SEEDPEARL/12-0703TPX Hybrid Flat Sheet 0.145D 25+/-4 Asker C 1.1M 2M 5.5mm</v>
          </cell>
          <cell r="F321">
            <v>25</v>
          </cell>
          <cell r="G321">
            <v>25</v>
          </cell>
          <cell r="H321">
            <v>25</v>
          </cell>
          <cell r="I321">
            <v>0</v>
          </cell>
          <cell r="J321" t="str">
            <v>PUMA</v>
          </cell>
          <cell r="K321" t="str">
            <v>Pr.Sch.R</v>
          </cell>
          <cell r="L321" t="str">
            <v>MOLDED</v>
          </cell>
          <cell r="M321">
            <v>1</v>
          </cell>
        </row>
        <row r="322">
          <cell r="A322" t="str">
            <v>F-2025-10-290</v>
          </cell>
          <cell r="B322" t="str">
            <v>RPRO-251023-0516</v>
          </cell>
          <cell r="C322" t="str">
            <v>BDB-000054</v>
          </cell>
          <cell r="D322" t="str">
            <v>PVN-003895</v>
          </cell>
          <cell r="E322" t="str">
            <v>OrthoLite X-40 RED/19-1764TPX Flat Sheet 0.16D 25+/-4 Asker C 1.1M 1.7M 5mm</v>
          </cell>
          <cell r="F322">
            <v>84</v>
          </cell>
          <cell r="G322">
            <v>84</v>
          </cell>
          <cell r="H322">
            <v>84</v>
          </cell>
          <cell r="I322">
            <v>0</v>
          </cell>
          <cell r="J322" t="str">
            <v>PAYNTR</v>
          </cell>
          <cell r="K322" t="str">
            <v>Pr.Sch.R</v>
          </cell>
          <cell r="L322" t="str">
            <v>MOLDED</v>
          </cell>
          <cell r="M322">
            <v>1</v>
          </cell>
        </row>
        <row r="323">
          <cell r="A323" t="str">
            <v>F-2025-10-291</v>
          </cell>
          <cell r="B323" t="str">
            <v>RPRO-251023-0517</v>
          </cell>
          <cell r="C323" t="str">
            <v>BDB-000149</v>
          </cell>
          <cell r="D323" t="str">
            <v>PVN-002773</v>
          </cell>
          <cell r="E323" t="str">
            <v>OrthoLite Regular-Hybrid-Nike SEEDPEARL/12-0703TPX Hybrid Flat Sheet 0.11D 25+/-4 Asker C 1.1M 2M 4mm</v>
          </cell>
          <cell r="F323">
            <v>35</v>
          </cell>
          <cell r="G323">
            <v>35</v>
          </cell>
          <cell r="H323">
            <v>35</v>
          </cell>
          <cell r="I323">
            <v>0</v>
          </cell>
          <cell r="J323" t="str">
            <v>NIKE</v>
          </cell>
          <cell r="K323" t="str">
            <v>Pr.Sch.R</v>
          </cell>
          <cell r="L323" t="str">
            <v>DIE CUT</v>
          </cell>
          <cell r="M323">
            <v>1</v>
          </cell>
        </row>
        <row r="324">
          <cell r="A324" t="str">
            <v>F-2025-10-292</v>
          </cell>
          <cell r="B324" t="str">
            <v>RPRO-251023-0518</v>
          </cell>
          <cell r="C324" t="str">
            <v>BDB-000175</v>
          </cell>
          <cell r="D324" t="str">
            <v>PVN-003018</v>
          </cell>
          <cell r="E324" t="str">
            <v>OrthoLite Ultra-Hybrid-Nike SEEDPEARL/12-0703TPX Hybrid Flat Sheet 0.085D 25+/-4 Asker C 1.1M 2M 2mm</v>
          </cell>
          <cell r="F324">
            <v>140</v>
          </cell>
          <cell r="G324">
            <v>140</v>
          </cell>
          <cell r="H324">
            <v>140</v>
          </cell>
          <cell r="I324">
            <v>0</v>
          </cell>
          <cell r="J324" t="str">
            <v>NIKE</v>
          </cell>
          <cell r="K324" t="str">
            <v>Pr.Sch.R</v>
          </cell>
          <cell r="L324" t="str">
            <v>DIE CUT</v>
          </cell>
          <cell r="M324">
            <v>1</v>
          </cell>
        </row>
        <row r="325">
          <cell r="A325" t="str">
            <v>F-2025-10-293</v>
          </cell>
          <cell r="B325" t="str">
            <v>FPRO-251023-0001</v>
          </cell>
          <cell r="C325" t="str">
            <v>BDB-000181</v>
          </cell>
          <cell r="D325" t="str">
            <v>PVN-003238</v>
          </cell>
          <cell r="E325" t="str">
            <v>OrthoLite Eco LT-Hybrid-Converse SEEDPEARL/12-0703TPX Hybrid 0.11D 25+/-4 Asker C 1.1M 2M 5mm</v>
          </cell>
          <cell r="F325">
            <v>380</v>
          </cell>
          <cell r="G325">
            <v>380</v>
          </cell>
          <cell r="H325">
            <v>380</v>
          </cell>
          <cell r="I325">
            <v>0</v>
          </cell>
          <cell r="J325" t="str">
            <v>CONVERSE</v>
          </cell>
          <cell r="K325" t="str">
            <v>Forecast</v>
          </cell>
          <cell r="L325" t="str">
            <v>DIE CUT</v>
          </cell>
          <cell r="M325">
            <v>1</v>
          </cell>
        </row>
        <row r="326">
          <cell r="A326" t="str">
            <v>F-2025-10-294</v>
          </cell>
          <cell r="B326" t="str">
            <v>RPRO-251024-0331</v>
          </cell>
          <cell r="C326" t="str">
            <v>BDB-000011</v>
          </cell>
          <cell r="D326" t="str">
            <v>PVN-000127</v>
          </cell>
          <cell r="E326" t="str">
            <v>OrthoLite Regular AIR BLUE/16-4134TPX Flat Sheet 0.13D 35+/-4 Asker C 1.1M 2M 5mm</v>
          </cell>
          <cell r="F326">
            <v>196</v>
          </cell>
          <cell r="G326">
            <v>196</v>
          </cell>
          <cell r="H326">
            <v>196</v>
          </cell>
          <cell r="I326">
            <v>0</v>
          </cell>
          <cell r="J326"/>
          <cell r="K326" t="str">
            <v>MPS</v>
          </cell>
          <cell r="L326" t="str">
            <v>SPLITTING</v>
          </cell>
          <cell r="M326">
            <v>2</v>
          </cell>
        </row>
        <row r="327">
          <cell r="A327" t="str">
            <v>F-2025-10-295</v>
          </cell>
          <cell r="B327" t="str">
            <v>RPRO-251024-0332</v>
          </cell>
          <cell r="C327" t="str">
            <v>BDB-000125</v>
          </cell>
          <cell r="D327" t="str">
            <v>PVN-001579</v>
          </cell>
          <cell r="E327" t="str">
            <v>OrthoLite Regular-Nike AIR BLUE/16-4134TPX Flat Sheet 0.11D 25+/-4 Asker C 1.1M 2M 4mm</v>
          </cell>
          <cell r="F327">
            <v>630</v>
          </cell>
          <cell r="G327">
            <v>630</v>
          </cell>
          <cell r="H327">
            <v>630</v>
          </cell>
          <cell r="I327">
            <v>0</v>
          </cell>
          <cell r="J327" t="str">
            <v>NIKE</v>
          </cell>
          <cell r="K327" t="str">
            <v>Pr.Sch.R</v>
          </cell>
          <cell r="L327" t="str">
            <v>LAMINATING</v>
          </cell>
          <cell r="M327">
            <v>1</v>
          </cell>
        </row>
        <row r="328">
          <cell r="A328" t="str">
            <v>F-2025-10-296</v>
          </cell>
          <cell r="B328" t="str">
            <v>RPRO-251024-0333</v>
          </cell>
          <cell r="C328" t="str">
            <v>BDB-000209</v>
          </cell>
          <cell r="D328" t="str">
            <v>PVN-003537</v>
          </cell>
          <cell r="E328" t="str">
            <v>OrthoLite HybridPlus-Recycled MINT GREEN/11-4805TPX Hybrid Flat Sheet 0.12D 25+/-4 Asker C 1.1M 2M 4.5mm</v>
          </cell>
          <cell r="F328">
            <v>620</v>
          </cell>
          <cell r="G328">
            <v>620</v>
          </cell>
          <cell r="H328">
            <v>620</v>
          </cell>
          <cell r="I328">
            <v>0</v>
          </cell>
          <cell r="J328" t="str">
            <v>AKU</v>
          </cell>
          <cell r="K328" t="str">
            <v>Pr.Sch.R</v>
          </cell>
          <cell r="L328" t="str">
            <v>MOLDED</v>
          </cell>
          <cell r="M328">
            <v>1</v>
          </cell>
        </row>
        <row r="329">
          <cell r="A329" t="str">
            <v>F-2025-10-297</v>
          </cell>
          <cell r="B329" t="str">
            <v>RPRO-251024-0334</v>
          </cell>
          <cell r="C329" t="str">
            <v>BDB-000149</v>
          </cell>
          <cell r="D329" t="str">
            <v>PVN-002827</v>
          </cell>
          <cell r="E329" t="str">
            <v>OrthoLite Regular-Hybrid-Nike SEEDPEARL/12-0703TPX Hybrid Flat Sheet 0.11D 25+/-4 Asker C 1.1M 2M 5mm</v>
          </cell>
          <cell r="F329">
            <v>28</v>
          </cell>
          <cell r="G329">
            <v>28</v>
          </cell>
          <cell r="H329">
            <v>28</v>
          </cell>
          <cell r="I329">
            <v>0</v>
          </cell>
          <cell r="J329" t="str">
            <v>NIKE</v>
          </cell>
          <cell r="K329" t="str">
            <v>Pr.Sch.R</v>
          </cell>
          <cell r="L329" t="str">
            <v>MOLDED</v>
          </cell>
          <cell r="M329">
            <v>1</v>
          </cell>
        </row>
        <row r="330">
          <cell r="A330" t="str">
            <v>F-2025-10-298</v>
          </cell>
          <cell r="B330" t="str">
            <v>RPRO-251024-0335</v>
          </cell>
          <cell r="C330" t="str">
            <v>BDB-000234</v>
          </cell>
          <cell r="D330" t="str">
            <v>PVN-003581</v>
          </cell>
          <cell r="E330" t="str">
            <v>OrthoLite X-30-Hybrid BROWN SUGAR/17-1134TPX Hybrid Flat Sheet 0.13D 25+/-4 Asker C 1.1M 2M 12mm</v>
          </cell>
          <cell r="F330">
            <v>77</v>
          </cell>
          <cell r="G330">
            <v>77</v>
          </cell>
          <cell r="H330">
            <v>77</v>
          </cell>
          <cell r="I330">
            <v>0</v>
          </cell>
          <cell r="J330" t="str">
            <v>ASICS</v>
          </cell>
          <cell r="K330" t="str">
            <v>Pr.Sch.R</v>
          </cell>
          <cell r="L330" t="str">
            <v>MOLDED</v>
          </cell>
          <cell r="M330" t="str">
            <v>1-RM-WIP</v>
          </cell>
        </row>
        <row r="331">
          <cell r="A331" t="str">
            <v>F-2025-10-299</v>
          </cell>
          <cell r="B331" t="str">
            <v>RPRO-251024-0336</v>
          </cell>
          <cell r="C331" t="str">
            <v>BDB-000217</v>
          </cell>
          <cell r="D331" t="str">
            <v>PVN-003539</v>
          </cell>
          <cell r="E331" t="str">
            <v>OrthoLite X-40-Hybrid SEEDPEARL/12-0703TPX Hybrid Flat Sheet 0.16D 35+/-4 Asker C 1.1M 1.7M 6.2mm</v>
          </cell>
          <cell r="F331">
            <v>22</v>
          </cell>
          <cell r="G331">
            <v>22</v>
          </cell>
          <cell r="H331">
            <v>22</v>
          </cell>
          <cell r="I331">
            <v>0</v>
          </cell>
          <cell r="J331" t="str">
            <v>BROOKS</v>
          </cell>
          <cell r="K331" t="str">
            <v>Pr.Sch.R</v>
          </cell>
          <cell r="L331" t="str">
            <v>MOLDED</v>
          </cell>
          <cell r="M331">
            <v>1</v>
          </cell>
        </row>
        <row r="332">
          <cell r="A332" t="str">
            <v>F-2025-10-300</v>
          </cell>
          <cell r="B332" t="str">
            <v>RPRO-251024-0337</v>
          </cell>
          <cell r="C332" t="str">
            <v>BDB-000213</v>
          </cell>
          <cell r="D332" t="str">
            <v>PVN-003752</v>
          </cell>
          <cell r="E332" t="str">
            <v>OrthoLite X-25-Hybrid SEEDPEARL/12-0703TPX Hybrid Flat Sheet 0.12D 20+/-4 Asker C 1.1M 1.47M 4.5mm</v>
          </cell>
          <cell r="F332">
            <v>651</v>
          </cell>
          <cell r="G332">
            <v>651</v>
          </cell>
          <cell r="H332">
            <v>651</v>
          </cell>
          <cell r="I332">
            <v>0</v>
          </cell>
          <cell r="J332" t="str">
            <v>ON RUNNING</v>
          </cell>
          <cell r="K332" t="str">
            <v>Pr.Sch.R</v>
          </cell>
          <cell r="L332" t="str">
            <v>MOLDED</v>
          </cell>
          <cell r="M332">
            <v>1</v>
          </cell>
        </row>
        <row r="333">
          <cell r="A333" t="str">
            <v>F-2025-10-301</v>
          </cell>
          <cell r="B333" t="str">
            <v>RPRO-251024-0338</v>
          </cell>
          <cell r="C333" t="str">
            <v>BDB-000076</v>
          </cell>
          <cell r="D333" t="str">
            <v>PVN-003494</v>
          </cell>
          <cell r="E333" t="str">
            <v>OrthoLite X-25 BILLIARD/16-5427TPX Flat Sheet 0.12D 20+/-4 Asker C 1.1M 2M 5.5mm</v>
          </cell>
          <cell r="F333">
            <v>100</v>
          </cell>
          <cell r="G333">
            <v>100</v>
          </cell>
          <cell r="H333">
            <v>100</v>
          </cell>
          <cell r="I333">
            <v>0</v>
          </cell>
          <cell r="J333" t="str">
            <v>ON RUNNING</v>
          </cell>
          <cell r="K333" t="str">
            <v>Pr.Sch.R</v>
          </cell>
          <cell r="L333" t="str">
            <v>MOLDED</v>
          </cell>
          <cell r="M333">
            <v>1</v>
          </cell>
        </row>
        <row r="334">
          <cell r="A334" t="str">
            <v>F-2025-10-302</v>
          </cell>
          <cell r="B334" t="str">
            <v>RPRO-251024-0339</v>
          </cell>
          <cell r="C334" t="str">
            <v>BDB-000125</v>
          </cell>
          <cell r="D334" t="str">
            <v>PVN-001590</v>
          </cell>
          <cell r="E334" t="str">
            <v>OrthoLite Regular-Nike AIR BLUE/16-4134TPX Flat Sheet 0.11D 25+/-4 Asker C 1.1M 2M 4.8mm</v>
          </cell>
          <cell r="F334">
            <v>290</v>
          </cell>
          <cell r="G334">
            <v>290</v>
          </cell>
          <cell r="H334">
            <v>290</v>
          </cell>
          <cell r="I334">
            <v>0</v>
          </cell>
          <cell r="J334" t="str">
            <v>NIKE</v>
          </cell>
          <cell r="K334" t="str">
            <v>Pr.Sch.R</v>
          </cell>
          <cell r="L334" t="str">
            <v>MOLDED</v>
          </cell>
          <cell r="M334">
            <v>1</v>
          </cell>
        </row>
        <row r="335">
          <cell r="A335" t="str">
            <v>F-2025-10-303</v>
          </cell>
          <cell r="B335" t="str">
            <v>RPRO-251024-0340</v>
          </cell>
          <cell r="C335" t="str">
            <v>BDB-000057</v>
          </cell>
          <cell r="D335" t="str">
            <v>PVN-000825</v>
          </cell>
          <cell r="E335" t="str">
            <v>OrthoLite Ultra YELLOW/13-0858TPX Flat Sheet 0.085D 25+/-4 Asker C 1.1M 2M 12mm</v>
          </cell>
          <cell r="F335">
            <v>11</v>
          </cell>
          <cell r="G335">
            <v>11</v>
          </cell>
          <cell r="H335">
            <v>11</v>
          </cell>
          <cell r="I335">
            <v>0</v>
          </cell>
          <cell r="J335" t="str">
            <v>ASICS</v>
          </cell>
          <cell r="K335" t="str">
            <v>Pr.Sch.R</v>
          </cell>
          <cell r="L335" t="str">
            <v>MOLDED</v>
          </cell>
          <cell r="M335" t="str">
            <v>1-RM-WIP</v>
          </cell>
        </row>
        <row r="336">
          <cell r="A336" t="str">
            <v>F-2025-10-304</v>
          </cell>
          <cell r="B336" t="str">
            <v>RPRO-251024-0341</v>
          </cell>
          <cell r="C336" t="str">
            <v>BDB-000332</v>
          </cell>
          <cell r="D336" t="str">
            <v>PVN-004146</v>
          </cell>
          <cell r="E336" t="str">
            <v>OrthoLite X-25 CASTLEROCK/18-0201TPX Flat Sheet 0.12D 20+/-4 Asker C 1.1M 2M 5.5mm</v>
          </cell>
          <cell r="F336">
            <v>200</v>
          </cell>
          <cell r="G336">
            <v>200</v>
          </cell>
          <cell r="H336">
            <v>200</v>
          </cell>
          <cell r="I336">
            <v>0</v>
          </cell>
          <cell r="J336" t="str">
            <v>ON RUNNING</v>
          </cell>
          <cell r="K336" t="str">
            <v>Pr.Sch.R</v>
          </cell>
          <cell r="L336" t="str">
            <v>MOLDED</v>
          </cell>
          <cell r="M336">
            <v>1</v>
          </cell>
        </row>
        <row r="337">
          <cell r="A337" t="str">
            <v>F-2025-10-305</v>
          </cell>
          <cell r="B337" t="str">
            <v>RPRO-251024-0342</v>
          </cell>
          <cell r="C337" t="str">
            <v>BDB-000076</v>
          </cell>
          <cell r="D337" t="str">
            <v>PVN-004075</v>
          </cell>
          <cell r="E337" t="str">
            <v>OrthoLite X-25 BILLIARD/16-5427TPX Flat Sheet 0.12D 20+/-4 Asker C 1.1M 2M 17mm</v>
          </cell>
          <cell r="F337">
            <v>7</v>
          </cell>
          <cell r="G337">
            <v>7</v>
          </cell>
          <cell r="H337">
            <v>7</v>
          </cell>
          <cell r="I337">
            <v>0</v>
          </cell>
          <cell r="J337" t="str">
            <v>FOOTJOY</v>
          </cell>
          <cell r="K337" t="str">
            <v>Pr.Sch.R</v>
          </cell>
          <cell r="L337" t="str">
            <v>MOLDED</v>
          </cell>
          <cell r="M337">
            <v>1</v>
          </cell>
        </row>
        <row r="338">
          <cell r="A338" t="str">
            <v>F-2025-10-306</v>
          </cell>
          <cell r="B338" t="str">
            <v>RPRO-251024-0343</v>
          </cell>
          <cell r="C338" t="str">
            <v>BDB-000212</v>
          </cell>
          <cell r="D338" t="str">
            <v>PVN-003458</v>
          </cell>
          <cell r="E338" t="str">
            <v>OrthoLite X-25-Hybrid SEEDPEARL/12-0703TPX Hybrid Flat Sheet 0.12D 20+/-4 Asker C 1.1M 2M 4mm</v>
          </cell>
          <cell r="F338">
            <v>140</v>
          </cell>
          <cell r="G338">
            <v>140</v>
          </cell>
          <cell r="H338">
            <v>140</v>
          </cell>
          <cell r="I338">
            <v>0</v>
          </cell>
          <cell r="J338" t="str">
            <v>ON RUNNING</v>
          </cell>
          <cell r="K338" t="str">
            <v>Pr.Sch.R</v>
          </cell>
          <cell r="L338" t="str">
            <v>DIE CUT</v>
          </cell>
          <cell r="M338">
            <v>1</v>
          </cell>
        </row>
        <row r="339">
          <cell r="A339" t="str">
            <v>F-2025-10-307</v>
          </cell>
          <cell r="B339" t="str">
            <v>RPRO-251024-0344</v>
          </cell>
          <cell r="C339" t="str">
            <v>BDB-000117</v>
          </cell>
          <cell r="D339" t="str">
            <v>PVN-003234</v>
          </cell>
          <cell r="E339" t="str">
            <v>OrthoLite X-35-Hybrid SEEDPEARL/12-0703TPX Hybrid Flat Sheet 0.145D 25+/-4 Asker C 1.1M 2M 5.5mm</v>
          </cell>
          <cell r="F339">
            <v>25</v>
          </cell>
          <cell r="G339">
            <v>25</v>
          </cell>
          <cell r="H339">
            <v>25</v>
          </cell>
          <cell r="I339">
            <v>0</v>
          </cell>
          <cell r="J339" t="str">
            <v>PUMA</v>
          </cell>
          <cell r="K339" t="str">
            <v>Pr.Sch.R</v>
          </cell>
          <cell r="L339" t="str">
            <v>MOLDED</v>
          </cell>
          <cell r="M339">
            <v>1</v>
          </cell>
        </row>
        <row r="340">
          <cell r="A340" t="str">
            <v>F-2025-10-308</v>
          </cell>
          <cell r="B340" t="str">
            <v>RPRO-251024-0345</v>
          </cell>
          <cell r="C340" t="str">
            <v>BDB-000183</v>
          </cell>
          <cell r="D340" t="str">
            <v>PVN-003490</v>
          </cell>
          <cell r="E340" t="str">
            <v>OrthoLite Regular-Nike SEEDPEARL/12-0703TPX Flat Sheet 0.11D 25+/-4 Asker C 1.1M 2M 4.2mm</v>
          </cell>
          <cell r="F340">
            <v>33</v>
          </cell>
          <cell r="G340">
            <v>33</v>
          </cell>
          <cell r="H340">
            <v>33</v>
          </cell>
          <cell r="I340">
            <v>0</v>
          </cell>
          <cell r="J340" t="str">
            <v>NIKE</v>
          </cell>
          <cell r="K340" t="str">
            <v>Pr.Sch.R</v>
          </cell>
          <cell r="L340" t="str">
            <v>MOLDED</v>
          </cell>
          <cell r="M340">
            <v>1</v>
          </cell>
        </row>
        <row r="341">
          <cell r="A341" t="str">
            <v>F-2025-10-309</v>
          </cell>
          <cell r="B341" t="str">
            <v>FPRO-251023-0002</v>
          </cell>
          <cell r="C341" t="str">
            <v>BDB-000181</v>
          </cell>
          <cell r="D341" t="str">
            <v>PVN-003238</v>
          </cell>
          <cell r="E341" t="str">
            <v>OrthoLite Eco LT-Hybrid-Converse SEEDPEARL/12-0703TPX Hybrid 0.11D 25+/-4 Asker C 1.1M 2M 5mm</v>
          </cell>
          <cell r="F341">
            <v>719</v>
          </cell>
          <cell r="G341">
            <v>719</v>
          </cell>
          <cell r="H341">
            <v>719</v>
          </cell>
          <cell r="I341">
            <v>0</v>
          </cell>
          <cell r="J341" t="str">
            <v>CONVERSE</v>
          </cell>
          <cell r="K341" t="str">
            <v>Forecast</v>
          </cell>
          <cell r="L341" t="str">
            <v>DIE CUT</v>
          </cell>
          <cell r="M341" t="str">
            <v>1-SLT</v>
          </cell>
        </row>
        <row r="342">
          <cell r="A342" t="str">
            <v>F-2025-10-310</v>
          </cell>
          <cell r="B342" t="str">
            <v>RPRO-251027-0712</v>
          </cell>
          <cell r="C342" t="str">
            <v>BDB-000235</v>
          </cell>
          <cell r="D342" t="str">
            <v>PVN-003576</v>
          </cell>
          <cell r="E342" t="str">
            <v>OrthoLite X-55-Hybrid FOSSIL/17-0909TPX Hybrid Flat Sheet 0.16D 25+/-4 Asker C 1.1M 1.7M 12mm</v>
          </cell>
          <cell r="F342">
            <v>1441</v>
          </cell>
          <cell r="G342">
            <v>1441</v>
          </cell>
          <cell r="H342">
            <v>1441</v>
          </cell>
          <cell r="I342">
            <v>0</v>
          </cell>
          <cell r="J342" t="str">
            <v>ASICS</v>
          </cell>
          <cell r="K342" t="str">
            <v>Pr.Sch.R</v>
          </cell>
          <cell r="L342" t="str">
            <v>MOLDED</v>
          </cell>
          <cell r="M342" t="str">
            <v>1-RM-WIP</v>
          </cell>
        </row>
        <row r="343">
          <cell r="A343" t="str">
            <v>F-2025-10-311</v>
          </cell>
          <cell r="B343" t="str">
            <v>RPRO-251027-0713</v>
          </cell>
          <cell r="C343" t="str">
            <v>BDB-000252</v>
          </cell>
          <cell r="D343" t="str">
            <v>PVN-003714</v>
          </cell>
          <cell r="E343" t="str">
            <v>OrthoLite Nike PP002 AMAZON/18-6024TPX Flat Sheet 0.145D 25+/-4 asker C 1.1M 2M 5.2mm</v>
          </cell>
          <cell r="F343">
            <v>26</v>
          </cell>
          <cell r="G343">
            <v>26</v>
          </cell>
          <cell r="H343">
            <v>26</v>
          </cell>
          <cell r="I343">
            <v>0</v>
          </cell>
          <cell r="J343" t="str">
            <v>NIKE</v>
          </cell>
          <cell r="K343" t="str">
            <v>Pr.Sch.R</v>
          </cell>
          <cell r="L343" t="str">
            <v>MOLDED</v>
          </cell>
          <cell r="M343">
            <v>1</v>
          </cell>
        </row>
        <row r="344">
          <cell r="A344" t="str">
            <v>F-2025-10-312</v>
          </cell>
          <cell r="B344" t="str">
            <v>RPRO-251027-0714</v>
          </cell>
          <cell r="C344" t="str">
            <v>BDB-000209</v>
          </cell>
          <cell r="D344" t="str">
            <v>PVN-003462</v>
          </cell>
          <cell r="E344" t="str">
            <v>OrthoLite HybridPlus-Recycled MINT GREEN/11-4805TPX Hybrid Flat Sheet 0.12D 25+/-4 Asker C 1.1M 2M 12mm</v>
          </cell>
          <cell r="F344">
            <v>187</v>
          </cell>
          <cell r="G344">
            <v>187</v>
          </cell>
          <cell r="H344">
            <v>187</v>
          </cell>
          <cell r="I344">
            <v>0</v>
          </cell>
          <cell r="J344" t="str">
            <v>BROOKS</v>
          </cell>
          <cell r="K344" t="str">
            <v>Pr.Sch.R</v>
          </cell>
          <cell r="L344" t="str">
            <v>MOLDED</v>
          </cell>
          <cell r="M344">
            <v>1</v>
          </cell>
        </row>
        <row r="345">
          <cell r="A345" t="str">
            <v>F-2025-10-313</v>
          </cell>
          <cell r="B345" t="str">
            <v>RPRO-251027-0715</v>
          </cell>
          <cell r="C345" t="str">
            <v>BDB-000181</v>
          </cell>
          <cell r="D345" t="str">
            <v>PVN-003238</v>
          </cell>
          <cell r="E345" t="str">
            <v>OrthoLite Eco LT-Hybrid-Converse SEEDPEARL/12-0703TPX Hybrid Flat Sheet 0.11D 25+/-4 Asker C 1.1M 2M 5mm</v>
          </cell>
          <cell r="F345">
            <v>28</v>
          </cell>
          <cell r="G345">
            <v>28</v>
          </cell>
          <cell r="H345">
            <v>28</v>
          </cell>
          <cell r="I345">
            <v>0</v>
          </cell>
          <cell r="J345" t="str">
            <v>CONVERSE</v>
          </cell>
          <cell r="K345" t="str">
            <v>Pr.Sch.R</v>
          </cell>
          <cell r="L345" t="str">
            <v>DIE CUT</v>
          </cell>
          <cell r="M345">
            <v>1</v>
          </cell>
        </row>
        <row r="346">
          <cell r="A346" t="str">
            <v>F-2025-10-314</v>
          </cell>
          <cell r="B346" t="str">
            <v>RPRO-251027-0716</v>
          </cell>
          <cell r="C346" t="str">
            <v>BDB-000209</v>
          </cell>
          <cell r="D346" t="str">
            <v>PVN-003537</v>
          </cell>
          <cell r="E346" t="str">
            <v>OrthoLite HybridPlus-Recycled MINT GREEN/11-4805TPX Hybrid Flat Sheet 0.12D 25+/-4 Asker C 1.1M 2M 4.5mm</v>
          </cell>
          <cell r="F346">
            <v>31</v>
          </cell>
          <cell r="G346">
            <v>31</v>
          </cell>
          <cell r="H346">
            <v>31</v>
          </cell>
          <cell r="I346">
            <v>0</v>
          </cell>
          <cell r="J346" t="str">
            <v>AKU</v>
          </cell>
          <cell r="K346" t="str">
            <v>Pr.Sch.R</v>
          </cell>
          <cell r="L346" t="str">
            <v>MOLDED</v>
          </cell>
          <cell r="M346">
            <v>1</v>
          </cell>
        </row>
        <row r="347">
          <cell r="A347" t="str">
            <v>F-2025-10-315</v>
          </cell>
          <cell r="B347" t="str">
            <v>RPRO-251027-0717</v>
          </cell>
          <cell r="C347" t="str">
            <v>BDB-000011</v>
          </cell>
          <cell r="D347" t="str">
            <v>PVN-000121</v>
          </cell>
          <cell r="E347" t="str">
            <v>OrthoLite Regular AIR BLUE/16-4134TPX Flat Sheet 0.13D 35+/-4 Asker C 1.1M 2M 12mm</v>
          </cell>
          <cell r="F347">
            <v>385</v>
          </cell>
          <cell r="G347">
            <v>385</v>
          </cell>
          <cell r="H347">
            <v>385</v>
          </cell>
          <cell r="I347">
            <v>0</v>
          </cell>
          <cell r="J347" t="str">
            <v>ASICS</v>
          </cell>
          <cell r="K347" t="str">
            <v>Pr.Sch.R</v>
          </cell>
          <cell r="L347" t="str">
            <v>MOLDED</v>
          </cell>
          <cell r="M347" t="str">
            <v>1-RM-WIP</v>
          </cell>
        </row>
        <row r="348">
          <cell r="A348" t="str">
            <v>F-2025-10-316</v>
          </cell>
          <cell r="B348" t="str">
            <v>RPRO-251027-0718</v>
          </cell>
          <cell r="C348" t="str">
            <v>BDB-000008</v>
          </cell>
          <cell r="D348" t="str">
            <v>PVN-000505</v>
          </cell>
          <cell r="E348" t="str">
            <v>OrthoLite Regular LIME GREEN/14-0452TPX Flat Sheet 0.11D 25+/-4 Asker C 1.1M 2M 12mm</v>
          </cell>
          <cell r="F348">
            <v>726</v>
          </cell>
          <cell r="G348">
            <v>726</v>
          </cell>
          <cell r="H348">
            <v>726</v>
          </cell>
          <cell r="I348">
            <v>0</v>
          </cell>
          <cell r="J348" t="str">
            <v>ASICS</v>
          </cell>
          <cell r="K348" t="str">
            <v>Pr.Sch.R</v>
          </cell>
          <cell r="L348" t="str">
            <v>MOLDED</v>
          </cell>
          <cell r="M348" t="str">
            <v>1-RM-WIP</v>
          </cell>
        </row>
        <row r="349">
          <cell r="A349" t="str">
            <v>F-2025-10-317</v>
          </cell>
          <cell r="B349" t="str">
            <v>RPRO-251027-0719</v>
          </cell>
          <cell r="C349" t="str">
            <v>BDB-000234</v>
          </cell>
          <cell r="D349" t="str">
            <v>PVN-003581</v>
          </cell>
          <cell r="E349" t="str">
            <v>OrthoLite X-30-Hybrid BROWN SUGAR/17-1134TPX Hybrid Flat Sheet 0.13D 25+/-4 Asker C 1.1M 2M 12mm</v>
          </cell>
          <cell r="F349">
            <v>363</v>
          </cell>
          <cell r="G349">
            <v>363</v>
          </cell>
          <cell r="H349">
            <v>363</v>
          </cell>
          <cell r="I349">
            <v>0</v>
          </cell>
          <cell r="J349" t="str">
            <v>ASICS</v>
          </cell>
          <cell r="K349" t="str">
            <v>Pr.Sch.R</v>
          </cell>
          <cell r="L349" t="str">
            <v>MOLDED</v>
          </cell>
          <cell r="M349" t="str">
            <v>1-RM-WIP</v>
          </cell>
        </row>
        <row r="350">
          <cell r="A350" t="str">
            <v>F-2025-10-318</v>
          </cell>
          <cell r="B350" t="str">
            <v>RPRO-251027-0720</v>
          </cell>
          <cell r="C350" t="str">
            <v>BDB-000217</v>
          </cell>
          <cell r="D350" t="str">
            <v>PVN-003539</v>
          </cell>
          <cell r="E350" t="str">
            <v>OrthoLite X-40-Hybrid SEEDPEARL/12-0703TPX Hybrid Flat Sheet 0.16D 35+/-4 Asker C 1.1M 1.7M 6.2mm</v>
          </cell>
          <cell r="F350">
            <v>88</v>
          </cell>
          <cell r="G350">
            <v>88</v>
          </cell>
          <cell r="H350">
            <v>88</v>
          </cell>
          <cell r="I350">
            <v>0</v>
          </cell>
          <cell r="J350" t="str">
            <v>BROOKS</v>
          </cell>
          <cell r="K350" t="str">
            <v>Pr.Sch.R</v>
          </cell>
          <cell r="L350" t="str">
            <v>MOLDED</v>
          </cell>
          <cell r="M350">
            <v>1</v>
          </cell>
        </row>
        <row r="351">
          <cell r="A351" t="str">
            <v>F-2025-10-319</v>
          </cell>
          <cell r="B351" t="str">
            <v>RPRO-251027-0721</v>
          </cell>
          <cell r="C351" t="str">
            <v>BDB-000077</v>
          </cell>
          <cell r="D351" t="str">
            <v>PVN-004147</v>
          </cell>
          <cell r="E351" t="str">
            <v>OrthoLite X-25 SEEDPEARL/12-0703TPX Flat Sheet 0.12D 20+/-4 Asker C 1.1M 2M 5.5mm</v>
          </cell>
          <cell r="F351">
            <v>50</v>
          </cell>
          <cell r="G351">
            <v>50</v>
          </cell>
          <cell r="H351">
            <v>50</v>
          </cell>
          <cell r="I351">
            <v>0</v>
          </cell>
          <cell r="J351" t="str">
            <v>ON RUNNING</v>
          </cell>
          <cell r="K351" t="str">
            <v>Pr.Sch.R</v>
          </cell>
          <cell r="L351" t="str">
            <v>MOLDED</v>
          </cell>
          <cell r="M351">
            <v>1</v>
          </cell>
        </row>
        <row r="352">
          <cell r="A352" t="str">
            <v>F-2025-10-320</v>
          </cell>
          <cell r="B352" t="str">
            <v>RPRO-251027-0722</v>
          </cell>
          <cell r="C352" t="str">
            <v>BDB-000057</v>
          </cell>
          <cell r="D352" t="str">
            <v>PVN-001126</v>
          </cell>
          <cell r="E352" t="str">
            <v>OrthoLite Ultra YELLOW/13-0858TPX Flat Sheet 0.085D 25+/-4 Asker C 1.1M 2M 11mm</v>
          </cell>
          <cell r="F352">
            <v>12</v>
          </cell>
          <cell r="G352">
            <v>12</v>
          </cell>
          <cell r="H352">
            <v>12</v>
          </cell>
          <cell r="I352">
            <v>0</v>
          </cell>
          <cell r="J352" t="str">
            <v>GARMONT</v>
          </cell>
          <cell r="K352" t="str">
            <v>Pr.Sch.R</v>
          </cell>
          <cell r="L352" t="str">
            <v>MOLDED</v>
          </cell>
          <cell r="M352">
            <v>1</v>
          </cell>
        </row>
        <row r="353">
          <cell r="A353" t="str">
            <v>F-2025-10-321</v>
          </cell>
          <cell r="B353" t="str">
            <v>RPRO-251028-0574</v>
          </cell>
          <cell r="C353" t="str">
            <v>BDB-000011</v>
          </cell>
          <cell r="D353" t="str">
            <v>PVN-000258</v>
          </cell>
          <cell r="E353" t="str">
            <v>OrthoLite Regular AIR BLUE/16-4134TPX Flat Sheet 0.13D 35+/-4 Asker C 1.1M 2M 2.5mm</v>
          </cell>
          <cell r="F353">
            <v>1120</v>
          </cell>
          <cell r="G353">
            <v>1120</v>
          </cell>
          <cell r="H353">
            <v>1120</v>
          </cell>
          <cell r="I353">
            <v>0</v>
          </cell>
          <cell r="J353"/>
          <cell r="K353" t="str">
            <v>MPS</v>
          </cell>
          <cell r="L353" t="str">
            <v>SPLITTING</v>
          </cell>
          <cell r="M353">
            <v>2</v>
          </cell>
        </row>
        <row r="354">
          <cell r="A354" t="str">
            <v>F-2025-10-322</v>
          </cell>
          <cell r="B354" t="str">
            <v>RPRO-251028-0575</v>
          </cell>
          <cell r="C354" t="str">
            <v>BDB-000113</v>
          </cell>
          <cell r="D354" t="str">
            <v>PVN-002501</v>
          </cell>
          <cell r="E354" t="str">
            <v>OrthoLite Regular-Hybrid SEEDPEARL/12-0703TPX Hybrid Flat Sheet 0.11D 25+/-4 Asker C 1.1M 2M 2mm</v>
          </cell>
          <cell r="F354">
            <v>840</v>
          </cell>
          <cell r="G354">
            <v>840</v>
          </cell>
          <cell r="H354">
            <v>840</v>
          </cell>
          <cell r="I354">
            <v>0</v>
          </cell>
          <cell r="J354"/>
          <cell r="K354" t="str">
            <v>MPS</v>
          </cell>
          <cell r="L354" t="str">
            <v>SPLITTING</v>
          </cell>
          <cell r="M354">
            <v>2</v>
          </cell>
        </row>
        <row r="355">
          <cell r="A355" t="str">
            <v>F-2025-10-323</v>
          </cell>
          <cell r="B355" t="str">
            <v>RPRO-251028-0576</v>
          </cell>
          <cell r="C355" t="str">
            <v>BDB-000200</v>
          </cell>
          <cell r="D355" t="str">
            <v>PVN-003418</v>
          </cell>
          <cell r="E355" t="str">
            <v>OrthoLite Ultra SEEDPEARL/12-0703TPX Flat Sheet 0.085D 78-90 Asker F 1.1M 2M 5mm</v>
          </cell>
          <cell r="F355">
            <v>112</v>
          </cell>
          <cell r="G355">
            <v>112</v>
          </cell>
          <cell r="H355">
            <v>112</v>
          </cell>
          <cell r="I355">
            <v>0</v>
          </cell>
          <cell r="J355"/>
          <cell r="K355" t="str">
            <v>MPS</v>
          </cell>
          <cell r="L355" t="str">
            <v>SPLITTING</v>
          </cell>
          <cell r="M355">
            <v>2</v>
          </cell>
        </row>
        <row r="356">
          <cell r="A356" t="str">
            <v>F-2025-10-324</v>
          </cell>
          <cell r="B356" t="str">
            <v>RPRO-251028-0577</v>
          </cell>
          <cell r="C356" t="str">
            <v>BDB-000305</v>
          </cell>
          <cell r="D356" t="str">
            <v>PVN-004000</v>
          </cell>
          <cell r="E356" t="str">
            <v>OrthoLite X-35-Nike YELLOW/13-0858TPX Flat Sheet 0.145D 25+/-4 Asker C 1.1M 2M 5.5mm</v>
          </cell>
          <cell r="F356">
            <v>100</v>
          </cell>
          <cell r="G356">
            <v>100</v>
          </cell>
          <cell r="H356">
            <v>100</v>
          </cell>
          <cell r="I356">
            <v>0</v>
          </cell>
          <cell r="J356"/>
          <cell r="K356" t="str">
            <v>MPS</v>
          </cell>
          <cell r="L356" t="str">
            <v>SPLITTING</v>
          </cell>
          <cell r="M356">
            <v>2</v>
          </cell>
        </row>
        <row r="357">
          <cell r="A357" t="str">
            <v>F-2025-10-325</v>
          </cell>
          <cell r="B357" t="str">
            <v>RPRO-251028-0578</v>
          </cell>
          <cell r="C357" t="str">
            <v>BDB-000055</v>
          </cell>
          <cell r="D357" t="str">
            <v>PVN-003326</v>
          </cell>
          <cell r="E357" t="str">
            <v>OrthoLite X-40 TRUE BLUE/19-4057TPX Flat Sheet 0.16D 35+/-4 Asker C 1.1M 1.7M 14mm</v>
          </cell>
          <cell r="F357">
            <v>90</v>
          </cell>
          <cell r="G357">
            <v>90</v>
          </cell>
          <cell r="H357">
            <v>90</v>
          </cell>
          <cell r="I357">
            <v>0</v>
          </cell>
          <cell r="J357" t="str">
            <v>ADIDAS</v>
          </cell>
          <cell r="K357" t="str">
            <v>Pr.Sch.R</v>
          </cell>
          <cell r="L357" t="str">
            <v>MOLDED</v>
          </cell>
          <cell r="M357">
            <v>1</v>
          </cell>
        </row>
        <row r="358">
          <cell r="A358" t="str">
            <v>F-2025-10-326</v>
          </cell>
          <cell r="B358" t="str">
            <v>RPRO-251028-0579</v>
          </cell>
          <cell r="C358" t="str">
            <v>BDB-000235</v>
          </cell>
          <cell r="D358" t="str">
            <v>PVN-003576</v>
          </cell>
          <cell r="E358" t="str">
            <v>OrthoLite X-55-Hybrid FOSSIL/17-0909TPX Hybrid Flat Sheet 0.16D 25+/-4 Asker C 1.1M 1.7M 12mm</v>
          </cell>
          <cell r="F358">
            <v>220</v>
          </cell>
          <cell r="G358">
            <v>220</v>
          </cell>
          <cell r="H358">
            <v>220</v>
          </cell>
          <cell r="I358">
            <v>0</v>
          </cell>
          <cell r="J358" t="str">
            <v>ASICS</v>
          </cell>
          <cell r="K358" t="str">
            <v>Pr.Sch.R</v>
          </cell>
          <cell r="L358" t="str">
            <v>MOLDED</v>
          </cell>
          <cell r="M358" t="str">
            <v>1-RM-WIP</v>
          </cell>
        </row>
        <row r="359">
          <cell r="A359" t="str">
            <v>F-2025-10-327</v>
          </cell>
          <cell r="B359" t="str">
            <v>RPRO-251028-0580</v>
          </cell>
          <cell r="C359" t="str">
            <v>BDB-000248</v>
          </cell>
          <cell r="D359" t="str">
            <v>PVN-003931</v>
          </cell>
          <cell r="E359" t="str">
            <v>OrthoLite X-40-Hybrid RED/19-1764TPX Hybrid Flat Sheet 0.16D 25+/-4 Asker C 1.1M 1.7M 6.5mm</v>
          </cell>
          <cell r="F359">
            <v>21</v>
          </cell>
          <cell r="G359">
            <v>21</v>
          </cell>
          <cell r="H359">
            <v>21</v>
          </cell>
          <cell r="I359">
            <v>0</v>
          </cell>
          <cell r="J359" t="str">
            <v>REDWING</v>
          </cell>
          <cell r="K359" t="str">
            <v>Pr.Sch.R</v>
          </cell>
          <cell r="L359" t="str">
            <v>MOLDED</v>
          </cell>
          <cell r="M359">
            <v>1</v>
          </cell>
        </row>
        <row r="360">
          <cell r="A360" t="str">
            <v>F-2025-10-328-1</v>
          </cell>
          <cell r="B360" t="str">
            <v>RPRO-251028-0581</v>
          </cell>
          <cell r="C360" t="str">
            <v>BDB-000157</v>
          </cell>
          <cell r="D360" t="str">
            <v>PVN-003642</v>
          </cell>
          <cell r="E360" t="str">
            <v>OrthoLite X-35-Hybrid-Nike SEEDPEARL/12-0703TPX Hybrid Flat Sheet 0.145D 25+/-4 Asker C 1.1M 2M 6.2mm</v>
          </cell>
          <cell r="F360">
            <v>990</v>
          </cell>
          <cell r="G360">
            <v>195</v>
          </cell>
          <cell r="H360">
            <v>195</v>
          </cell>
          <cell r="I360">
            <v>0</v>
          </cell>
          <cell r="J360" t="str">
            <v>NIKE</v>
          </cell>
          <cell r="K360" t="str">
            <v>Pr.Sch.R</v>
          </cell>
          <cell r="L360" t="str">
            <v>MOLDED</v>
          </cell>
          <cell r="M360">
            <v>1</v>
          </cell>
        </row>
        <row r="361">
          <cell r="A361" t="str">
            <v>F-2025-10-328-2</v>
          </cell>
          <cell r="B361" t="str">
            <v>RPRO-251028-0581</v>
          </cell>
          <cell r="C361" t="str">
            <v>BDB-000157</v>
          </cell>
          <cell r="D361" t="str">
            <v>PVN-003642</v>
          </cell>
          <cell r="E361" t="str">
            <v>OrthoLite X-35-Hybrid-Nike SEEDPEARL/12-0703TPX Hybrid Flat Sheet 0.145D 25+/-4 Asker C 1.1M 2M 6.2mm</v>
          </cell>
          <cell r="F361">
            <v>990</v>
          </cell>
          <cell r="G361">
            <v>795</v>
          </cell>
          <cell r="H361">
            <v>795</v>
          </cell>
          <cell r="I361">
            <v>0</v>
          </cell>
          <cell r="J361" t="str">
            <v>NIKE</v>
          </cell>
          <cell r="K361" t="str">
            <v>Pr.Sch.R</v>
          </cell>
          <cell r="L361" t="str">
            <v>MOLDED</v>
          </cell>
          <cell r="M361">
            <v>1</v>
          </cell>
        </row>
        <row r="362">
          <cell r="A362" t="str">
            <v>F-2025-10-329</v>
          </cell>
          <cell r="B362" t="str">
            <v>RPRO-251028-0582</v>
          </cell>
          <cell r="C362" t="str">
            <v>BDB-000209</v>
          </cell>
          <cell r="D362" t="str">
            <v>PVN-003462</v>
          </cell>
          <cell r="E362" t="str">
            <v>OrthoLite HybridPlus-Recycled MINT GREEN/11-4805TPX Hybrid Flat Sheet 0.12D 25+/-4 Asker C 1.1M 2M 12mm</v>
          </cell>
          <cell r="F362">
            <v>22</v>
          </cell>
          <cell r="G362">
            <v>22</v>
          </cell>
          <cell r="H362">
            <v>22</v>
          </cell>
          <cell r="I362">
            <v>0</v>
          </cell>
          <cell r="J362" t="str">
            <v>BROOKS</v>
          </cell>
          <cell r="K362" t="str">
            <v>Pr.Sch.R</v>
          </cell>
          <cell r="L362" t="str">
            <v>MOLDED</v>
          </cell>
          <cell r="M362">
            <v>1</v>
          </cell>
        </row>
        <row r="363">
          <cell r="A363" t="str">
            <v>F-2025-10-330</v>
          </cell>
          <cell r="B363" t="str">
            <v>RPRO-251028-0583</v>
          </cell>
          <cell r="C363" t="str">
            <v>BDB-000011</v>
          </cell>
          <cell r="D363" t="str">
            <v>PVN-000121</v>
          </cell>
          <cell r="E363" t="str">
            <v>OrthoLite Regular AIR BLUE/16-4134TPX Flat Sheet 0.13D 35+/-4 Asker C 1.1M 2M 12mm</v>
          </cell>
          <cell r="F363">
            <v>605</v>
          </cell>
          <cell r="G363">
            <v>605</v>
          </cell>
          <cell r="H363">
            <v>605</v>
          </cell>
          <cell r="I363">
            <v>0</v>
          </cell>
          <cell r="J363" t="str">
            <v>ASICS</v>
          </cell>
          <cell r="K363" t="str">
            <v>Pr.Sch.R</v>
          </cell>
          <cell r="L363" t="str">
            <v>MOLDED</v>
          </cell>
          <cell r="M363" t="str">
            <v>1-RM-WIP</v>
          </cell>
        </row>
        <row r="364">
          <cell r="A364" t="str">
            <v>F-2025-10-331</v>
          </cell>
          <cell r="B364" t="str">
            <v>RPRO-251028-0584</v>
          </cell>
          <cell r="C364" t="str">
            <v>BDB-000008</v>
          </cell>
          <cell r="D364" t="str">
            <v>PVN-000505</v>
          </cell>
          <cell r="E364" t="str">
            <v>OrthoLite Regular LIME GREEN/14-0452TPX Flat Sheet 0.11D 25+/-4 Asker C 1.1M 2M 12mm</v>
          </cell>
          <cell r="F364">
            <v>110</v>
          </cell>
          <cell r="G364">
            <v>110</v>
          </cell>
          <cell r="H364">
            <v>110</v>
          </cell>
          <cell r="I364">
            <v>0</v>
          </cell>
          <cell r="J364" t="str">
            <v>ASICS</v>
          </cell>
          <cell r="K364" t="str">
            <v>Pr.Sch.R</v>
          </cell>
          <cell r="L364" t="str">
            <v>MOLDED</v>
          </cell>
          <cell r="M364" t="str">
            <v>1-RM-WIP</v>
          </cell>
        </row>
        <row r="365">
          <cell r="A365" t="str">
            <v>F-2025-10-332</v>
          </cell>
          <cell r="B365" t="str">
            <v>RPRO-251028-0585</v>
          </cell>
          <cell r="C365" t="str">
            <v>BDB-000113</v>
          </cell>
          <cell r="D365" t="str">
            <v>PVN-002465</v>
          </cell>
          <cell r="E365" t="str">
            <v>OrthoLite Regular-Hybrid SEEDPEARL/12-0703TPX Hybrid Flat Sheet 0.11D 25+/-4 Asker C 1.1M 2M 5mm</v>
          </cell>
          <cell r="F365">
            <v>1260</v>
          </cell>
          <cell r="G365">
            <v>1260</v>
          </cell>
          <cell r="H365">
            <v>1260</v>
          </cell>
          <cell r="I365">
            <v>0</v>
          </cell>
          <cell r="J365" t="str">
            <v>ASICS</v>
          </cell>
          <cell r="K365" t="str">
            <v>Pr.Sch.R</v>
          </cell>
          <cell r="L365" t="str">
            <v>DIE CUT</v>
          </cell>
          <cell r="M365">
            <v>1</v>
          </cell>
        </row>
        <row r="366">
          <cell r="A366" t="str">
            <v>F-2025-10-333</v>
          </cell>
          <cell r="B366" t="str">
            <v>RPRO-251028-0586</v>
          </cell>
          <cell r="C366" t="str">
            <v>BDB-000234</v>
          </cell>
          <cell r="D366" t="str">
            <v>PVN-003581</v>
          </cell>
          <cell r="E366" t="str">
            <v>OrthoLite X-30-Hybrid BROWN SUGAR/17-1134TPX Hybrid Flat Sheet 0.13D 25+/-4 Asker C 1.1M 2M 12mm</v>
          </cell>
          <cell r="F366">
            <v>110</v>
          </cell>
          <cell r="G366">
            <v>110</v>
          </cell>
          <cell r="H366">
            <v>110</v>
          </cell>
          <cell r="I366">
            <v>0</v>
          </cell>
          <cell r="J366" t="str">
            <v>ASICS</v>
          </cell>
          <cell r="K366" t="str">
            <v>Pr.Sch.R</v>
          </cell>
          <cell r="L366" t="str">
            <v>MOLDED</v>
          </cell>
          <cell r="M366" t="str">
            <v>1-RM-WIP</v>
          </cell>
        </row>
        <row r="367">
          <cell r="A367" t="str">
            <v>F-2025-10-334</v>
          </cell>
          <cell r="B367" t="str">
            <v>RPRO-251028-0587</v>
          </cell>
          <cell r="C367" t="str">
            <v>BDB-000117</v>
          </cell>
          <cell r="D367" t="str">
            <v>PVN-002979</v>
          </cell>
          <cell r="E367" t="str">
            <v>OrthoLite X-35-Hybrid SEEDPEARL/12-0703TPX Hybrid Flat Sheet 0.145D 25+/-4 Asker C 1.1M 2M 11mm</v>
          </cell>
          <cell r="F367">
            <v>72</v>
          </cell>
          <cell r="G367">
            <v>72</v>
          </cell>
          <cell r="H367">
            <v>72</v>
          </cell>
          <cell r="I367">
            <v>0</v>
          </cell>
          <cell r="J367" t="str">
            <v>DESCENTE</v>
          </cell>
          <cell r="K367" t="str">
            <v>Pr.Sch.R</v>
          </cell>
          <cell r="L367" t="str">
            <v>MOLDED</v>
          </cell>
          <cell r="M367">
            <v>1</v>
          </cell>
        </row>
        <row r="368">
          <cell r="A368" t="str">
            <v>F-2025-10-335</v>
          </cell>
          <cell r="B368" t="str">
            <v>RPRO-251028-0588</v>
          </cell>
          <cell r="C368" t="str">
            <v>BDB-000313</v>
          </cell>
          <cell r="D368" t="str">
            <v>PVN-004061</v>
          </cell>
          <cell r="E368" t="str">
            <v>OrthoLite X-55 RED/19-1764TPX Flat Sheet 0.16D 25+/-4 Asker C 1.1M 1.47M 18mm</v>
          </cell>
          <cell r="F368">
            <v>7</v>
          </cell>
          <cell r="G368">
            <v>7</v>
          </cell>
          <cell r="H368">
            <v>7</v>
          </cell>
          <cell r="I368">
            <v>0</v>
          </cell>
          <cell r="J368" t="str">
            <v>WILSON</v>
          </cell>
          <cell r="K368" t="str">
            <v>Pr.Sch.R</v>
          </cell>
          <cell r="L368" t="str">
            <v>MOLDED</v>
          </cell>
          <cell r="M368">
            <v>1</v>
          </cell>
        </row>
        <row r="369">
          <cell r="A369" t="str">
            <v>F-2025-10-336</v>
          </cell>
          <cell r="B369" t="str">
            <v>RPRO-251028-0589</v>
          </cell>
          <cell r="C369" t="str">
            <v>BDB-000126</v>
          </cell>
          <cell r="D369" t="str">
            <v>PVN-002325</v>
          </cell>
          <cell r="E369" t="str">
            <v>OrthoLite Regular-Nike RED/19-1764TPX Flat Sheet 0.11D 25+/-4 Asker C 1.1M 2M 5.2mm</v>
          </cell>
          <cell r="F369">
            <v>182</v>
          </cell>
          <cell r="G369">
            <v>182</v>
          </cell>
          <cell r="H369">
            <v>182</v>
          </cell>
          <cell r="I369">
            <v>0</v>
          </cell>
          <cell r="J369" t="str">
            <v>NIKE</v>
          </cell>
          <cell r="K369" t="str">
            <v>Pr.Sch.R</v>
          </cell>
          <cell r="L369" t="str">
            <v>MOLDED</v>
          </cell>
          <cell r="M369">
            <v>1</v>
          </cell>
        </row>
        <row r="370">
          <cell r="A370" t="str">
            <v>F-2025-10-337</v>
          </cell>
          <cell r="B370" t="str">
            <v>RPRO-251028-0590</v>
          </cell>
          <cell r="C370" t="str">
            <v>BDB-000057</v>
          </cell>
          <cell r="D370" t="str">
            <v>PVN-001126</v>
          </cell>
          <cell r="E370" t="str">
            <v>OrthoLite Ultra YELLOW/13-0858TPX Flat Sheet 0.085D 25+/-4 Asker C 1.1M 2M 11mm</v>
          </cell>
          <cell r="F370">
            <v>12</v>
          </cell>
          <cell r="G370">
            <v>12</v>
          </cell>
          <cell r="H370">
            <v>12</v>
          </cell>
          <cell r="I370">
            <v>0</v>
          </cell>
          <cell r="J370" t="str">
            <v>GARMONT</v>
          </cell>
          <cell r="K370" t="str">
            <v>Pr.Sch.R</v>
          </cell>
          <cell r="L370" t="str">
            <v>MOLDED</v>
          </cell>
          <cell r="M370">
            <v>1</v>
          </cell>
        </row>
        <row r="371">
          <cell r="A371" t="str">
            <v>F-2025-10-338</v>
          </cell>
          <cell r="B371" t="str">
            <v>RPRO-251030-0354</v>
          </cell>
          <cell r="C371" t="str">
            <v>BDB-000011</v>
          </cell>
          <cell r="D371" t="str">
            <v>PVN-000258</v>
          </cell>
          <cell r="E371" t="str">
            <v>OrthoLite Regular AIR BLUE/16-4134TPX Flat Sheet 0.13D 35+/-4 Asker C 1.1M 2M 2.5mm</v>
          </cell>
          <cell r="F371">
            <v>672</v>
          </cell>
          <cell r="G371">
            <v>672</v>
          </cell>
          <cell r="H371">
            <v>672</v>
          </cell>
          <cell r="I371">
            <v>0</v>
          </cell>
          <cell r="J371"/>
          <cell r="K371" t="str">
            <v>MPS</v>
          </cell>
          <cell r="L371" t="str">
            <v>SPLITTING</v>
          </cell>
          <cell r="M371">
            <v>2</v>
          </cell>
        </row>
        <row r="372">
          <cell r="A372" t="str">
            <v>F-2025-10-339</v>
          </cell>
          <cell r="B372" t="str">
            <v>RPRO-251030-0355</v>
          </cell>
          <cell r="C372" t="str">
            <v>BDB-000011</v>
          </cell>
          <cell r="D372" t="str">
            <v>PVN-000266</v>
          </cell>
          <cell r="E372" t="str">
            <v>OrthoLite Regular AIR BLUE/16-4134TPX Flat Sheet 0.13D 35+/-4 Asker C 1.1M 2M 3.5mm</v>
          </cell>
          <cell r="F372">
            <v>40</v>
          </cell>
          <cell r="G372">
            <v>40</v>
          </cell>
          <cell r="H372">
            <v>40</v>
          </cell>
          <cell r="I372">
            <v>0</v>
          </cell>
          <cell r="J372"/>
          <cell r="K372" t="str">
            <v>MPS</v>
          </cell>
          <cell r="L372" t="str">
            <v>SPLITTING</v>
          </cell>
          <cell r="M372">
            <v>2</v>
          </cell>
        </row>
        <row r="373">
          <cell r="A373" t="str">
            <v>F-2025-10-340</v>
          </cell>
          <cell r="B373" t="str">
            <v>RPRO-251030-0356</v>
          </cell>
          <cell r="C373" t="str">
            <v>BDB-000008</v>
          </cell>
          <cell r="D373" t="str">
            <v>PVN-000313</v>
          </cell>
          <cell r="E373" t="str">
            <v>OrthoLite Regular LIME GREEN/14-0452TPX Flat Sheet 0.11D 25+/-4 Asker C 1.1M 2M 4mm</v>
          </cell>
          <cell r="F373">
            <v>35</v>
          </cell>
          <cell r="G373">
            <v>35</v>
          </cell>
          <cell r="H373">
            <v>35</v>
          </cell>
          <cell r="I373">
            <v>0</v>
          </cell>
          <cell r="J373"/>
          <cell r="K373" t="str">
            <v>MPS</v>
          </cell>
          <cell r="L373" t="str">
            <v>SPLITTING</v>
          </cell>
          <cell r="M373">
            <v>2</v>
          </cell>
        </row>
        <row r="374">
          <cell r="A374" t="str">
            <v>F-2025-10-341</v>
          </cell>
          <cell r="B374" t="str">
            <v>RPRO-251030-0357</v>
          </cell>
          <cell r="C374" t="str">
            <v>BDB-000057</v>
          </cell>
          <cell r="D374" t="str">
            <v>PVN-000849</v>
          </cell>
          <cell r="E374" t="str">
            <v>OrthoLite Ultra YELLOW/13-0858TPX Flat Sheet 0.085D 25+/-4 Asker C 1.1M 2M 8mm</v>
          </cell>
          <cell r="F374">
            <v>34</v>
          </cell>
          <cell r="G374">
            <v>34</v>
          </cell>
          <cell r="H374">
            <v>34</v>
          </cell>
          <cell r="I374">
            <v>0</v>
          </cell>
          <cell r="J374"/>
          <cell r="K374" t="str">
            <v>MPS</v>
          </cell>
          <cell r="L374" t="str">
            <v>SPLITTING</v>
          </cell>
          <cell r="M374">
            <v>2</v>
          </cell>
        </row>
        <row r="375">
          <cell r="A375" t="str">
            <v>F-2025-10-342</v>
          </cell>
          <cell r="B375" t="str">
            <v>RPRO-251030-0358</v>
          </cell>
          <cell r="C375" t="str">
            <v>BDB-000264</v>
          </cell>
          <cell r="D375" t="str">
            <v>PVN-003881</v>
          </cell>
          <cell r="E375" t="str">
            <v>OrthoLite Ultra YELLOW/13-0858TPX Flat Sheet 0.085D 25+/-4 Asker C 1.1M 1.47M 5mm</v>
          </cell>
          <cell r="F375">
            <v>140</v>
          </cell>
          <cell r="G375">
            <v>140</v>
          </cell>
          <cell r="H375">
            <v>140</v>
          </cell>
          <cell r="I375">
            <v>0</v>
          </cell>
          <cell r="J375"/>
          <cell r="K375" t="str">
            <v>MPS</v>
          </cell>
          <cell r="L375" t="str">
            <v>SPLITTING</v>
          </cell>
          <cell r="M375">
            <v>2</v>
          </cell>
        </row>
        <row r="376">
          <cell r="A376" t="str">
            <v>F-2025-10-343</v>
          </cell>
          <cell r="B376" t="str">
            <v>RPRO-251030-0359</v>
          </cell>
          <cell r="C376" t="str">
            <v>BDB-000011</v>
          </cell>
          <cell r="D376" t="str">
            <v>PVN-000127</v>
          </cell>
          <cell r="E376" t="str">
            <v>OrthoLite Regular AIR BLUE/16-4134TPX Flat Sheet 0.13D 35+/-4 Asker C 1.1M 2M 5mm</v>
          </cell>
          <cell r="F376">
            <v>252</v>
          </cell>
          <cell r="G376">
            <v>252</v>
          </cell>
          <cell r="H376">
            <v>252</v>
          </cell>
          <cell r="I376">
            <v>0</v>
          </cell>
          <cell r="J376"/>
          <cell r="K376" t="str">
            <v>MPS</v>
          </cell>
          <cell r="L376" t="str">
            <v>SPLITTING</v>
          </cell>
          <cell r="M376">
            <v>2</v>
          </cell>
        </row>
        <row r="377">
          <cell r="A377" t="str">
            <v>F-2025-10-344</v>
          </cell>
          <cell r="B377" t="str">
            <v>RPRO-251030-0360</v>
          </cell>
          <cell r="C377" t="str">
            <v>BDB-000057</v>
          </cell>
          <cell r="D377" t="str">
            <v>PVN-000925</v>
          </cell>
          <cell r="E377" t="str">
            <v>OrthoLite Ultra YELLOW/13-0858TPX Flat Sheet 0.085D 25+/-4 Asker C 1.1M 2M 5mm</v>
          </cell>
          <cell r="F377">
            <v>1372</v>
          </cell>
          <cell r="G377">
            <v>1372</v>
          </cell>
          <cell r="H377">
            <v>1372</v>
          </cell>
          <cell r="I377">
            <v>0</v>
          </cell>
          <cell r="J377"/>
          <cell r="K377" t="str">
            <v>MPS</v>
          </cell>
          <cell r="L377" t="str">
            <v>SPLITTING</v>
          </cell>
          <cell r="M377">
            <v>2</v>
          </cell>
        </row>
        <row r="378">
          <cell r="A378" t="str">
            <v>F-2025-10-345</v>
          </cell>
          <cell r="B378" t="str">
            <v>RPRO-251030-0361</v>
          </cell>
          <cell r="C378" t="str">
            <v>BDB-000113</v>
          </cell>
          <cell r="D378" t="str">
            <v>PVN-002501</v>
          </cell>
          <cell r="E378" t="str">
            <v>OrthoLite Regular-Hybrid SEEDPEARL/12-0703TPX Hybrid Flat Sheet 0.11D 25+/-4 Asker C 1.1M 2M 2mm</v>
          </cell>
          <cell r="F378">
            <v>70</v>
          </cell>
          <cell r="G378">
            <v>70</v>
          </cell>
          <cell r="H378">
            <v>70</v>
          </cell>
          <cell r="I378">
            <v>0</v>
          </cell>
          <cell r="J378"/>
          <cell r="K378" t="str">
            <v>MPS</v>
          </cell>
          <cell r="L378" t="str">
            <v>SPLITTING</v>
          </cell>
          <cell r="M378">
            <v>2</v>
          </cell>
        </row>
        <row r="379">
          <cell r="A379" t="str">
            <v>F-2025-10-346-1</v>
          </cell>
          <cell r="B379" t="str">
            <v>RPRO-251030-0362</v>
          </cell>
          <cell r="C379" t="str">
            <v>BDB-000180</v>
          </cell>
          <cell r="D379" t="str">
            <v>PVN-003236</v>
          </cell>
          <cell r="E379" t="str">
            <v>OrthoLite Eco LT-Hybrid-Converse SEEDPEARL/12-0703TPX Hybrid 0.13D 25+/-4 Asker C 1.1M 2M 5mm</v>
          </cell>
          <cell r="F379">
            <v>785</v>
          </cell>
          <cell r="G379">
            <v>170</v>
          </cell>
          <cell r="H379">
            <v>170</v>
          </cell>
          <cell r="I379">
            <v>0</v>
          </cell>
          <cell r="J379"/>
          <cell r="K379" t="str">
            <v>MPS</v>
          </cell>
          <cell r="L379" t="str">
            <v>SPLITTING</v>
          </cell>
          <cell r="M379">
            <v>2</v>
          </cell>
        </row>
        <row r="380">
          <cell r="A380" t="str">
            <v>F-2025-10-346-2</v>
          </cell>
          <cell r="B380" t="str">
            <v>RPRO-251030-0362</v>
          </cell>
          <cell r="C380" t="str">
            <v>BDB-000180</v>
          </cell>
          <cell r="D380" t="str">
            <v>PVN-003236</v>
          </cell>
          <cell r="E380" t="str">
            <v>OrthoLite Eco LT-Hybrid-Converse SEEDPEARL/12-0703TPX Hybrid 0.13D 25+/-4 Asker C 1.1M 2M 5mm</v>
          </cell>
          <cell r="F380">
            <v>785</v>
          </cell>
          <cell r="G380">
            <v>615</v>
          </cell>
          <cell r="H380">
            <v>615</v>
          </cell>
          <cell r="I380">
            <v>0</v>
          </cell>
          <cell r="J380"/>
          <cell r="K380" t="str">
            <v>MPS</v>
          </cell>
          <cell r="L380" t="str">
            <v>SPLITTING</v>
          </cell>
          <cell r="M380">
            <v>2</v>
          </cell>
        </row>
        <row r="381">
          <cell r="A381" t="str">
            <v>F-2025-10-347</v>
          </cell>
          <cell r="B381" t="str">
            <v>RPRO-251030-0363</v>
          </cell>
          <cell r="C381" t="str">
            <v>BDB-000123</v>
          </cell>
          <cell r="D381" t="str">
            <v>PVN-003300</v>
          </cell>
          <cell r="E381" t="str">
            <v>OrthoLite Ultra-Hybrid SEEDPEARL/12-0703TPX Hybrid Flat Sheet 0.085D 25+/-4 Asker C 1.1M 2M 2mm</v>
          </cell>
          <cell r="F381">
            <v>70</v>
          </cell>
          <cell r="G381">
            <v>70</v>
          </cell>
          <cell r="H381">
            <v>70</v>
          </cell>
          <cell r="I381">
            <v>0</v>
          </cell>
          <cell r="J381"/>
          <cell r="K381" t="str">
            <v>MPS</v>
          </cell>
          <cell r="L381" t="str">
            <v>SPLITTING</v>
          </cell>
          <cell r="M381">
            <v>2</v>
          </cell>
        </row>
        <row r="382">
          <cell r="A382" t="str">
            <v>F-2025-10-348</v>
          </cell>
          <cell r="B382" t="str">
            <v>RPRO-251030-0364</v>
          </cell>
          <cell r="C382" t="str">
            <v>BDB-000175</v>
          </cell>
          <cell r="D382" t="str">
            <v>PVN-002876</v>
          </cell>
          <cell r="E382" t="str">
            <v>OrthoLite Ultra-Hybrid-Nike SEEDPEARL/12-0703TPX Hybrid Flat Sheet 0.085D 25+/-4 Asker C 1.1M 2M 5mm</v>
          </cell>
          <cell r="F382">
            <v>168</v>
          </cell>
          <cell r="G382">
            <v>168</v>
          </cell>
          <cell r="H382">
            <v>168</v>
          </cell>
          <cell r="I382">
            <v>0</v>
          </cell>
          <cell r="J382" t="str">
            <v>NIKE</v>
          </cell>
          <cell r="K382" t="str">
            <v>Pr.Sch.R</v>
          </cell>
          <cell r="L382" t="str">
            <v>MOLDED</v>
          </cell>
          <cell r="M382">
            <v>1</v>
          </cell>
        </row>
        <row r="383">
          <cell r="A383" t="str">
            <v>F-2025-10-349</v>
          </cell>
          <cell r="B383" t="str">
            <v>RPRO-251030-0365</v>
          </cell>
          <cell r="C383" t="str">
            <v>BDB-000235</v>
          </cell>
          <cell r="D383" t="str">
            <v>PVN-003576</v>
          </cell>
          <cell r="E383" t="str">
            <v>OrthoLite X-55-Hybrid FOSSIL/17-0909TPX Hybrid Flat Sheet 0.16D 25+/-4 Asker C 1.1M 1.7M 12mm</v>
          </cell>
          <cell r="F383">
            <v>517</v>
          </cell>
          <cell r="G383">
            <v>517</v>
          </cell>
          <cell r="H383">
            <v>517</v>
          </cell>
          <cell r="I383">
            <v>0</v>
          </cell>
          <cell r="J383" t="str">
            <v>ASICS</v>
          </cell>
          <cell r="K383" t="str">
            <v>Pr.Sch.R</v>
          </cell>
          <cell r="L383" t="str">
            <v>MOLDED</v>
          </cell>
          <cell r="M383" t="str">
            <v>1-RM-WIP</v>
          </cell>
        </row>
        <row r="384">
          <cell r="A384" t="str">
            <v>F-2025-10-350</v>
          </cell>
          <cell r="B384" t="str">
            <v>RPRO-251030-0366</v>
          </cell>
          <cell r="C384" t="str">
            <v>BDB-000252</v>
          </cell>
          <cell r="D384" t="str">
            <v>PVN-003714</v>
          </cell>
          <cell r="E384" t="str">
            <v>OrthoLite Nike PP002 AMAZON/18-6024TPX Flat Sheet 0.145D 25+/-4 asker C 1.1M 2M 5.2mm</v>
          </cell>
          <cell r="F384">
            <v>1014</v>
          </cell>
          <cell r="G384">
            <v>1014</v>
          </cell>
          <cell r="H384">
            <v>1014</v>
          </cell>
          <cell r="I384">
            <v>0</v>
          </cell>
          <cell r="J384" t="str">
            <v>NIKE</v>
          </cell>
          <cell r="K384" t="str">
            <v>Pr.Sch.R</v>
          </cell>
          <cell r="L384" t="str">
            <v>MOLDED</v>
          </cell>
          <cell r="M384">
            <v>1</v>
          </cell>
        </row>
        <row r="385">
          <cell r="A385" t="str">
            <v>F-2025-10-351</v>
          </cell>
          <cell r="B385" t="str">
            <v>RPRO-251030-0367</v>
          </cell>
          <cell r="C385" t="str">
            <v>BDB-000248</v>
          </cell>
          <cell r="D385" t="str">
            <v>PVN-003931</v>
          </cell>
          <cell r="E385" t="str">
            <v>OrthoLite X-40-Hybrid RED/19-1764TPX Hybrid Flat Sheet 0.16D 25+/-4 Asker C 1.1M 1.7M 6.5mm</v>
          </cell>
          <cell r="F385">
            <v>126</v>
          </cell>
          <cell r="G385">
            <v>126</v>
          </cell>
          <cell r="H385">
            <v>126</v>
          </cell>
          <cell r="I385">
            <v>0</v>
          </cell>
          <cell r="J385" t="str">
            <v>REDWING</v>
          </cell>
          <cell r="K385" t="str">
            <v>Pr.Sch.R</v>
          </cell>
          <cell r="L385" t="str">
            <v>MOLDED</v>
          </cell>
          <cell r="M385">
            <v>1</v>
          </cell>
        </row>
        <row r="386">
          <cell r="A386" t="str">
            <v>F-2025-10-352</v>
          </cell>
          <cell r="B386" t="str">
            <v>RPRO-251030-0368</v>
          </cell>
          <cell r="C386" t="str">
            <v>BDB-000309</v>
          </cell>
          <cell r="D386" t="str">
            <v>PVN-004033</v>
          </cell>
          <cell r="E386" t="str">
            <v>OrthoLite X-40-Hybrid NEUTRAL GRAY/17-4402TPX Hybrid Flat Sheet 0.16D 35+/-4 Asker C 1.1M 2M 2mm</v>
          </cell>
          <cell r="F386">
            <v>70</v>
          </cell>
          <cell r="G386">
            <v>70</v>
          </cell>
          <cell r="H386">
            <v>70</v>
          </cell>
          <cell r="I386">
            <v>0</v>
          </cell>
          <cell r="J386" t="str">
            <v>REDWING</v>
          </cell>
          <cell r="K386" t="str">
            <v>Pr.Sch.R</v>
          </cell>
          <cell r="L386" t="str">
            <v>MOLDED</v>
          </cell>
          <cell r="M386">
            <v>1</v>
          </cell>
        </row>
        <row r="387">
          <cell r="A387" t="str">
            <v>F-2025-10-353</v>
          </cell>
          <cell r="B387" t="str">
            <v>RPRO-251030-0369</v>
          </cell>
          <cell r="C387" t="str">
            <v>BDB-000125</v>
          </cell>
          <cell r="D387" t="str">
            <v>PVN-001579</v>
          </cell>
          <cell r="E387" t="str">
            <v>OrthoLite Regular-Nike AIR BLUE/16-4134TPX Flat Sheet 0.11D 25+/-4 Asker C 1.1M 2M 4mm</v>
          </cell>
          <cell r="F387">
            <v>630</v>
          </cell>
          <cell r="G387">
            <v>630</v>
          </cell>
          <cell r="H387">
            <v>630</v>
          </cell>
          <cell r="I387">
            <v>0</v>
          </cell>
          <cell r="J387" t="str">
            <v>NIKE</v>
          </cell>
          <cell r="K387" t="str">
            <v>Pr.Sch.R</v>
          </cell>
          <cell r="L387" t="str">
            <v>LAMINATING</v>
          </cell>
          <cell r="M387">
            <v>1</v>
          </cell>
        </row>
        <row r="388">
          <cell r="A388" t="str">
            <v>F-2025-10-354</v>
          </cell>
          <cell r="B388" t="str">
            <v>RPRO-251030-0370</v>
          </cell>
          <cell r="C388" t="str">
            <v>BDB-000209</v>
          </cell>
          <cell r="D388" t="str">
            <v>PVN-003462</v>
          </cell>
          <cell r="E388" t="str">
            <v>OrthoLite HybridPlus-Recycled MINT GREEN/11-4805TPX Hybrid Flat Sheet 0.12D 25+/-4 Asker C 1.1M 2M 12mm</v>
          </cell>
          <cell r="F388">
            <v>22</v>
          </cell>
          <cell r="G388">
            <v>22</v>
          </cell>
          <cell r="H388">
            <v>22</v>
          </cell>
          <cell r="I388">
            <v>0</v>
          </cell>
          <cell r="J388" t="str">
            <v>BROOKS</v>
          </cell>
          <cell r="K388" t="str">
            <v>Pr.Sch.R</v>
          </cell>
          <cell r="L388" t="str">
            <v>MOLDED</v>
          </cell>
          <cell r="M388">
            <v>1</v>
          </cell>
        </row>
        <row r="389">
          <cell r="A389" t="str">
            <v>F-2025-10-355</v>
          </cell>
          <cell r="B389" t="str">
            <v>RPRO-251030-0371</v>
          </cell>
          <cell r="C389" t="str">
            <v>BDB-000209</v>
          </cell>
          <cell r="D389" t="str">
            <v>PVN-003537</v>
          </cell>
          <cell r="E389" t="str">
            <v>OrthoLite HybridPlus-Recycled MINT GREEN/11-4805TPX Hybrid Flat Sheet 0.12D 25+/-4 Asker C 1.1M 2M 4.5mm</v>
          </cell>
          <cell r="F389">
            <v>31</v>
          </cell>
          <cell r="G389">
            <v>31</v>
          </cell>
          <cell r="H389">
            <v>31</v>
          </cell>
          <cell r="I389">
            <v>0</v>
          </cell>
          <cell r="J389" t="str">
            <v>AKU</v>
          </cell>
          <cell r="K389" t="str">
            <v>Pr.Sch.R</v>
          </cell>
          <cell r="L389" t="str">
            <v>MOLDED</v>
          </cell>
          <cell r="M389">
            <v>1</v>
          </cell>
        </row>
        <row r="390">
          <cell r="A390" t="str">
            <v>F-2025-10-356</v>
          </cell>
          <cell r="B390" t="str">
            <v>RPRO-251030-0372</v>
          </cell>
          <cell r="C390" t="str">
            <v>BDB-000149</v>
          </cell>
          <cell r="D390" t="str">
            <v>PVN-002827</v>
          </cell>
          <cell r="E390" t="str">
            <v>OrthoLite Regular-Hybrid-Nike SEEDPEARL/12-0703TPX Hybrid Flat Sheet 0.11D 25+/-4 Asker C 1.1M 2M 5mm</v>
          </cell>
          <cell r="F390">
            <v>672</v>
          </cell>
          <cell r="G390">
            <v>672</v>
          </cell>
          <cell r="H390">
            <v>672</v>
          </cell>
          <cell r="I390">
            <v>0</v>
          </cell>
          <cell r="J390" t="str">
            <v>NIKE</v>
          </cell>
          <cell r="K390" t="str">
            <v>Pr.Sch.R</v>
          </cell>
          <cell r="L390" t="str">
            <v>MOLDED</v>
          </cell>
          <cell r="M390">
            <v>1</v>
          </cell>
        </row>
        <row r="391">
          <cell r="A391" t="str">
            <v>F-2025-10-357</v>
          </cell>
          <cell r="B391" t="str">
            <v>RPRO-251030-0373</v>
          </cell>
          <cell r="C391" t="str">
            <v>BDB-000011</v>
          </cell>
          <cell r="D391" t="str">
            <v>PVN-000121</v>
          </cell>
          <cell r="E391" t="str">
            <v>OrthoLite Regular AIR BLUE/16-4134TPX Flat Sheet 0.13D 35+/-4 Asker C 1.1M 2M 12mm</v>
          </cell>
          <cell r="F391">
            <v>66</v>
          </cell>
          <cell r="G391">
            <v>66</v>
          </cell>
          <cell r="H391">
            <v>66</v>
          </cell>
          <cell r="I391">
            <v>0</v>
          </cell>
          <cell r="J391" t="str">
            <v>ASICS</v>
          </cell>
          <cell r="K391" t="str">
            <v>Pr.Sch.R</v>
          </cell>
          <cell r="L391" t="str">
            <v>MOLDED</v>
          </cell>
          <cell r="M391" t="str">
            <v>1-RM-WIP</v>
          </cell>
        </row>
        <row r="392">
          <cell r="A392" t="str">
            <v>F-2025-10-358</v>
          </cell>
          <cell r="B392" t="str">
            <v>RPRO-251030-0374</v>
          </cell>
          <cell r="C392" t="str">
            <v>BDB-000008</v>
          </cell>
          <cell r="D392" t="str">
            <v>PVN-000505</v>
          </cell>
          <cell r="E392" t="str">
            <v>OrthoLite Regular LIME GREEN/14-0452TPX Flat Sheet 0.11D 25+/-4 Asker C 1.1M 2M 12mm</v>
          </cell>
          <cell r="F392">
            <v>22</v>
          </cell>
          <cell r="G392">
            <v>22</v>
          </cell>
          <cell r="H392">
            <v>22</v>
          </cell>
          <cell r="I392">
            <v>0</v>
          </cell>
          <cell r="J392" t="str">
            <v>ASICS</v>
          </cell>
          <cell r="K392" t="str">
            <v>Pr.Sch.R</v>
          </cell>
          <cell r="L392" t="str">
            <v>MOLDED</v>
          </cell>
          <cell r="M392" t="str">
            <v>1-RM-WIP</v>
          </cell>
        </row>
        <row r="393">
          <cell r="A393" t="str">
            <v>F-2025-10-359</v>
          </cell>
          <cell r="B393" t="str">
            <v>RPRO-251030-0375</v>
          </cell>
          <cell r="C393" t="str">
            <v>BDB-000113</v>
          </cell>
          <cell r="D393" t="str">
            <v>PVN-002465</v>
          </cell>
          <cell r="E393" t="str">
            <v>OrthoLite Regular-Hybrid SEEDPEARL/12-0703TPX Hybrid Flat Sheet 0.11D 25+/-4 Asker C 1.1M 2M 5mm</v>
          </cell>
          <cell r="F393">
            <v>896</v>
          </cell>
          <cell r="G393">
            <v>896</v>
          </cell>
          <cell r="H393">
            <v>896</v>
          </cell>
          <cell r="I393">
            <v>0</v>
          </cell>
          <cell r="J393" t="str">
            <v>ASICS</v>
          </cell>
          <cell r="K393" t="str">
            <v>Pr.Sch.R</v>
          </cell>
          <cell r="L393" t="str">
            <v>DIE CUT</v>
          </cell>
          <cell r="M393">
            <v>1</v>
          </cell>
        </row>
        <row r="394">
          <cell r="A394" t="str">
            <v>F-2025-10-360</v>
          </cell>
          <cell r="B394" t="str">
            <v>RPRO-251030-0376</v>
          </cell>
          <cell r="C394" t="str">
            <v>BDB-000234</v>
          </cell>
          <cell r="D394" t="str">
            <v>PVN-003581</v>
          </cell>
          <cell r="E394" t="str">
            <v>OrthoLite X-30-Hybrid BROWN SUGAR/17-1134TPX Hybrid Flat Sheet 0.13D 25+/-4 Asker C 1.1M 2M 12mm</v>
          </cell>
          <cell r="F394">
            <v>539</v>
          </cell>
          <cell r="G394">
            <v>539</v>
          </cell>
          <cell r="H394">
            <v>539</v>
          </cell>
          <cell r="I394">
            <v>0</v>
          </cell>
          <cell r="J394" t="str">
            <v>ASICS</v>
          </cell>
          <cell r="K394" t="str">
            <v>Pr.Sch.R</v>
          </cell>
          <cell r="L394" t="str">
            <v>MOLDED</v>
          </cell>
          <cell r="M394" t="str">
            <v>1-RM-WIP</v>
          </cell>
        </row>
        <row r="395">
          <cell r="A395" t="str">
            <v>F-2025-10-361</v>
          </cell>
          <cell r="B395" t="str">
            <v>RPRO-251030-0377</v>
          </cell>
          <cell r="C395" t="str">
            <v>BDB-000314</v>
          </cell>
          <cell r="D395" t="str">
            <v>PVN-004066</v>
          </cell>
          <cell r="E395" t="str">
            <v>OrthoLite Regular NEUTRAL GRAY/17-4402TPX Flat Sheet 0.16D 51+/-4 Asker C 1.1M 1.7M 9.5mm</v>
          </cell>
          <cell r="F395">
            <v>56</v>
          </cell>
          <cell r="G395">
            <v>56</v>
          </cell>
          <cell r="H395">
            <v>56</v>
          </cell>
          <cell r="I395">
            <v>0</v>
          </cell>
          <cell r="J395" t="str">
            <v>FOOTJOY</v>
          </cell>
          <cell r="K395" t="str">
            <v>Pr.Sch.R</v>
          </cell>
          <cell r="L395" t="str">
            <v>MOLDED</v>
          </cell>
          <cell r="M395">
            <v>1</v>
          </cell>
        </row>
        <row r="396">
          <cell r="A396" t="str">
            <v>F-2025-10-362</v>
          </cell>
          <cell r="B396" t="str">
            <v>RPRO-251030-0378</v>
          </cell>
          <cell r="C396" t="str">
            <v>BDB-000052</v>
          </cell>
          <cell r="D396" t="str">
            <v>PVN-003603</v>
          </cell>
          <cell r="E396" t="str">
            <v>OrthoLite X-40 TRUE BLUE/19-4057TPX Flat Sheet 0.16D 25+/-4 Asker C 1.1M 1.47M 12mm</v>
          </cell>
          <cell r="F396">
            <v>2585</v>
          </cell>
          <cell r="G396">
            <v>2585</v>
          </cell>
          <cell r="H396">
            <v>2585</v>
          </cell>
          <cell r="I396">
            <v>0</v>
          </cell>
          <cell r="J396" t="str">
            <v>ASICS</v>
          </cell>
          <cell r="K396" t="str">
            <v>Pr.Sch.R</v>
          </cell>
          <cell r="L396" t="str">
            <v>MOLDED</v>
          </cell>
          <cell r="M396" t="str">
            <v>1-RM-WIP</v>
          </cell>
        </row>
        <row r="397">
          <cell r="A397" t="str">
            <v>F-2025-10-363</v>
          </cell>
          <cell r="B397" t="str">
            <v>RPRO-251030-0379</v>
          </cell>
          <cell r="C397" t="str">
            <v>BDB-000113</v>
          </cell>
          <cell r="D397" t="str">
            <v>PVN-002515</v>
          </cell>
          <cell r="E397" t="str">
            <v>OrthoLite Regular-Hybrid SEEDPEARL/12-0703TPX Hybrid Flat Sheet 0.11D 25+/-4 Asker C 1.1M 2M 11mm</v>
          </cell>
          <cell r="F397">
            <v>24</v>
          </cell>
          <cell r="G397">
            <v>24</v>
          </cell>
          <cell r="H397">
            <v>24</v>
          </cell>
          <cell r="I397">
            <v>0</v>
          </cell>
          <cell r="J397" t="str">
            <v>ASICS</v>
          </cell>
          <cell r="K397" t="str">
            <v>Pr.Sch.R</v>
          </cell>
          <cell r="L397" t="str">
            <v>MOLDED</v>
          </cell>
          <cell r="M397">
            <v>1</v>
          </cell>
        </row>
        <row r="398">
          <cell r="A398" t="str">
            <v>F-2025-10-364</v>
          </cell>
          <cell r="B398" t="str">
            <v>RPRO-251030-0380</v>
          </cell>
          <cell r="C398" t="str">
            <v>BDB-000317</v>
          </cell>
          <cell r="D398" t="str">
            <v>PVN-004076</v>
          </cell>
          <cell r="E398" t="str">
            <v>OrthoLite Regular NEUTRAL GRAY/17-4402TPX Flat Sheet 0.13D 15+/-4 Asker C 1.1M 2M 24mm</v>
          </cell>
          <cell r="F398">
            <v>215</v>
          </cell>
          <cell r="G398">
            <v>215</v>
          </cell>
          <cell r="H398">
            <v>215</v>
          </cell>
          <cell r="I398">
            <v>0</v>
          </cell>
          <cell r="J398" t="str">
            <v>ASICS</v>
          </cell>
          <cell r="K398" t="str">
            <v>Pr.Sch.R</v>
          </cell>
          <cell r="L398" t="str">
            <v>MOLDED</v>
          </cell>
          <cell r="M398">
            <v>1</v>
          </cell>
        </row>
        <row r="399">
          <cell r="A399" t="str">
            <v>F-2025-10-365</v>
          </cell>
          <cell r="B399" t="str">
            <v>RPRO-251030-0381</v>
          </cell>
          <cell r="C399" t="str">
            <v>BDB-000325</v>
          </cell>
          <cell r="D399" t="str">
            <v>PVN-004115</v>
          </cell>
          <cell r="E399" t="str">
            <v>OrthoLite X-40 TRUE BLUE/19-4057TPX Flat Sheet 0.16D 35+/-4 Asker C 1.1M 2M 4mm</v>
          </cell>
          <cell r="F399">
            <v>385</v>
          </cell>
          <cell r="G399">
            <v>385</v>
          </cell>
          <cell r="H399">
            <v>385</v>
          </cell>
          <cell r="I399">
            <v>0</v>
          </cell>
          <cell r="J399" t="str">
            <v>ASICS</v>
          </cell>
          <cell r="K399" t="str">
            <v>Pr.Sch.R</v>
          </cell>
          <cell r="L399" t="str">
            <v>MOLDED</v>
          </cell>
          <cell r="M399">
            <v>1</v>
          </cell>
        </row>
        <row r="400">
          <cell r="A400" t="str">
            <v>F-2025-10-366</v>
          </cell>
          <cell r="B400" t="str">
            <v>RPRO-251030-0382</v>
          </cell>
          <cell r="C400" t="str">
            <v>BDB-000217</v>
          </cell>
          <cell r="D400" t="str">
            <v>PVN-003539</v>
          </cell>
          <cell r="E400" t="str">
            <v>OrthoLite X-40-Hybrid SEEDPEARL/12-0703TPX Hybrid Flat Sheet 0.16D 35+/-4 Asker C 1.1M 1.7M 6.2mm</v>
          </cell>
          <cell r="F400">
            <v>22</v>
          </cell>
          <cell r="G400">
            <v>22</v>
          </cell>
          <cell r="H400">
            <v>22</v>
          </cell>
          <cell r="I400">
            <v>0</v>
          </cell>
          <cell r="J400" t="str">
            <v>BROOKS</v>
          </cell>
          <cell r="K400" t="str">
            <v>Pr.Sch.R</v>
          </cell>
          <cell r="L400" t="str">
            <v>MOLDED</v>
          </cell>
          <cell r="M400">
            <v>1</v>
          </cell>
        </row>
        <row r="401">
          <cell r="A401" t="str">
            <v>F-2025-10-367</v>
          </cell>
          <cell r="B401" t="str">
            <v>RPRO-251030-0383</v>
          </cell>
          <cell r="C401" t="str">
            <v>BDB-000218</v>
          </cell>
          <cell r="D401" t="str">
            <v>PVN-003488</v>
          </cell>
          <cell r="E401" t="str">
            <v>OrthoLite Ultra-Nike SEEDPEARL/12-0703TPX Flat Sheet 0.085D 5-10 Asker C 1.1M 2M 4mm</v>
          </cell>
          <cell r="F401">
            <v>1575</v>
          </cell>
          <cell r="G401">
            <v>1575</v>
          </cell>
          <cell r="H401">
            <v>1575</v>
          </cell>
          <cell r="I401">
            <v>0</v>
          </cell>
          <cell r="J401" t="str">
            <v>NIKE</v>
          </cell>
          <cell r="K401" t="str">
            <v>Pr.Sch.R</v>
          </cell>
          <cell r="L401" t="str">
            <v>DIE CUT</v>
          </cell>
          <cell r="M401">
            <v>1</v>
          </cell>
        </row>
        <row r="402">
          <cell r="A402" t="str">
            <v>F-2025-10-368</v>
          </cell>
          <cell r="B402" t="str">
            <v>RPRO-251030-0384</v>
          </cell>
          <cell r="C402" t="str">
            <v>BDB-000145</v>
          </cell>
          <cell r="D402" t="str">
            <v>PVN-002811</v>
          </cell>
          <cell r="E402" t="str">
            <v>OrthoLite Regular-Hybrid-Nike YELLOW/13-0858TPX Hybrid Flat Sheet 0.11D 25+/-4 Asker C 1.1M 1.7M 2mm</v>
          </cell>
          <cell r="F402">
            <v>70</v>
          </cell>
          <cell r="G402">
            <v>70</v>
          </cell>
          <cell r="H402">
            <v>70</v>
          </cell>
          <cell r="I402">
            <v>0</v>
          </cell>
          <cell r="J402" t="str">
            <v>NIKE</v>
          </cell>
          <cell r="K402" t="str">
            <v>Pr.Sch.R</v>
          </cell>
          <cell r="L402" t="str">
            <v>DIE CUT</v>
          </cell>
          <cell r="M402">
            <v>1</v>
          </cell>
        </row>
        <row r="403">
          <cell r="A403" t="str">
            <v>F-2025-10-369</v>
          </cell>
          <cell r="B403" t="str">
            <v>RPRO-251030-0385</v>
          </cell>
          <cell r="C403" t="str">
            <v>BDB-000262</v>
          </cell>
          <cell r="D403" t="str">
            <v>PVN-003816</v>
          </cell>
          <cell r="E403" t="str">
            <v>OrthoLite Ultra-Hybrid SEEDPEARL/12-0703TPX Hybrid Flat Sheet 0.085D 78-90 Asker F 1.1M 2M 2.5mm</v>
          </cell>
          <cell r="F403">
            <v>112</v>
          </cell>
          <cell r="G403">
            <v>112</v>
          </cell>
          <cell r="H403">
            <v>112</v>
          </cell>
          <cell r="I403">
            <v>0</v>
          </cell>
          <cell r="J403" t="str">
            <v>FOOTJOY</v>
          </cell>
          <cell r="K403" t="str">
            <v>Pr.Sch.R</v>
          </cell>
          <cell r="L403" t="str">
            <v>DIE CUT</v>
          </cell>
          <cell r="M403">
            <v>1</v>
          </cell>
        </row>
        <row r="404">
          <cell r="A404" t="str">
            <v>F-2025-10-370</v>
          </cell>
          <cell r="B404" t="str">
            <v>RPRO-251030-0386</v>
          </cell>
          <cell r="C404" t="str">
            <v>BDB-000076</v>
          </cell>
          <cell r="D404" t="str">
            <v>PVN-003740</v>
          </cell>
          <cell r="E404" t="str">
            <v>OrthoLite X-25 BILLIARD/16-5427TPX Flat Sheet 0.12D 20+/-4 Asker C 1.1M 2M 10.5mm</v>
          </cell>
          <cell r="F404">
            <v>48</v>
          </cell>
          <cell r="G404">
            <v>48</v>
          </cell>
          <cell r="H404">
            <v>48</v>
          </cell>
          <cell r="I404">
            <v>0</v>
          </cell>
          <cell r="J404" t="str">
            <v>FOOTJOY</v>
          </cell>
          <cell r="K404" t="str">
            <v>Pr.Sch.R</v>
          </cell>
          <cell r="L404" t="str">
            <v>MOLDED</v>
          </cell>
          <cell r="M404">
            <v>1</v>
          </cell>
        </row>
        <row r="405">
          <cell r="A405" t="str">
            <v>F-2025-10-371</v>
          </cell>
          <cell r="B405" t="str">
            <v>RPRO-251030-0387</v>
          </cell>
          <cell r="C405" t="str">
            <v>BDB-000008</v>
          </cell>
          <cell r="D405" t="str">
            <v>PVN-000412</v>
          </cell>
          <cell r="E405" t="str">
            <v>OrthoLite Regular LIME GREEN/14-0452TPX Flat Sheet 0.11D 25+/-4 Asker C 1.1M 2M 5mm</v>
          </cell>
          <cell r="F405">
            <v>112</v>
          </cell>
          <cell r="G405">
            <v>112</v>
          </cell>
          <cell r="H405">
            <v>112</v>
          </cell>
          <cell r="I405">
            <v>0</v>
          </cell>
          <cell r="J405" t="str">
            <v>ASICS</v>
          </cell>
          <cell r="K405" t="str">
            <v>Pr.Sch.R</v>
          </cell>
          <cell r="L405" t="str">
            <v>DIE CUT</v>
          </cell>
          <cell r="M405">
            <v>1</v>
          </cell>
        </row>
        <row r="406">
          <cell r="A406" t="str">
            <v>F-2025-10-372</v>
          </cell>
          <cell r="B406" t="str">
            <v>RPRO-251030-0388</v>
          </cell>
          <cell r="C406" t="str">
            <v>BDB-000057</v>
          </cell>
          <cell r="D406" t="str">
            <v>PVN-000825</v>
          </cell>
          <cell r="E406" t="str">
            <v>OrthoLite Ultra YELLOW/13-0858TPX Flat Sheet 0.085D 25+/-4 Asker C 1.1M 2M 12mm</v>
          </cell>
          <cell r="F406">
            <v>88</v>
          </cell>
          <cell r="G406">
            <v>88</v>
          </cell>
          <cell r="H406">
            <v>88</v>
          </cell>
          <cell r="I406">
            <v>0</v>
          </cell>
          <cell r="J406" t="str">
            <v>ASICS</v>
          </cell>
          <cell r="K406" t="str">
            <v>Pr.Sch.R</v>
          </cell>
          <cell r="L406" t="str">
            <v>MOLDED</v>
          </cell>
          <cell r="M406" t="str">
            <v>1-RM-WIP</v>
          </cell>
        </row>
        <row r="407">
          <cell r="A407" t="str">
            <v>F-2025-10-373</v>
          </cell>
          <cell r="B407" t="str">
            <v>RPRO-251030-0389</v>
          </cell>
          <cell r="C407" t="str">
            <v>BDB-000125</v>
          </cell>
          <cell r="D407" t="str">
            <v>PVN-001412</v>
          </cell>
          <cell r="E407" t="str">
            <v>OrthoLite Regular-Nike AIR BLUE/16-4134TPX Flat Sheet 0.11D 25+/-4 Asker C 1.1M 2M 5mm</v>
          </cell>
          <cell r="F407">
            <v>112</v>
          </cell>
          <cell r="G407">
            <v>112</v>
          </cell>
          <cell r="H407">
            <v>112</v>
          </cell>
          <cell r="I407">
            <v>0</v>
          </cell>
          <cell r="J407" t="str">
            <v>NIKE</v>
          </cell>
          <cell r="K407" t="str">
            <v>Pr.Sch.R</v>
          </cell>
          <cell r="L407" t="str">
            <v>MOLDED</v>
          </cell>
          <cell r="M407">
            <v>1</v>
          </cell>
        </row>
        <row r="408">
          <cell r="A408" t="str">
            <v>F-2025-10-374</v>
          </cell>
          <cell r="B408" t="str">
            <v>RPRO-251030-0390</v>
          </cell>
          <cell r="C408" t="str">
            <v>BDB-000126</v>
          </cell>
          <cell r="D408" t="str">
            <v>PVN-002325</v>
          </cell>
          <cell r="E408" t="str">
            <v>OrthoLite Regular-Nike RED/19-1764TPX Flat Sheet 0.11D 25+/-4 Asker C 1.1M 2M 5.2mm</v>
          </cell>
          <cell r="F408">
            <v>312</v>
          </cell>
          <cell r="G408">
            <v>312</v>
          </cell>
          <cell r="H408">
            <v>312</v>
          </cell>
          <cell r="I408">
            <v>0</v>
          </cell>
          <cell r="J408" t="str">
            <v>NIKE</v>
          </cell>
          <cell r="K408" t="str">
            <v>Pr.Sch.R</v>
          </cell>
          <cell r="L408" t="str">
            <v>MOLDED</v>
          </cell>
          <cell r="M408">
            <v>1</v>
          </cell>
        </row>
        <row r="409">
          <cell r="A409" t="str">
            <v>F-2025-10-375</v>
          </cell>
          <cell r="B409" t="str">
            <v>RPRO-251030-0391</v>
          </cell>
          <cell r="C409" t="str">
            <v>BDB-000334</v>
          </cell>
          <cell r="D409" t="str">
            <v>PVN-004158</v>
          </cell>
          <cell r="E409" t="str">
            <v>OrthoLite X-55-Hybrid FOSSIL/17-0909TPX Hybrid Flat Sheet 0.16D 25+/-4 Asker C 1.1M 2M 5mm</v>
          </cell>
          <cell r="F409">
            <v>84</v>
          </cell>
          <cell r="G409">
            <v>84</v>
          </cell>
          <cell r="H409">
            <v>84</v>
          </cell>
          <cell r="I409">
            <v>0</v>
          </cell>
          <cell r="J409" t="str">
            <v>ASICS</v>
          </cell>
          <cell r="K409" t="str">
            <v>Pr.Sch.R</v>
          </cell>
          <cell r="L409" t="str">
            <v>DIE CUT</v>
          </cell>
          <cell r="M409">
            <v>1</v>
          </cell>
        </row>
        <row r="410">
          <cell r="A410" t="str">
            <v>F-2025-10-376</v>
          </cell>
          <cell r="B410" t="str">
            <v>RPRO-251030-0392</v>
          </cell>
          <cell r="C410" t="str">
            <v>BDB-000129</v>
          </cell>
          <cell r="D410" t="str">
            <v>PVN-004071</v>
          </cell>
          <cell r="E410" t="str">
            <v>OrthoLite Regular-Nike AIR BLUE/16-4134TPX Flat Sheet 0.11D 25+/-4 Asker C 1.1M 1.7M 2.5mm</v>
          </cell>
          <cell r="F410">
            <v>56</v>
          </cell>
          <cell r="G410">
            <v>56</v>
          </cell>
          <cell r="H410">
            <v>56</v>
          </cell>
          <cell r="I410">
            <v>0</v>
          </cell>
          <cell r="J410" t="str">
            <v>NIKE</v>
          </cell>
          <cell r="K410" t="str">
            <v>Pr.Sch.R</v>
          </cell>
          <cell r="L410" t="str">
            <v>MOLDED</v>
          </cell>
          <cell r="M410">
            <v>1</v>
          </cell>
        </row>
        <row r="411">
          <cell r="A411" t="str">
            <v>F-2025-10-377</v>
          </cell>
          <cell r="B411" t="str">
            <v>RPRO-251030-0393</v>
          </cell>
          <cell r="C411" t="str">
            <v>BDB-000055</v>
          </cell>
          <cell r="D411" t="str">
            <v>PVN-003387</v>
          </cell>
          <cell r="E411" t="str">
            <v>OrthoLite X-40 TRUE BLUE/19-4057TPX Flat Sheet 0.16D 35+/-4 Asker C 1.1M 1.7M 13.5mm</v>
          </cell>
          <cell r="F411">
            <v>9</v>
          </cell>
          <cell r="G411">
            <v>9</v>
          </cell>
          <cell r="H411">
            <v>9</v>
          </cell>
          <cell r="I411">
            <v>0</v>
          </cell>
          <cell r="J411" t="str">
            <v>ADIDAS</v>
          </cell>
          <cell r="K411" t="str">
            <v>Pr.Sch.R</v>
          </cell>
          <cell r="L411" t="str">
            <v>MOLDED</v>
          </cell>
          <cell r="M411">
            <v>1</v>
          </cell>
        </row>
        <row r="412">
          <cell r="A412" t="str">
            <v>F-2025-10-378</v>
          </cell>
          <cell r="B412" t="str">
            <v>RPRO-251030-0394</v>
          </cell>
          <cell r="C412" t="str">
            <v>BDB-000347</v>
          </cell>
          <cell r="D412" t="str">
            <v>PVN-004192</v>
          </cell>
          <cell r="E412" t="str">
            <v>OrthoLite X-55-Hybrid SEEDPEARL/12-0703TPX Hybrid Flat Sheet 0.16D 25+/-4 Asker C 1.1M 2M 12mm</v>
          </cell>
          <cell r="F412">
            <v>264</v>
          </cell>
          <cell r="G412">
            <v>264</v>
          </cell>
          <cell r="H412">
            <v>264</v>
          </cell>
          <cell r="I412">
            <v>0</v>
          </cell>
          <cell r="J412" t="str">
            <v>BROOKS</v>
          </cell>
          <cell r="K412" t="str">
            <v>Pr.Sch.R</v>
          </cell>
          <cell r="L412" t="str">
            <v>MOLDED</v>
          </cell>
          <cell r="M412">
            <v>1</v>
          </cell>
        </row>
        <row r="413">
          <cell r="A413" t="str">
            <v>OIN-2025.10.28-01</v>
          </cell>
          <cell r="B413" t="str">
            <v>RPRO-251103-0018</v>
          </cell>
          <cell r="C413" t="str">
            <v>BDB-000106</v>
          </cell>
          <cell r="D413" t="str">
            <v>PVN-003847</v>
          </cell>
          <cell r="E413" t="str">
            <v>[116-095] Eco Lite Hybrid 35+/-4 Asker C 0.13D Grey 17-1501 Tpx 1.10M X 2.00M 47mm</v>
          </cell>
          <cell r="F413">
            <v>2</v>
          </cell>
          <cell r="G413">
            <v>2</v>
          </cell>
          <cell r="H413">
            <v>2</v>
          </cell>
          <cell r="I413">
            <v>0</v>
          </cell>
          <cell r="J413" t="str">
            <v>Geox</v>
          </cell>
          <cell r="K413" t="str">
            <v>PO-6036-SO-251029-0001</v>
          </cell>
          <cell r="L413" t="str">
            <v>FLAT SHEET</v>
          </cell>
          <cell r="M413">
            <v>2</v>
          </cell>
        </row>
        <row r="414">
          <cell r="A414" t="str">
            <v>OIN-2025.10.28-02</v>
          </cell>
          <cell r="B414" t="str">
            <v>RPRO-251103-0019</v>
          </cell>
          <cell r="C414" t="str">
            <v>BDB-000090</v>
          </cell>
          <cell r="D414" t="str">
            <v>PVN-004198</v>
          </cell>
          <cell r="E414" t="str">
            <v>[116-11461] Eco Lite 35+/-4 Asker C 0.13D Red 19-1764 Tpx 1.10M X 2.00M 47mm</v>
          </cell>
          <cell r="F414">
            <v>3</v>
          </cell>
          <cell r="G414">
            <v>3</v>
          </cell>
          <cell r="H414">
            <v>3</v>
          </cell>
          <cell r="I414">
            <v>0</v>
          </cell>
          <cell r="J414" t="str">
            <v>Adidas</v>
          </cell>
          <cell r="K414" t="str">
            <v>PO-6036-SO-251029-0002</v>
          </cell>
          <cell r="L414" t="str">
            <v>FLAT SHEET</v>
          </cell>
          <cell r="M414">
            <v>2</v>
          </cell>
        </row>
        <row r="415">
          <cell r="A415" t="str">
            <v>F-2025-10-379</v>
          </cell>
          <cell r="B415" t="str">
            <v>RPRO-251031-0194</v>
          </cell>
          <cell r="C415" t="str">
            <v>BDB-000011</v>
          </cell>
          <cell r="D415" t="str">
            <v>PVN-000258</v>
          </cell>
          <cell r="E415" t="str">
            <v>OrthoLite Regular AIR BLUE/16-4134TPX Flat Sheet 0.13D 35+/-4 Asker C 1.1M 2M 2.5mm</v>
          </cell>
          <cell r="F415">
            <v>1792</v>
          </cell>
          <cell r="G415">
            <v>1792</v>
          </cell>
          <cell r="H415">
            <v>1792</v>
          </cell>
          <cell r="I415">
            <v>0</v>
          </cell>
          <cell r="J415"/>
          <cell r="K415" t="str">
            <v>MPS</v>
          </cell>
          <cell r="L415" t="str">
            <v>SPLITTING</v>
          </cell>
          <cell r="M415">
            <v>2</v>
          </cell>
        </row>
        <row r="416">
          <cell r="A416" t="str">
            <v>F-2025-10-380</v>
          </cell>
          <cell r="B416" t="str">
            <v>RPRO-251031-0195</v>
          </cell>
          <cell r="C416" t="str">
            <v>BDB-000012</v>
          </cell>
          <cell r="D416" t="str">
            <v>PVN-000640</v>
          </cell>
          <cell r="E416" t="str">
            <v>OrthoLite Regular SEEDPEARL/12-0703TPX 0.13D 25+/-4 Asker C 1.1M 2M 5mm</v>
          </cell>
          <cell r="F416">
            <v>196</v>
          </cell>
          <cell r="G416">
            <v>196</v>
          </cell>
          <cell r="H416">
            <v>196</v>
          </cell>
          <cell r="I416">
            <v>0</v>
          </cell>
          <cell r="J416"/>
          <cell r="K416" t="str">
            <v>MPS</v>
          </cell>
          <cell r="L416" t="str">
            <v>SPLITTING</v>
          </cell>
          <cell r="M416">
            <v>2</v>
          </cell>
        </row>
        <row r="417">
          <cell r="A417" t="str">
            <v>F-2025-10-381</v>
          </cell>
          <cell r="B417" t="str">
            <v>RPRO-251031-0196</v>
          </cell>
          <cell r="C417" t="str">
            <v>BDB-000113</v>
          </cell>
          <cell r="D417" t="str">
            <v>PVN-002501</v>
          </cell>
          <cell r="E417" t="str">
            <v>OrthoLite Regular-Hybrid SEEDPEARL/12-0703TPX Hybrid Flat Sheet 0.11D 25+/-4 Asker C 1.1M 2M 2mm</v>
          </cell>
          <cell r="F417">
            <v>1120</v>
          </cell>
          <cell r="G417">
            <v>1120</v>
          </cell>
          <cell r="H417">
            <v>1120</v>
          </cell>
          <cell r="I417">
            <v>0</v>
          </cell>
          <cell r="J417"/>
          <cell r="K417" t="str">
            <v>MPS</v>
          </cell>
          <cell r="L417" t="str">
            <v>SPLITTING</v>
          </cell>
          <cell r="M417">
            <v>2</v>
          </cell>
        </row>
        <row r="418">
          <cell r="A418" t="str">
            <v>F-2025-10-382</v>
          </cell>
          <cell r="B418" t="str">
            <v>RPRO-251031-0197</v>
          </cell>
          <cell r="C418" t="str">
            <v>BDB-000180</v>
          </cell>
          <cell r="D418" t="str">
            <v>PVN-003236</v>
          </cell>
          <cell r="E418" t="str">
            <v>OrthoLite Eco LT-Hybrid-Converse SEEDPEARL/12-0703TPX Hybrid 0.13D 25+/-4 Asker C 1.1M 2M 5mm</v>
          </cell>
          <cell r="F418">
            <v>196</v>
          </cell>
          <cell r="G418">
            <v>196</v>
          </cell>
          <cell r="H418">
            <v>196</v>
          </cell>
          <cell r="I418">
            <v>0</v>
          </cell>
          <cell r="J418"/>
          <cell r="K418" t="str">
            <v>MPS</v>
          </cell>
          <cell r="L418" t="str">
            <v>SPLITTING</v>
          </cell>
          <cell r="M418">
            <v>2</v>
          </cell>
        </row>
        <row r="419">
          <cell r="A419" t="str">
            <v>F-2025-10-383</v>
          </cell>
          <cell r="B419" t="str">
            <v>RPRO-251031-0198</v>
          </cell>
          <cell r="C419" t="str">
            <v>BDB-000237</v>
          </cell>
          <cell r="D419" t="str">
            <v>PVN-003188</v>
          </cell>
          <cell r="E419" t="str">
            <v>OrthoLite Regular-Hybrid SEEDPEARL/12-0703TPX Hybrid Flat Sheet 0.11D 25+/-4 Asker C 1.1M 1.47M 12mm</v>
          </cell>
          <cell r="F419">
            <v>11</v>
          </cell>
          <cell r="G419">
            <v>11</v>
          </cell>
          <cell r="H419">
            <v>11</v>
          </cell>
          <cell r="I419">
            <v>0</v>
          </cell>
          <cell r="J419" t="str">
            <v>ASICS</v>
          </cell>
          <cell r="K419" t="str">
            <v>Pr.Sch.R</v>
          </cell>
          <cell r="L419" t="str">
            <v>MOLDED</v>
          </cell>
          <cell r="M419" t="str">
            <v>1-RM-WIP</v>
          </cell>
        </row>
        <row r="420">
          <cell r="A420" t="str">
            <v>F-2025-10-384</v>
          </cell>
          <cell r="B420" t="str">
            <v>RPRO-251031-0199</v>
          </cell>
          <cell r="C420" t="str">
            <v>BDB-000157</v>
          </cell>
          <cell r="D420" t="str">
            <v>PVN-003642</v>
          </cell>
          <cell r="E420" t="str">
            <v>OrthoLite X-35-Hybrid-Nike SEEDPEARL/12-0703TPX Hybrid Flat Sheet 0.145D 25+/-4 Asker C 1.1M 2M 6.2mm</v>
          </cell>
          <cell r="F420">
            <v>22</v>
          </cell>
          <cell r="G420">
            <v>22</v>
          </cell>
          <cell r="H420">
            <v>22</v>
          </cell>
          <cell r="I420">
            <v>0</v>
          </cell>
          <cell r="J420" t="str">
            <v>NIKE</v>
          </cell>
          <cell r="K420" t="str">
            <v>Pr.Sch.R</v>
          </cell>
          <cell r="L420" t="str">
            <v>MOLDED</v>
          </cell>
          <cell r="M420">
            <v>1</v>
          </cell>
        </row>
        <row r="421">
          <cell r="A421" t="str">
            <v>F-2025-10-385</v>
          </cell>
          <cell r="B421" t="str">
            <v>RPRO-251031-0200</v>
          </cell>
          <cell r="C421" t="str">
            <v>BDB-000209</v>
          </cell>
          <cell r="D421" t="str">
            <v>PVN-003462</v>
          </cell>
          <cell r="E421" t="str">
            <v>OrthoLite HybridPlus-Recycled MINT GREEN/11-4805TPX Hybrid Flat Sheet 0.12D 25+/-4 Asker C 1.1M 2M 12mm</v>
          </cell>
          <cell r="F421">
            <v>11</v>
          </cell>
          <cell r="G421">
            <v>11</v>
          </cell>
          <cell r="H421">
            <v>11</v>
          </cell>
          <cell r="I421">
            <v>0</v>
          </cell>
          <cell r="J421" t="str">
            <v>BROOKS</v>
          </cell>
          <cell r="K421" t="str">
            <v>Pr.Sch.R</v>
          </cell>
          <cell r="L421" t="str">
            <v>MOLDED</v>
          </cell>
          <cell r="M421">
            <v>1</v>
          </cell>
        </row>
        <row r="422">
          <cell r="A422" t="str">
            <v>F-2025-10-386</v>
          </cell>
          <cell r="B422" t="str">
            <v>RPRO-251031-0201</v>
          </cell>
          <cell r="C422" t="str">
            <v>BDB-000123</v>
          </cell>
          <cell r="D422" t="str">
            <v>PVN-002539</v>
          </cell>
          <cell r="E422" t="str">
            <v>OrthoLite Ultra-Hybrid SEEDPEARL/12-0703TPX Hybrid Flat Sheet 0.085D 25+/-4 Asker C 1.1M 2M 5mm</v>
          </cell>
          <cell r="F422">
            <v>840</v>
          </cell>
          <cell r="G422">
            <v>840</v>
          </cell>
          <cell r="H422">
            <v>840</v>
          </cell>
          <cell r="I422">
            <v>0</v>
          </cell>
          <cell r="J422" t="str">
            <v>BROOKS</v>
          </cell>
          <cell r="K422" t="str">
            <v>Pr.Sch.R</v>
          </cell>
          <cell r="L422" t="str">
            <v>DIE CUT</v>
          </cell>
          <cell r="M422">
            <v>1</v>
          </cell>
        </row>
        <row r="423">
          <cell r="A423" t="str">
            <v>F-2025-10-387</v>
          </cell>
          <cell r="B423" t="str">
            <v>RPRO-251031-0202</v>
          </cell>
          <cell r="C423" t="str">
            <v>BDB-000217</v>
          </cell>
          <cell r="D423" t="str">
            <v>PVN-003483</v>
          </cell>
          <cell r="E423" t="str">
            <v>OrthoLite X-40-Hybrid SEEDPEARL/12-0703TPX Hybrid Flat Sheet 0.16D 35+/-4 Asker C 1.1M 1.7M 12mm</v>
          </cell>
          <cell r="F423">
            <v>11</v>
          </cell>
          <cell r="G423">
            <v>11</v>
          </cell>
          <cell r="H423">
            <v>11</v>
          </cell>
          <cell r="I423">
            <v>0</v>
          </cell>
          <cell r="J423" t="str">
            <v>BROOKS</v>
          </cell>
          <cell r="K423" t="str">
            <v>Pr.Sch.R</v>
          </cell>
          <cell r="L423" t="str">
            <v>MOLDED</v>
          </cell>
          <cell r="M423">
            <v>1</v>
          </cell>
        </row>
        <row r="424">
          <cell r="A424" t="str">
            <v>F-2025-10-388</v>
          </cell>
          <cell r="B424" t="str">
            <v>RPRO-251031-0203</v>
          </cell>
          <cell r="C424" t="str">
            <v>BDB-000107</v>
          </cell>
          <cell r="D424" t="str">
            <v>PVN-003545</v>
          </cell>
          <cell r="E424" t="str">
            <v>OrthoLite Eco LT-Hybrid SEEDPEARL/12-0703TPX Hybrid Flat Sheet 0.11D 25+/-4 Asker C 1.1M 1.47M 12.5mm</v>
          </cell>
          <cell r="F424">
            <v>90</v>
          </cell>
          <cell r="G424">
            <v>90</v>
          </cell>
          <cell r="H424">
            <v>90</v>
          </cell>
          <cell r="I424">
            <v>0</v>
          </cell>
          <cell r="J424" t="str">
            <v>NEW BALANCE</v>
          </cell>
          <cell r="K424" t="str">
            <v>Pr.Sch.R</v>
          </cell>
          <cell r="L424" t="str">
            <v>MOLDED</v>
          </cell>
          <cell r="M424">
            <v>1</v>
          </cell>
        </row>
        <row r="425">
          <cell r="A425" t="str">
            <v>F-2025-10-389</v>
          </cell>
          <cell r="B425" t="str">
            <v>RPRO-251031-0204</v>
          </cell>
          <cell r="C425" t="str">
            <v>BDB-000317</v>
          </cell>
          <cell r="D425" t="str">
            <v>PVN-004076</v>
          </cell>
          <cell r="E425" t="str">
            <v>OrthoLite Regular NEUTRAL GRAY/17-4402TPX Flat Sheet 0.13D 15+/-4 Asker C 1.1M 2M 24mm</v>
          </cell>
          <cell r="F425">
            <v>15</v>
          </cell>
          <cell r="G425">
            <v>15</v>
          </cell>
          <cell r="H425">
            <v>15</v>
          </cell>
          <cell r="I425">
            <v>0</v>
          </cell>
          <cell r="J425" t="str">
            <v>ASICS</v>
          </cell>
          <cell r="K425" t="str">
            <v>Pr.Sch.R</v>
          </cell>
          <cell r="L425" t="str">
            <v>MOLDED</v>
          </cell>
          <cell r="M425">
            <v>1</v>
          </cell>
        </row>
        <row r="426">
          <cell r="A426" t="str">
            <v>F-2025-10-390</v>
          </cell>
          <cell r="B426" t="str">
            <v>RPRO-251031-0205</v>
          </cell>
          <cell r="C426" t="str">
            <v>BDB-000325</v>
          </cell>
          <cell r="D426" t="str">
            <v>PVN-004115</v>
          </cell>
          <cell r="E426" t="str">
            <v>OrthoLite X-40 TRUE BLUE/19-4057TPX Flat Sheet 0.16D 35+/-4 Asker C 1.1M 2M 4mm</v>
          </cell>
          <cell r="F426">
            <v>35</v>
          </cell>
          <cell r="G426">
            <v>35</v>
          </cell>
          <cell r="H426">
            <v>35</v>
          </cell>
          <cell r="I426">
            <v>0</v>
          </cell>
          <cell r="J426" t="str">
            <v>ASICS</v>
          </cell>
          <cell r="K426" t="str">
            <v>Pr.Sch.R</v>
          </cell>
          <cell r="L426" t="str">
            <v>MOLDED</v>
          </cell>
          <cell r="M426">
            <v>1</v>
          </cell>
        </row>
        <row r="427">
          <cell r="A427" t="str">
            <v>F-2025-10-391</v>
          </cell>
          <cell r="B427" t="str">
            <v>RPRO-251031-0206</v>
          </cell>
          <cell r="C427" t="str">
            <v>BDB-000125</v>
          </cell>
          <cell r="D427" t="str">
            <v>PVN-001412</v>
          </cell>
          <cell r="E427" t="str">
            <v>OrthoLite Regular-Nike AIR BLUE/16-4134TPX Flat Sheet 0.11D 25+/-4 Asker C 1.1M 2M 5mm</v>
          </cell>
          <cell r="F427">
            <v>700</v>
          </cell>
          <cell r="G427">
            <v>700</v>
          </cell>
          <cell r="H427">
            <v>700</v>
          </cell>
          <cell r="I427">
            <v>0</v>
          </cell>
          <cell r="J427" t="str">
            <v>NIKE</v>
          </cell>
          <cell r="K427" t="str">
            <v>Pr.Sch.R</v>
          </cell>
          <cell r="L427" t="str">
            <v>MOLDED</v>
          </cell>
          <cell r="M427">
            <v>1</v>
          </cell>
        </row>
        <row r="428">
          <cell r="A428" t="str">
            <v>F-2025-10-392</v>
          </cell>
          <cell r="B428" t="str">
            <v>RPRO-251031-0207</v>
          </cell>
          <cell r="C428" t="str">
            <v>BDB-000067</v>
          </cell>
          <cell r="D428" t="str">
            <v>PVN-002129</v>
          </cell>
          <cell r="E428" t="str">
            <v>OrthoLite Ultra SEEDPEARL/12-0703TPX Flat Sheet 0.085D 25+/-4 Asker C 1.1M 2M 6mm</v>
          </cell>
          <cell r="F428">
            <v>23</v>
          </cell>
          <cell r="G428">
            <v>23</v>
          </cell>
          <cell r="H428">
            <v>23</v>
          </cell>
          <cell r="I428">
            <v>0</v>
          </cell>
          <cell r="J428" t="str">
            <v>BABOLAT</v>
          </cell>
          <cell r="K428" t="str">
            <v>Pr.Sch.R</v>
          </cell>
          <cell r="L428" t="str">
            <v>DIE CUT</v>
          </cell>
          <cell r="M428">
            <v>1</v>
          </cell>
        </row>
        <row r="429">
          <cell r="A429" t="str">
            <v>F-2025-10-393</v>
          </cell>
          <cell r="B429" t="str">
            <v>RPRO-251031-0208</v>
          </cell>
          <cell r="C429" t="str">
            <v>BDB-000129</v>
          </cell>
          <cell r="D429" t="str">
            <v>PVN-004071</v>
          </cell>
          <cell r="E429" t="str">
            <v>OrthoLite Regular-Nike AIR BLUE/16-4134TPX Flat Sheet 0.11D 25+/-4 Asker C 1.1M 1.7M 2.5mm</v>
          </cell>
          <cell r="F429">
            <v>112</v>
          </cell>
          <cell r="G429">
            <v>112</v>
          </cell>
          <cell r="H429">
            <v>112</v>
          </cell>
          <cell r="I429">
            <v>0</v>
          </cell>
          <cell r="J429" t="str">
            <v>NIKE</v>
          </cell>
          <cell r="K429" t="str">
            <v>Pr.Sch.R</v>
          </cell>
          <cell r="L429" t="str">
            <v>MOLDED</v>
          </cell>
          <cell r="M429">
            <v>1</v>
          </cell>
        </row>
        <row r="430">
          <cell r="A430" t="str">
            <v>F-2025-10-394</v>
          </cell>
          <cell r="B430" t="str">
            <v>FPRO-251031-0001</v>
          </cell>
          <cell r="C430" t="str">
            <v>BDB-000180</v>
          </cell>
          <cell r="D430" t="str">
            <v>PVN-003236</v>
          </cell>
          <cell r="E430" t="str">
            <v>OrthoLite Eco LT-Hybrid-Converse SEEDPEARL/12-0703TPX Hybrid 0.13D 25+/-4 Asker C 1.1M 2M 5mm</v>
          </cell>
          <cell r="F430">
            <v>1888</v>
          </cell>
          <cell r="G430">
            <v>1888</v>
          </cell>
          <cell r="H430">
            <v>1888</v>
          </cell>
          <cell r="I430">
            <v>0</v>
          </cell>
          <cell r="J430" t="str">
            <v>CONVERSE</v>
          </cell>
          <cell r="K430" t="str">
            <v>Forecast</v>
          </cell>
          <cell r="L430" t="str">
            <v>DIE CUT</v>
          </cell>
          <cell r="M430">
            <v>1</v>
          </cell>
        </row>
        <row r="431">
          <cell r="A431" t="str">
            <v>F-2025-10-395</v>
          </cell>
          <cell r="B431" t="str">
            <v>FPRO-251031-0002</v>
          </cell>
          <cell r="C431" t="str">
            <v>BDB-000181</v>
          </cell>
          <cell r="D431" t="str">
            <v>PVN-003584</v>
          </cell>
          <cell r="E431" t="str">
            <v>OrthoLite Eco LT-Hybrid-Converse SEEDPEARL/12-0703TPX Hybrid 0.11D 25+/-4 Asker C 1.1M 2M 4mm</v>
          </cell>
          <cell r="F431">
            <v>625</v>
          </cell>
          <cell r="G431">
            <v>625</v>
          </cell>
          <cell r="H431">
            <v>625</v>
          </cell>
          <cell r="I431">
            <v>0</v>
          </cell>
          <cell r="J431" t="str">
            <v>CONVERSE</v>
          </cell>
          <cell r="K431" t="str">
            <v>Forecast</v>
          </cell>
          <cell r="L431" t="str">
            <v>DIE CUT</v>
          </cell>
          <cell r="M431">
            <v>1</v>
          </cell>
        </row>
        <row r="432">
          <cell r="A432" t="str">
            <v>F-2025-10-396-1</v>
          </cell>
          <cell r="B432" t="str">
            <v>FPRO-251031-0003</v>
          </cell>
          <cell r="C432" t="str">
            <v>BDB-000181</v>
          </cell>
          <cell r="D432" t="str">
            <v>PVN-003238</v>
          </cell>
          <cell r="E432" t="str">
            <v>OrthoLite Eco LT-Hybrid-Converse SEEDPEARL/12-0703TPX Hybrid 0.11D 25+/-4 Asker C 1.1M 2M 5mm</v>
          </cell>
          <cell r="F432">
            <v>2000</v>
          </cell>
          <cell r="G432">
            <v>414</v>
          </cell>
          <cell r="H432">
            <v>414</v>
          </cell>
          <cell r="I432">
            <v>0</v>
          </cell>
          <cell r="J432" t="str">
            <v>CONVERSE</v>
          </cell>
          <cell r="K432" t="str">
            <v>Forecast</v>
          </cell>
          <cell r="L432" t="str">
            <v>DIE CUT</v>
          </cell>
          <cell r="M432">
            <v>1</v>
          </cell>
        </row>
        <row r="433">
          <cell r="A433" t="str">
            <v>F-2025-10-396-2</v>
          </cell>
          <cell r="B433" t="str">
            <v>FPRO-251031-0003</v>
          </cell>
          <cell r="C433" t="str">
            <v>BDB-000181</v>
          </cell>
          <cell r="D433" t="str">
            <v>PVN-003238</v>
          </cell>
          <cell r="E433" t="str">
            <v>OrthoLite Eco LT-Hybrid-Converse SEEDPEARL/12-0703TPX Hybrid 0.11D 25+/-4 Asker C 1.1M 2M 5mm</v>
          </cell>
          <cell r="F433">
            <v>2000</v>
          </cell>
          <cell r="G433">
            <v>1586</v>
          </cell>
          <cell r="H433">
            <v>1586</v>
          </cell>
          <cell r="I433">
            <v>0</v>
          </cell>
          <cell r="J433" t="str">
            <v>CONVERSE</v>
          </cell>
          <cell r="K433" t="str">
            <v>Forecast</v>
          </cell>
          <cell r="L433" t="str">
            <v>DIE CUT</v>
          </cell>
          <cell r="M433">
            <v>1</v>
          </cell>
        </row>
        <row r="434">
          <cell r="A434" t="str">
            <v>F-2025-10-397</v>
          </cell>
          <cell r="B434" t="str">
            <v>FPRO-251031-0004</v>
          </cell>
          <cell r="C434" t="str">
            <v>BDB-000181</v>
          </cell>
          <cell r="D434" t="str">
            <v>PVN-003238</v>
          </cell>
          <cell r="E434" t="str">
            <v>OrthoLite Eco LT-Hybrid-Converse SEEDPEARL/12-0703TPX Hybrid 0.11D 25+/-4 Asker C 1.1M 2M 5mm</v>
          </cell>
          <cell r="F434">
            <v>2000</v>
          </cell>
          <cell r="G434">
            <v>2000</v>
          </cell>
          <cell r="H434">
            <v>2000</v>
          </cell>
          <cell r="I434">
            <v>0</v>
          </cell>
          <cell r="J434" t="str">
            <v>CONVERSE</v>
          </cell>
          <cell r="K434" t="str">
            <v>Forecast</v>
          </cell>
          <cell r="L434" t="str">
            <v>DIE CUT</v>
          </cell>
          <cell r="M434">
            <v>1</v>
          </cell>
        </row>
        <row r="435">
          <cell r="A435" t="str">
            <v>F-2025-10-398</v>
          </cell>
          <cell r="B435" t="str">
            <v>FPRO-251031-0005</v>
          </cell>
          <cell r="C435" t="str">
            <v>BDB-000181</v>
          </cell>
          <cell r="D435" t="str">
            <v>PVN-003238</v>
          </cell>
          <cell r="E435" t="str">
            <v>OrthoLite Eco LT-Hybrid-Converse SEEDPEARL/12-0703TPX Hybrid 0.11D 25+/-4 Asker C 1.1M 2M 5mm</v>
          </cell>
          <cell r="F435">
            <v>1016</v>
          </cell>
          <cell r="G435">
            <v>1016</v>
          </cell>
          <cell r="H435">
            <v>1016</v>
          </cell>
          <cell r="I435">
            <v>0</v>
          </cell>
          <cell r="J435" t="str">
            <v>CONVERSE</v>
          </cell>
          <cell r="K435" t="str">
            <v>Forecast</v>
          </cell>
          <cell r="L435" t="str">
            <v>DIE CUT</v>
          </cell>
          <cell r="M435">
            <v>1</v>
          </cell>
        </row>
        <row r="436">
          <cell r="A436" t="str">
            <v>F-2025-11-01</v>
          </cell>
          <cell r="B436" t="str">
            <v>RPRO-251103-1937</v>
          </cell>
          <cell r="C436" t="str">
            <v>BDB-000011</v>
          </cell>
          <cell r="D436" t="str">
            <v>PVN-000258</v>
          </cell>
          <cell r="E436" t="str">
            <v>OrthoLite Regular AIR BLUE/16-4134TPX Flat Sheet 0.13D 35+/-4 Asker C 1.1M 2M 2.5mm</v>
          </cell>
          <cell r="F436">
            <v>1120</v>
          </cell>
          <cell r="G436">
            <v>1120</v>
          </cell>
          <cell r="H436">
            <v>1120</v>
          </cell>
          <cell r="I436">
            <v>0</v>
          </cell>
          <cell r="J436"/>
          <cell r="K436" t="str">
            <v>MPS</v>
          </cell>
          <cell r="L436" t="str">
            <v>SPLITTING</v>
          </cell>
          <cell r="M436">
            <v>2</v>
          </cell>
        </row>
        <row r="437">
          <cell r="A437" t="str">
            <v>F-2025-11-02</v>
          </cell>
          <cell r="B437" t="str">
            <v>RPRO-251103-1938</v>
          </cell>
          <cell r="C437" t="str">
            <v>BDB-000077</v>
          </cell>
          <cell r="D437" t="str">
            <v>PVN-003478</v>
          </cell>
          <cell r="E437" t="str">
            <v>Ortholite X-25 SEEDPEARL/12-0703TPX Flat Sheet 0.12D 20+/-4 Asker C 1.1M 2M 4mm</v>
          </cell>
          <cell r="F437">
            <v>195</v>
          </cell>
          <cell r="G437">
            <v>195</v>
          </cell>
          <cell r="H437">
            <v>195</v>
          </cell>
          <cell r="I437">
            <v>0</v>
          </cell>
          <cell r="J437"/>
          <cell r="K437" t="str">
            <v>MPS</v>
          </cell>
          <cell r="L437" t="str">
            <v>SPLITTING</v>
          </cell>
          <cell r="M437">
            <v>2</v>
          </cell>
        </row>
        <row r="438">
          <cell r="A438" t="str">
            <v>F-2025-11-03</v>
          </cell>
          <cell r="B438" t="str">
            <v>RPRO-251103-1939</v>
          </cell>
          <cell r="C438" t="str">
            <v>BDB-000066</v>
          </cell>
          <cell r="D438" t="str">
            <v>PVN-004012</v>
          </cell>
          <cell r="E438" t="str">
            <v>OrthoLite Ultra GREY/17-1501TPX Flat Sheet 0.085D 25+/-4 Asker C 1.1M 2M 4mm</v>
          </cell>
          <cell r="F438">
            <v>735</v>
          </cell>
          <cell r="G438">
            <v>735</v>
          </cell>
          <cell r="H438">
            <v>735</v>
          </cell>
          <cell r="I438">
            <v>0</v>
          </cell>
          <cell r="J438"/>
          <cell r="K438" t="str">
            <v>MPS</v>
          </cell>
          <cell r="L438" t="str">
            <v>SPLITTING</v>
          </cell>
          <cell r="M438">
            <v>2</v>
          </cell>
        </row>
        <row r="439">
          <cell r="A439" t="str">
            <v>F-2025-11-04</v>
          </cell>
          <cell r="B439" t="str">
            <v>RPRO-251103-1940</v>
          </cell>
          <cell r="C439" t="str">
            <v>BDB-000083</v>
          </cell>
          <cell r="D439" t="str">
            <v>PVN-000935</v>
          </cell>
          <cell r="E439" t="str">
            <v>OrthoLite Eco LT 300C(ADIDAS BLUEBIRD) Flat Sheet 0.11D 25+/-4 Asker C 1.1M 2M 4mm</v>
          </cell>
          <cell r="F439">
            <v>805</v>
          </cell>
          <cell r="G439">
            <v>805</v>
          </cell>
          <cell r="H439">
            <v>805</v>
          </cell>
          <cell r="I439">
            <v>0</v>
          </cell>
          <cell r="J439"/>
          <cell r="K439" t="str">
            <v>MPS</v>
          </cell>
          <cell r="L439" t="str">
            <v>SPLITTING</v>
          </cell>
          <cell r="M439">
            <v>2</v>
          </cell>
        </row>
        <row r="440">
          <cell r="A440" t="str">
            <v>F-2025-11-05</v>
          </cell>
          <cell r="B440" t="str">
            <v>RPRO-251103-1941</v>
          </cell>
          <cell r="C440" t="str">
            <v>BDB-000085</v>
          </cell>
          <cell r="D440" t="str">
            <v>PVN-001091</v>
          </cell>
          <cell r="E440" t="str">
            <v>OrthoLite Eco LT GREY/17-1501TPX Flat Sheet 0.11D 25+/-4 Asker C 1.1M 2M 4mm</v>
          </cell>
          <cell r="F440">
            <v>35</v>
          </cell>
          <cell r="G440">
            <v>35</v>
          </cell>
          <cell r="H440">
            <v>35</v>
          </cell>
          <cell r="I440">
            <v>0</v>
          </cell>
          <cell r="J440"/>
          <cell r="K440" t="str">
            <v>MPS</v>
          </cell>
          <cell r="L440" t="str">
            <v>SPLITTING</v>
          </cell>
          <cell r="M440">
            <v>2</v>
          </cell>
        </row>
        <row r="441">
          <cell r="A441" t="str">
            <v>F-2025-11-06</v>
          </cell>
          <cell r="B441" t="str">
            <v>RPRO-251103-1942</v>
          </cell>
          <cell r="C441" t="str">
            <v>BDB-000084</v>
          </cell>
          <cell r="D441" t="str">
            <v>PVN-001111</v>
          </cell>
          <cell r="E441" t="str">
            <v>OrthoLite Eco LT YELLOW/13-0858TPX 0.11D 25+/-4 Asker C 1.1M 2M 4mm</v>
          </cell>
          <cell r="F441">
            <v>70</v>
          </cell>
          <cell r="G441">
            <v>70</v>
          </cell>
          <cell r="H441">
            <v>70</v>
          </cell>
          <cell r="I441">
            <v>0</v>
          </cell>
          <cell r="J441"/>
          <cell r="K441" t="str">
            <v>MPS</v>
          </cell>
          <cell r="L441" t="str">
            <v>SPLITTING</v>
          </cell>
          <cell r="M441">
            <v>2</v>
          </cell>
        </row>
        <row r="442">
          <cell r="A442" t="str">
            <v>F-2025-11-07</v>
          </cell>
          <cell r="B442" t="str">
            <v>RPRO-251103-1943</v>
          </cell>
          <cell r="C442" t="str">
            <v>BDB-000123</v>
          </cell>
          <cell r="D442" t="str">
            <v>PVN-003300</v>
          </cell>
          <cell r="E442" t="str">
            <v>OrthoLite Ultra-Hybrid SEEDPEARL/12-0703TPX Hybrid Flat Sheet 0.085D 25+/-4 Asker C 1.1M 2M 2mm</v>
          </cell>
          <cell r="F442">
            <v>280</v>
          </cell>
          <cell r="G442">
            <v>280</v>
          </cell>
          <cell r="H442">
            <v>280</v>
          </cell>
          <cell r="I442">
            <v>0</v>
          </cell>
          <cell r="J442"/>
          <cell r="K442" t="str">
            <v>MPS</v>
          </cell>
          <cell r="L442" t="str">
            <v>SPLITTING</v>
          </cell>
          <cell r="M442">
            <v>2</v>
          </cell>
        </row>
        <row r="443">
          <cell r="A443" t="str">
            <v>F-2025-11-08</v>
          </cell>
          <cell r="B443" t="str">
            <v>RPRO-251103-1944</v>
          </cell>
          <cell r="C443" t="str">
            <v>BDB-000123</v>
          </cell>
          <cell r="D443" t="str">
            <v>PVN-003315</v>
          </cell>
          <cell r="E443" t="str">
            <v>OrthoLite Ultra-Hybrid SEEDPEARL/12-0703TPX Hybrid 0.085D 25+/-4 Asker C 1.1M 2M 3.5mm</v>
          </cell>
          <cell r="F443">
            <v>360</v>
          </cell>
          <cell r="G443">
            <v>360</v>
          </cell>
          <cell r="H443">
            <v>360</v>
          </cell>
          <cell r="I443">
            <v>0</v>
          </cell>
          <cell r="J443"/>
          <cell r="K443" t="str">
            <v>MPS</v>
          </cell>
          <cell r="L443" t="str">
            <v>SPLITTING</v>
          </cell>
          <cell r="M443">
            <v>2</v>
          </cell>
        </row>
        <row r="444">
          <cell r="A444" t="str">
            <v>F-2025-11-09</v>
          </cell>
          <cell r="B444" t="str">
            <v>RPRO-251103-1945</v>
          </cell>
          <cell r="C444" t="str">
            <v>BDB-000077</v>
          </cell>
          <cell r="D444" t="str">
            <v>PVN-003513</v>
          </cell>
          <cell r="E444" t="str">
            <v>OrthoLite X-25 SEEDPEARL/12-0703TPX Flat Sheet 0.12D 20+/-4 Asker C 1.1M 2M 2mm</v>
          </cell>
          <cell r="F444">
            <v>70</v>
          </cell>
          <cell r="G444">
            <v>70</v>
          </cell>
          <cell r="H444">
            <v>70</v>
          </cell>
          <cell r="I444">
            <v>0</v>
          </cell>
          <cell r="J444"/>
          <cell r="K444" t="str">
            <v>MPS</v>
          </cell>
          <cell r="L444" t="str">
            <v>SPLITTING</v>
          </cell>
          <cell r="M444">
            <v>2</v>
          </cell>
        </row>
        <row r="445">
          <cell r="A445" t="str">
            <v>F-2025-11-10</v>
          </cell>
          <cell r="B445" t="str">
            <v>RPRO-251103-1946</v>
          </cell>
          <cell r="C445" t="str">
            <v>BDB-000286</v>
          </cell>
          <cell r="D445" t="str">
            <v>PVN-003913</v>
          </cell>
          <cell r="E445" t="str">
            <v>OrthoLite Regular-Hybrid SEEDPEARL/12-0703TPX Hybrid Flat Sheet 0.13D 25+/-4 Asker C 1.1M 1.7M 4mm</v>
          </cell>
          <cell r="F445">
            <v>665</v>
          </cell>
          <cell r="G445">
            <v>665</v>
          </cell>
          <cell r="H445">
            <v>665</v>
          </cell>
          <cell r="I445">
            <v>0</v>
          </cell>
          <cell r="J445"/>
          <cell r="K445" t="str">
            <v>MPS</v>
          </cell>
          <cell r="L445" t="str">
            <v>SPLITTING</v>
          </cell>
          <cell r="M445">
            <v>2</v>
          </cell>
        </row>
        <row r="446">
          <cell r="A446" t="str">
            <v>F-2025-11-11</v>
          </cell>
          <cell r="B446" t="str">
            <v>RPRO-251103-1947</v>
          </cell>
          <cell r="C446" t="str">
            <v>BDB-000055</v>
          </cell>
          <cell r="D446" t="str">
            <v>PVN-003326</v>
          </cell>
          <cell r="E446" t="str">
            <v>OrthoLite X-40 TRUE BLUE/19-4057TPX Flat Sheet 0.16D 35+/-4 Asker C 1.1M 1.7M 14mm</v>
          </cell>
          <cell r="F446">
            <v>63</v>
          </cell>
          <cell r="G446">
            <v>63</v>
          </cell>
          <cell r="H446">
            <v>63</v>
          </cell>
          <cell r="I446">
            <v>0</v>
          </cell>
          <cell r="J446" t="str">
            <v>ADIDAS</v>
          </cell>
          <cell r="K446" t="str">
            <v>Pr.Sch.R</v>
          </cell>
          <cell r="L446" t="str">
            <v>MOLDED</v>
          </cell>
          <cell r="M446">
            <v>1</v>
          </cell>
        </row>
        <row r="447">
          <cell r="A447" t="str">
            <v>F-2025-11-12</v>
          </cell>
          <cell r="B447" t="str">
            <v>RPRO-251103-1948</v>
          </cell>
          <cell r="C447" t="str">
            <v>BDB-000113</v>
          </cell>
          <cell r="D447" t="str">
            <v>PVN-003414</v>
          </cell>
          <cell r="E447" t="str">
            <v>OrthoLite Regular-Hybrid SEEDPEARL/12-0703TPX Hybrid Flat Sheet 0.11D 25+/-4 Asker C 1.1M 2M 12mm</v>
          </cell>
          <cell r="F447">
            <v>1870</v>
          </cell>
          <cell r="G447">
            <v>1870</v>
          </cell>
          <cell r="H447">
            <v>0</v>
          </cell>
          <cell r="I447">
            <v>1870</v>
          </cell>
          <cell r="J447" t="str">
            <v>ASICS</v>
          </cell>
          <cell r="K447" t="str">
            <v>Pr.Sch.R</v>
          </cell>
          <cell r="L447" t="str">
            <v>MOLDED</v>
          </cell>
          <cell r="M447" t="str">
            <v>1-RM-WIP</v>
          </cell>
        </row>
        <row r="448">
          <cell r="A448" t="str">
            <v>F-2025-11-13</v>
          </cell>
          <cell r="B448" t="str">
            <v>RPRO-251103-1949</v>
          </cell>
          <cell r="C448" t="str">
            <v>BDB-000097</v>
          </cell>
          <cell r="D448" t="str">
            <v>PVN-002478</v>
          </cell>
          <cell r="E448" t="str">
            <v>OrthoLite Eco LT-Hybrid SEEDPEARL/12-0703TPX Hybrid Flat Sheet 0.11D 25+/-4 Asker C 1.1M 2M 4mm</v>
          </cell>
          <cell r="F448">
            <v>3745</v>
          </cell>
          <cell r="G448">
            <v>3745</v>
          </cell>
          <cell r="H448">
            <v>3745</v>
          </cell>
          <cell r="I448">
            <v>0</v>
          </cell>
          <cell r="J448" t="str">
            <v>NEW BALANCE</v>
          </cell>
          <cell r="K448" t="str">
            <v>Pr.Sch.R</v>
          </cell>
          <cell r="L448" t="str">
            <v>DIE CUT</v>
          </cell>
          <cell r="M448">
            <v>1</v>
          </cell>
        </row>
        <row r="449">
          <cell r="A449" t="str">
            <v>F-2025-11-14</v>
          </cell>
          <cell r="B449" t="str">
            <v>RPRO-251103-1950</v>
          </cell>
          <cell r="C449" t="str">
            <v>BDB-000235</v>
          </cell>
          <cell r="D449" t="str">
            <v>PVN-003576</v>
          </cell>
          <cell r="E449" t="str">
            <v>OrthoLite X-55-Hybrid FOSSIL/17-0909TPX Hybrid Flat Sheet 0.16D 25+/-4 Asker C 1.1M 1.7M 12mm</v>
          </cell>
          <cell r="F449">
            <v>1500</v>
          </cell>
          <cell r="G449">
            <v>1500</v>
          </cell>
          <cell r="H449">
            <v>1500</v>
          </cell>
          <cell r="I449">
            <v>0</v>
          </cell>
          <cell r="J449" t="str">
            <v>ASICS</v>
          </cell>
          <cell r="K449" t="str">
            <v>Pr.Sch.R</v>
          </cell>
          <cell r="L449" t="str">
            <v>MOLDED</v>
          </cell>
          <cell r="M449" t="str">
            <v>1-RM-WIP</v>
          </cell>
        </row>
        <row r="450">
          <cell r="A450" t="str">
            <v>F-2025-11-15</v>
          </cell>
          <cell r="B450" t="str">
            <v>RPRO-251103-1951</v>
          </cell>
          <cell r="C450" t="str">
            <v>BDB-000235</v>
          </cell>
          <cell r="D450" t="str">
            <v>PVN-003576</v>
          </cell>
          <cell r="E450" t="str">
            <v>OrthoLite X-55-Hybrid FOSSIL/17-0909TPX Hybrid Flat Sheet 0.16D 25+/-4 Asker C 1.1M 1.7M 12mm</v>
          </cell>
          <cell r="F450">
            <v>1877</v>
          </cell>
          <cell r="G450">
            <v>1877</v>
          </cell>
          <cell r="H450">
            <v>1877</v>
          </cell>
          <cell r="I450">
            <v>0</v>
          </cell>
          <cell r="J450" t="str">
            <v>ASICS</v>
          </cell>
          <cell r="K450" t="str">
            <v>Pr.Sch.R</v>
          </cell>
          <cell r="L450" t="str">
            <v>MOLDED</v>
          </cell>
          <cell r="M450" t="str">
            <v>1-RM-WIP</v>
          </cell>
        </row>
        <row r="451">
          <cell r="A451" t="str">
            <v>F-2025-11-16</v>
          </cell>
          <cell r="B451" t="str">
            <v>RPRO-251103-1952</v>
          </cell>
          <cell r="C451" t="str">
            <v>BDB-000175</v>
          </cell>
          <cell r="D451" t="str">
            <v>PVN-002876</v>
          </cell>
          <cell r="E451" t="str">
            <v>OrthoLite Ultra-Hybrid-Nike SEEDPEARL/12-0703TPX Hybrid Flat Sheet 0.085D 25+/-4 Asker C 1.1M 2M 5mm</v>
          </cell>
          <cell r="F451">
            <v>28</v>
          </cell>
          <cell r="G451">
            <v>28</v>
          </cell>
          <cell r="H451">
            <v>28</v>
          </cell>
          <cell r="I451">
            <v>0</v>
          </cell>
          <cell r="J451" t="str">
            <v>NIKE</v>
          </cell>
          <cell r="K451" t="str">
            <v>Pr.Sch.R</v>
          </cell>
          <cell r="L451" t="str">
            <v>MOLDED</v>
          </cell>
          <cell r="M451">
            <v>1</v>
          </cell>
        </row>
        <row r="452">
          <cell r="A452" t="str">
            <v>F-2025-11-17</v>
          </cell>
          <cell r="B452" t="str">
            <v>RPRO-251103-1953</v>
          </cell>
          <cell r="C452" t="str">
            <v>BDB-000248</v>
          </cell>
          <cell r="D452" t="str">
            <v>PVN-003931</v>
          </cell>
          <cell r="E452" t="str">
            <v>OrthoLite X-40-Hybrid RED/19-1764TPX Hybrid Flat Sheet 0.16D 25+/-4 Asker C 1.1M 1.7M 6.5mm</v>
          </cell>
          <cell r="F452">
            <v>42</v>
          </cell>
          <cell r="G452">
            <v>42</v>
          </cell>
          <cell r="H452">
            <v>42</v>
          </cell>
          <cell r="I452">
            <v>0</v>
          </cell>
          <cell r="J452" t="str">
            <v>REDWING</v>
          </cell>
          <cell r="K452" t="str">
            <v>Pr.Sch.R</v>
          </cell>
          <cell r="L452" t="str">
            <v>MOLDED</v>
          </cell>
          <cell r="M452">
            <v>1</v>
          </cell>
        </row>
        <row r="453">
          <cell r="A453" t="str">
            <v>F-2025-11-18</v>
          </cell>
          <cell r="B453" t="str">
            <v>RPRO-251103-1954</v>
          </cell>
          <cell r="C453" t="str">
            <v>BDB-000309</v>
          </cell>
          <cell r="D453" t="str">
            <v>PVN-004033</v>
          </cell>
          <cell r="E453" t="str">
            <v>OrthoLite X-40-Hybrid NEUTRAL GRAY/17-4402TPX Hybrid Flat Sheet 0.16D 35+/-4 Asker C 1.1M 2M 2mm</v>
          </cell>
          <cell r="F453">
            <v>70</v>
          </cell>
          <cell r="G453">
            <v>70</v>
          </cell>
          <cell r="H453">
            <v>70</v>
          </cell>
          <cell r="I453">
            <v>0</v>
          </cell>
          <cell r="J453" t="str">
            <v>REDWING</v>
          </cell>
          <cell r="K453" t="str">
            <v>Pr.Sch.R</v>
          </cell>
          <cell r="L453" t="str">
            <v>MOLDED</v>
          </cell>
          <cell r="M453">
            <v>1</v>
          </cell>
        </row>
        <row r="454">
          <cell r="A454" t="str">
            <v>F-2025-11-19</v>
          </cell>
          <cell r="B454" t="str">
            <v>RPRO-251103-1955</v>
          </cell>
          <cell r="C454" t="str">
            <v>BDB-000125</v>
          </cell>
          <cell r="D454" t="str">
            <v>PVN-001579</v>
          </cell>
          <cell r="E454" t="str">
            <v>OrthoLite Regular-Nike AIR BLUE/16-4134TPX Flat Sheet 0.11D 25+/-4 Asker C 1.1M 2M 4mm</v>
          </cell>
          <cell r="F454">
            <v>70</v>
          </cell>
          <cell r="G454">
            <v>70</v>
          </cell>
          <cell r="H454">
            <v>0</v>
          </cell>
          <cell r="I454">
            <v>70</v>
          </cell>
          <cell r="J454" t="str">
            <v>NIKE</v>
          </cell>
          <cell r="K454" t="str">
            <v>Pr.Sch.R</v>
          </cell>
          <cell r="L454" t="str">
            <v>LAMINATING</v>
          </cell>
          <cell r="M454">
            <v>1</v>
          </cell>
        </row>
        <row r="455">
          <cell r="A455" t="str">
            <v>F-2025-11-20</v>
          </cell>
          <cell r="B455" t="str">
            <v>RPRO-251103-1956</v>
          </cell>
          <cell r="C455" t="str">
            <v>BDB-000209</v>
          </cell>
          <cell r="D455" t="str">
            <v>PVN-003462</v>
          </cell>
          <cell r="E455" t="str">
            <v>OrthoLite HybridPlus-Recycled MINT GREEN/11-4805TPX Hybrid Flat Sheet 0.12D 25+/-4 Asker C 1.1M 2M 12mm</v>
          </cell>
          <cell r="F455">
            <v>352</v>
          </cell>
          <cell r="G455">
            <v>352</v>
          </cell>
          <cell r="H455">
            <v>352</v>
          </cell>
          <cell r="I455">
            <v>0</v>
          </cell>
          <cell r="J455" t="str">
            <v>BROOKS</v>
          </cell>
          <cell r="K455" t="str">
            <v>Pr.Sch.R</v>
          </cell>
          <cell r="L455" t="str">
            <v>MOLDED</v>
          </cell>
          <cell r="M455">
            <v>1</v>
          </cell>
        </row>
        <row r="456">
          <cell r="A456" t="str">
            <v>F-2025-11-21</v>
          </cell>
          <cell r="B456" t="str">
            <v>RPRO-251103-1957</v>
          </cell>
          <cell r="C456" t="str">
            <v>BDB-000209</v>
          </cell>
          <cell r="D456" t="str">
            <v>PVN-003537</v>
          </cell>
          <cell r="E456" t="str">
            <v>OrthoLite HybridPlus-Recycled MINT GREEN/11-4805TPX Hybrid Flat Sheet 0.12D 25+/-4 Asker C 1.1M 2M 4.5mm</v>
          </cell>
          <cell r="F456">
            <v>2000</v>
          </cell>
          <cell r="G456">
            <v>2000</v>
          </cell>
          <cell r="H456">
            <v>2000</v>
          </cell>
          <cell r="I456">
            <v>0</v>
          </cell>
          <cell r="J456" t="str">
            <v>AKU</v>
          </cell>
          <cell r="K456" t="str">
            <v>Pr.Sch.R</v>
          </cell>
          <cell r="L456" t="str">
            <v>MOLDED</v>
          </cell>
          <cell r="M456">
            <v>1</v>
          </cell>
        </row>
        <row r="457">
          <cell r="A457" t="str">
            <v>F-2025-11-22</v>
          </cell>
          <cell r="B457" t="str">
            <v>RPRO-251103-1958</v>
          </cell>
          <cell r="C457" t="str">
            <v>BDB-000209</v>
          </cell>
          <cell r="D457" t="str">
            <v>PVN-003537</v>
          </cell>
          <cell r="E457" t="str">
            <v>OrthoLite HybridPlus-Recycled MINT GREEN/11-4805TPX Hybrid Flat Sheet 0.12D 25+/-4 Asker C 1.1M 2M 4.5mm</v>
          </cell>
          <cell r="F457">
            <v>2619</v>
          </cell>
          <cell r="G457">
            <v>2619</v>
          </cell>
          <cell r="H457">
            <v>2619</v>
          </cell>
          <cell r="I457">
            <v>0</v>
          </cell>
          <cell r="J457" t="str">
            <v>AKU</v>
          </cell>
          <cell r="K457" t="str">
            <v>Pr.Sch.R</v>
          </cell>
          <cell r="L457" t="str">
            <v>MOLDED</v>
          </cell>
          <cell r="M457">
            <v>1</v>
          </cell>
        </row>
        <row r="458">
          <cell r="A458" t="str">
            <v>F-2025-11-23</v>
          </cell>
          <cell r="B458" t="str">
            <v>RPRO-251103-1959</v>
          </cell>
          <cell r="C458" t="str">
            <v>BDB-000149</v>
          </cell>
          <cell r="D458" t="str">
            <v>PVN-002827</v>
          </cell>
          <cell r="E458" t="str">
            <v>OrthoLite Regular-Hybrid-Nike SEEDPEARL/12-0703TPX Hybrid Flat Sheet 0.11D 25+/-4 Asker C 1.1M 2M 5mm</v>
          </cell>
          <cell r="F458">
            <v>28</v>
          </cell>
          <cell r="G458">
            <v>28</v>
          </cell>
          <cell r="H458">
            <v>28</v>
          </cell>
          <cell r="I458">
            <v>0</v>
          </cell>
          <cell r="J458" t="str">
            <v>NIKE</v>
          </cell>
          <cell r="K458" t="str">
            <v>Pr.Sch.R</v>
          </cell>
          <cell r="L458" t="str">
            <v>MOLDED</v>
          </cell>
          <cell r="M458">
            <v>1</v>
          </cell>
        </row>
        <row r="459">
          <cell r="A459" t="str">
            <v>F-2025-11-24</v>
          </cell>
          <cell r="B459" t="str">
            <v>RPRO-251103-1960</v>
          </cell>
          <cell r="C459" t="str">
            <v>BDB-000011</v>
          </cell>
          <cell r="D459" t="str">
            <v>PVN-000121</v>
          </cell>
          <cell r="E459" t="str">
            <v>OrthoLite Regular AIR BLUE/16-4134TPX Flat Sheet 0.13D 35+/-4 Asker C 1.1M 2M 12mm</v>
          </cell>
          <cell r="F459">
            <v>132</v>
          </cell>
          <cell r="G459">
            <v>132</v>
          </cell>
          <cell r="H459">
            <v>132</v>
          </cell>
          <cell r="I459">
            <v>0</v>
          </cell>
          <cell r="J459" t="str">
            <v>ASICS</v>
          </cell>
          <cell r="K459" t="str">
            <v>Pr.Sch.R</v>
          </cell>
          <cell r="L459" t="str">
            <v>MOLDED</v>
          </cell>
          <cell r="M459" t="str">
            <v>1-RM-WIP</v>
          </cell>
        </row>
        <row r="460">
          <cell r="A460" t="str">
            <v>F-2025-11-25</v>
          </cell>
          <cell r="B460" t="str">
            <v>RPRO-251103-1961</v>
          </cell>
          <cell r="C460" t="str">
            <v>BDB-000008</v>
          </cell>
          <cell r="D460" t="str">
            <v>PVN-000505</v>
          </cell>
          <cell r="E460" t="str">
            <v>OrthoLite Regular LIME GREEN/14-0452TPX Flat Sheet 0.11D 25+/-4 Asker C 1.1M 2M 12mm</v>
          </cell>
          <cell r="F460">
            <v>44</v>
          </cell>
          <cell r="G460">
            <v>44</v>
          </cell>
          <cell r="H460">
            <v>44</v>
          </cell>
          <cell r="I460">
            <v>0</v>
          </cell>
          <cell r="J460" t="str">
            <v>ASICS</v>
          </cell>
          <cell r="K460" t="str">
            <v>Pr.Sch.R</v>
          </cell>
          <cell r="L460" t="str">
            <v>MOLDED</v>
          </cell>
          <cell r="M460" t="str">
            <v>1-RM-WIP</v>
          </cell>
        </row>
        <row r="461">
          <cell r="A461" t="str">
            <v>F-2025-11-26</v>
          </cell>
          <cell r="B461" t="str">
            <v>RPRO-251103-1962</v>
          </cell>
          <cell r="C461" t="str">
            <v>BDB-000113</v>
          </cell>
          <cell r="D461" t="str">
            <v>PVN-002465</v>
          </cell>
          <cell r="E461" t="str">
            <v>OrthoLite Regular-Hybrid SEEDPEARL/12-0703TPX Hybrid Flat Sheet 0.11D 25+/-4 Asker C 1.1M 2M 5mm</v>
          </cell>
          <cell r="F461">
            <v>3668</v>
          </cell>
          <cell r="G461">
            <v>3668</v>
          </cell>
          <cell r="H461">
            <v>3668</v>
          </cell>
          <cell r="I461">
            <v>0</v>
          </cell>
          <cell r="J461" t="str">
            <v>ASICS</v>
          </cell>
          <cell r="K461" t="str">
            <v>Pr.Sch.R</v>
          </cell>
          <cell r="L461" t="str">
            <v>DIE CUT</v>
          </cell>
          <cell r="M461">
            <v>1</v>
          </cell>
        </row>
        <row r="462">
          <cell r="A462" t="str">
            <v>F-2025-11-27</v>
          </cell>
          <cell r="B462" t="str">
            <v>RPRO-251103-1963</v>
          </cell>
          <cell r="C462" t="str">
            <v>BDB-000234</v>
          </cell>
          <cell r="D462" t="str">
            <v>PVN-003581</v>
          </cell>
          <cell r="E462" t="str">
            <v>OrthoLite X-30-Hybrid BROWN SUGAR/17-1134TPX Hybrid Flat Sheet 0.13D 25+/-4 Asker C 1.1M 2M 12mm</v>
          </cell>
          <cell r="F462">
            <v>1001</v>
          </cell>
          <cell r="G462">
            <v>1001</v>
          </cell>
          <cell r="H462">
            <v>1001</v>
          </cell>
          <cell r="I462">
            <v>0</v>
          </cell>
          <cell r="J462" t="str">
            <v>ASICS</v>
          </cell>
          <cell r="K462" t="str">
            <v>Pr.Sch.R</v>
          </cell>
          <cell r="L462" t="str">
            <v>MOLDED</v>
          </cell>
          <cell r="M462" t="str">
            <v>1-RM-WIP</v>
          </cell>
        </row>
        <row r="463">
          <cell r="A463" t="str">
            <v>F-2025-11-28</v>
          </cell>
          <cell r="B463" t="str">
            <v>RPRO-251103-1964</v>
          </cell>
          <cell r="C463" t="str">
            <v>BDB-000052</v>
          </cell>
          <cell r="D463" t="str">
            <v>PVN-003603</v>
          </cell>
          <cell r="E463" t="str">
            <v>OrthoLite X-40 TRUE BLUE/19-4057TPX Flat Sheet 0.16D 25+/-4 Asker C 1.1M 1.47M 12mm</v>
          </cell>
          <cell r="F463">
            <v>22</v>
          </cell>
          <cell r="G463">
            <v>22</v>
          </cell>
          <cell r="H463">
            <v>22</v>
          </cell>
          <cell r="I463">
            <v>0</v>
          </cell>
          <cell r="J463" t="str">
            <v>ASICS</v>
          </cell>
          <cell r="K463" t="str">
            <v>Pr.Sch.R</v>
          </cell>
          <cell r="L463" t="str">
            <v>MOLDED</v>
          </cell>
          <cell r="M463" t="str">
            <v>1-RM-WIP</v>
          </cell>
        </row>
        <row r="464">
          <cell r="A464" t="str">
            <v>F-2025-11-29</v>
          </cell>
          <cell r="B464" t="str">
            <v>RPRO-251103-1965</v>
          </cell>
          <cell r="C464" t="str">
            <v>BDB-000217</v>
          </cell>
          <cell r="D464" t="str">
            <v>PVN-003539</v>
          </cell>
          <cell r="E464" t="str">
            <v>OrthoLite X-40-Hybrid SEEDPEARL/12-0703TPX Hybrid Flat Sheet 0.16D 35+/-4 Asker C 1.1M 1.7M 6.2mm</v>
          </cell>
          <cell r="F464">
            <v>66</v>
          </cell>
          <cell r="G464">
            <v>66</v>
          </cell>
          <cell r="H464">
            <v>66</v>
          </cell>
          <cell r="I464">
            <v>0</v>
          </cell>
          <cell r="J464" t="str">
            <v>BROOKS</v>
          </cell>
          <cell r="K464" t="str">
            <v>Pr.Sch.R</v>
          </cell>
          <cell r="L464" t="str">
            <v>MOLDED</v>
          </cell>
          <cell r="M464">
            <v>1</v>
          </cell>
        </row>
        <row r="465">
          <cell r="A465" t="str">
            <v>F-2025-11-30</v>
          </cell>
          <cell r="B465" t="str">
            <v>RPRO-251103-1966</v>
          </cell>
          <cell r="C465" t="str">
            <v>BDB-000123</v>
          </cell>
          <cell r="D465" t="str">
            <v>PVN-002539</v>
          </cell>
          <cell r="E465" t="str">
            <v>OrthoLite Ultra-Hybrid SEEDPEARL/12-0703TPX Hybrid Flat Sheet 0.085D 25+/-4 Asker C 1.1M 2M 5mm</v>
          </cell>
          <cell r="F465">
            <v>822</v>
          </cell>
          <cell r="G465">
            <v>822</v>
          </cell>
          <cell r="H465">
            <v>822</v>
          </cell>
          <cell r="I465">
            <v>0</v>
          </cell>
          <cell r="J465" t="str">
            <v>BROOKS</v>
          </cell>
          <cell r="K465" t="str">
            <v>Pr.Sch.R</v>
          </cell>
          <cell r="L465" t="str">
            <v>DIE CUT</v>
          </cell>
          <cell r="M465">
            <v>1</v>
          </cell>
        </row>
        <row r="466">
          <cell r="A466" t="str">
            <v>F-2025-11-31</v>
          </cell>
          <cell r="B466" t="str">
            <v>RPRO-251103-1967</v>
          </cell>
          <cell r="C466" t="str">
            <v>BDB-000217</v>
          </cell>
          <cell r="D466" t="str">
            <v>PVN-003483</v>
          </cell>
          <cell r="E466" t="str">
            <v>OrthoLite X-40-Hybrid SEEDPEARL/12-0703TPX Hybrid Flat Sheet 0.16D 35+/-4 Asker C 1.1M 1.7M 12mm</v>
          </cell>
          <cell r="F466">
            <v>11</v>
          </cell>
          <cell r="G466">
            <v>11</v>
          </cell>
          <cell r="H466">
            <v>11</v>
          </cell>
          <cell r="I466">
            <v>0</v>
          </cell>
          <cell r="J466" t="str">
            <v>BROOKS</v>
          </cell>
          <cell r="K466" t="str">
            <v>Pr.Sch.R</v>
          </cell>
          <cell r="L466" t="str">
            <v>MOLDED</v>
          </cell>
          <cell r="M466">
            <v>1</v>
          </cell>
        </row>
        <row r="467">
          <cell r="A467" t="str">
            <v>F-2025-11-32</v>
          </cell>
          <cell r="B467" t="str">
            <v>RPRO-251103-1968</v>
          </cell>
          <cell r="C467" t="str">
            <v>BDB-000054</v>
          </cell>
          <cell r="D467" t="str">
            <v>PVN-003895</v>
          </cell>
          <cell r="E467" t="str">
            <v>OrthoLite X-40 RED/19-1764TPX Flat Sheet 0.16D 25+/-4 Asker C 1.1M 1.7M 5mm</v>
          </cell>
          <cell r="F467">
            <v>84</v>
          </cell>
          <cell r="G467">
            <v>84</v>
          </cell>
          <cell r="H467">
            <v>84</v>
          </cell>
          <cell r="I467">
            <v>0</v>
          </cell>
          <cell r="J467" t="str">
            <v>PAYNTR</v>
          </cell>
          <cell r="K467" t="str">
            <v>Pr.Sch.R</v>
          </cell>
          <cell r="L467" t="str">
            <v>MOLDED</v>
          </cell>
          <cell r="M467">
            <v>1</v>
          </cell>
        </row>
        <row r="468">
          <cell r="A468" t="str">
            <v>F-2025-11-33</v>
          </cell>
          <cell r="B468" t="str">
            <v>RPRO-251103-1969</v>
          </cell>
          <cell r="C468" t="str">
            <v>BDB-000197</v>
          </cell>
          <cell r="D468" t="str">
            <v>PVN-003406</v>
          </cell>
          <cell r="E468" t="str">
            <v>OrthoLite Ultra-Hybrid SEEDPEARL/12-0703TPX Hybrid Flat Sheet 0.085D 5-10 Asker C 1.1M 2M 2mm</v>
          </cell>
          <cell r="F468">
            <v>70</v>
          </cell>
          <cell r="G468">
            <v>70</v>
          </cell>
          <cell r="H468">
            <v>70</v>
          </cell>
          <cell r="I468">
            <v>0</v>
          </cell>
          <cell r="J468" t="str">
            <v>ADIDAS</v>
          </cell>
          <cell r="K468" t="str">
            <v>Pr.Sch.R</v>
          </cell>
          <cell r="L468" t="str">
            <v>DIE CUT</v>
          </cell>
          <cell r="M468">
            <v>1</v>
          </cell>
        </row>
        <row r="469">
          <cell r="A469" t="str">
            <v>F-2025-11-34</v>
          </cell>
          <cell r="B469" t="str">
            <v>RPRO-251103-1970</v>
          </cell>
          <cell r="C469" t="str">
            <v>BDB-000113</v>
          </cell>
          <cell r="D469" t="str">
            <v>PVN-003796</v>
          </cell>
          <cell r="E469" t="str">
            <v>OrthoLite Regular-Hybrid SEEDPEARL/12-0703TPX Hybrid Flat Sheet 0.11D 25+/-4 Asker C 1.1M 2M 3.5mm</v>
          </cell>
          <cell r="F469">
            <v>120</v>
          </cell>
          <cell r="G469">
            <v>120</v>
          </cell>
          <cell r="H469">
            <v>120</v>
          </cell>
          <cell r="I469">
            <v>0</v>
          </cell>
          <cell r="J469" t="str">
            <v>ASICS</v>
          </cell>
          <cell r="K469" t="str">
            <v>Pr.Sch.R</v>
          </cell>
          <cell r="L469" t="str">
            <v>DIE CUT</v>
          </cell>
          <cell r="M469">
            <v>1</v>
          </cell>
        </row>
        <row r="470">
          <cell r="A470" t="str">
            <v>F-2025-11-35</v>
          </cell>
          <cell r="B470" t="str">
            <v>RPRO-251103-1971</v>
          </cell>
          <cell r="C470" t="str">
            <v>BDB-000057</v>
          </cell>
          <cell r="D470" t="str">
            <v>PVN-000825</v>
          </cell>
          <cell r="E470" t="str">
            <v>OrthoLite Ultra YELLOW/13-0858TPX Flat Sheet 0.085D 25+/-4 Asker C 1.1M 2M 12mm</v>
          </cell>
          <cell r="F470">
            <v>22</v>
          </cell>
          <cell r="G470">
            <v>22</v>
          </cell>
          <cell r="H470">
            <v>22</v>
          </cell>
          <cell r="I470">
            <v>0</v>
          </cell>
          <cell r="J470" t="str">
            <v>ASICS</v>
          </cell>
          <cell r="K470" t="str">
            <v>Pr.Sch.R</v>
          </cell>
          <cell r="L470" t="str">
            <v>MOLDED</v>
          </cell>
          <cell r="M470" t="str">
            <v>1-RM-WIP</v>
          </cell>
        </row>
        <row r="471">
          <cell r="A471" t="str">
            <v>F-2025-11-36</v>
          </cell>
          <cell r="B471" t="str">
            <v>RPRO-251103-1972</v>
          </cell>
          <cell r="C471" t="str">
            <v>BDB-000125</v>
          </cell>
          <cell r="D471" t="str">
            <v>PVN-001412</v>
          </cell>
          <cell r="E471" t="str">
            <v>OrthoLite Regular-Nike AIR BLUE/16-4134TPX Flat Sheet 0.11D 25+/-4 Asker C 1.1M 2M 5mm</v>
          </cell>
          <cell r="F471">
            <v>196</v>
          </cell>
          <cell r="G471">
            <v>196</v>
          </cell>
          <cell r="H471">
            <v>196</v>
          </cell>
          <cell r="I471">
            <v>0</v>
          </cell>
          <cell r="J471" t="str">
            <v>NIKE</v>
          </cell>
          <cell r="K471" t="str">
            <v>Pr.Sch.R</v>
          </cell>
          <cell r="L471" t="str">
            <v>MOLDED</v>
          </cell>
          <cell r="M471">
            <v>1</v>
          </cell>
        </row>
        <row r="472">
          <cell r="A472" t="str">
            <v>F-2025-11-37</v>
          </cell>
          <cell r="B472" t="str">
            <v>RPRO-251103-1973</v>
          </cell>
          <cell r="C472" t="str">
            <v>BDB-000319</v>
          </cell>
          <cell r="D472" t="str">
            <v>PVN-004081</v>
          </cell>
          <cell r="E472" t="str">
            <v>OrthoLite X-40-Hybrid-Nike SEEDPEARL/12-0703TPX Hybrid Flat Sheet 0.16D 25+/-4 Asker C 1.1M 2M 6mm</v>
          </cell>
          <cell r="F472">
            <v>23</v>
          </cell>
          <cell r="G472">
            <v>23</v>
          </cell>
          <cell r="H472">
            <v>23</v>
          </cell>
          <cell r="I472">
            <v>0</v>
          </cell>
          <cell r="J472" t="str">
            <v>NIKE</v>
          </cell>
          <cell r="K472" t="str">
            <v>Pr.Sch.R</v>
          </cell>
          <cell r="L472" t="str">
            <v>MOLDED</v>
          </cell>
          <cell r="M472">
            <v>1</v>
          </cell>
        </row>
        <row r="473">
          <cell r="A473" t="str">
            <v>F-2025-11-38</v>
          </cell>
          <cell r="B473" t="str">
            <v>RPRO-251103-1974</v>
          </cell>
          <cell r="C473" t="str">
            <v>BDB-000336</v>
          </cell>
          <cell r="D473" t="str">
            <v>PVN-004168</v>
          </cell>
          <cell r="E473" t="str">
            <v>OrthoLite X-40-Nike SEEDPEARL/12-0703TPX Flat Sheet 0.16D 35+/-4 Asker C 1.1M 2M 4.5mm</v>
          </cell>
          <cell r="F473">
            <v>341</v>
          </cell>
          <cell r="G473">
            <v>341</v>
          </cell>
          <cell r="H473">
            <v>341</v>
          </cell>
          <cell r="I473">
            <v>0</v>
          </cell>
          <cell r="J473" t="str">
            <v>NIKE</v>
          </cell>
          <cell r="K473" t="str">
            <v>Pr.Sch.R</v>
          </cell>
          <cell r="L473" t="str">
            <v>MOLDED</v>
          </cell>
          <cell r="M473">
            <v>1</v>
          </cell>
        </row>
        <row r="474">
          <cell r="A474" t="str">
            <v>F-2025-11-39</v>
          </cell>
          <cell r="B474" t="str">
            <v>RPRO-251103-1975</v>
          </cell>
          <cell r="C474" t="str">
            <v>BDB-000255</v>
          </cell>
          <cell r="D474" t="str">
            <v>PVN-003730</v>
          </cell>
          <cell r="E474" t="str">
            <v>OrthoLite Regular GREY/17-1501TPX Flat Sheet 0.15D 45+/-4 Asker C 1.1M 1.7M 2mm</v>
          </cell>
          <cell r="F474">
            <v>140</v>
          </cell>
          <cell r="G474">
            <v>140</v>
          </cell>
          <cell r="H474">
            <v>140</v>
          </cell>
          <cell r="I474">
            <v>0</v>
          </cell>
          <cell r="J474" t="str">
            <v>OBOZ</v>
          </cell>
          <cell r="K474" t="str">
            <v>Pr.Sch.R</v>
          </cell>
          <cell r="L474" t="str">
            <v>MOLDED</v>
          </cell>
          <cell r="M474">
            <v>1</v>
          </cell>
        </row>
        <row r="475">
          <cell r="A475" t="str">
            <v>F-2025-11-40</v>
          </cell>
          <cell r="B475" t="str">
            <v>RPRO-251103-1976</v>
          </cell>
          <cell r="C475" t="str">
            <v>BDB-000217</v>
          </cell>
          <cell r="D475" t="str">
            <v>PVN-003733</v>
          </cell>
          <cell r="E475" t="str">
            <v>OrthoLite X-40-Hybrid SEEDPEARL/12-0703TPX Hybrid Flat Sheet 0.16D 35+/-4 Asker C 1.1M 1.7M 12.5mm</v>
          </cell>
          <cell r="F475">
            <v>70</v>
          </cell>
          <cell r="G475">
            <v>70</v>
          </cell>
          <cell r="H475">
            <v>70</v>
          </cell>
          <cell r="I475">
            <v>0</v>
          </cell>
          <cell r="J475" t="str">
            <v>OBOZ</v>
          </cell>
          <cell r="K475" t="str">
            <v>Pr.Sch.R</v>
          </cell>
          <cell r="L475" t="str">
            <v>MOLDED</v>
          </cell>
          <cell r="M475">
            <v>1</v>
          </cell>
        </row>
        <row r="476">
          <cell r="A476" t="str">
            <v>F-2025-11-41</v>
          </cell>
          <cell r="B476" t="str">
            <v>RPRO-251103-1977</v>
          </cell>
          <cell r="C476" t="str">
            <v>BDB-000055</v>
          </cell>
          <cell r="D476" t="str">
            <v>PVN-003387</v>
          </cell>
          <cell r="E476" t="str">
            <v>OrthoLite X-40 TRUE BLUE/19-4057TPX Flat Sheet 0.16D 35+/-4 Asker C 1.1M 1.7M 13.5mm</v>
          </cell>
          <cell r="F476">
            <v>9</v>
          </cell>
          <cell r="G476">
            <v>9</v>
          </cell>
          <cell r="H476">
            <v>9</v>
          </cell>
          <cell r="I476">
            <v>0</v>
          </cell>
          <cell r="J476" t="str">
            <v>ADIDAS</v>
          </cell>
          <cell r="K476" t="str">
            <v>Pr.Sch.R</v>
          </cell>
          <cell r="L476" t="str">
            <v>MOLDED</v>
          </cell>
          <cell r="M476">
            <v>1</v>
          </cell>
        </row>
        <row r="477">
          <cell r="A477" t="str">
            <v>F-2025-11-42</v>
          </cell>
          <cell r="B477" t="str">
            <v>RPRO-251103-1978</v>
          </cell>
          <cell r="C477" t="str">
            <v>BDB-000347</v>
          </cell>
          <cell r="D477" t="str">
            <v>PVN-004192</v>
          </cell>
          <cell r="E477" t="str">
            <v>OrthoLite X-55-Hybrid SEEDPEARL/12-0703TPX Hybrid Flat Sheet 0.16D 25+/-4 Asker C 1.1M 2M 12mm</v>
          </cell>
          <cell r="F477">
            <v>1177</v>
          </cell>
          <cell r="G477">
            <v>1177</v>
          </cell>
          <cell r="H477">
            <v>1177</v>
          </cell>
          <cell r="I477">
            <v>0</v>
          </cell>
          <cell r="J477" t="str">
            <v>BROOKS</v>
          </cell>
          <cell r="K477" t="str">
            <v>Pr.Sch.R</v>
          </cell>
          <cell r="L477" t="str">
            <v>MOLDED</v>
          </cell>
          <cell r="M477">
            <v>1</v>
          </cell>
        </row>
        <row r="478">
          <cell r="A478" t="str">
            <v>F-2025-11-43</v>
          </cell>
          <cell r="B478" t="str">
            <v>RPRO-251103-1979</v>
          </cell>
          <cell r="C478" t="str">
            <v>BDB-000113</v>
          </cell>
          <cell r="D478" t="str">
            <v>PVN-003601</v>
          </cell>
          <cell r="E478" t="str">
            <v>OrthoLite Regular-Hybrid SEEDPEARL/12-0703TPX Hybrid Flat Sheet 0.11D 25+/-4 Asker C 1.1M 2M 20mm</v>
          </cell>
          <cell r="F478">
            <v>420</v>
          </cell>
          <cell r="G478">
            <v>420</v>
          </cell>
          <cell r="H478">
            <v>420</v>
          </cell>
          <cell r="I478">
            <v>0</v>
          </cell>
          <cell r="J478" t="str">
            <v>ASICS</v>
          </cell>
          <cell r="K478" t="str">
            <v>Pr.Sch.R</v>
          </cell>
          <cell r="L478" t="str">
            <v>MOLDED</v>
          </cell>
          <cell r="M478">
            <v>1</v>
          </cell>
        </row>
        <row r="479">
          <cell r="A479" t="str">
            <v>F-2025-11-44</v>
          </cell>
          <cell r="B479" t="str">
            <v>RPRO-251103-1980</v>
          </cell>
          <cell r="C479" t="str">
            <v>BDB-000339</v>
          </cell>
          <cell r="D479" t="str">
            <v>PVN-004178</v>
          </cell>
          <cell r="E479" t="str">
            <v>OrthoLite Float NEUTRAL GRAY/17-4402TPX Flat Sheet 0.12D 21+/-4 Asker C 1.1M 2M 5.5mm</v>
          </cell>
          <cell r="F479">
            <v>200</v>
          </cell>
          <cell r="G479">
            <v>200</v>
          </cell>
          <cell r="H479">
            <v>200</v>
          </cell>
          <cell r="I479">
            <v>0</v>
          </cell>
          <cell r="J479" t="str">
            <v>PUMA</v>
          </cell>
          <cell r="K479" t="str">
            <v>Pr.Sch.R</v>
          </cell>
          <cell r="L479" t="str">
            <v>MOLDED</v>
          </cell>
          <cell r="M479">
            <v>1</v>
          </cell>
        </row>
        <row r="480">
          <cell r="A480" t="str">
            <v>F-2025-11-45</v>
          </cell>
          <cell r="B480" t="str">
            <v>RPRO-251103-1981</v>
          </cell>
          <cell r="C480" t="str">
            <v>BDB-000282</v>
          </cell>
          <cell r="D480" t="str">
            <v>PVN-003834</v>
          </cell>
          <cell r="E480" t="str">
            <v>OrthoLite X-40-Hybrid SEEDPEARL/12-0703TPX Hybrid Flat Sheet 0.16D 35+/-4 Asker C 1.1M 2M 12.5mm</v>
          </cell>
          <cell r="F480">
            <v>10</v>
          </cell>
          <cell r="G480">
            <v>10</v>
          </cell>
          <cell r="H480">
            <v>10</v>
          </cell>
          <cell r="I480">
            <v>0</v>
          </cell>
          <cell r="J480" t="str">
            <v>OBOZ</v>
          </cell>
          <cell r="K480" t="str">
            <v>Pr.Sch.R</v>
          </cell>
          <cell r="L480" t="str">
            <v>MOLDED</v>
          </cell>
          <cell r="M480">
            <v>1</v>
          </cell>
        </row>
        <row r="481">
          <cell r="A481" t="str">
            <v>F-2025-11-46</v>
          </cell>
          <cell r="B481" t="str">
            <v>RPRO-251103-1982</v>
          </cell>
          <cell r="C481" t="str">
            <v>BDB-000058</v>
          </cell>
          <cell r="D481" t="str">
            <v>PVN-001319</v>
          </cell>
          <cell r="E481" t="str">
            <v>OrthoLite Ultra GREEN/16-5932TPX Flat Sheet 0.085D 25+/-4 Asker C 1.1M 2M 5mm</v>
          </cell>
          <cell r="F481">
            <v>532</v>
          </cell>
          <cell r="G481">
            <v>532</v>
          </cell>
          <cell r="H481">
            <v>532</v>
          </cell>
          <cell r="I481">
            <v>0</v>
          </cell>
          <cell r="J481" t="str">
            <v>NEW BALANCE</v>
          </cell>
          <cell r="K481" t="str">
            <v>Pr.Sch.R</v>
          </cell>
          <cell r="L481" t="str">
            <v>DIE CUT</v>
          </cell>
          <cell r="M481">
            <v>1</v>
          </cell>
        </row>
        <row r="482">
          <cell r="A482" t="str">
            <v>F-2025-11-47</v>
          </cell>
          <cell r="B482" t="str">
            <v>RPRO-251103-1983</v>
          </cell>
          <cell r="C482" t="str">
            <v>BDB-000318</v>
          </cell>
          <cell r="D482" t="str">
            <v>PVN-004077</v>
          </cell>
          <cell r="E482" t="str">
            <v>OrthoLite X-55 RED/19-1764TPX Flat Sheet 0.16D 25+/-4 Asker C 1.1M 2M 5.2mm</v>
          </cell>
          <cell r="F482">
            <v>26</v>
          </cell>
          <cell r="G482">
            <v>26</v>
          </cell>
          <cell r="H482">
            <v>26</v>
          </cell>
          <cell r="I482">
            <v>0</v>
          </cell>
          <cell r="J482" t="str">
            <v>NEW BALANCE</v>
          </cell>
          <cell r="K482" t="str">
            <v>Pr.Sch.R</v>
          </cell>
          <cell r="L482" t="str">
            <v>MOLDED</v>
          </cell>
          <cell r="M482">
            <v>1</v>
          </cell>
        </row>
        <row r="483">
          <cell r="A483" t="str">
            <v>F-2025-11-48</v>
          </cell>
          <cell r="B483" t="str">
            <v>RPRO-251103-1984</v>
          </cell>
          <cell r="C483" t="str">
            <v>BDB-000235</v>
          </cell>
          <cell r="D483" t="str">
            <v>PVN-003577</v>
          </cell>
          <cell r="E483" t="str">
            <v>OrthoLite X-55-Hybrid FOSSIL/17-0909TPX Hybrid Flat Sheet 0.16D 25+/-4 Asker C 1.1M 1.7M 10mm</v>
          </cell>
          <cell r="F483">
            <v>65</v>
          </cell>
          <cell r="G483">
            <v>65</v>
          </cell>
          <cell r="H483">
            <v>65</v>
          </cell>
          <cell r="I483">
            <v>0</v>
          </cell>
          <cell r="J483" t="str">
            <v>ASICS</v>
          </cell>
          <cell r="K483" t="str">
            <v>Pr.Sch.R</v>
          </cell>
          <cell r="L483" t="str">
            <v>MOLDED</v>
          </cell>
          <cell r="M483">
            <v>1</v>
          </cell>
        </row>
        <row r="484">
          <cell r="A484" t="str">
            <v>F-2025-11-49</v>
          </cell>
          <cell r="B484" t="str">
            <v>FPRO-251101-0001</v>
          </cell>
          <cell r="C484" t="str">
            <v>BDB-000107</v>
          </cell>
          <cell r="D484" t="str">
            <v>PVN-003545</v>
          </cell>
          <cell r="E484" t="str">
            <v>OrthoLite Eco LT-Hybrid SEEDPEARL/12-0703TPX Hybrid 0.11D 25+/-4 Asker C 1.1M 1.47M 12.5mm</v>
          </cell>
          <cell r="F484">
            <v>372</v>
          </cell>
          <cell r="G484">
            <v>372</v>
          </cell>
          <cell r="H484">
            <v>372</v>
          </cell>
          <cell r="I484">
            <v>0</v>
          </cell>
          <cell r="J484" t="str">
            <v>NEW BALANCE</v>
          </cell>
          <cell r="K484" t="str">
            <v>Forecast</v>
          </cell>
          <cell r="L484" t="str">
            <v>MOLDED</v>
          </cell>
          <cell r="M484">
            <v>1</v>
          </cell>
        </row>
        <row r="485">
          <cell r="A485" t="str">
            <v>F-2025-11-50</v>
          </cell>
          <cell r="B485" t="str">
            <v>FPRO-251103-0001</v>
          </cell>
          <cell r="C485" t="str">
            <v>BDB-000325</v>
          </cell>
          <cell r="D485" t="str">
            <v>PVN-004115</v>
          </cell>
          <cell r="E485" t="str">
            <v>OrthoLite X-40 TRUE BLUE/19-4057TPX Flat Sheet 0.16D 35+/-4 Asker C 1.1M 2M 4mm</v>
          </cell>
          <cell r="F485">
            <v>24</v>
          </cell>
          <cell r="G485">
            <v>24</v>
          </cell>
          <cell r="H485">
            <v>24</v>
          </cell>
          <cell r="I485">
            <v>0</v>
          </cell>
          <cell r="J485" t="str">
            <v>ASICS</v>
          </cell>
          <cell r="K485" t="str">
            <v>Forecast</v>
          </cell>
          <cell r="L485" t="str">
            <v>MOLDED</v>
          </cell>
          <cell r="M485" t="str">
            <v>1-SLT</v>
          </cell>
        </row>
        <row r="486">
          <cell r="A486" t="str">
            <v>F-2025-11-51</v>
          </cell>
          <cell r="B486" t="str">
            <v>FPRO-251103-0002</v>
          </cell>
          <cell r="C486" t="str">
            <v>BDB-000317</v>
          </cell>
          <cell r="D486" t="str">
            <v>PVN-004076</v>
          </cell>
          <cell r="E486" t="str">
            <v>OrthoLite Regular NEUTRAL GRAY/17-4402TPX Flat Sheet 0.13D 15+/-4 Asker C 1.1M 2M 24mm</v>
          </cell>
          <cell r="F486">
            <v>12</v>
          </cell>
          <cell r="G486">
            <v>12</v>
          </cell>
          <cell r="H486">
            <v>12</v>
          </cell>
          <cell r="I486">
            <v>0</v>
          </cell>
          <cell r="J486" t="str">
            <v>ASICS</v>
          </cell>
          <cell r="K486" t="str">
            <v>Forecast</v>
          </cell>
          <cell r="L486" t="str">
            <v>MOLDED</v>
          </cell>
          <cell r="M486" t="str">
            <v>1-SLT</v>
          </cell>
        </row>
        <row r="487">
          <cell r="A487" t="str">
            <v>F-2025-11-52</v>
          </cell>
          <cell r="B487" t="str">
            <v>RPRO-251104-0549</v>
          </cell>
          <cell r="C487" t="str">
            <v>BDB-000011</v>
          </cell>
          <cell r="D487" t="str">
            <v>PVN-000258</v>
          </cell>
          <cell r="E487" t="str">
            <v>OrthoLite Regular AIR BLUE/16-4134TPX Flat Sheet 0.13D 35+/-4 Asker C 1.1M 2M 2.5mm</v>
          </cell>
          <cell r="F487">
            <v>448</v>
          </cell>
          <cell r="G487">
            <v>448</v>
          </cell>
          <cell r="H487">
            <v>448</v>
          </cell>
          <cell r="I487">
            <v>0</v>
          </cell>
          <cell r="J487"/>
          <cell r="K487" t="str">
            <v>MPS</v>
          </cell>
          <cell r="L487" t="str">
            <v>SPLITTING</v>
          </cell>
          <cell r="M487">
            <v>2</v>
          </cell>
        </row>
        <row r="488">
          <cell r="A488" t="str">
            <v>F-2025-11-53</v>
          </cell>
          <cell r="B488" t="str">
            <v>RPRO-251104-0550</v>
          </cell>
          <cell r="C488" t="str">
            <v>BDB-000011</v>
          </cell>
          <cell r="D488" t="str">
            <v>PVN-000127</v>
          </cell>
          <cell r="E488" t="str">
            <v>OrthoLite Regular AIR BLUE/16-4134TPX Flat Sheet 0.13D 35+/-4 Asker C 1.1M 2M 5mm</v>
          </cell>
          <cell r="F488">
            <v>28</v>
          </cell>
          <cell r="G488">
            <v>28</v>
          </cell>
          <cell r="H488">
            <v>28</v>
          </cell>
          <cell r="I488">
            <v>0</v>
          </cell>
          <cell r="J488"/>
          <cell r="K488" t="str">
            <v>MPS</v>
          </cell>
          <cell r="L488" t="str">
            <v>SPLITTING</v>
          </cell>
          <cell r="M488">
            <v>2</v>
          </cell>
        </row>
        <row r="489">
          <cell r="A489" t="str">
            <v>F-2025-11-54</v>
          </cell>
          <cell r="B489" t="str">
            <v>RPRO-251104-0551</v>
          </cell>
          <cell r="C489" t="str">
            <v>BDB-000016</v>
          </cell>
          <cell r="D489" t="str">
            <v>PVN-000338</v>
          </cell>
          <cell r="E489" t="str">
            <v>OrthoLite Regular GREEN/16-5932TPX 0.13D 35+/-4 Asker C 1.1M 2M 4mm</v>
          </cell>
          <cell r="F489">
            <v>70</v>
          </cell>
          <cell r="G489">
            <v>70</v>
          </cell>
          <cell r="H489">
            <v>70</v>
          </cell>
          <cell r="I489">
            <v>0</v>
          </cell>
          <cell r="J489"/>
          <cell r="K489" t="str">
            <v>MPS</v>
          </cell>
          <cell r="L489" t="str">
            <v>SPLITTING</v>
          </cell>
          <cell r="M489">
            <v>2</v>
          </cell>
        </row>
        <row r="490">
          <cell r="A490" t="str">
            <v>F-2025-11-55</v>
          </cell>
          <cell r="B490" t="str">
            <v>RPRO-251104-0552</v>
          </cell>
          <cell r="C490" t="str">
            <v>BDB-000083</v>
          </cell>
          <cell r="D490" t="str">
            <v>PVN-000930</v>
          </cell>
          <cell r="E490" t="str">
            <v>OrthoLite Eco LT 300C(ADIDAS BLUEBIRD) Flat Sheet 0.11D 25+/-4 Asker C 1.1M 2M 3mm</v>
          </cell>
          <cell r="F490">
            <v>46</v>
          </cell>
          <cell r="G490">
            <v>46</v>
          </cell>
          <cell r="H490">
            <v>46</v>
          </cell>
          <cell r="I490">
            <v>0</v>
          </cell>
          <cell r="J490"/>
          <cell r="K490" t="str">
            <v>MPS</v>
          </cell>
          <cell r="L490" t="str">
            <v>SPLITTING</v>
          </cell>
          <cell r="M490">
            <v>2</v>
          </cell>
        </row>
        <row r="491">
          <cell r="A491" t="str">
            <v>F-2025-11-56</v>
          </cell>
          <cell r="B491" t="str">
            <v>RPRO-251104-0553</v>
          </cell>
          <cell r="C491" t="str">
            <v>BDB-000083</v>
          </cell>
          <cell r="D491" t="str">
            <v>PVN-000935</v>
          </cell>
          <cell r="E491" t="str">
            <v>OrthoLite Eco LT 300C(ADIDAS BLUEBIRD) Flat Sheet 0.11D 25+/-4 Asker C 1.1M 2M 4mm</v>
          </cell>
          <cell r="F491">
            <v>35</v>
          </cell>
          <cell r="G491">
            <v>35</v>
          </cell>
          <cell r="H491">
            <v>35</v>
          </cell>
          <cell r="I491">
            <v>0</v>
          </cell>
          <cell r="J491"/>
          <cell r="K491" t="str">
            <v>MPS</v>
          </cell>
          <cell r="L491" t="str">
            <v>SPLITTING</v>
          </cell>
          <cell r="M491">
            <v>2</v>
          </cell>
        </row>
        <row r="492">
          <cell r="A492" t="str">
            <v>F-2025-11-57</v>
          </cell>
          <cell r="B492" t="str">
            <v>RPRO-251104-0554</v>
          </cell>
          <cell r="C492" t="str">
            <v>BDB-000058</v>
          </cell>
          <cell r="D492" t="str">
            <v>PVN-001319</v>
          </cell>
          <cell r="E492" t="str">
            <v>OrthoLite Ultra GREEN/16-5932TPX 0.085D 25+/-4 Asker C 1.1M 2M 5mm</v>
          </cell>
          <cell r="F492">
            <v>2772</v>
          </cell>
          <cell r="G492">
            <v>2772</v>
          </cell>
          <cell r="H492">
            <v>2772</v>
          </cell>
          <cell r="I492">
            <v>0</v>
          </cell>
          <cell r="J492"/>
          <cell r="K492" t="str">
            <v>MPS</v>
          </cell>
          <cell r="L492" t="str">
            <v>SPLITTING</v>
          </cell>
          <cell r="M492">
            <v>2</v>
          </cell>
        </row>
        <row r="493">
          <cell r="A493" t="str">
            <v>F-2025-11-58</v>
          </cell>
          <cell r="B493" t="str">
            <v>RPRO-251104-0555</v>
          </cell>
          <cell r="C493" t="str">
            <v>BDB-000056</v>
          </cell>
          <cell r="D493" t="str">
            <v>PVN-001983</v>
          </cell>
          <cell r="E493" t="str">
            <v>OrthoLite X-40 SEEDPEARL/12-0703TPX Flat Sheet 0.16D 25+/-4 Asker C 1.1M 1.7M 5mm</v>
          </cell>
          <cell r="F493">
            <v>140</v>
          </cell>
          <cell r="G493">
            <v>140</v>
          </cell>
          <cell r="H493">
            <v>140</v>
          </cell>
          <cell r="I493">
            <v>0</v>
          </cell>
          <cell r="J493"/>
          <cell r="K493" t="str">
            <v>MPS</v>
          </cell>
          <cell r="L493" t="str">
            <v>SPLITTING</v>
          </cell>
          <cell r="M493">
            <v>2</v>
          </cell>
        </row>
        <row r="494">
          <cell r="A494" t="str">
            <v>F-2025-11-59</v>
          </cell>
          <cell r="B494" t="str">
            <v>RPRO-251104-0556</v>
          </cell>
          <cell r="C494" t="str">
            <v>BDB-000123</v>
          </cell>
          <cell r="D494" t="str">
            <v>PVN-003315</v>
          </cell>
          <cell r="E494" t="str">
            <v>OrthoLite Ultra-Hybrid SEEDPEARL/12-0703TPX Hybrid 0.085D 25+/-4 Asker C 1.1M 2M 3.5mm</v>
          </cell>
          <cell r="F494">
            <v>520</v>
          </cell>
          <cell r="G494">
            <v>520</v>
          </cell>
          <cell r="H494">
            <v>520</v>
          </cell>
          <cell r="I494">
            <v>0</v>
          </cell>
          <cell r="J494"/>
          <cell r="K494" t="str">
            <v>MPS</v>
          </cell>
          <cell r="L494" t="str">
            <v>SPLITTING</v>
          </cell>
          <cell r="M494">
            <v>2</v>
          </cell>
        </row>
        <row r="495">
          <cell r="A495" t="str">
            <v>F-2025-11-60</v>
          </cell>
          <cell r="B495" t="str">
            <v>RPRO-251104-0557</v>
          </cell>
          <cell r="C495" t="str">
            <v>BDB-000051</v>
          </cell>
          <cell r="D495" t="str">
            <v>PVN-003329</v>
          </cell>
          <cell r="E495" t="str">
            <v>OrthoLite X-40 TRUE BLUE/19-4057TPX Flat Sheet 0.16D 25+/-4 Asker C 1.1M 1.7M 5.5mm</v>
          </cell>
          <cell r="F495">
            <v>25</v>
          </cell>
          <cell r="G495">
            <v>25</v>
          </cell>
          <cell r="H495">
            <v>25</v>
          </cell>
          <cell r="I495">
            <v>0</v>
          </cell>
          <cell r="J495"/>
          <cell r="K495" t="str">
            <v>MPS</v>
          </cell>
          <cell r="L495" t="str">
            <v>SPLITTING</v>
          </cell>
          <cell r="M495">
            <v>2</v>
          </cell>
        </row>
        <row r="496">
          <cell r="A496" t="str">
            <v>F-2025-11-61</v>
          </cell>
          <cell r="B496" t="str">
            <v>RPRO-251104-0558</v>
          </cell>
          <cell r="C496" t="str">
            <v>BDB-000083</v>
          </cell>
          <cell r="D496" t="str">
            <v>PVN-003969</v>
          </cell>
          <cell r="E496" t="str">
            <v>OrthoLite Eco LT 300C(ADIDAS BLUEBIRD) Flat Sheet 0.11D 25+/-4 Asker C 1.1M 2M 12mm</v>
          </cell>
          <cell r="F496">
            <v>55</v>
          </cell>
          <cell r="G496">
            <v>55</v>
          </cell>
          <cell r="H496">
            <v>55</v>
          </cell>
          <cell r="I496">
            <v>0</v>
          </cell>
          <cell r="J496" t="str">
            <v>ADIDAS</v>
          </cell>
          <cell r="K496" t="str">
            <v>Pr.Sch.R</v>
          </cell>
          <cell r="L496" t="str">
            <v>MOLDED</v>
          </cell>
          <cell r="M496">
            <v>1</v>
          </cell>
        </row>
        <row r="497">
          <cell r="A497" t="str">
            <v>F-2025-11-62</v>
          </cell>
          <cell r="B497" t="str">
            <v>RPRO-251104-0559</v>
          </cell>
          <cell r="C497" t="str">
            <v>BDB-000067</v>
          </cell>
          <cell r="D497" t="str">
            <v>PVN-001394</v>
          </cell>
          <cell r="E497" t="str">
            <v>OrthoLite Ultra SEEDPEARL/12-0703TPX Flat Sheet 0.085D 25+/-4 Asker C 1.1M 2M 5mm</v>
          </cell>
          <cell r="F497">
            <v>28</v>
          </cell>
          <cell r="G497">
            <v>28</v>
          </cell>
          <cell r="H497">
            <v>28</v>
          </cell>
          <cell r="I497">
            <v>0</v>
          </cell>
          <cell r="J497" t="str">
            <v>PUMA</v>
          </cell>
          <cell r="K497" t="str">
            <v>Pr.Sch.R</v>
          </cell>
          <cell r="L497" t="str">
            <v>DIE CUT</v>
          </cell>
          <cell r="M497">
            <v>1</v>
          </cell>
        </row>
        <row r="498">
          <cell r="A498" t="str">
            <v>F-2025-11-63</v>
          </cell>
          <cell r="B498" t="str">
            <v>RPRO-251104-0560</v>
          </cell>
          <cell r="C498" t="str">
            <v>BDB-000113</v>
          </cell>
          <cell r="D498" t="str">
            <v>PVN-003414</v>
          </cell>
          <cell r="E498" t="str">
            <v>OrthoLite Regular-Hybrid SEEDPEARL/12-0703TPX Hybrid Flat Sheet 0.11D 25+/-4 Asker C 1.1M 2M 12mm</v>
          </cell>
          <cell r="F498">
            <v>704</v>
          </cell>
          <cell r="G498">
            <v>704</v>
          </cell>
          <cell r="H498">
            <v>0</v>
          </cell>
          <cell r="I498">
            <v>704</v>
          </cell>
          <cell r="J498" t="str">
            <v>ASICS</v>
          </cell>
          <cell r="K498" t="str">
            <v>Pr.Sch.R</v>
          </cell>
          <cell r="L498" t="str">
            <v>MOLDED</v>
          </cell>
          <cell r="M498" t="str">
            <v>1-RM-WIP</v>
          </cell>
        </row>
        <row r="499">
          <cell r="A499" t="str">
            <v>F-2025-11-64</v>
          </cell>
          <cell r="B499" t="str">
            <v>RPRO-251104-0561</v>
          </cell>
          <cell r="C499" t="str">
            <v>BDB-000209</v>
          </cell>
          <cell r="D499" t="str">
            <v>PVN-003462</v>
          </cell>
          <cell r="E499" t="str">
            <v>OrthoLite HybridPlus-Recycled MINT GREEN/11-4805TPX Hybrid Flat Sheet 0.12D 25+/-4 Asker C 1.1M 2M 12mm</v>
          </cell>
          <cell r="F499">
            <v>198</v>
          </cell>
          <cell r="G499">
            <v>198</v>
          </cell>
          <cell r="H499">
            <v>198</v>
          </cell>
          <cell r="I499">
            <v>0</v>
          </cell>
          <cell r="J499" t="str">
            <v>BROOKS</v>
          </cell>
          <cell r="K499" t="str">
            <v>Pr.Sch.R</v>
          </cell>
          <cell r="L499" t="str">
            <v>MOLDED</v>
          </cell>
          <cell r="M499">
            <v>1</v>
          </cell>
        </row>
        <row r="500">
          <cell r="A500" t="str">
            <v>F-2025-11-65</v>
          </cell>
          <cell r="B500" t="str">
            <v>RPRO-251104-0562</v>
          </cell>
          <cell r="C500" t="str">
            <v>BDB-000209</v>
          </cell>
          <cell r="D500" t="str">
            <v>PVN-003537</v>
          </cell>
          <cell r="E500" t="str">
            <v>OrthoLite HybridPlus-Recycled MINT GREEN/11-4805TPX Hybrid Flat Sheet 0.12D 25+/-4 Asker C 1.1M 2M 4.5mm</v>
          </cell>
          <cell r="F500">
            <v>3000</v>
          </cell>
          <cell r="G500">
            <v>3000</v>
          </cell>
          <cell r="H500">
            <v>3000</v>
          </cell>
          <cell r="I500">
            <v>0</v>
          </cell>
          <cell r="J500" t="str">
            <v>AKU</v>
          </cell>
          <cell r="K500" t="str">
            <v>Pr.Sch.R</v>
          </cell>
          <cell r="L500" t="str">
            <v>MOLDED</v>
          </cell>
          <cell r="M500">
            <v>1</v>
          </cell>
        </row>
        <row r="501">
          <cell r="A501" t="str">
            <v>F-2025-11-66</v>
          </cell>
          <cell r="B501" t="str">
            <v>RPRO-251104-0563</v>
          </cell>
          <cell r="C501" t="str">
            <v>BDB-000209</v>
          </cell>
          <cell r="D501" t="str">
            <v>PVN-003537</v>
          </cell>
          <cell r="E501" t="str">
            <v>OrthoLite HybridPlus-Recycled MINT GREEN/11-4805TPX Hybrid Flat Sheet 0.12D 25+/-4 Asker C 1.1M 2M 4.5mm</v>
          </cell>
          <cell r="F501">
            <v>2208</v>
          </cell>
          <cell r="G501">
            <v>2208</v>
          </cell>
          <cell r="H501">
            <v>2208</v>
          </cell>
          <cell r="I501">
            <v>0</v>
          </cell>
          <cell r="J501" t="str">
            <v>AKU</v>
          </cell>
          <cell r="K501" t="str">
            <v>Pr.Sch.R</v>
          </cell>
          <cell r="L501" t="str">
            <v>MOLDED</v>
          </cell>
          <cell r="M501">
            <v>1</v>
          </cell>
        </row>
        <row r="502">
          <cell r="A502" t="str">
            <v>F-2025-11-67</v>
          </cell>
          <cell r="B502" t="str">
            <v>RPRO-251104-0564</v>
          </cell>
          <cell r="C502" t="str">
            <v>BDB-000187</v>
          </cell>
          <cell r="D502" t="str">
            <v>PVN-003960</v>
          </cell>
          <cell r="E502" t="str">
            <v>OrthoLite Eco LT NEUTRAL GRAY/17-4402TPX Flat Sheet 0.11D 25+/-4 Asker C 1.1M 2M 12mm</v>
          </cell>
          <cell r="F502">
            <v>11</v>
          </cell>
          <cell r="G502">
            <v>11</v>
          </cell>
          <cell r="H502">
            <v>11</v>
          </cell>
          <cell r="I502">
            <v>0</v>
          </cell>
          <cell r="J502" t="str">
            <v>ADIDAS</v>
          </cell>
          <cell r="K502" t="str">
            <v>Pr.Sch.R</v>
          </cell>
          <cell r="L502" t="str">
            <v>MOLDED</v>
          </cell>
          <cell r="M502">
            <v>1</v>
          </cell>
        </row>
        <row r="503">
          <cell r="A503" t="str">
            <v>F-2025-11-68</v>
          </cell>
          <cell r="B503" t="str">
            <v>RPRO-251104-0565</v>
          </cell>
          <cell r="C503" t="str">
            <v>BDB-000113</v>
          </cell>
          <cell r="D503" t="str">
            <v>PVN-002465</v>
          </cell>
          <cell r="E503" t="str">
            <v>OrthoLite Regular-Hybrid SEEDPEARL/12-0703TPX Hybrid Flat Sheet 0.11D 25+/-4 Asker C 1.1M 2M 5mm</v>
          </cell>
          <cell r="F503">
            <v>560</v>
          </cell>
          <cell r="G503">
            <v>560</v>
          </cell>
          <cell r="H503">
            <v>0</v>
          </cell>
          <cell r="I503">
            <v>560</v>
          </cell>
          <cell r="J503" t="str">
            <v>ASICS</v>
          </cell>
          <cell r="K503" t="str">
            <v>Pr.Sch.R</v>
          </cell>
          <cell r="L503" t="str">
            <v>DIE CUT</v>
          </cell>
          <cell r="M503">
            <v>1</v>
          </cell>
        </row>
        <row r="504">
          <cell r="A504" t="str">
            <v>F-2025-11-69</v>
          </cell>
          <cell r="B504" t="str">
            <v>RPRO-251104-0566</v>
          </cell>
          <cell r="C504" t="str">
            <v>BDB-000234</v>
          </cell>
          <cell r="D504" t="str">
            <v>PVN-003581</v>
          </cell>
          <cell r="E504" t="str">
            <v>OrthoLite X-30-Hybrid BROWN SUGAR/17-1134TPX Hybrid Flat Sheet 0.13D 25+/-4 Asker C 1.1M 2M 12mm</v>
          </cell>
          <cell r="F504">
            <v>11</v>
          </cell>
          <cell r="G504">
            <v>11</v>
          </cell>
          <cell r="H504">
            <v>11</v>
          </cell>
          <cell r="I504">
            <v>0</v>
          </cell>
          <cell r="J504" t="str">
            <v>ASICS</v>
          </cell>
          <cell r="K504" t="str">
            <v>Pr.Sch.R</v>
          </cell>
          <cell r="L504" t="str">
            <v>MOLDED</v>
          </cell>
          <cell r="M504" t="str">
            <v>1-RM-WIP</v>
          </cell>
        </row>
        <row r="505">
          <cell r="A505" t="str">
            <v>F-2025-11-70</v>
          </cell>
          <cell r="B505" t="str">
            <v>RPRO-251104-0567</v>
          </cell>
          <cell r="C505" t="str">
            <v>BDB-000052</v>
          </cell>
          <cell r="D505" t="str">
            <v>PVN-003603</v>
          </cell>
          <cell r="E505" t="str">
            <v>OrthoLite X-40 TRUE BLUE/19-4057TPX Flat Sheet 0.16D 25+/-4 Asker C 1.1M 1.47M 12mm</v>
          </cell>
          <cell r="F505">
            <v>77</v>
          </cell>
          <cell r="G505">
            <v>77</v>
          </cell>
          <cell r="H505">
            <v>77</v>
          </cell>
          <cell r="I505">
            <v>0</v>
          </cell>
          <cell r="J505" t="str">
            <v>ASICS</v>
          </cell>
          <cell r="K505" t="str">
            <v>Pr.Sch.R</v>
          </cell>
          <cell r="L505" t="str">
            <v>MOLDED</v>
          </cell>
          <cell r="M505" t="str">
            <v>1-RM-WIP</v>
          </cell>
        </row>
        <row r="506">
          <cell r="A506" t="str">
            <v>F-2025-11-71</v>
          </cell>
          <cell r="B506" t="str">
            <v>RPRO-251104-0568</v>
          </cell>
          <cell r="C506" t="str">
            <v>BDB-000040</v>
          </cell>
          <cell r="D506" t="str">
            <v>PVN-000761</v>
          </cell>
          <cell r="E506" t="str">
            <v>OrthoLite Regular AIR BLUE/16-4134TPX Flat Sheet 0.13D 35+/-4 Asker C 1.1M 1.7M 2mm</v>
          </cell>
          <cell r="F506">
            <v>140</v>
          </cell>
          <cell r="G506">
            <v>140</v>
          </cell>
          <cell r="H506">
            <v>140</v>
          </cell>
          <cell r="I506">
            <v>0</v>
          </cell>
          <cell r="J506" t="str">
            <v>ADIDAS</v>
          </cell>
          <cell r="K506" t="str">
            <v>Pr.Sch.R</v>
          </cell>
          <cell r="L506" t="str">
            <v>OTHERS</v>
          </cell>
          <cell r="M506">
            <v>1</v>
          </cell>
        </row>
        <row r="507">
          <cell r="A507" t="str">
            <v>F-2025-11-72</v>
          </cell>
          <cell r="B507" t="str">
            <v>RPRO-251104-0569</v>
          </cell>
          <cell r="C507" t="str">
            <v>BDB-000212</v>
          </cell>
          <cell r="D507" t="str">
            <v>PVN-003460</v>
          </cell>
          <cell r="E507" t="str">
            <v>OrthoLite X-25-Hybrid SEEDPEARL/12-0703TPX Hybrid Flat Sheet 0.12D 20+/-4 Asker C 1.1M 2M 5.5mm</v>
          </cell>
          <cell r="F507">
            <v>25</v>
          </cell>
          <cell r="G507">
            <v>25</v>
          </cell>
          <cell r="H507">
            <v>25</v>
          </cell>
          <cell r="I507">
            <v>0</v>
          </cell>
          <cell r="J507" t="str">
            <v>ON RUNNING</v>
          </cell>
          <cell r="K507" t="str">
            <v>Pr.Sch.R</v>
          </cell>
          <cell r="L507" t="str">
            <v>MOLDED</v>
          </cell>
          <cell r="M507">
            <v>1</v>
          </cell>
        </row>
        <row r="508">
          <cell r="A508" t="str">
            <v>F-2025-11-73</v>
          </cell>
          <cell r="B508" t="str">
            <v>RPRO-251104-0570</v>
          </cell>
          <cell r="C508" t="str">
            <v>BDB-000229</v>
          </cell>
          <cell r="D508" t="str">
            <v>PVN-003878</v>
          </cell>
          <cell r="E508" t="str">
            <v>OrthoLite Ultra-Hybrid SEEDPEARL/12-0703TPX Hybrid Flat Sheet 0.095D 33+/-4 Asker C 1.1M 2M 4mm</v>
          </cell>
          <cell r="F508">
            <v>70</v>
          </cell>
          <cell r="G508">
            <v>70</v>
          </cell>
          <cell r="H508">
            <v>70</v>
          </cell>
          <cell r="I508">
            <v>0</v>
          </cell>
          <cell r="J508" t="str">
            <v>ON RUNNING</v>
          </cell>
          <cell r="K508" t="str">
            <v>Pr.Sch.R</v>
          </cell>
          <cell r="L508" t="str">
            <v>DIE CUT</v>
          </cell>
          <cell r="M508">
            <v>1</v>
          </cell>
        </row>
        <row r="509">
          <cell r="A509" t="str">
            <v>F-2025-11-74</v>
          </cell>
          <cell r="B509" t="str">
            <v>RPRO-251104-0571</v>
          </cell>
          <cell r="C509" t="str">
            <v>BDB-000125</v>
          </cell>
          <cell r="D509" t="str">
            <v>PVN-001412</v>
          </cell>
          <cell r="E509" t="str">
            <v>OrthoLite Regular-Nike AIR BLUE/16-4134TPX Flat Sheet 0.11D 25+/-4 Asker C 1.1M 2M 5mm</v>
          </cell>
          <cell r="F509">
            <v>112</v>
          </cell>
          <cell r="G509">
            <v>112</v>
          </cell>
          <cell r="H509">
            <v>112</v>
          </cell>
          <cell r="I509">
            <v>0</v>
          </cell>
          <cell r="J509" t="str">
            <v>NIKE</v>
          </cell>
          <cell r="K509" t="str">
            <v>Pr.Sch.R</v>
          </cell>
          <cell r="L509" t="str">
            <v>MOLDED</v>
          </cell>
          <cell r="M509">
            <v>1</v>
          </cell>
        </row>
        <row r="510">
          <cell r="A510" t="str">
            <v>F-2025-11-75</v>
          </cell>
          <cell r="B510" t="str">
            <v>RPRO-251104-0572</v>
          </cell>
          <cell r="C510" t="str">
            <v>BDB-000319</v>
          </cell>
          <cell r="D510" t="str">
            <v>PVN-004081</v>
          </cell>
          <cell r="E510" t="str">
            <v>OrthoLite X-40-Hybrid-Nike SEEDPEARL/12-0703TPX Hybrid Flat Sheet 0.16D 25+/-4 Asker C 1.1M 2M 6mm</v>
          </cell>
          <cell r="F510">
            <v>23</v>
          </cell>
          <cell r="G510">
            <v>23</v>
          </cell>
          <cell r="H510">
            <v>23</v>
          </cell>
          <cell r="I510">
            <v>0</v>
          </cell>
          <cell r="J510" t="str">
            <v>NIKE</v>
          </cell>
          <cell r="K510" t="str">
            <v>Pr.Sch.R</v>
          </cell>
          <cell r="L510" t="str">
            <v>MOLDED</v>
          </cell>
          <cell r="M510">
            <v>1</v>
          </cell>
        </row>
        <row r="511">
          <cell r="A511" t="str">
            <v>F-2025-11-76</v>
          </cell>
          <cell r="B511" t="str">
            <v>RPRO-251104-0573</v>
          </cell>
          <cell r="C511" t="str">
            <v>BDB-000123</v>
          </cell>
          <cell r="D511" t="str">
            <v>PVN-003987</v>
          </cell>
          <cell r="E511" t="str">
            <v>OrthoLite Ultra-Hybrid SEEDPEARL/12-0703TPX Hybrid Flat Sheet 0.085D 25+/-4 Asker C 1.1M 2M 6.2mm</v>
          </cell>
          <cell r="F511">
            <v>22</v>
          </cell>
          <cell r="G511">
            <v>22</v>
          </cell>
          <cell r="H511">
            <v>22</v>
          </cell>
          <cell r="I511">
            <v>0</v>
          </cell>
          <cell r="J511" t="str">
            <v>ADIDAS</v>
          </cell>
          <cell r="K511" t="str">
            <v>Pr.Sch.R</v>
          </cell>
          <cell r="L511" t="str">
            <v>MOLDED</v>
          </cell>
          <cell r="M511">
            <v>1</v>
          </cell>
        </row>
        <row r="512">
          <cell r="A512" t="str">
            <v>F-2025-11-77</v>
          </cell>
          <cell r="B512" t="str">
            <v>RPRO-251105-0952</v>
          </cell>
          <cell r="C512" t="str">
            <v>BDB-000011</v>
          </cell>
          <cell r="D512" t="str">
            <v>PVN-000258</v>
          </cell>
          <cell r="E512" t="str">
            <v>OrthoLite Regular AIR BLUE/16-4134TPX Flat Sheet 0.13D 35+/-4 Asker C 1.1M 2M 2.5mm</v>
          </cell>
          <cell r="F512">
            <v>1568</v>
          </cell>
          <cell r="G512">
            <v>1568</v>
          </cell>
          <cell r="H512">
            <v>1568</v>
          </cell>
          <cell r="I512">
            <v>0</v>
          </cell>
          <cell r="J512"/>
          <cell r="K512" t="str">
            <v>MPS</v>
          </cell>
          <cell r="L512" t="str">
            <v>SPLITTING</v>
          </cell>
          <cell r="M512">
            <v>2</v>
          </cell>
        </row>
        <row r="513">
          <cell r="A513" t="str">
            <v>F-2025-11-78</v>
          </cell>
          <cell r="B513" t="str">
            <v>RPRO-251105-0953</v>
          </cell>
          <cell r="C513" t="str">
            <v>BDB-000348</v>
          </cell>
          <cell r="D513" t="str">
            <v>PVN-004195</v>
          </cell>
          <cell r="E513" t="str">
            <v>OrthoLite IMPERIAL SEEDPEARL/12-0703TPX Flat Sheet 0.22D 25+/-4 Asker C 1.1M 1.47M 4mm</v>
          </cell>
          <cell r="F513">
            <v>1890</v>
          </cell>
          <cell r="G513">
            <v>1890</v>
          </cell>
          <cell r="H513">
            <v>1890</v>
          </cell>
          <cell r="I513">
            <v>0</v>
          </cell>
          <cell r="J513"/>
          <cell r="K513" t="str">
            <v>MPS</v>
          </cell>
          <cell r="L513" t="str">
            <v>SPLITTING</v>
          </cell>
          <cell r="M513">
            <v>2</v>
          </cell>
        </row>
        <row r="514">
          <cell r="A514" t="str">
            <v>F-2025-11-79</v>
          </cell>
          <cell r="B514" t="str">
            <v>RPRO-251105-0954</v>
          </cell>
          <cell r="C514" t="str">
            <v>BDB-000348</v>
          </cell>
          <cell r="D514" t="str">
            <v>PVN-004196</v>
          </cell>
          <cell r="E514" t="str">
            <v>OrthoLite IMPERIAL SEEDPEARL/12-0703TPX Flat Sheet 0.22D 25+/-4 Asker C 1.1M 1.47M 3mm</v>
          </cell>
          <cell r="F514">
            <v>92</v>
          </cell>
          <cell r="G514">
            <v>92</v>
          </cell>
          <cell r="H514">
            <v>0</v>
          </cell>
          <cell r="I514">
            <v>92</v>
          </cell>
          <cell r="J514"/>
          <cell r="K514" t="str">
            <v>MPS</v>
          </cell>
          <cell r="L514" t="str">
            <v>SPLITTING</v>
          </cell>
          <cell r="M514">
            <v>2</v>
          </cell>
        </row>
        <row r="515">
          <cell r="A515" t="str">
            <v>F-2025-11-80</v>
          </cell>
          <cell r="B515" t="str">
            <v>RPRO-251105-0955</v>
          </cell>
          <cell r="C515" t="str">
            <v>BDB-000113</v>
          </cell>
          <cell r="D515" t="str">
            <v>PVN-002501</v>
          </cell>
          <cell r="E515" t="str">
            <v>OrthoLite Regular-Hybrid SEEDPEARL/12-0703TPX Hybrid Flat Sheet 0.11D 25+/-4 Asker C 1.1M 2M 2mm</v>
          </cell>
          <cell r="F515">
            <v>350</v>
          </cell>
          <cell r="G515">
            <v>350</v>
          </cell>
          <cell r="H515">
            <v>350</v>
          </cell>
          <cell r="I515">
            <v>0</v>
          </cell>
          <cell r="J515"/>
          <cell r="K515" t="str">
            <v>MPS</v>
          </cell>
          <cell r="L515" t="str">
            <v>SPLITTING</v>
          </cell>
          <cell r="M515">
            <v>2</v>
          </cell>
        </row>
        <row r="516">
          <cell r="A516" t="str">
            <v>F-2025-11-81</v>
          </cell>
          <cell r="B516" t="str">
            <v>RPRO-251105-0956</v>
          </cell>
          <cell r="C516" t="str">
            <v>BDB-000123</v>
          </cell>
          <cell r="D516" t="str">
            <v>PVN-003300</v>
          </cell>
          <cell r="E516" t="str">
            <v>OrthoLite Ultra-Hybrid SEEDPEARL/12-0703TPX Hybrid Flat Sheet 0.085D 25+/-4 Asker C 1.1M 2M 2mm</v>
          </cell>
          <cell r="F516">
            <v>280</v>
          </cell>
          <cell r="G516">
            <v>280</v>
          </cell>
          <cell r="H516">
            <v>280</v>
          </cell>
          <cell r="I516">
            <v>0</v>
          </cell>
          <cell r="J516"/>
          <cell r="K516" t="str">
            <v>MPS</v>
          </cell>
          <cell r="L516" t="str">
            <v>SPLITTING</v>
          </cell>
          <cell r="M516">
            <v>2</v>
          </cell>
        </row>
        <row r="517">
          <cell r="A517" t="str">
            <v>F-2025-11-82</v>
          </cell>
          <cell r="B517" t="str">
            <v>RPRO-251105-0957</v>
          </cell>
          <cell r="C517" t="str">
            <v>BDB-000200</v>
          </cell>
          <cell r="D517" t="str">
            <v>PVN-003418</v>
          </cell>
          <cell r="E517" t="str">
            <v>OrthoLite Ultra SEEDPEARL/12-0703TPX Flat Sheet 0.085D 78-90 Asker F 1.1M 2M 5mm</v>
          </cell>
          <cell r="F517">
            <v>1148</v>
          </cell>
          <cell r="G517">
            <v>1148</v>
          </cell>
          <cell r="H517">
            <v>1148</v>
          </cell>
          <cell r="I517">
            <v>0</v>
          </cell>
          <cell r="J517"/>
          <cell r="K517" t="str">
            <v>MPS</v>
          </cell>
          <cell r="L517" t="str">
            <v>SPLITTING</v>
          </cell>
          <cell r="M517">
            <v>2</v>
          </cell>
        </row>
        <row r="518">
          <cell r="A518" t="str">
            <v>F-2025-11-83</v>
          </cell>
          <cell r="B518" t="str">
            <v>RPRO-251105-0958</v>
          </cell>
          <cell r="C518" t="str">
            <v>BDB-000200</v>
          </cell>
          <cell r="D518" t="str">
            <v>PVN-003425</v>
          </cell>
          <cell r="E518" t="str">
            <v>OrthoLite Ultra SEEDPEARL/12-0703TPX Flat Sheet 0.085D 78-90 Asker F 1.1M 2M 4mm</v>
          </cell>
          <cell r="F518">
            <v>315</v>
          </cell>
          <cell r="G518">
            <v>315</v>
          </cell>
          <cell r="H518">
            <v>315</v>
          </cell>
          <cell r="I518">
            <v>0</v>
          </cell>
          <cell r="J518"/>
          <cell r="K518" t="str">
            <v>MPS</v>
          </cell>
          <cell r="L518" t="str">
            <v>SPLITTING</v>
          </cell>
          <cell r="M518">
            <v>2</v>
          </cell>
        </row>
        <row r="519">
          <cell r="A519" t="str">
            <v>F-2025-11-84</v>
          </cell>
          <cell r="B519" t="str">
            <v>RPRO-251105-0959</v>
          </cell>
          <cell r="C519" t="str">
            <v>BDB-000113</v>
          </cell>
          <cell r="D519" t="str">
            <v>PVN-003414</v>
          </cell>
          <cell r="E519" t="str">
            <v>OrthoLite Regular-Hybrid SEEDPEARL/12-0703TPX Hybrid Flat Sheet 0.11D 25+/-4 Asker C 1.1M 2M 12mm</v>
          </cell>
          <cell r="F519">
            <v>803</v>
          </cell>
          <cell r="G519">
            <v>803</v>
          </cell>
          <cell r="H519">
            <v>0</v>
          </cell>
          <cell r="I519">
            <v>803</v>
          </cell>
          <cell r="J519" t="str">
            <v>ASICS</v>
          </cell>
          <cell r="K519" t="str">
            <v>Pr.Sch.R</v>
          </cell>
          <cell r="L519" t="str">
            <v>MOLDED</v>
          </cell>
          <cell r="M519" t="str">
            <v>1-RM-WIP</v>
          </cell>
        </row>
        <row r="520">
          <cell r="A520" t="str">
            <v>F-2025-11-85</v>
          </cell>
          <cell r="B520" t="str">
            <v>RPRO-251105-0960</v>
          </cell>
          <cell r="C520" t="str">
            <v>BDB-000235</v>
          </cell>
          <cell r="D520" t="str">
            <v>PVN-003576</v>
          </cell>
          <cell r="E520" t="str">
            <v>OrthoLite X-55-Hybrid FOSSIL/17-0909TPX Hybrid Flat Sheet 0.16D 25+/-4 Asker C 1.1M 1.7M 12mm</v>
          </cell>
          <cell r="F520">
            <v>2000</v>
          </cell>
          <cell r="G520">
            <v>2000</v>
          </cell>
          <cell r="H520">
            <v>2000</v>
          </cell>
          <cell r="I520">
            <v>0</v>
          </cell>
          <cell r="J520" t="str">
            <v>ASICS</v>
          </cell>
          <cell r="K520" t="str">
            <v>Pr.Sch.R</v>
          </cell>
          <cell r="L520" t="str">
            <v>MOLDED</v>
          </cell>
          <cell r="M520" t="str">
            <v>1-RM-WIP</v>
          </cell>
        </row>
        <row r="521">
          <cell r="A521" t="str">
            <v>F-2025-11-86</v>
          </cell>
          <cell r="B521" t="str">
            <v>RPRO-251105-0961</v>
          </cell>
          <cell r="C521" t="str">
            <v>BDB-000235</v>
          </cell>
          <cell r="D521" t="str">
            <v>PVN-003576</v>
          </cell>
          <cell r="E521" t="str">
            <v>OrthoLite X-55-Hybrid FOSSIL/17-0909TPX Hybrid Flat Sheet 0.16D 25+/-4 Asker C 1.1M 1.7M 12mm</v>
          </cell>
          <cell r="F521">
            <v>1355</v>
          </cell>
          <cell r="G521">
            <v>1355</v>
          </cell>
          <cell r="H521">
            <v>0</v>
          </cell>
          <cell r="I521">
            <v>1355</v>
          </cell>
          <cell r="J521" t="str">
            <v>ASICS</v>
          </cell>
          <cell r="K521" t="str">
            <v>Pr.Sch.R</v>
          </cell>
          <cell r="L521" t="str">
            <v>MOLDED</v>
          </cell>
          <cell r="M521" t="str">
            <v>1-RM-WIP</v>
          </cell>
        </row>
        <row r="522">
          <cell r="A522" t="str">
            <v>F-2025-11-87</v>
          </cell>
          <cell r="B522" t="str">
            <v>RPRO-251105-0962</v>
          </cell>
          <cell r="C522" t="str">
            <v>BDB-000076</v>
          </cell>
          <cell r="D522" t="str">
            <v>PVN-003448</v>
          </cell>
          <cell r="E522" t="str">
            <v>OrthoLite X-25 BILLIARD/16-5427TPX Flat Sheet 0.12D 20+/-4 Asker C 1.1M 2M 6.2mm</v>
          </cell>
          <cell r="F522">
            <v>704</v>
          </cell>
          <cell r="G522">
            <v>704</v>
          </cell>
          <cell r="H522">
            <v>704</v>
          </cell>
          <cell r="I522">
            <v>0</v>
          </cell>
          <cell r="J522" t="str">
            <v>ADIDAS</v>
          </cell>
          <cell r="K522" t="str">
            <v>Pr.Sch.R</v>
          </cell>
          <cell r="L522" t="str">
            <v>MOLDED</v>
          </cell>
          <cell r="M522">
            <v>1</v>
          </cell>
        </row>
        <row r="523">
          <cell r="A523" t="str">
            <v>F-2025-11-88</v>
          </cell>
          <cell r="B523" t="str">
            <v>RPRO-251105-0963</v>
          </cell>
          <cell r="C523" t="str">
            <v>BDB-000209</v>
          </cell>
          <cell r="D523" t="str">
            <v>PVN-003537</v>
          </cell>
          <cell r="E523" t="str">
            <v>OrthoLite HybridPlus-Recycled MINT GREEN/11-4805TPX Hybrid Flat Sheet 0.12D 25+/-4 Asker C 1.1M 2M 4.5mm</v>
          </cell>
          <cell r="F523">
            <v>713</v>
          </cell>
          <cell r="G523">
            <v>713</v>
          </cell>
          <cell r="H523">
            <v>713</v>
          </cell>
          <cell r="I523">
            <v>0</v>
          </cell>
          <cell r="J523" t="str">
            <v>AKU</v>
          </cell>
          <cell r="K523" t="str">
            <v>Pr.Sch.R</v>
          </cell>
          <cell r="L523" t="str">
            <v>MOLDED</v>
          </cell>
          <cell r="M523">
            <v>1</v>
          </cell>
        </row>
        <row r="524">
          <cell r="A524" t="str">
            <v>F-2025-11-89</v>
          </cell>
          <cell r="B524" t="str">
            <v>RPRO-251105-0964</v>
          </cell>
          <cell r="C524" t="str">
            <v>BDB-000149</v>
          </cell>
          <cell r="D524" t="str">
            <v>PVN-002827</v>
          </cell>
          <cell r="E524" t="str">
            <v>OrthoLite Regular-Hybrid-Nike SEEDPEARL/12-0703TPX Hybrid Flat Sheet 0.11D 25+/-4 Asker C 1.1M 2M 5mm</v>
          </cell>
          <cell r="F524">
            <v>112</v>
          </cell>
          <cell r="G524">
            <v>112</v>
          </cell>
          <cell r="H524">
            <v>112</v>
          </cell>
          <cell r="I524">
            <v>0</v>
          </cell>
          <cell r="J524" t="str">
            <v>NIKE</v>
          </cell>
          <cell r="K524" t="str">
            <v>Pr.Sch.R</v>
          </cell>
          <cell r="L524" t="str">
            <v>MOLDED</v>
          </cell>
          <cell r="M524">
            <v>1</v>
          </cell>
        </row>
        <row r="525">
          <cell r="A525" t="str">
            <v>F-2025-11-90</v>
          </cell>
          <cell r="B525" t="str">
            <v>RPRO-251105-0965</v>
          </cell>
          <cell r="C525" t="str">
            <v>BDB-000011</v>
          </cell>
          <cell r="D525" t="str">
            <v>PVN-000121</v>
          </cell>
          <cell r="E525" t="str">
            <v>OrthoLite Regular AIR BLUE/16-4134TPX Flat Sheet 0.13D 35+/-4 Asker C 1.1M 2M 12mm</v>
          </cell>
          <cell r="F525">
            <v>66</v>
          </cell>
          <cell r="G525">
            <v>66</v>
          </cell>
          <cell r="H525">
            <v>66</v>
          </cell>
          <cell r="I525">
            <v>0</v>
          </cell>
          <cell r="J525" t="str">
            <v>ASICS</v>
          </cell>
          <cell r="K525" t="str">
            <v>Pr.Sch.R</v>
          </cell>
          <cell r="L525" t="str">
            <v>MOLDED</v>
          </cell>
          <cell r="M525" t="str">
            <v>1-RM-WIP</v>
          </cell>
        </row>
        <row r="526">
          <cell r="A526" t="str">
            <v>F-2025-11-91</v>
          </cell>
          <cell r="B526" t="str">
            <v>RPRO-251105-0966</v>
          </cell>
          <cell r="C526" t="str">
            <v>BDB-000008</v>
          </cell>
          <cell r="D526" t="str">
            <v>PVN-000505</v>
          </cell>
          <cell r="E526" t="str">
            <v>OrthoLite Regular LIME GREEN/14-0452TPX Flat Sheet 0.11D 25+/-4 Asker C 1.1M 2M 12mm</v>
          </cell>
          <cell r="F526">
            <v>55</v>
          </cell>
          <cell r="G526">
            <v>55</v>
          </cell>
          <cell r="H526">
            <v>55</v>
          </cell>
          <cell r="I526">
            <v>0</v>
          </cell>
          <cell r="J526" t="str">
            <v>ASICS</v>
          </cell>
          <cell r="K526" t="str">
            <v>Pr.Sch.R</v>
          </cell>
          <cell r="L526" t="str">
            <v>MOLDED</v>
          </cell>
          <cell r="M526" t="str">
            <v>1-RM-WIP</v>
          </cell>
        </row>
        <row r="527">
          <cell r="A527" t="str">
            <v>F-2025-11-92</v>
          </cell>
          <cell r="B527" t="str">
            <v>RPRO-251105-0967</v>
          </cell>
          <cell r="C527" t="str">
            <v>BDB-000113</v>
          </cell>
          <cell r="D527" t="str">
            <v>PVN-002465</v>
          </cell>
          <cell r="E527" t="str">
            <v>OrthoLite Regular-Hybrid SEEDPEARL/12-0703TPX Hybrid Flat Sheet 0.11D 25+/-4 Asker C 1.1M 2M 5mm</v>
          </cell>
          <cell r="F527">
            <v>1848</v>
          </cell>
          <cell r="G527">
            <v>1848</v>
          </cell>
          <cell r="H527">
            <v>0</v>
          </cell>
          <cell r="I527">
            <v>1848</v>
          </cell>
          <cell r="J527" t="str">
            <v>ASICS</v>
          </cell>
          <cell r="K527" t="str">
            <v>Pr.Sch.R</v>
          </cell>
          <cell r="L527" t="str">
            <v>DIE CUT</v>
          </cell>
          <cell r="M527">
            <v>1</v>
          </cell>
        </row>
        <row r="528">
          <cell r="A528" t="str">
            <v>F-2025-11-93</v>
          </cell>
          <cell r="B528" t="str">
            <v>RPRO-251105-0968</v>
          </cell>
          <cell r="C528" t="str">
            <v>BDB-000234</v>
          </cell>
          <cell r="D528" t="str">
            <v>PVN-003581</v>
          </cell>
          <cell r="E528" t="str">
            <v>OrthoLite X-30-Hybrid BROWN SUGAR/17-1134TPX Hybrid Flat Sheet 0.13D 25+/-4 Asker C 1.1M 2M 12mm</v>
          </cell>
          <cell r="F528">
            <v>605</v>
          </cell>
          <cell r="G528">
            <v>605</v>
          </cell>
          <cell r="H528">
            <v>0</v>
          </cell>
          <cell r="I528">
            <v>605</v>
          </cell>
          <cell r="J528" t="str">
            <v>ASICS</v>
          </cell>
          <cell r="K528" t="str">
            <v>Pr.Sch.R</v>
          </cell>
          <cell r="L528" t="str">
            <v>MOLDED</v>
          </cell>
          <cell r="M528" t="str">
            <v>1-RM-WIP</v>
          </cell>
        </row>
        <row r="529">
          <cell r="A529" t="str">
            <v>F-2025-11-94</v>
          </cell>
          <cell r="B529" t="str">
            <v>RPRO-251105-0969</v>
          </cell>
          <cell r="C529" t="str">
            <v>BDB-000123</v>
          </cell>
          <cell r="D529" t="str">
            <v>PVN-002539</v>
          </cell>
          <cell r="E529" t="str">
            <v>OrthoLite Ultra-Hybrid SEEDPEARL/12-0703TPX Hybrid Flat Sheet 0.085D 25+/-4 Asker C 1.1M 2M 5mm</v>
          </cell>
          <cell r="F529">
            <v>112</v>
          </cell>
          <cell r="G529">
            <v>112</v>
          </cell>
          <cell r="H529">
            <v>112</v>
          </cell>
          <cell r="I529">
            <v>0</v>
          </cell>
          <cell r="J529" t="str">
            <v>BROOKS</v>
          </cell>
          <cell r="K529" t="str">
            <v>Pr.Sch.R</v>
          </cell>
          <cell r="L529" t="str">
            <v>DIE CUT</v>
          </cell>
          <cell r="M529">
            <v>1</v>
          </cell>
        </row>
        <row r="530">
          <cell r="A530" t="str">
            <v>F-2025-11-95</v>
          </cell>
          <cell r="B530" t="str">
            <v>RPRO-251105-0970</v>
          </cell>
          <cell r="C530" t="str">
            <v>BDB-000054</v>
          </cell>
          <cell r="D530" t="str">
            <v>PVN-003895</v>
          </cell>
          <cell r="E530" t="str">
            <v>OrthoLite X-40 RED/19-1764TPX Flat Sheet 0.16D 25+/-4 Asker C 1.1M 1.7M 5mm</v>
          </cell>
          <cell r="F530">
            <v>28</v>
          </cell>
          <cell r="G530">
            <v>28</v>
          </cell>
          <cell r="H530">
            <v>28</v>
          </cell>
          <cell r="I530">
            <v>0</v>
          </cell>
          <cell r="J530" t="str">
            <v>PAYNTR</v>
          </cell>
          <cell r="K530" t="str">
            <v>Pr.Sch.R</v>
          </cell>
          <cell r="L530" t="str">
            <v>MOLDED</v>
          </cell>
          <cell r="M530">
            <v>1</v>
          </cell>
        </row>
        <row r="531">
          <cell r="A531" t="str">
            <v>F-2025-11-96</v>
          </cell>
          <cell r="B531" t="str">
            <v>RPRO-251105-0971</v>
          </cell>
          <cell r="C531" t="str">
            <v>BDB-000117</v>
          </cell>
          <cell r="D531" t="str">
            <v>PVN-003234</v>
          </cell>
          <cell r="E531" t="str">
            <v>OrthoLite X-35-Hybrid SEEDPEARL/12-0703TPX Hybrid Flat Sheet 0.145D 25+/-4 Asker C 1.1M 2M 5.5mm</v>
          </cell>
          <cell r="F531">
            <v>25</v>
          </cell>
          <cell r="G531">
            <v>25</v>
          </cell>
          <cell r="H531">
            <v>25</v>
          </cell>
          <cell r="I531">
            <v>0</v>
          </cell>
          <cell r="J531" t="str">
            <v>PUMA</v>
          </cell>
          <cell r="K531" t="str">
            <v>Pr.Sch.R</v>
          </cell>
          <cell r="L531" t="str">
            <v>MOLDED</v>
          </cell>
          <cell r="M531">
            <v>1</v>
          </cell>
        </row>
        <row r="532">
          <cell r="A532" t="str">
            <v>F-2025-11-97</v>
          </cell>
          <cell r="B532" t="str">
            <v>RPRO-251105-0972</v>
          </cell>
          <cell r="C532" t="str">
            <v>BDB-000113</v>
          </cell>
          <cell r="D532" t="str">
            <v>PVN-003796</v>
          </cell>
          <cell r="E532" t="str">
            <v>OrthoLite Regular-Hybrid SEEDPEARL/12-0703TPX Hybrid Flat Sheet 0.11D 25+/-4 Asker C 1.1M 2M 3.5mm</v>
          </cell>
          <cell r="F532">
            <v>120</v>
          </cell>
          <cell r="G532">
            <v>120</v>
          </cell>
          <cell r="H532">
            <v>120</v>
          </cell>
          <cell r="I532">
            <v>0</v>
          </cell>
          <cell r="J532" t="str">
            <v>ASICS</v>
          </cell>
          <cell r="K532" t="str">
            <v>Pr.Sch.R</v>
          </cell>
          <cell r="L532" t="str">
            <v>DIE CUT</v>
          </cell>
          <cell r="M532">
            <v>1</v>
          </cell>
        </row>
        <row r="533">
          <cell r="A533" t="str">
            <v>F-2025-11-98</v>
          </cell>
          <cell r="B533" t="str">
            <v>RPRO-251105-0973</v>
          </cell>
          <cell r="C533" t="str">
            <v>BDB-000234</v>
          </cell>
          <cell r="D533" t="str">
            <v>PVN-003575</v>
          </cell>
          <cell r="E533" t="str">
            <v>OrthoLite X-30-Hybrid BROWN SUGAR/17-1134TPX Hybrid Flat Sheet 0.13D 25+/-4 Asker C 1.1M 2M 10mm</v>
          </cell>
          <cell r="F533">
            <v>26</v>
          </cell>
          <cell r="G533">
            <v>26</v>
          </cell>
          <cell r="H533">
            <v>26</v>
          </cell>
          <cell r="I533">
            <v>0</v>
          </cell>
          <cell r="J533" t="str">
            <v>ASICS</v>
          </cell>
          <cell r="K533" t="str">
            <v>Pr.Sch.R</v>
          </cell>
          <cell r="L533" t="str">
            <v>MOLDED</v>
          </cell>
          <cell r="M533">
            <v>1</v>
          </cell>
        </row>
        <row r="534">
          <cell r="A534" t="str">
            <v>F-2025-11-99</v>
          </cell>
          <cell r="B534" t="str">
            <v>RPRO-251105-0974</v>
          </cell>
          <cell r="C534" t="str">
            <v>BDB-000126</v>
          </cell>
          <cell r="D534" t="str">
            <v>PVN-002325</v>
          </cell>
          <cell r="E534" t="str">
            <v>OrthoLite Regular-Nike RED/19-1764TPX Flat Sheet 0.11D 25+/-4 Asker C 1.1M 2M 5.2mm</v>
          </cell>
          <cell r="F534">
            <v>26</v>
          </cell>
          <cell r="G534">
            <v>26</v>
          </cell>
          <cell r="H534">
            <v>26</v>
          </cell>
          <cell r="I534">
            <v>0</v>
          </cell>
          <cell r="J534" t="str">
            <v>NIKE</v>
          </cell>
          <cell r="K534" t="str">
            <v>Pr.Sch.R</v>
          </cell>
          <cell r="L534" t="str">
            <v>MOLDED</v>
          </cell>
          <cell r="M534">
            <v>1</v>
          </cell>
        </row>
        <row r="535">
          <cell r="A535" t="str">
            <v>F-2025-11-100</v>
          </cell>
          <cell r="B535" t="str">
            <v>RPRO-251105-0975</v>
          </cell>
          <cell r="C535" t="str">
            <v>BDB-000097</v>
          </cell>
          <cell r="D535" t="str">
            <v>PVN-003754</v>
          </cell>
          <cell r="E535" t="str">
            <v>OrthoLite Eco LT-Hybrid SEEDPEARL/12-0703TPX Hybrid Flat Sheet 0.11D 25+/-4 Asker C 1.1M 2M 16.5mm</v>
          </cell>
          <cell r="F535">
            <v>8</v>
          </cell>
          <cell r="G535">
            <v>8</v>
          </cell>
          <cell r="H535">
            <v>8</v>
          </cell>
          <cell r="I535">
            <v>0</v>
          </cell>
          <cell r="J535" t="str">
            <v>NEW BALANCE</v>
          </cell>
          <cell r="K535" t="str">
            <v>Pr.Sch.R</v>
          </cell>
          <cell r="L535" t="str">
            <v>MOLDED</v>
          </cell>
          <cell r="M535">
            <v>1</v>
          </cell>
        </row>
        <row r="536">
          <cell r="A536" t="str">
            <v>F-2025-11-101</v>
          </cell>
          <cell r="B536" t="str">
            <v>RPRO-251105-0976</v>
          </cell>
          <cell r="C536" t="str">
            <v>BDB-000055</v>
          </cell>
          <cell r="D536" t="str">
            <v>PVN-003326</v>
          </cell>
          <cell r="E536" t="str">
            <v>OrthoLite X-40 TRUE BLUE/19-4057TPX Flat Sheet 0.16D 35+/-4 Asker C 1.1M 1.7M 14mm</v>
          </cell>
          <cell r="F536">
            <v>72</v>
          </cell>
          <cell r="G536">
            <v>72</v>
          </cell>
          <cell r="H536">
            <v>72</v>
          </cell>
          <cell r="I536">
            <v>0</v>
          </cell>
          <cell r="J536" t="str">
            <v>ADIDAS</v>
          </cell>
          <cell r="K536" t="str">
            <v>Pr.Sch.R</v>
          </cell>
          <cell r="L536" t="str">
            <v>MOLDED</v>
          </cell>
          <cell r="M536">
            <v>1</v>
          </cell>
        </row>
        <row r="537">
          <cell r="A537" t="str">
            <v>F-2025-11-102</v>
          </cell>
          <cell r="B537" t="str">
            <v>RPRO-251105-0977</v>
          </cell>
          <cell r="C537" t="str">
            <v>BDB-000175</v>
          </cell>
          <cell r="D537" t="str">
            <v>PVN-003018</v>
          </cell>
          <cell r="E537" t="str">
            <v>OrthoLite Ultra-Hybrid-Nike SEEDPEARL/12-0703TPX Hybrid Flat Sheet 0.085D 25+/-4 Asker C 1.1M 2M 2mm</v>
          </cell>
          <cell r="F537">
            <v>70</v>
          </cell>
          <cell r="G537">
            <v>70</v>
          </cell>
          <cell r="H537">
            <v>70</v>
          </cell>
          <cell r="I537">
            <v>0</v>
          </cell>
          <cell r="J537" t="str">
            <v>NIKE</v>
          </cell>
          <cell r="K537" t="str">
            <v>Pr.Sch.R</v>
          </cell>
          <cell r="L537" t="str">
            <v>DIE CUT</v>
          </cell>
          <cell r="M537">
            <v>1</v>
          </cell>
        </row>
        <row r="538">
          <cell r="A538" t="str">
            <v>F-2025-11-103</v>
          </cell>
          <cell r="B538" t="str">
            <v>RPRO-251105-0978</v>
          </cell>
          <cell r="C538" t="str">
            <v>BDB-000347</v>
          </cell>
          <cell r="D538" t="str">
            <v>PVN-004192</v>
          </cell>
          <cell r="E538" t="str">
            <v>OrthoLite X-55-Hybrid SEEDPEARL/12-0703TPX Hybrid Flat Sheet 0.16D 25+/-4 Asker C 1.1M 2M 12mm</v>
          </cell>
          <cell r="F538">
            <v>275</v>
          </cell>
          <cell r="G538">
            <v>275</v>
          </cell>
          <cell r="H538">
            <v>275</v>
          </cell>
          <cell r="I538">
            <v>0</v>
          </cell>
          <cell r="J538" t="str">
            <v>BROOKS</v>
          </cell>
          <cell r="K538" t="str">
            <v>Pr.Sch.R</v>
          </cell>
          <cell r="L538" t="str">
            <v>MOLDED</v>
          </cell>
          <cell r="M538">
            <v>1</v>
          </cell>
        </row>
        <row r="539">
          <cell r="A539" t="str">
            <v>F-2025-11-104</v>
          </cell>
          <cell r="B539" t="str">
            <v>RPRO-251105-0979</v>
          </cell>
          <cell r="C539" t="str">
            <v>BDB-000129</v>
          </cell>
          <cell r="D539" t="str">
            <v>PVN-004071</v>
          </cell>
          <cell r="E539" t="str">
            <v>OrthoLite Regular-Nike AIR BLUE/16-4134TPX Flat Sheet 0.11D 25+/-4 Asker C 1.1M 1.7M 2.5mm</v>
          </cell>
          <cell r="F539">
            <v>56</v>
          </cell>
          <cell r="G539">
            <v>56</v>
          </cell>
          <cell r="H539">
            <v>56</v>
          </cell>
          <cell r="I539">
            <v>0</v>
          </cell>
          <cell r="J539" t="str">
            <v>NIKE</v>
          </cell>
          <cell r="K539" t="str">
            <v>Pr.Sch.R</v>
          </cell>
          <cell r="L539" t="str">
            <v>MOLDED</v>
          </cell>
          <cell r="M539">
            <v>1</v>
          </cell>
        </row>
        <row r="540">
          <cell r="A540" t="str">
            <v>F-2025-11-105</v>
          </cell>
          <cell r="B540" t="str">
            <v>RPRO-251105-0980</v>
          </cell>
          <cell r="C540" t="str">
            <v>BDB-000164</v>
          </cell>
          <cell r="D540" t="str">
            <v>PVN-001618</v>
          </cell>
          <cell r="E540" t="str">
            <v>OrthoLite Ultra-Nike GREY/17-1501TPX Flat Sheet 0.085D 25+/-4 Asker C 1.1M 2M 4mm</v>
          </cell>
          <cell r="F540">
            <v>70</v>
          </cell>
          <cell r="G540">
            <v>70</v>
          </cell>
          <cell r="H540">
            <v>70</v>
          </cell>
          <cell r="I540">
            <v>0</v>
          </cell>
          <cell r="J540" t="str">
            <v>NIKE</v>
          </cell>
          <cell r="K540" t="str">
            <v>Pr.Sch.R</v>
          </cell>
          <cell r="L540" t="str">
            <v>DIE CUT</v>
          </cell>
          <cell r="M540">
            <v>1</v>
          </cell>
        </row>
        <row r="541">
          <cell r="A541" t="str">
            <v>F-2025-11-106</v>
          </cell>
          <cell r="B541" t="str">
            <v>RPRO-251106-0595</v>
          </cell>
          <cell r="C541" t="str">
            <v>BDB-000011</v>
          </cell>
          <cell r="D541" t="str">
            <v>PVN-000258</v>
          </cell>
          <cell r="E541" t="str">
            <v>OrthoLite Regular AIR BLUE/16-4134TPX Flat Sheet 0.13D 35+/-4 Asker C 1.1M 2M 2.5mm</v>
          </cell>
          <cell r="F541">
            <v>224</v>
          </cell>
          <cell r="G541">
            <v>224</v>
          </cell>
          <cell r="H541">
            <v>224</v>
          </cell>
          <cell r="I541">
            <v>0</v>
          </cell>
          <cell r="J541"/>
          <cell r="K541" t="str">
            <v>MPS</v>
          </cell>
          <cell r="L541" t="str">
            <v>SPLITTING</v>
          </cell>
          <cell r="M541">
            <v>2</v>
          </cell>
        </row>
        <row r="542">
          <cell r="A542" t="str">
            <v>F-2025-11-107</v>
          </cell>
          <cell r="B542" t="str">
            <v>RPRO-251106-0596</v>
          </cell>
          <cell r="C542" t="str">
            <v>BDB-000348</v>
          </cell>
          <cell r="D542" t="str">
            <v>PVN-004195</v>
          </cell>
          <cell r="E542" t="str">
            <v>OrthoLite IMPERIAL SEEDPEARL/12-0703TPX Flat Sheet 0.22D 25+/-4 Asker C 1.1M 1.47M 4mm</v>
          </cell>
          <cell r="F542">
            <v>420</v>
          </cell>
          <cell r="G542">
            <v>420</v>
          </cell>
          <cell r="H542">
            <v>420</v>
          </cell>
          <cell r="I542">
            <v>0</v>
          </cell>
          <cell r="J542"/>
          <cell r="K542" t="str">
            <v>MPS</v>
          </cell>
          <cell r="L542" t="str">
            <v>SPLITTING</v>
          </cell>
          <cell r="M542">
            <v>2</v>
          </cell>
        </row>
        <row r="543">
          <cell r="A543" t="str">
            <v>F-2025-11-108</v>
          </cell>
          <cell r="B543" t="str">
            <v>RPRO-251106-0597</v>
          </cell>
          <cell r="C543" t="str">
            <v>BDB-000113</v>
          </cell>
          <cell r="D543" t="str">
            <v>PVN-002501</v>
          </cell>
          <cell r="E543" t="str">
            <v>OrthoLite Regular-Hybrid SEEDPEARL/12-0703TPX Hybrid Flat Sheet 0.11D 25+/-4 Asker C 1.1M 2M 2mm</v>
          </cell>
          <cell r="F543">
            <v>1750</v>
          </cell>
          <cell r="G543">
            <v>1750</v>
          </cell>
          <cell r="H543">
            <v>1750</v>
          </cell>
          <cell r="I543">
            <v>0</v>
          </cell>
          <cell r="J543"/>
          <cell r="K543" t="str">
            <v>MPS</v>
          </cell>
          <cell r="L543" t="str">
            <v>SPLITTING</v>
          </cell>
          <cell r="M543">
            <v>2</v>
          </cell>
        </row>
        <row r="544">
          <cell r="A544" t="str">
            <v>F-2025-11-109</v>
          </cell>
          <cell r="B544" t="str">
            <v>RPRO-251106-0598</v>
          </cell>
          <cell r="C544" t="str">
            <v>BDB-000154</v>
          </cell>
          <cell r="D544" t="str">
            <v>PVN-003347</v>
          </cell>
          <cell r="E544" t="str">
            <v>OrthoLite X-40-Nike TRUE BLUE/19-4057TPX Flat Sheet 0.16D 35+/-4 Asker C 1.1M 1.7M 4mm</v>
          </cell>
          <cell r="F544">
            <v>35</v>
          </cell>
          <cell r="G544">
            <v>35</v>
          </cell>
          <cell r="H544">
            <v>35</v>
          </cell>
          <cell r="I544">
            <v>0</v>
          </cell>
          <cell r="J544"/>
          <cell r="K544" t="str">
            <v>MPS</v>
          </cell>
          <cell r="L544" t="str">
            <v>SPLITTING</v>
          </cell>
          <cell r="M544">
            <v>2</v>
          </cell>
        </row>
        <row r="545">
          <cell r="A545" t="str">
            <v>F-2025-11-110</v>
          </cell>
          <cell r="B545" t="str">
            <v>RPRO-251106-0599</v>
          </cell>
          <cell r="C545" t="str">
            <v>BDB-000286</v>
          </cell>
          <cell r="D545" t="str">
            <v>PVN-003913</v>
          </cell>
          <cell r="E545" t="str">
            <v>OrthoLite Regular-Hybrid SEEDPEARL/12-0703TPX Hybrid Flat Sheet 0.13D 25+/-4 Asker C 1.1M 1.7M 4mm</v>
          </cell>
          <cell r="F545">
            <v>210</v>
          </cell>
          <cell r="G545">
            <v>210</v>
          </cell>
          <cell r="H545">
            <v>210</v>
          </cell>
          <cell r="I545">
            <v>0</v>
          </cell>
          <cell r="J545"/>
          <cell r="K545" t="str">
            <v>MPS</v>
          </cell>
          <cell r="L545" t="str">
            <v>SPLITTING</v>
          </cell>
          <cell r="M545">
            <v>2</v>
          </cell>
        </row>
        <row r="546">
          <cell r="A546" t="str">
            <v>F-2025-11-111</v>
          </cell>
          <cell r="B546" t="str">
            <v>RPRO-251106-0600</v>
          </cell>
          <cell r="C546" t="str">
            <v>BDB-000235</v>
          </cell>
          <cell r="D546" t="str">
            <v>PVN-003576</v>
          </cell>
          <cell r="E546" t="str">
            <v>OrthoLite X-55-Hybrid FOSSIL/17-0909TPX Hybrid Flat Sheet 0.16D 25+/-4 Asker C 1.1M 1.7M 12mm</v>
          </cell>
          <cell r="F546">
            <v>572</v>
          </cell>
          <cell r="G546">
            <v>572</v>
          </cell>
          <cell r="H546">
            <v>0</v>
          </cell>
          <cell r="I546">
            <v>572</v>
          </cell>
          <cell r="J546" t="str">
            <v>ASICS</v>
          </cell>
          <cell r="K546" t="str">
            <v>Pr.Sch.R</v>
          </cell>
          <cell r="L546" t="str">
            <v>MOLDED</v>
          </cell>
          <cell r="M546" t="str">
            <v>1-RM-WIP</v>
          </cell>
        </row>
        <row r="547">
          <cell r="A547" t="str">
            <v>F-2025-11-112</v>
          </cell>
          <cell r="B547" t="str">
            <v>RPRO-251106-0601</v>
          </cell>
          <cell r="C547" t="str">
            <v>BDB-000209</v>
          </cell>
          <cell r="D547" t="str">
            <v>PVN-003537</v>
          </cell>
          <cell r="E547" t="str">
            <v>OrthoLite HybridPlus-Recycled MINT GREEN/11-4805TPX Hybrid Flat Sheet 0.12D 25+/-4 Asker C 1.1M 2M 4.5mm</v>
          </cell>
          <cell r="F547">
            <v>31</v>
          </cell>
          <cell r="G547">
            <v>31</v>
          </cell>
          <cell r="H547">
            <v>31</v>
          </cell>
          <cell r="I547">
            <v>0</v>
          </cell>
          <cell r="J547" t="str">
            <v>AKU</v>
          </cell>
          <cell r="K547" t="str">
            <v>Pr.Sch.R</v>
          </cell>
          <cell r="L547" t="str">
            <v>MOLDED</v>
          </cell>
          <cell r="M547">
            <v>1</v>
          </cell>
        </row>
        <row r="548">
          <cell r="A548" t="str">
            <v>F-2025-11-113</v>
          </cell>
          <cell r="B548" t="str">
            <v>RPRO-251106-0602</v>
          </cell>
          <cell r="C548" t="str">
            <v>BDB-000008</v>
          </cell>
          <cell r="D548" t="str">
            <v>PVN-000505</v>
          </cell>
          <cell r="E548" t="str">
            <v>OrthoLite Regular LIME GREEN/14-0452TPX Flat Sheet 0.11D 25+/-4 Asker C 1.1M 2M 12mm</v>
          </cell>
          <cell r="F548">
            <v>121</v>
          </cell>
          <cell r="G548">
            <v>121</v>
          </cell>
          <cell r="H548">
            <v>121</v>
          </cell>
          <cell r="I548">
            <v>0</v>
          </cell>
          <cell r="J548" t="str">
            <v>ASICS</v>
          </cell>
          <cell r="K548" t="str">
            <v>Pr.Sch.R</v>
          </cell>
          <cell r="L548" t="str">
            <v>MOLDED</v>
          </cell>
          <cell r="M548" t="str">
            <v>1-RM-WIP</v>
          </cell>
        </row>
        <row r="549">
          <cell r="A549" t="str">
            <v>F-2025-11-114</v>
          </cell>
          <cell r="B549" t="str">
            <v>RPRO-251106-0603</v>
          </cell>
          <cell r="C549" t="str">
            <v>BDB-000113</v>
          </cell>
          <cell r="D549" t="str">
            <v>PVN-002465</v>
          </cell>
          <cell r="E549" t="str">
            <v>OrthoLite Regular-Hybrid SEEDPEARL/12-0703TPX Hybrid Flat Sheet 0.11D 25+/-4 Asker C 1.1M 2M 5mm</v>
          </cell>
          <cell r="F549">
            <v>1120</v>
          </cell>
          <cell r="G549">
            <v>1120</v>
          </cell>
          <cell r="H549">
            <v>0</v>
          </cell>
          <cell r="I549">
            <v>1120</v>
          </cell>
          <cell r="J549" t="str">
            <v>ASICS</v>
          </cell>
          <cell r="K549" t="str">
            <v>Pr.Sch.R</v>
          </cell>
          <cell r="L549" t="str">
            <v>DIE CUT</v>
          </cell>
          <cell r="M549">
            <v>1</v>
          </cell>
        </row>
        <row r="550">
          <cell r="A550" t="str">
            <v>F-2025-11-115</v>
          </cell>
          <cell r="B550" t="str">
            <v>RPRO-251106-0604</v>
          </cell>
          <cell r="C550" t="str">
            <v>BDB-000234</v>
          </cell>
          <cell r="D550" t="str">
            <v>PVN-003581</v>
          </cell>
          <cell r="E550" t="str">
            <v>OrthoLite X-30-Hybrid BROWN SUGAR/17-1134TPX Hybrid Flat Sheet 0.13D 25+/-4 Asker C 1.1M 2M 12mm</v>
          </cell>
          <cell r="F550">
            <v>275</v>
          </cell>
          <cell r="G550">
            <v>275</v>
          </cell>
          <cell r="H550">
            <v>0</v>
          </cell>
          <cell r="I550">
            <v>275</v>
          </cell>
          <cell r="J550" t="str">
            <v>ASICS</v>
          </cell>
          <cell r="K550" t="str">
            <v>Pr.Sch.R</v>
          </cell>
          <cell r="L550" t="str">
            <v>MOLDED</v>
          </cell>
          <cell r="M550" t="str">
            <v>1-RM-WIP</v>
          </cell>
        </row>
        <row r="551">
          <cell r="A551" t="str">
            <v>F-2025-11-116</v>
          </cell>
          <cell r="B551" t="str">
            <v>RPRO-251106-0605</v>
          </cell>
          <cell r="C551" t="str">
            <v>BDB-000123</v>
          </cell>
          <cell r="D551" t="str">
            <v>PVN-002539</v>
          </cell>
          <cell r="E551" t="str">
            <v>OrthoLite Ultra-Hybrid SEEDPEARL/12-0703TPX Hybrid Flat Sheet 0.085D 25+/-4 Asker C 1.1M 2M 5mm</v>
          </cell>
          <cell r="F551">
            <v>56</v>
          </cell>
          <cell r="G551">
            <v>56</v>
          </cell>
          <cell r="H551">
            <v>56</v>
          </cell>
          <cell r="I551">
            <v>0</v>
          </cell>
          <cell r="J551" t="str">
            <v>BROOKS</v>
          </cell>
          <cell r="K551" t="str">
            <v>Pr.Sch.R</v>
          </cell>
          <cell r="L551" t="str">
            <v>DIE CUT</v>
          </cell>
          <cell r="M551">
            <v>1</v>
          </cell>
        </row>
        <row r="552">
          <cell r="A552" t="str">
            <v>F-2025-11-117</v>
          </cell>
          <cell r="B552" t="str">
            <v>RPRO-251106-0606</v>
          </cell>
          <cell r="C552" t="str">
            <v>BDB-000123</v>
          </cell>
          <cell r="D552" t="str">
            <v>PVN-002973</v>
          </cell>
          <cell r="E552" t="str">
            <v>OrthoLite Ultra-Hybrid SEEDPEARL/12-0703TPX Hybrid Flat Sheet 0.085D 25+/-4 Asker C 1.1M 2M 4.5mm</v>
          </cell>
          <cell r="F552">
            <v>124</v>
          </cell>
          <cell r="G552">
            <v>124</v>
          </cell>
          <cell r="H552">
            <v>124</v>
          </cell>
          <cell r="I552">
            <v>0</v>
          </cell>
          <cell r="J552" t="str">
            <v>SALOMON</v>
          </cell>
          <cell r="K552" t="str">
            <v>Pr.Sch.R</v>
          </cell>
          <cell r="L552" t="str">
            <v>MOLDED</v>
          </cell>
          <cell r="M552">
            <v>1</v>
          </cell>
        </row>
        <row r="553">
          <cell r="A553" t="str">
            <v>F-2025-11-118</v>
          </cell>
          <cell r="B553" t="str">
            <v>RPRO-251106-0607</v>
          </cell>
          <cell r="C553" t="str">
            <v>BDB-000054</v>
          </cell>
          <cell r="D553" t="str">
            <v>PVN-003895</v>
          </cell>
          <cell r="E553" t="str">
            <v>OrthoLite X-40 RED/19-1764TPX Flat Sheet 0.16D 25+/-4 Asker C 1.1M 1.7M 5mm</v>
          </cell>
          <cell r="F553">
            <v>28</v>
          </cell>
          <cell r="G553">
            <v>28</v>
          </cell>
          <cell r="H553">
            <v>28</v>
          </cell>
          <cell r="I553">
            <v>0</v>
          </cell>
          <cell r="J553" t="str">
            <v>PAYNTR</v>
          </cell>
          <cell r="K553" t="str">
            <v>Pr.Sch.R</v>
          </cell>
          <cell r="L553" t="str">
            <v>MOLDED</v>
          </cell>
          <cell r="M553">
            <v>1</v>
          </cell>
        </row>
        <row r="554">
          <cell r="A554" t="str">
            <v>F-2025-11-119</v>
          </cell>
          <cell r="B554" t="str">
            <v>RPRO-251106-0608</v>
          </cell>
          <cell r="C554" t="str">
            <v>BDB-000117</v>
          </cell>
          <cell r="D554" t="str">
            <v>PVN-003234</v>
          </cell>
          <cell r="E554" t="str">
            <v>OrthoLite X-35-Hybrid SEEDPEARL/12-0703TPX Hybrid Flat Sheet 0.145D 25+/-4 Asker C 1.1M 2M 5.5mm</v>
          </cell>
          <cell r="F554">
            <v>50</v>
          </cell>
          <cell r="G554">
            <v>50</v>
          </cell>
          <cell r="H554">
            <v>50</v>
          </cell>
          <cell r="I554">
            <v>0</v>
          </cell>
          <cell r="J554" t="str">
            <v>PUMA</v>
          </cell>
          <cell r="K554" t="str">
            <v>Pr.Sch.R</v>
          </cell>
          <cell r="L554" t="str">
            <v>MOLDED</v>
          </cell>
          <cell r="M554">
            <v>1</v>
          </cell>
        </row>
        <row r="555">
          <cell r="A555" t="str">
            <v>F-2025-11-120</v>
          </cell>
          <cell r="B555" t="str">
            <v>RPRO-251106-0609</v>
          </cell>
          <cell r="C555" t="str">
            <v>BDB-000145</v>
          </cell>
          <cell r="D555" t="str">
            <v>PVN-002811</v>
          </cell>
          <cell r="E555" t="str">
            <v>OrthoLite Regular-Hybrid-Nike YELLOW/13-0858TPX Hybrid Flat Sheet 0.11D 25+/-4 Asker C 1.1M 1.7M 2mm</v>
          </cell>
          <cell r="F555">
            <v>70</v>
          </cell>
          <cell r="G555">
            <v>70</v>
          </cell>
          <cell r="H555">
            <v>70</v>
          </cell>
          <cell r="I555">
            <v>0</v>
          </cell>
          <cell r="J555" t="str">
            <v>NIKE</v>
          </cell>
          <cell r="K555" t="str">
            <v>Pr.Sch.R</v>
          </cell>
          <cell r="L555" t="str">
            <v>DIE CUT</v>
          </cell>
          <cell r="M555">
            <v>1</v>
          </cell>
        </row>
        <row r="556">
          <cell r="A556" t="str">
            <v>F-2025-11-121</v>
          </cell>
          <cell r="B556" t="str">
            <v>RPRO-251106-0610</v>
          </cell>
          <cell r="C556" t="str">
            <v>BDB-000057</v>
          </cell>
          <cell r="D556" t="str">
            <v>PVN-000825</v>
          </cell>
          <cell r="E556" t="str">
            <v>OrthoLite Ultra YELLOW/13-0858TPX Flat Sheet 0.085D 25+/-4 Asker C 1.1M 2M 12mm</v>
          </cell>
          <cell r="F556">
            <v>11</v>
          </cell>
          <cell r="G556">
            <v>11</v>
          </cell>
          <cell r="H556">
            <v>11</v>
          </cell>
          <cell r="I556">
            <v>0</v>
          </cell>
          <cell r="J556" t="str">
            <v>ASICS</v>
          </cell>
          <cell r="K556" t="str">
            <v>Pr.Sch.R</v>
          </cell>
          <cell r="L556" t="str">
            <v>MOLDED</v>
          </cell>
          <cell r="M556" t="str">
            <v>1-RM-WIP</v>
          </cell>
        </row>
        <row r="557">
          <cell r="A557" t="str">
            <v>F-2025-11-122</v>
          </cell>
          <cell r="B557" t="str">
            <v>RPRO-251106-0611</v>
          </cell>
          <cell r="C557" t="str">
            <v>BDB-000317</v>
          </cell>
          <cell r="D557" t="str">
            <v>PVN-004076</v>
          </cell>
          <cell r="E557" t="str">
            <v>OrthoLite Regular NEUTRAL GRAY/17-4402TPX Flat Sheet 0.13D 15+/-4 Asker C 1.1M 2M 24mm</v>
          </cell>
          <cell r="F557">
            <v>15</v>
          </cell>
          <cell r="G557">
            <v>15</v>
          </cell>
          <cell r="H557">
            <v>15</v>
          </cell>
          <cell r="I557">
            <v>0</v>
          </cell>
          <cell r="J557" t="str">
            <v>ASICS</v>
          </cell>
          <cell r="K557" t="str">
            <v>Pr.Sch.R</v>
          </cell>
          <cell r="L557" t="str">
            <v>MOLDED</v>
          </cell>
          <cell r="M557">
            <v>1</v>
          </cell>
        </row>
        <row r="558">
          <cell r="A558" t="str">
            <v>F-2025-11-123</v>
          </cell>
          <cell r="B558" t="str">
            <v>RPRO-251106-0612</v>
          </cell>
          <cell r="C558" t="str">
            <v>BDB-000325</v>
          </cell>
          <cell r="D558" t="str">
            <v>PVN-004115</v>
          </cell>
          <cell r="E558" t="str">
            <v>OrthoLite X-40 TRUE BLUE/19-4057TPX Flat Sheet 0.16D 35+/-4 Asker C 1.1M 2M 4mm</v>
          </cell>
          <cell r="F558">
            <v>35</v>
          </cell>
          <cell r="G558">
            <v>35</v>
          </cell>
          <cell r="H558">
            <v>35</v>
          </cell>
          <cell r="I558">
            <v>0</v>
          </cell>
          <cell r="J558" t="str">
            <v>ASICS</v>
          </cell>
          <cell r="K558" t="str">
            <v>Pr.Sch.R</v>
          </cell>
          <cell r="L558" t="str">
            <v>MOLDED</v>
          </cell>
          <cell r="M558">
            <v>1</v>
          </cell>
        </row>
        <row r="559">
          <cell r="A559" t="str">
            <v>F-2025-11-124</v>
          </cell>
          <cell r="B559" t="str">
            <v>RPRO-251106-0613</v>
          </cell>
          <cell r="C559" t="str">
            <v>BDB-000332</v>
          </cell>
          <cell r="D559" t="str">
            <v>PVN-004146</v>
          </cell>
          <cell r="E559" t="str">
            <v>OrthoLite X-25 CASTLEROCK/18-0201TPX Flat Sheet 0.12D 20+/-4 Asker C 1.1M 2M 5.5mm</v>
          </cell>
          <cell r="F559">
            <v>100</v>
          </cell>
          <cell r="G559">
            <v>100</v>
          </cell>
          <cell r="H559">
            <v>100</v>
          </cell>
          <cell r="I559">
            <v>0</v>
          </cell>
          <cell r="J559" t="str">
            <v>ON RUNNING</v>
          </cell>
          <cell r="K559" t="str">
            <v>Pr.Sch.R</v>
          </cell>
          <cell r="L559" t="str">
            <v>MOLDED</v>
          </cell>
          <cell r="M559">
            <v>1</v>
          </cell>
        </row>
        <row r="560">
          <cell r="A560" t="str">
            <v>F-2025-11-125</v>
          </cell>
          <cell r="B560" t="str">
            <v>RPRO-251106-0614</v>
          </cell>
          <cell r="C560" t="str">
            <v>BDB-000125</v>
          </cell>
          <cell r="D560" t="str">
            <v>PVN-001412</v>
          </cell>
          <cell r="E560" t="str">
            <v>OrthoLite Regular-Nike AIR BLUE/16-4134TPX Flat Sheet 0.11D 25+/-4 Asker C 1.1M 2M 5mm</v>
          </cell>
          <cell r="F560">
            <v>532</v>
          </cell>
          <cell r="G560">
            <v>532</v>
          </cell>
          <cell r="H560">
            <v>532</v>
          </cell>
          <cell r="I560">
            <v>0</v>
          </cell>
          <cell r="J560" t="str">
            <v>NIKE</v>
          </cell>
          <cell r="K560" t="str">
            <v>Pr.Sch.R</v>
          </cell>
          <cell r="L560" t="str">
            <v>MOLDED</v>
          </cell>
          <cell r="M560">
            <v>1</v>
          </cell>
        </row>
        <row r="561">
          <cell r="A561" t="str">
            <v>F-2025-11-126</v>
          </cell>
          <cell r="B561" t="str">
            <v>RPRO-251106-0615</v>
          </cell>
          <cell r="C561" t="str">
            <v>BDB-000319</v>
          </cell>
          <cell r="D561" t="str">
            <v>PVN-004081</v>
          </cell>
          <cell r="E561" t="str">
            <v>OrthoLite X-40-Hybrid-Nike SEEDPEARL/12-0703TPX Hybrid Flat Sheet 0.16D 25+/-4 Asker C 1.1M 2M 6mm</v>
          </cell>
          <cell r="F561">
            <v>437</v>
          </cell>
          <cell r="G561">
            <v>437</v>
          </cell>
          <cell r="H561">
            <v>437</v>
          </cell>
          <cell r="I561">
            <v>0</v>
          </cell>
          <cell r="J561" t="str">
            <v>NIKE</v>
          </cell>
          <cell r="K561" t="str">
            <v>Pr.Sch.R</v>
          </cell>
          <cell r="L561" t="str">
            <v>MOLDED</v>
          </cell>
          <cell r="M561">
            <v>1</v>
          </cell>
        </row>
        <row r="562">
          <cell r="A562" t="str">
            <v>F-2025-11-127</v>
          </cell>
          <cell r="B562" t="str">
            <v>RPRO-251106-0616</v>
          </cell>
          <cell r="C562" t="str">
            <v>BDB-000055</v>
          </cell>
          <cell r="D562" t="str">
            <v>PVN-003326</v>
          </cell>
          <cell r="E562" t="str">
            <v>OrthoLite X-40 TRUE BLUE/19-4057TPX Flat Sheet 0.16D 35+/-4 Asker C 1.1M 1.7M 14mm</v>
          </cell>
          <cell r="F562">
            <v>9</v>
          </cell>
          <cell r="G562">
            <v>9</v>
          </cell>
          <cell r="H562">
            <v>9</v>
          </cell>
          <cell r="I562">
            <v>0</v>
          </cell>
          <cell r="J562" t="str">
            <v>ADIDAS</v>
          </cell>
          <cell r="K562" t="str">
            <v>Pr.Sch.R</v>
          </cell>
          <cell r="L562" t="str">
            <v>MOLDED</v>
          </cell>
          <cell r="M562">
            <v>1</v>
          </cell>
        </row>
        <row r="563">
          <cell r="A563" t="str">
            <v>F-2025-11-128</v>
          </cell>
          <cell r="B563" t="str">
            <v>RPRO-251106-0617</v>
          </cell>
          <cell r="C563" t="str">
            <v>BDB-000113</v>
          </cell>
          <cell r="D563" t="str">
            <v>PVN-002515</v>
          </cell>
          <cell r="E563" t="str">
            <v>OrthoLite Regular-Hybrid SEEDPEARL/12-0703TPX Hybrid Flat Sheet 0.11D 25+/-4 Asker C 1.1M 2M 11mm</v>
          </cell>
          <cell r="F563">
            <v>60</v>
          </cell>
          <cell r="G563">
            <v>60</v>
          </cell>
          <cell r="H563">
            <v>60</v>
          </cell>
          <cell r="I563">
            <v>0</v>
          </cell>
          <cell r="J563" t="str">
            <v>ASICS</v>
          </cell>
          <cell r="K563" t="str">
            <v>Pr.Sch.R</v>
          </cell>
          <cell r="L563" t="str">
            <v>MOLDED</v>
          </cell>
          <cell r="M563">
            <v>1</v>
          </cell>
        </row>
        <row r="564">
          <cell r="A564" t="str">
            <v>F-2025-11-129</v>
          </cell>
          <cell r="B564" t="str">
            <v>RPRO-251106-0618</v>
          </cell>
          <cell r="C564" t="str">
            <v>BDB-000164</v>
          </cell>
          <cell r="D564" t="str">
            <v>PVN-001618</v>
          </cell>
          <cell r="E564" t="str">
            <v>OrthoLite Ultra-Nike GREY/17-1501TPX Flat Sheet 0.085D 25+/-4 Asker C 1.1M 2M 4mm</v>
          </cell>
          <cell r="F564">
            <v>140</v>
          </cell>
          <cell r="G564">
            <v>140</v>
          </cell>
          <cell r="H564">
            <v>140</v>
          </cell>
          <cell r="I564">
            <v>0</v>
          </cell>
          <cell r="J564" t="str">
            <v>NIKE</v>
          </cell>
          <cell r="K564" t="str">
            <v>Pr.Sch.R</v>
          </cell>
          <cell r="L564" t="str">
            <v>DIE CUT</v>
          </cell>
          <cell r="M564">
            <v>1</v>
          </cell>
        </row>
        <row r="565">
          <cell r="A565" t="str">
            <v>F-2025-11-130</v>
          </cell>
          <cell r="B565" t="str">
            <v>RPRO-251106-0619</v>
          </cell>
          <cell r="C565" t="str">
            <v>BDB-000348</v>
          </cell>
          <cell r="D565" t="str">
            <v>PVN-004197</v>
          </cell>
          <cell r="E565" t="str">
            <v>OrthoLite IMPERIAL SEEDPEARL/12-0703TPX Flat Sheet 0.22D 25+/-4 Asker C 1.1M 1.47M 5.5mm</v>
          </cell>
          <cell r="F565">
            <v>150</v>
          </cell>
          <cell r="G565">
            <v>150</v>
          </cell>
          <cell r="H565">
            <v>150</v>
          </cell>
          <cell r="I565">
            <v>0</v>
          </cell>
          <cell r="J565" t="str">
            <v>ADIDAS</v>
          </cell>
          <cell r="K565" t="str">
            <v>Pr.Sch.R</v>
          </cell>
          <cell r="L565" t="str">
            <v>MOLDED</v>
          </cell>
          <cell r="M565">
            <v>1</v>
          </cell>
        </row>
        <row r="566">
          <cell r="A566" t="str">
            <v>F-2025-11-131</v>
          </cell>
          <cell r="B566" t="str">
            <v>RPRO-251106-0620</v>
          </cell>
          <cell r="C566" t="str">
            <v>BDB-000076</v>
          </cell>
          <cell r="D566" t="str">
            <v>PVN-004072</v>
          </cell>
          <cell r="E566" t="str">
            <v>OrthoLite X-25 BILLIARD/16-5427TPX Flat Sheet 0.12D 20+/-4 Asker C 1.1M 2M 20mm</v>
          </cell>
          <cell r="F566">
            <v>6</v>
          </cell>
          <cell r="G566">
            <v>6</v>
          </cell>
          <cell r="H566">
            <v>6</v>
          </cell>
          <cell r="I566">
            <v>0</v>
          </cell>
          <cell r="J566" t="str">
            <v>FOOTJOY</v>
          </cell>
          <cell r="K566" t="str">
            <v>Pr.Sch.R</v>
          </cell>
          <cell r="L566" t="str">
            <v>MOLDED</v>
          </cell>
          <cell r="M566">
            <v>1</v>
          </cell>
        </row>
        <row r="567">
          <cell r="A567" t="str">
            <v>F-2025-11-132</v>
          </cell>
          <cell r="B567" t="str">
            <v>RPRO-251106-0621</v>
          </cell>
          <cell r="C567" t="str">
            <v>BDB-000011</v>
          </cell>
          <cell r="D567" t="str">
            <v>PVN-004051</v>
          </cell>
          <cell r="E567" t="str">
            <v>OrthoLite Regular AIR BLUE/16-4134TPX Flat Sheet 0.13D 35+/-4 Asker C 1.1M 2M 30mm</v>
          </cell>
          <cell r="F567">
            <v>72</v>
          </cell>
          <cell r="G567">
            <v>72</v>
          </cell>
          <cell r="H567">
            <v>72</v>
          </cell>
          <cell r="I567">
            <v>0</v>
          </cell>
          <cell r="J567" t="str">
            <v>RAG-BONE</v>
          </cell>
          <cell r="K567" t="str">
            <v>Pr.Sch.R</v>
          </cell>
          <cell r="L567" t="str">
            <v>MOLDED</v>
          </cell>
          <cell r="M567">
            <v>1</v>
          </cell>
        </row>
        <row r="568">
          <cell r="A568" t="str">
            <v>F-2025-11-133</v>
          </cell>
          <cell r="B568" t="str">
            <v>RPRO-251106-0622</v>
          </cell>
          <cell r="C568" t="str">
            <v>BDB-000113</v>
          </cell>
          <cell r="D568" t="str">
            <v>PVN-002503</v>
          </cell>
          <cell r="E568" t="str">
            <v>OrthoLite Regular-Hybrid SEEDPEARL/12-0703TPX Hybrid Flat Sheet 0.11D 25+/-4 Asker C 1.1M 2M 4mm</v>
          </cell>
          <cell r="F568">
            <v>210</v>
          </cell>
          <cell r="G568">
            <v>210</v>
          </cell>
          <cell r="H568">
            <v>210</v>
          </cell>
          <cell r="I568">
            <v>0</v>
          </cell>
          <cell r="J568" t="str">
            <v>ASICS</v>
          </cell>
          <cell r="K568" t="str">
            <v>Pr.Sch.R</v>
          </cell>
          <cell r="L568" t="str">
            <v>DIE CUT</v>
          </cell>
          <cell r="M568">
            <v>1</v>
          </cell>
        </row>
        <row r="569">
          <cell r="A569" t="str">
            <v>F-2025-11-134</v>
          </cell>
          <cell r="B569" t="str">
            <v>FPRO-251105-0001</v>
          </cell>
          <cell r="C569" t="str">
            <v>BDB-000180</v>
          </cell>
          <cell r="D569" t="str">
            <v>PVN-003236</v>
          </cell>
          <cell r="E569" t="str">
            <v>OrthoLite Eco LT-Hybrid-Converse SEEDPEARL/12-0703TPX Hybrid 0.13D 25+/-4 Asker C 1.1M 2M 5mm</v>
          </cell>
          <cell r="F569">
            <v>225</v>
          </cell>
          <cell r="G569">
            <v>225</v>
          </cell>
          <cell r="H569">
            <v>225</v>
          </cell>
          <cell r="I569">
            <v>0</v>
          </cell>
          <cell r="J569" t="str">
            <v>CONVERSE</v>
          </cell>
          <cell r="K569" t="str">
            <v>Forecast</v>
          </cell>
          <cell r="L569" t="str">
            <v>DIE CUT</v>
          </cell>
          <cell r="M569" t="str">
            <v>1-SLT</v>
          </cell>
        </row>
        <row r="570">
          <cell r="A570" t="str">
            <v>F-2025-11-135</v>
          </cell>
          <cell r="B570" t="str">
            <v>FPRO-251105-0002</v>
          </cell>
          <cell r="C570" t="str">
            <v>BDB-000113</v>
          </cell>
          <cell r="D570" t="str">
            <v>PVN-003414</v>
          </cell>
          <cell r="E570" t="str">
            <v>OrthoLite Regular-Hybrid SEEDPEARL/12-0703TPX Hybrid Flat Sheet 0.11D 25+/-4 Asker C 1.1M 2M 12mm</v>
          </cell>
          <cell r="F570">
            <v>4000</v>
          </cell>
          <cell r="G570">
            <v>4000</v>
          </cell>
          <cell r="H570">
            <v>0</v>
          </cell>
          <cell r="I570">
            <v>4000</v>
          </cell>
          <cell r="J570" t="str">
            <v>ASICS</v>
          </cell>
          <cell r="K570" t="str">
            <v>Forecast</v>
          </cell>
          <cell r="L570" t="str">
            <v>MOLDED</v>
          </cell>
          <cell r="M570" t="str">
            <v>1-RM-WIP</v>
          </cell>
        </row>
        <row r="571">
          <cell r="A571" t="str">
            <v>F-2025-11-136</v>
          </cell>
          <cell r="B571" t="str">
            <v>FPRO-251105-0003</v>
          </cell>
          <cell r="C571" t="str">
            <v>BDB-000113</v>
          </cell>
          <cell r="D571" t="str">
            <v>PVN-003414</v>
          </cell>
          <cell r="E571" t="str">
            <v>OrthoLite Regular-Hybrid SEEDPEARL/12-0703TPX Hybrid Flat Sheet 0.11D 25+/-4 Asker C 1.1M 2M 12mm</v>
          </cell>
          <cell r="F571">
            <v>4000</v>
          </cell>
          <cell r="G571">
            <v>4000</v>
          </cell>
          <cell r="H571">
            <v>0</v>
          </cell>
          <cell r="I571">
            <v>4000</v>
          </cell>
          <cell r="J571" t="str">
            <v>ASICS</v>
          </cell>
          <cell r="K571" t="str">
            <v>Forecast</v>
          </cell>
          <cell r="L571" t="str">
            <v>MOLDED</v>
          </cell>
          <cell r="M571" t="str">
            <v>1-RM-WIP</v>
          </cell>
        </row>
        <row r="572">
          <cell r="A572" t="str">
            <v>F-2025-11-137</v>
          </cell>
          <cell r="B572" t="str">
            <v>FPRO-251105-0004</v>
          </cell>
          <cell r="C572" t="str">
            <v>BDB-000113</v>
          </cell>
          <cell r="D572" t="str">
            <v>PVN-003414</v>
          </cell>
          <cell r="E572" t="str">
            <v>OrthoLite Regular-Hybrid SEEDPEARL/12-0703TPX Hybrid Flat Sheet 0.11D 25+/-4 Asker C 1.1M 2M 12mm</v>
          </cell>
          <cell r="F572">
            <v>1570</v>
          </cell>
          <cell r="G572">
            <v>1570</v>
          </cell>
          <cell r="H572">
            <v>0</v>
          </cell>
          <cell r="I572">
            <v>1570</v>
          </cell>
          <cell r="J572" t="str">
            <v>ASICS</v>
          </cell>
          <cell r="K572" t="str">
            <v>Forecast</v>
          </cell>
          <cell r="L572" t="str">
            <v>MOLDED</v>
          </cell>
          <cell r="M572" t="str">
            <v>1-RM-WIP</v>
          </cell>
        </row>
        <row r="573">
          <cell r="A573" t="str">
            <v>F-2025-11-138</v>
          </cell>
          <cell r="B573" t="str">
            <v>RPRO-251107-0375</v>
          </cell>
          <cell r="C573" t="str">
            <v>BDB-000011</v>
          </cell>
          <cell r="D573" t="str">
            <v>PVN-000258</v>
          </cell>
          <cell r="E573" t="str">
            <v>OrthoLite Regular AIR BLUE/16-4134TPX Flat Sheet 0.13D 35+/-4 Asker C 1.1M 2M 2.5mm</v>
          </cell>
          <cell r="F573">
            <v>616</v>
          </cell>
          <cell r="G573">
            <v>616</v>
          </cell>
          <cell r="H573">
            <v>616</v>
          </cell>
          <cell r="I573">
            <v>0</v>
          </cell>
          <cell r="J573"/>
          <cell r="K573" t="str">
            <v>MPS</v>
          </cell>
          <cell r="L573" t="str">
            <v>SPLITTING</v>
          </cell>
          <cell r="M573">
            <v>2</v>
          </cell>
        </row>
        <row r="574">
          <cell r="A574" t="str">
            <v>F-2025-11-139</v>
          </cell>
          <cell r="B574" t="str">
            <v>RPRO-251107-0376</v>
          </cell>
          <cell r="C574" t="str">
            <v>BDB-000008</v>
          </cell>
          <cell r="D574" t="str">
            <v>PVN-000313</v>
          </cell>
          <cell r="E574" t="str">
            <v>OrthoLite Regular LIME GREEN/14-0452TPX Flat Sheet 0.11D 25+/-4 Asker C 1.1M 2M 4mm</v>
          </cell>
          <cell r="F574">
            <v>70</v>
          </cell>
          <cell r="G574">
            <v>70</v>
          </cell>
          <cell r="H574">
            <v>70</v>
          </cell>
          <cell r="I574">
            <v>0</v>
          </cell>
          <cell r="J574"/>
          <cell r="K574" t="str">
            <v>MPS</v>
          </cell>
          <cell r="L574" t="str">
            <v>SPLITTING</v>
          </cell>
          <cell r="M574">
            <v>2</v>
          </cell>
        </row>
        <row r="575">
          <cell r="A575" t="str">
            <v>F-2025-11-140</v>
          </cell>
          <cell r="B575" t="str">
            <v>RPRO-251107-0377</v>
          </cell>
          <cell r="C575" t="str">
            <v>BDB-000348</v>
          </cell>
          <cell r="D575" t="str">
            <v>PVN-004195</v>
          </cell>
          <cell r="E575" t="str">
            <v>OrthoLite IMPERIAL SEEDPEARL/12-0703TPX Flat Sheet 0.22D 25+/-4 Asker C 1.1M 1.47M 4mm</v>
          </cell>
          <cell r="F575">
            <v>105</v>
          </cell>
          <cell r="G575">
            <v>105</v>
          </cell>
          <cell r="H575">
            <v>105</v>
          </cell>
          <cell r="I575">
            <v>0</v>
          </cell>
          <cell r="J575"/>
          <cell r="K575" t="str">
            <v>MPS</v>
          </cell>
          <cell r="L575" t="str">
            <v>SPLITTING</v>
          </cell>
          <cell r="M575">
            <v>2</v>
          </cell>
        </row>
        <row r="576">
          <cell r="A576" t="str">
            <v>F-2025-11-141</v>
          </cell>
          <cell r="B576" t="str">
            <v>RPRO-251107-0378</v>
          </cell>
          <cell r="C576" t="str">
            <v>BDB-000058</v>
          </cell>
          <cell r="D576" t="str">
            <v>PVN-001277</v>
          </cell>
          <cell r="E576" t="str">
            <v>OrthoLite Ultra GREEN/16-5932TPX Flat Sheet 0.085D 25+/-4 Asker C 1.1M 2M 4mm</v>
          </cell>
          <cell r="F576">
            <v>1015</v>
          </cell>
          <cell r="G576">
            <v>1015</v>
          </cell>
          <cell r="H576">
            <v>1015</v>
          </cell>
          <cell r="I576">
            <v>0</v>
          </cell>
          <cell r="J576"/>
          <cell r="K576" t="str">
            <v>MPS</v>
          </cell>
          <cell r="L576" t="str">
            <v>SPLITTING</v>
          </cell>
          <cell r="M576">
            <v>2</v>
          </cell>
        </row>
        <row r="577">
          <cell r="A577" t="str">
            <v>F-2025-11-142</v>
          </cell>
          <cell r="B577" t="str">
            <v>RPRO-251107-0379</v>
          </cell>
          <cell r="C577" t="str">
            <v>BDB-000200</v>
          </cell>
          <cell r="D577" t="str">
            <v>PVN-003425</v>
          </cell>
          <cell r="E577" t="str">
            <v>OrthoLite Ultra SEEDPEARL/12-0703TPX Flat Sheet 0.085D 78-90 Asker F 1.1M 2M 4mm</v>
          </cell>
          <cell r="F577">
            <v>525</v>
          </cell>
          <cell r="G577">
            <v>525</v>
          </cell>
          <cell r="H577">
            <v>525</v>
          </cell>
          <cell r="I577">
            <v>0</v>
          </cell>
          <cell r="J577"/>
          <cell r="K577" t="str">
            <v>MPS</v>
          </cell>
          <cell r="L577" t="str">
            <v>SPLITTING</v>
          </cell>
          <cell r="M577">
            <v>2</v>
          </cell>
        </row>
        <row r="578">
          <cell r="A578" t="str">
            <v>F-2025-11-143</v>
          </cell>
          <cell r="B578" t="str">
            <v>RPRO-251107-0380</v>
          </cell>
          <cell r="C578" t="str">
            <v>BDB-000097</v>
          </cell>
          <cell r="D578" t="str">
            <v>PVN-002478</v>
          </cell>
          <cell r="E578" t="str">
            <v>OrthoLite Eco LT-Hybrid SEEDPEARL/12-0703TPX Hybrid Flat Sheet 0.11D 25+/-4 Asker C 1.1M 2M 4mm</v>
          </cell>
          <cell r="F578">
            <v>560</v>
          </cell>
          <cell r="G578">
            <v>560</v>
          </cell>
          <cell r="H578">
            <v>0</v>
          </cell>
          <cell r="I578">
            <v>560</v>
          </cell>
          <cell r="J578" t="str">
            <v>NEW BALANCE</v>
          </cell>
          <cell r="K578" t="str">
            <v>Pr.Sch.R</v>
          </cell>
          <cell r="L578" t="str">
            <v>DIE CUT</v>
          </cell>
          <cell r="M578">
            <v>1</v>
          </cell>
        </row>
        <row r="579">
          <cell r="A579" t="str">
            <v>F-2025-11-144</v>
          </cell>
          <cell r="B579" t="str">
            <v>RPRO-251107-0381</v>
          </cell>
          <cell r="C579" t="str">
            <v>BDB-000235</v>
          </cell>
          <cell r="D579" t="str">
            <v>PVN-003576</v>
          </cell>
          <cell r="E579" t="str">
            <v>OrthoLite X-55-Hybrid FOSSIL/17-0909TPX Hybrid Flat Sheet 0.16D 25+/-4 Asker C 1.1M 1.7M 12mm</v>
          </cell>
          <cell r="F579">
            <v>22</v>
          </cell>
          <cell r="G579">
            <v>22</v>
          </cell>
          <cell r="H579">
            <v>22</v>
          </cell>
          <cell r="I579">
            <v>0</v>
          </cell>
          <cell r="J579" t="str">
            <v>ASICS</v>
          </cell>
          <cell r="K579" t="str">
            <v>Pr.Sch.R</v>
          </cell>
          <cell r="L579" t="str">
            <v>MOLDED</v>
          </cell>
          <cell r="M579" t="str">
            <v>1-RM-WIP</v>
          </cell>
        </row>
        <row r="580">
          <cell r="A580" t="str">
            <v>F-2025-11-145</v>
          </cell>
          <cell r="B580" t="str">
            <v>RPRO-251107-0382</v>
          </cell>
          <cell r="C580" t="str">
            <v>BDB-000252</v>
          </cell>
          <cell r="D580" t="str">
            <v>PVN-003714</v>
          </cell>
          <cell r="E580" t="str">
            <v>OrthoLite Nike PP002 AMAZON/18-6024TPX Flat Sheet 0.145D 25+/-4 asker C 1.1M 2M 5.2mm</v>
          </cell>
          <cell r="F580">
            <v>702</v>
          </cell>
          <cell r="G580">
            <v>702</v>
          </cell>
          <cell r="H580">
            <v>702</v>
          </cell>
          <cell r="I580">
            <v>0</v>
          </cell>
          <cell r="J580" t="str">
            <v>NIKE</v>
          </cell>
          <cell r="K580" t="str">
            <v>Pr.Sch.R</v>
          </cell>
          <cell r="L580" t="str">
            <v>MOLDED</v>
          </cell>
          <cell r="M580">
            <v>1</v>
          </cell>
        </row>
        <row r="581">
          <cell r="A581" t="str">
            <v>F-2025-11-146</v>
          </cell>
          <cell r="B581" t="str">
            <v>RPRO-251107-0383</v>
          </cell>
          <cell r="C581" t="str">
            <v>BDB-000175</v>
          </cell>
          <cell r="D581" t="str">
            <v>PVN-002876</v>
          </cell>
          <cell r="E581" t="str">
            <v>OrthoLite Ultra-Hybrid-Nike SEEDPEARL/12-0703TPX Hybrid Flat Sheet 0.085D 25+/-4 Asker C 1.1M 2M 5mm</v>
          </cell>
          <cell r="F581">
            <v>280</v>
          </cell>
          <cell r="G581">
            <v>280</v>
          </cell>
          <cell r="H581">
            <v>280</v>
          </cell>
          <cell r="I581">
            <v>0</v>
          </cell>
          <cell r="J581" t="str">
            <v>NIKE</v>
          </cell>
          <cell r="K581" t="str">
            <v>Pr.Sch.R</v>
          </cell>
          <cell r="L581" t="str">
            <v>MOLDED</v>
          </cell>
          <cell r="M581">
            <v>1</v>
          </cell>
        </row>
        <row r="582">
          <cell r="A582" t="str">
            <v>F-2025-11-147</v>
          </cell>
          <cell r="B582" t="str">
            <v>RPRO-251107-0384</v>
          </cell>
          <cell r="C582" t="str">
            <v>BDB-000125</v>
          </cell>
          <cell r="D582" t="str">
            <v>PVN-001579</v>
          </cell>
          <cell r="E582" t="str">
            <v>OrthoLite Regular-Nike AIR BLUE/16-4134TPX Flat Sheet 0.11D 25+/-4 Asker C 1.1M 2M 4mm</v>
          </cell>
          <cell r="F582">
            <v>420</v>
          </cell>
          <cell r="G582">
            <v>420</v>
          </cell>
          <cell r="H582">
            <v>420</v>
          </cell>
          <cell r="I582">
            <v>0</v>
          </cell>
          <cell r="J582" t="str">
            <v>NIKE</v>
          </cell>
          <cell r="K582" t="str">
            <v>Pr.Sch.R</v>
          </cell>
          <cell r="L582" t="str">
            <v>LAMINATING</v>
          </cell>
          <cell r="M582">
            <v>1</v>
          </cell>
        </row>
        <row r="583">
          <cell r="A583" t="str">
            <v>F-2025-11-148</v>
          </cell>
          <cell r="B583" t="str">
            <v>RPRO-251107-0385</v>
          </cell>
          <cell r="C583" t="str">
            <v>BDB-000209</v>
          </cell>
          <cell r="D583" t="str">
            <v>PVN-003537</v>
          </cell>
          <cell r="E583" t="str">
            <v>OrthoLite HybridPlus-Recycled MINT GREEN/11-4805TPX Hybrid Flat Sheet 0.12D 25+/-4 Asker C 1.1M 2M 4.5mm</v>
          </cell>
          <cell r="F583">
            <v>496</v>
          </cell>
          <cell r="G583">
            <v>496</v>
          </cell>
          <cell r="H583">
            <v>496</v>
          </cell>
          <cell r="I583">
            <v>0</v>
          </cell>
          <cell r="J583" t="str">
            <v>AKU</v>
          </cell>
          <cell r="K583" t="str">
            <v>Pr.Sch.R</v>
          </cell>
          <cell r="L583" t="str">
            <v>MOLDED</v>
          </cell>
          <cell r="M583">
            <v>1</v>
          </cell>
        </row>
        <row r="584">
          <cell r="A584" t="str">
            <v>F-2025-11-149</v>
          </cell>
          <cell r="B584" t="str">
            <v>RPRO-251107-0386</v>
          </cell>
          <cell r="C584" t="str">
            <v>BDB-000209</v>
          </cell>
          <cell r="D584" t="str">
            <v>PVN-003462</v>
          </cell>
          <cell r="E584" t="str">
            <v>OrthoLite HybridPlus-Recycled MINT GREEN/11-4805TPX Hybrid Flat Sheet 0.12D 25+/-4 Asker C 1.1M 2M 12mm</v>
          </cell>
          <cell r="F584">
            <v>11</v>
          </cell>
          <cell r="G584">
            <v>11</v>
          </cell>
          <cell r="H584">
            <v>11</v>
          </cell>
          <cell r="I584">
            <v>0</v>
          </cell>
          <cell r="J584" t="str">
            <v>BROOKS</v>
          </cell>
          <cell r="K584" t="str">
            <v>Pr.Sch.R</v>
          </cell>
          <cell r="L584" t="str">
            <v>MOLDED</v>
          </cell>
          <cell r="M584">
            <v>1</v>
          </cell>
        </row>
        <row r="585">
          <cell r="A585" t="str">
            <v>F-2025-11-150</v>
          </cell>
          <cell r="B585" t="str">
            <v>RPRO-251107-0387</v>
          </cell>
          <cell r="C585" t="str">
            <v>BDB-000149</v>
          </cell>
          <cell r="D585" t="str">
            <v>PVN-002827</v>
          </cell>
          <cell r="E585" t="str">
            <v>OrthoLite Regular-Hybrid-Nike SEEDPEARL/12-0703TPX Hybrid Flat Sheet 0.11D 25+/-4 Asker C 1.1M 2M 5mm</v>
          </cell>
          <cell r="F585">
            <v>560</v>
          </cell>
          <cell r="G585">
            <v>560</v>
          </cell>
          <cell r="H585">
            <v>560</v>
          </cell>
          <cell r="I585">
            <v>0</v>
          </cell>
          <cell r="J585" t="str">
            <v>NIKE</v>
          </cell>
          <cell r="K585" t="str">
            <v>Pr.Sch.R</v>
          </cell>
          <cell r="L585" t="str">
            <v>MOLDED</v>
          </cell>
          <cell r="M585">
            <v>1</v>
          </cell>
        </row>
        <row r="586">
          <cell r="A586" t="str">
            <v>F-2025-11-151</v>
          </cell>
          <cell r="B586" t="str">
            <v>RPRO-251107-0388</v>
          </cell>
          <cell r="C586" t="str">
            <v>BDB-000123</v>
          </cell>
          <cell r="D586" t="str">
            <v>PVN-002539</v>
          </cell>
          <cell r="E586" t="str">
            <v>OrthoLite Ultra-Hybrid SEEDPEARL/12-0703TPX Hybrid Flat Sheet 0.085D 25+/-4 Asker C 1.1M 2M 5mm</v>
          </cell>
          <cell r="F586">
            <v>364</v>
          </cell>
          <cell r="G586">
            <v>364</v>
          </cell>
          <cell r="H586">
            <v>364</v>
          </cell>
          <cell r="I586">
            <v>0</v>
          </cell>
          <cell r="J586" t="str">
            <v>BROOKS</v>
          </cell>
          <cell r="K586" t="str">
            <v>Pr.Sch.R</v>
          </cell>
          <cell r="L586" t="str">
            <v>DIE CUT</v>
          </cell>
          <cell r="M586">
            <v>1</v>
          </cell>
        </row>
        <row r="587">
          <cell r="A587" t="str">
            <v>F-2025-11-152</v>
          </cell>
          <cell r="B587" t="str">
            <v>RPRO-251107-0389</v>
          </cell>
          <cell r="C587" t="str">
            <v>BDB-000218</v>
          </cell>
          <cell r="D587" t="str">
            <v>PVN-003488</v>
          </cell>
          <cell r="E587" t="str">
            <v>OrthoLite Ultra-Nike SEEDPEARL/12-0703TPX Flat Sheet 0.085D 5-10 Asker C 1.1M 2M 4mm</v>
          </cell>
          <cell r="F587">
            <v>980</v>
          </cell>
          <cell r="G587">
            <v>980</v>
          </cell>
          <cell r="H587">
            <v>0</v>
          </cell>
          <cell r="I587">
            <v>980</v>
          </cell>
          <cell r="J587" t="str">
            <v>NIKE</v>
          </cell>
          <cell r="K587" t="str">
            <v>Pr.Sch.R</v>
          </cell>
          <cell r="L587" t="str">
            <v>DIE CUT</v>
          </cell>
          <cell r="M587">
            <v>1</v>
          </cell>
        </row>
        <row r="588">
          <cell r="A588" t="str">
            <v>F-2025-11-153</v>
          </cell>
          <cell r="B588" t="str">
            <v>RPRO-251107-0390</v>
          </cell>
          <cell r="C588" t="str">
            <v>BDB-000213</v>
          </cell>
          <cell r="D588" t="str">
            <v>PVN-003752</v>
          </cell>
          <cell r="E588" t="str">
            <v>OrthoLite X-25-Hybrid SEEDPEARL/12-0703TPX Hybrid Flat Sheet 0.12D 20+/-4 Asker C 1.1M 1.47M 4.5mm</v>
          </cell>
          <cell r="F588">
            <v>31</v>
          </cell>
          <cell r="G588">
            <v>31</v>
          </cell>
          <cell r="H588">
            <v>31</v>
          </cell>
          <cell r="I588">
            <v>0</v>
          </cell>
          <cell r="J588" t="str">
            <v>ON RUNNING</v>
          </cell>
          <cell r="K588" t="str">
            <v>Pr.Sch.R</v>
          </cell>
          <cell r="L588" t="str">
            <v>MOLDED</v>
          </cell>
          <cell r="M588">
            <v>1</v>
          </cell>
        </row>
        <row r="589">
          <cell r="A589" t="str">
            <v>F-2025-11-154</v>
          </cell>
          <cell r="B589" t="str">
            <v>RPRO-251107-0391</v>
          </cell>
          <cell r="C589" t="str">
            <v>BDB-000229</v>
          </cell>
          <cell r="D589" t="str">
            <v>PVN-003692</v>
          </cell>
          <cell r="E589" t="str">
            <v>OrthoLite Ultra-Hybrid SEEDPEARL/12-0703TPX Hybrid Flat Sheet 0.095D 33+/-4 Asker C 1.1M 2M 15.5mm</v>
          </cell>
          <cell r="F589">
            <v>64</v>
          </cell>
          <cell r="G589">
            <v>64</v>
          </cell>
          <cell r="H589">
            <v>64</v>
          </cell>
          <cell r="I589">
            <v>0</v>
          </cell>
          <cell r="J589" t="str">
            <v>GARMONT</v>
          </cell>
          <cell r="K589" t="str">
            <v>Pr.Sch.R</v>
          </cell>
          <cell r="L589" t="str">
            <v>MOLDED</v>
          </cell>
          <cell r="M589">
            <v>1</v>
          </cell>
        </row>
        <row r="590">
          <cell r="A590" t="str">
            <v>F-2025-11-155</v>
          </cell>
          <cell r="B590" t="str">
            <v>RPRO-251107-0392</v>
          </cell>
          <cell r="C590" t="str">
            <v>BDB-000332</v>
          </cell>
          <cell r="D590" t="str">
            <v>PVN-004146</v>
          </cell>
          <cell r="E590" t="str">
            <v>OrthoLite X-25 CASTLEROCK/18-0201TPX Flat Sheet 0.12D 20+/-4 Asker C 1.1M 2M 5.5mm</v>
          </cell>
          <cell r="F590">
            <v>275</v>
          </cell>
          <cell r="G590">
            <v>275</v>
          </cell>
          <cell r="H590">
            <v>275</v>
          </cell>
          <cell r="I590">
            <v>0</v>
          </cell>
          <cell r="J590" t="str">
            <v>ON RUNNING</v>
          </cell>
          <cell r="K590" t="str">
            <v>Pr.Sch.R</v>
          </cell>
          <cell r="L590" t="str">
            <v>MOLDED</v>
          </cell>
          <cell r="M590">
            <v>1</v>
          </cell>
        </row>
        <row r="591">
          <cell r="A591" t="str">
            <v>F-2025-11-156</v>
          </cell>
          <cell r="B591" t="str">
            <v>RPRO-251107-0393</v>
          </cell>
          <cell r="C591" t="str">
            <v>BDB-000076</v>
          </cell>
          <cell r="D591" t="str">
            <v>PVN-003494</v>
          </cell>
          <cell r="E591" t="str">
            <v>OrthoLite X-25 BILLIARD/16-5427TPX Flat Sheet 0.12D 20+/-4 Asker C 1.1M 2M 5.5mm</v>
          </cell>
          <cell r="F591">
            <v>225</v>
          </cell>
          <cell r="G591">
            <v>225</v>
          </cell>
          <cell r="H591">
            <v>225</v>
          </cell>
          <cell r="I591">
            <v>0</v>
          </cell>
          <cell r="J591" t="str">
            <v>ON RUNNING</v>
          </cell>
          <cell r="K591" t="str">
            <v>Pr.Sch.R</v>
          </cell>
          <cell r="L591" t="str">
            <v>MOLDED</v>
          </cell>
          <cell r="M591">
            <v>1</v>
          </cell>
        </row>
        <row r="592">
          <cell r="A592" t="str">
            <v>F-2025-11-157</v>
          </cell>
          <cell r="B592" t="str">
            <v>RPRO-251107-0394</v>
          </cell>
          <cell r="C592" t="str">
            <v>BDB-000125</v>
          </cell>
          <cell r="D592" t="str">
            <v>PVN-001412</v>
          </cell>
          <cell r="E592" t="str">
            <v>OrthoLite Regular-Nike AIR BLUE/16-4134TPX Flat Sheet 0.11D 25+/-4 Asker C 1.1M 2M 5mm</v>
          </cell>
          <cell r="F592">
            <v>28</v>
          </cell>
          <cell r="G592">
            <v>28</v>
          </cell>
          <cell r="H592">
            <v>28</v>
          </cell>
          <cell r="I592">
            <v>0</v>
          </cell>
          <cell r="J592" t="str">
            <v>NIKE</v>
          </cell>
          <cell r="K592" t="str">
            <v>Pr.Sch.R</v>
          </cell>
          <cell r="L592" t="str">
            <v>MOLDED</v>
          </cell>
          <cell r="M592">
            <v>1</v>
          </cell>
        </row>
        <row r="593">
          <cell r="A593" t="str">
            <v>F-2025-11-158</v>
          </cell>
          <cell r="B593" t="str">
            <v>RPRO-251107-0395</v>
          </cell>
          <cell r="C593" t="str">
            <v>BDB-000336</v>
          </cell>
          <cell r="D593" t="str">
            <v>PVN-004168</v>
          </cell>
          <cell r="E593" t="str">
            <v>OrthoLite X-40-Nike SEEDPEARL/12-0703TPX Flat Sheet 0.16D 35+/-4 Asker C 1.1M 2M 4.5mm</v>
          </cell>
          <cell r="F593">
            <v>124</v>
          </cell>
          <cell r="G593">
            <v>124</v>
          </cell>
          <cell r="H593">
            <v>124</v>
          </cell>
          <cell r="I593">
            <v>0</v>
          </cell>
          <cell r="J593" t="str">
            <v>NIKE</v>
          </cell>
          <cell r="K593" t="str">
            <v>Pr.Sch.R</v>
          </cell>
          <cell r="L593" t="str">
            <v>MOLDED</v>
          </cell>
          <cell r="M593">
            <v>1</v>
          </cell>
        </row>
        <row r="594">
          <cell r="A594" t="str">
            <v>F-2025-11-159</v>
          </cell>
          <cell r="B594" t="str">
            <v>RPRO-251107-0396</v>
          </cell>
          <cell r="C594" t="str">
            <v>BDB-000212</v>
          </cell>
          <cell r="D594" t="str">
            <v>PVN-003458</v>
          </cell>
          <cell r="E594" t="str">
            <v>OrthoLite X-25-Hybrid SEEDPEARL/12-0703TPX Hybrid Flat Sheet 0.12D 20+/-4 Asker C 1.1M 2M 4mm</v>
          </cell>
          <cell r="F594">
            <v>35</v>
          </cell>
          <cell r="G594">
            <v>35</v>
          </cell>
          <cell r="H594">
            <v>35</v>
          </cell>
          <cell r="I594">
            <v>0</v>
          </cell>
          <cell r="J594" t="str">
            <v>ON RUNNING</v>
          </cell>
          <cell r="K594" t="str">
            <v>Pr.Sch.R</v>
          </cell>
          <cell r="L594" t="str">
            <v>DIE CUT</v>
          </cell>
          <cell r="M594">
            <v>1</v>
          </cell>
        </row>
        <row r="595">
          <cell r="A595" t="str">
            <v>F-2025-11-160</v>
          </cell>
          <cell r="B595" t="str">
            <v>RPRO-251107-0397</v>
          </cell>
          <cell r="C595" t="str">
            <v>BDB-000113</v>
          </cell>
          <cell r="D595" t="str">
            <v>PVN-002503</v>
          </cell>
          <cell r="E595" t="str">
            <v>OrthoLite Regular-Hybrid SEEDPEARL/12-0703TPX Hybrid Flat Sheet 0.11D 25+/-4 Asker C 1.1M 2M 4mm</v>
          </cell>
          <cell r="F595">
            <v>70</v>
          </cell>
          <cell r="G595">
            <v>70</v>
          </cell>
          <cell r="H595">
            <v>70</v>
          </cell>
          <cell r="I595">
            <v>0</v>
          </cell>
          <cell r="J595" t="str">
            <v>ASICS</v>
          </cell>
          <cell r="K595" t="str">
            <v>Pr.Sch.R</v>
          </cell>
          <cell r="L595" t="str">
            <v>DIE CUT</v>
          </cell>
          <cell r="M595">
            <v>1</v>
          </cell>
        </row>
        <row r="596">
          <cell r="A596" t="str">
            <v>F-2025-11-161</v>
          </cell>
          <cell r="B596" t="str">
            <v>FPRO-251107-0001</v>
          </cell>
          <cell r="C596" t="str">
            <v>BDB-000097</v>
          </cell>
          <cell r="D596" t="str">
            <v>PVN-002478</v>
          </cell>
          <cell r="E596" t="str">
            <v>OrthoLite Eco LT-Hybrid SEEDPEARL/12-0703TPX Hybrid 0.11D 25+/-4 Asker C 1.1M 2M 4mm</v>
          </cell>
          <cell r="F596">
            <v>3000</v>
          </cell>
          <cell r="G596">
            <v>3000</v>
          </cell>
          <cell r="H596">
            <v>0</v>
          </cell>
          <cell r="I596">
            <v>3000</v>
          </cell>
          <cell r="J596" t="str">
            <v>NEW BALANCE</v>
          </cell>
          <cell r="K596" t="str">
            <v>Forecast</v>
          </cell>
          <cell r="L596" t="str">
            <v>DIE CUT</v>
          </cell>
          <cell r="M596">
            <v>1</v>
          </cell>
        </row>
        <row r="597">
          <cell r="A597" t="str">
            <v>F-2025-11-162</v>
          </cell>
          <cell r="B597" t="str">
            <v>FPRO-251107-0002</v>
          </cell>
          <cell r="C597" t="str">
            <v>BDB-000097</v>
          </cell>
          <cell r="D597" t="str">
            <v>PVN-002478</v>
          </cell>
          <cell r="E597" t="str">
            <v>OrthoLite Eco LT-Hybrid SEEDPEARL/12-0703TPX Hybrid 0.11D 25+/-4 Asker C 1.1M 2M 4mm</v>
          </cell>
          <cell r="F597">
            <v>3000</v>
          </cell>
          <cell r="G597">
            <v>3000</v>
          </cell>
          <cell r="H597">
            <v>0</v>
          </cell>
          <cell r="I597">
            <v>3000</v>
          </cell>
          <cell r="J597" t="str">
            <v>NEW BALANCE</v>
          </cell>
          <cell r="K597" t="str">
            <v>Forecast</v>
          </cell>
          <cell r="L597" t="str">
            <v>DIE CUT</v>
          </cell>
          <cell r="M597">
            <v>1</v>
          </cell>
        </row>
        <row r="598">
          <cell r="A598" t="str">
            <v>F-2025-11-163</v>
          </cell>
          <cell r="B598" t="str">
            <v>FPRO-251107-0003</v>
          </cell>
          <cell r="C598" t="str">
            <v>BDB-000097</v>
          </cell>
          <cell r="D598" t="str">
            <v>PVN-002478</v>
          </cell>
          <cell r="E598" t="str">
            <v>OrthoLite Eco LT-Hybrid SEEDPEARL/12-0703TPX Hybrid 0.11D 25+/-4 Asker C 1.1M 2M 4mm</v>
          </cell>
          <cell r="F598">
            <v>2400</v>
          </cell>
          <cell r="G598">
            <v>2400</v>
          </cell>
          <cell r="H598">
            <v>0</v>
          </cell>
          <cell r="I598">
            <v>2400</v>
          </cell>
          <cell r="J598" t="str">
            <v>NEW BALANCE</v>
          </cell>
          <cell r="K598" t="str">
            <v>Forecast</v>
          </cell>
          <cell r="L598" t="str">
            <v>DIE CUT</v>
          </cell>
          <cell r="M598">
            <v>1</v>
          </cell>
        </row>
        <row r="599">
          <cell r="A599" t="str">
            <v>F-2025-11-164</v>
          </cell>
          <cell r="B599" t="str">
            <v>RPRO-251110-0456</v>
          </cell>
          <cell r="C599" t="str">
            <v>BDB-000077</v>
          </cell>
          <cell r="D599" t="str">
            <v>PVN-003478</v>
          </cell>
          <cell r="E599" t="str">
            <v>Ortholite X-25 SEEDPEARL/12-0703TPX Flat Sheet 0.12D 20+/-4 Asker C 1.1M 2M 4mm</v>
          </cell>
          <cell r="F599">
            <v>35</v>
          </cell>
          <cell r="G599">
            <v>35</v>
          </cell>
          <cell r="H599">
            <v>35</v>
          </cell>
          <cell r="I599">
            <v>0</v>
          </cell>
          <cell r="J599"/>
          <cell r="K599" t="str">
            <v>MPS</v>
          </cell>
          <cell r="L599" t="str">
            <v>SPLITTING</v>
          </cell>
          <cell r="M599">
            <v>2</v>
          </cell>
        </row>
        <row r="600">
          <cell r="A600" t="str">
            <v>F-2025-11-165</v>
          </cell>
          <cell r="B600" t="str">
            <v>RPRO-251110-0457</v>
          </cell>
          <cell r="C600" t="str">
            <v>BDB-000010</v>
          </cell>
          <cell r="D600" t="str">
            <v>PVN-000099</v>
          </cell>
          <cell r="E600" t="str">
            <v>OrthoLite Regular AIR BLUE/16-4134TPX 0.11D 25+/-4 Asker C 1.1M 2M 2mm</v>
          </cell>
          <cell r="F600">
            <v>420</v>
          </cell>
          <cell r="G600">
            <v>420</v>
          </cell>
          <cell r="H600">
            <v>420</v>
          </cell>
          <cell r="I600">
            <v>0</v>
          </cell>
          <cell r="J600"/>
          <cell r="K600" t="str">
            <v>MPS</v>
          </cell>
          <cell r="L600" t="str">
            <v>SPLITTING</v>
          </cell>
          <cell r="M600">
            <v>2</v>
          </cell>
        </row>
        <row r="601">
          <cell r="A601" t="str">
            <v>F-2025-11-166</v>
          </cell>
          <cell r="B601" t="str">
            <v>RPRO-251110-0458</v>
          </cell>
          <cell r="C601" t="str">
            <v>BDB-000154</v>
          </cell>
          <cell r="D601" t="str">
            <v>PVN-003347</v>
          </cell>
          <cell r="E601" t="str">
            <v>OrthoLite X-40-Nike TRUE BLUE/19-4057TPX Flat Sheet 0.16D 35+/-4 Asker C 1.1M 1.7M 4mm</v>
          </cell>
          <cell r="F601">
            <v>245</v>
          </cell>
          <cell r="G601">
            <v>245</v>
          </cell>
          <cell r="H601">
            <v>245</v>
          </cell>
          <cell r="I601">
            <v>0</v>
          </cell>
          <cell r="J601"/>
          <cell r="K601" t="str">
            <v>MPS</v>
          </cell>
          <cell r="L601" t="str">
            <v>SPLITTING</v>
          </cell>
          <cell r="M601">
            <v>2</v>
          </cell>
        </row>
        <row r="602">
          <cell r="A602" t="str">
            <v>F-2025-11-167</v>
          </cell>
          <cell r="B602" t="str">
            <v>RPRO-251110-0459</v>
          </cell>
          <cell r="C602" t="str">
            <v>BDB-000235</v>
          </cell>
          <cell r="D602" t="str">
            <v>PVN-003576</v>
          </cell>
          <cell r="E602" t="str">
            <v>OrthoLite X-55-Hybrid FOSSIL/17-0909TPX Hybrid Flat Sheet 0.16D 25+/-4 Asker C 1.1M 1.7M 12mm</v>
          </cell>
          <cell r="F602">
            <v>1375</v>
          </cell>
          <cell r="G602">
            <v>1375</v>
          </cell>
          <cell r="H602">
            <v>0</v>
          </cell>
          <cell r="I602">
            <v>1375</v>
          </cell>
          <cell r="J602" t="str">
            <v>ASICS</v>
          </cell>
          <cell r="K602" t="str">
            <v>Pr.Sch.R</v>
          </cell>
          <cell r="L602" t="str">
            <v>MOLDED</v>
          </cell>
          <cell r="M602" t="str">
            <v>1-RM-WIP</v>
          </cell>
        </row>
        <row r="603">
          <cell r="A603" t="str">
            <v>F-2025-11-168</v>
          </cell>
          <cell r="B603" t="str">
            <v>RPRO-251110-0460</v>
          </cell>
          <cell r="C603" t="str">
            <v>BDB-000209</v>
          </cell>
          <cell r="D603" t="str">
            <v>PVN-003537</v>
          </cell>
          <cell r="E603" t="str">
            <v>OrthoLite HybridPlus-Recycled MINT GREEN/11-4805TPX Hybrid Flat Sheet 0.12D 25+/-4 Asker C 1.1M 2M 4.5mm</v>
          </cell>
          <cell r="F603">
            <v>186</v>
          </cell>
          <cell r="G603">
            <v>186</v>
          </cell>
          <cell r="H603">
            <v>186</v>
          </cell>
          <cell r="I603">
            <v>0</v>
          </cell>
          <cell r="J603" t="str">
            <v>AKU</v>
          </cell>
          <cell r="K603" t="str">
            <v>Pr.Sch.R</v>
          </cell>
          <cell r="L603" t="str">
            <v>MOLDED</v>
          </cell>
          <cell r="M603">
            <v>1</v>
          </cell>
        </row>
        <row r="604">
          <cell r="A604" t="str">
            <v>F-2025-11-169</v>
          </cell>
          <cell r="B604" t="str">
            <v>RPRO-251110-0461</v>
          </cell>
          <cell r="C604" t="str">
            <v>BDB-000123</v>
          </cell>
          <cell r="D604" t="str">
            <v>PVN-003743</v>
          </cell>
          <cell r="E604" t="str">
            <v>OrthoLite Ultra-Hybrid SEEDPEARL/12-0703TPX Hybrid Flat Sheet 0.085D 25+/-4 Asker C 1.1M 2M 5.5mm</v>
          </cell>
          <cell r="F604">
            <v>100</v>
          </cell>
          <cell r="G604">
            <v>100</v>
          </cell>
          <cell r="H604">
            <v>100</v>
          </cell>
          <cell r="I604">
            <v>0</v>
          </cell>
          <cell r="J604" t="str">
            <v>LOWA</v>
          </cell>
          <cell r="K604" t="str">
            <v>Pr.Sch.R</v>
          </cell>
          <cell r="L604" t="str">
            <v>MOLDED</v>
          </cell>
          <cell r="M604">
            <v>1</v>
          </cell>
        </row>
        <row r="605">
          <cell r="A605" t="str">
            <v>F-2025-11-170</v>
          </cell>
          <cell r="B605" t="str">
            <v>RPRO-251110-0462</v>
          </cell>
          <cell r="C605" t="str">
            <v>BDB-000113</v>
          </cell>
          <cell r="D605" t="str">
            <v>PVN-002465</v>
          </cell>
          <cell r="E605" t="str">
            <v>OrthoLite Regular-Hybrid SEEDPEARL/12-0703TPX Hybrid Flat Sheet 0.11D 25+/-4 Asker C 1.1M 2M 5mm</v>
          </cell>
          <cell r="F605">
            <v>588</v>
          </cell>
          <cell r="G605">
            <v>588</v>
          </cell>
          <cell r="H605">
            <v>0</v>
          </cell>
          <cell r="I605">
            <v>588</v>
          </cell>
          <cell r="J605" t="str">
            <v>ASICS</v>
          </cell>
          <cell r="K605" t="str">
            <v>Pr.Sch.R</v>
          </cell>
          <cell r="L605" t="str">
            <v>DIE CUT</v>
          </cell>
          <cell r="M605">
            <v>1</v>
          </cell>
        </row>
        <row r="606">
          <cell r="A606" t="str">
            <v>F-2025-11-171</v>
          </cell>
          <cell r="B606" t="str">
            <v>RPRO-251110-0463</v>
          </cell>
          <cell r="C606" t="str">
            <v>BDB-000234</v>
          </cell>
          <cell r="D606" t="str">
            <v>PVN-003581</v>
          </cell>
          <cell r="E606" t="str">
            <v>OrthoLite X-30-Hybrid BROWN SUGAR/17-1134TPX Hybrid Flat Sheet 0.13D 25+/-4 Asker C 1.1M 2M 12mm</v>
          </cell>
          <cell r="F606">
            <v>11</v>
          </cell>
          <cell r="G606">
            <v>11</v>
          </cell>
          <cell r="H606">
            <v>0</v>
          </cell>
          <cell r="I606">
            <v>11</v>
          </cell>
          <cell r="J606" t="str">
            <v>ASICS</v>
          </cell>
          <cell r="K606" t="str">
            <v>Pr.Sch.R</v>
          </cell>
          <cell r="L606" t="str">
            <v>MOLDED</v>
          </cell>
          <cell r="M606" t="str">
            <v>1-RM-WIP</v>
          </cell>
        </row>
        <row r="607">
          <cell r="A607" t="str">
            <v>F-2025-11-172</v>
          </cell>
          <cell r="B607" t="str">
            <v>RPRO-251110-0464</v>
          </cell>
          <cell r="C607" t="str">
            <v>BDB-000212</v>
          </cell>
          <cell r="D607" t="str">
            <v>PVN-003530</v>
          </cell>
          <cell r="E607" t="str">
            <v>OrthoLite X-25-Hybrid SEEDPEARL/12-0703TPX Hybrid Flat Sheet 0.12D 20+/-4 Asker C 1.1M 2M 8.2mm</v>
          </cell>
          <cell r="F607">
            <v>255</v>
          </cell>
          <cell r="G607">
            <v>255</v>
          </cell>
          <cell r="H607">
            <v>0</v>
          </cell>
          <cell r="I607">
            <v>255</v>
          </cell>
          <cell r="J607" t="str">
            <v>BABOLAT</v>
          </cell>
          <cell r="K607" t="str">
            <v>Pr.Sch.R</v>
          </cell>
          <cell r="L607" t="str">
            <v>MOLDED</v>
          </cell>
          <cell r="M607">
            <v>1</v>
          </cell>
        </row>
        <row r="608">
          <cell r="A608" t="str">
            <v>F-2025-11-173</v>
          </cell>
          <cell r="B608" t="str">
            <v>RPRO-251110-0465</v>
          </cell>
          <cell r="C608" t="str">
            <v>BDB-000054</v>
          </cell>
          <cell r="D608" t="str">
            <v>PVN-003895</v>
          </cell>
          <cell r="E608" t="str">
            <v>OrthoLite X-40 RED/19-1764TPX Flat Sheet 0.16D 25+/-4 Asker C 1.1M 1.7M 5mm</v>
          </cell>
          <cell r="F608">
            <v>56</v>
          </cell>
          <cell r="G608">
            <v>56</v>
          </cell>
          <cell r="H608">
            <v>0</v>
          </cell>
          <cell r="I608">
            <v>56</v>
          </cell>
          <cell r="J608" t="str">
            <v>PAYNTR</v>
          </cell>
          <cell r="K608" t="str">
            <v>Pr.Sch.R</v>
          </cell>
          <cell r="L608" t="str">
            <v>MOLDED</v>
          </cell>
          <cell r="M608">
            <v>1</v>
          </cell>
        </row>
        <row r="609">
          <cell r="A609" t="str">
            <v>F-2025-11-174</v>
          </cell>
          <cell r="B609" t="str">
            <v>RPRO-251110-0466</v>
          </cell>
          <cell r="C609" t="str">
            <v>BDB-000217</v>
          </cell>
          <cell r="D609" t="str">
            <v>PVN-003539</v>
          </cell>
          <cell r="E609" t="str">
            <v>OrthoLite X-40-Hybrid SEEDPEARL/12-0703TPX Hybrid Flat Sheet 0.16D 35+/-4 Asker C 1.1M 1.7M 6.2mm</v>
          </cell>
          <cell r="F609">
            <v>506</v>
          </cell>
          <cell r="G609">
            <v>506</v>
          </cell>
          <cell r="H609">
            <v>0</v>
          </cell>
          <cell r="I609">
            <v>506</v>
          </cell>
          <cell r="J609" t="str">
            <v>BROOKS</v>
          </cell>
          <cell r="K609" t="str">
            <v>Pr.Sch.R</v>
          </cell>
          <cell r="L609" t="str">
            <v>MOLDED</v>
          </cell>
          <cell r="M609">
            <v>1</v>
          </cell>
        </row>
        <row r="610">
          <cell r="A610" t="str">
            <v>F-2025-11-175</v>
          </cell>
          <cell r="B610" t="str">
            <v>RPRO-251110-0467</v>
          </cell>
          <cell r="C610" t="str">
            <v>BDB-000156</v>
          </cell>
          <cell r="D610" t="str">
            <v>PVN-003243</v>
          </cell>
          <cell r="E610" t="str">
            <v>OrthoLite X-35-Hybrid-Nike AMAZON/18-6024TPX Hybrid Flat Sheet 0.145D 25+/-4 Asker C 1.1M 2M 5.2mm</v>
          </cell>
          <cell r="F610">
            <v>520</v>
          </cell>
          <cell r="G610">
            <v>520</v>
          </cell>
          <cell r="H610">
            <v>0</v>
          </cell>
          <cell r="I610">
            <v>520</v>
          </cell>
          <cell r="J610" t="str">
            <v>NIKE</v>
          </cell>
          <cell r="K610" t="str">
            <v>Pr.Sch.R</v>
          </cell>
          <cell r="L610" t="str">
            <v>MOLDED</v>
          </cell>
          <cell r="M610">
            <v>1</v>
          </cell>
        </row>
        <row r="611">
          <cell r="A611" t="str">
            <v>F-2025-11-176</v>
          </cell>
          <cell r="B611" t="str">
            <v>RPRO-251110-0468</v>
          </cell>
          <cell r="C611" t="str">
            <v>BDB-000213</v>
          </cell>
          <cell r="D611" t="str">
            <v>PVN-003752</v>
          </cell>
          <cell r="E611" t="str">
            <v>OrthoLite X-25-Hybrid SEEDPEARL/12-0703TPX Hybrid Flat Sheet 0.12D 20+/-4 Asker C 1.1M 1.47M 4.5mm</v>
          </cell>
          <cell r="F611">
            <v>620</v>
          </cell>
          <cell r="G611">
            <v>620</v>
          </cell>
          <cell r="H611">
            <v>0</v>
          </cell>
          <cell r="I611">
            <v>620</v>
          </cell>
          <cell r="J611" t="str">
            <v>ON RUNNING</v>
          </cell>
          <cell r="K611" t="str">
            <v>Pr.Sch.R</v>
          </cell>
          <cell r="L611" t="str">
            <v>MOLDED</v>
          </cell>
          <cell r="M611">
            <v>1</v>
          </cell>
        </row>
        <row r="612">
          <cell r="A612" t="str">
            <v>F-2025-11-177</v>
          </cell>
          <cell r="B612" t="str">
            <v>RPRO-251110-0469</v>
          </cell>
          <cell r="C612" t="str">
            <v>BDB-000011</v>
          </cell>
          <cell r="D612" t="str">
            <v>PVN-000121</v>
          </cell>
          <cell r="E612" t="str">
            <v>OrthoLite Regular AIR BLUE/16-4134TPX Flat Sheet 0.13D 35+/-4 Asker C 1.1M 2M 12mm</v>
          </cell>
          <cell r="F612">
            <v>88</v>
          </cell>
          <cell r="G612">
            <v>88</v>
          </cell>
          <cell r="H612">
            <v>88</v>
          </cell>
          <cell r="I612">
            <v>0</v>
          </cell>
          <cell r="J612" t="str">
            <v>ASICS</v>
          </cell>
          <cell r="K612" t="str">
            <v>Pr.Sch.R</v>
          </cell>
          <cell r="L612" t="str">
            <v>MOLDED</v>
          </cell>
          <cell r="M612" t="str">
            <v>1-RM-WIP</v>
          </cell>
        </row>
        <row r="613">
          <cell r="A613" t="str">
            <v>F-2025-11-178</v>
          </cell>
          <cell r="B613" t="str">
            <v>RPRO-251110-0470</v>
          </cell>
          <cell r="C613" t="str">
            <v>BDB-000113</v>
          </cell>
          <cell r="D613" t="str">
            <v>PVN-003796</v>
          </cell>
          <cell r="E613" t="str">
            <v>OrthoLite Regular-Hybrid SEEDPEARL/12-0703TPX Hybrid Flat Sheet 0.11D 25+/-4 Asker C 1.1M 2M 3.5mm</v>
          </cell>
          <cell r="F613">
            <v>80</v>
          </cell>
          <cell r="G613">
            <v>80</v>
          </cell>
          <cell r="H613">
            <v>80</v>
          </cell>
          <cell r="I613">
            <v>0</v>
          </cell>
          <cell r="J613" t="str">
            <v>ASICS</v>
          </cell>
          <cell r="K613" t="str">
            <v>Pr.Sch.R</v>
          </cell>
          <cell r="L613" t="str">
            <v>DIE CUT</v>
          </cell>
          <cell r="M613">
            <v>1</v>
          </cell>
        </row>
        <row r="614">
          <cell r="A614" t="str">
            <v>F-2025-11-179</v>
          </cell>
          <cell r="B614" t="str">
            <v>RPRO-251110-0471</v>
          </cell>
          <cell r="C614" t="str">
            <v>BDB-000229</v>
          </cell>
          <cell r="D614" t="str">
            <v>PVN-003692</v>
          </cell>
          <cell r="E614" t="str">
            <v>OrthoLite Ultra-Hybrid SEEDPEARL/12-0703TPX Hybrid Flat Sheet 0.095D 33+/-4 Asker C 1.1M 2M 15.5mm</v>
          </cell>
          <cell r="F614">
            <v>56</v>
          </cell>
          <cell r="G614">
            <v>56</v>
          </cell>
          <cell r="H614">
            <v>56</v>
          </cell>
          <cell r="I614">
            <v>0</v>
          </cell>
          <cell r="J614" t="str">
            <v>GARMONT</v>
          </cell>
          <cell r="K614" t="str">
            <v>Pr.Sch.R</v>
          </cell>
          <cell r="L614" t="str">
            <v>MOLDED</v>
          </cell>
          <cell r="M614">
            <v>1</v>
          </cell>
        </row>
        <row r="615">
          <cell r="A615" t="str">
            <v>F-2025-11-180</v>
          </cell>
          <cell r="B615" t="str">
            <v>RPRO-251110-0472</v>
          </cell>
          <cell r="C615" t="str">
            <v>BDB-000317</v>
          </cell>
          <cell r="D615" t="str">
            <v>PVN-004076</v>
          </cell>
          <cell r="E615" t="str">
            <v>OrthoLite Regular NEUTRAL GRAY/17-4402TPX Flat Sheet 0.13D 15+/-4 Asker C 1.1M 2M 24mm</v>
          </cell>
          <cell r="F615">
            <v>30</v>
          </cell>
          <cell r="G615">
            <v>30</v>
          </cell>
          <cell r="H615">
            <v>30</v>
          </cell>
          <cell r="I615">
            <v>0</v>
          </cell>
          <cell r="J615" t="str">
            <v>ASICS</v>
          </cell>
          <cell r="K615" t="str">
            <v>Pr.Sch.R</v>
          </cell>
          <cell r="L615" t="str">
            <v>MOLDED</v>
          </cell>
          <cell r="M615">
            <v>1</v>
          </cell>
        </row>
        <row r="616">
          <cell r="A616" t="str">
            <v>F-2025-11-181</v>
          </cell>
          <cell r="B616" t="str">
            <v>RPRO-251110-0473</v>
          </cell>
          <cell r="C616" t="str">
            <v>BDB-000325</v>
          </cell>
          <cell r="D616" t="str">
            <v>PVN-004115</v>
          </cell>
          <cell r="E616" t="str">
            <v>OrthoLite X-40 TRUE BLUE/19-4057TPX Flat Sheet 0.16D 35+/-4 Asker C 1.1M 2M 4mm</v>
          </cell>
          <cell r="F616">
            <v>70</v>
          </cell>
          <cell r="G616">
            <v>70</v>
          </cell>
          <cell r="H616">
            <v>70</v>
          </cell>
          <cell r="I616">
            <v>0</v>
          </cell>
          <cell r="J616" t="str">
            <v>ASICS</v>
          </cell>
          <cell r="K616" t="str">
            <v>Pr.Sch.R</v>
          </cell>
          <cell r="L616" t="str">
            <v>MOLDED</v>
          </cell>
          <cell r="M616">
            <v>1</v>
          </cell>
        </row>
        <row r="617">
          <cell r="A617" t="str">
            <v>F-2025-11-182</v>
          </cell>
          <cell r="B617" t="str">
            <v>RPRO-251110-0474</v>
          </cell>
          <cell r="C617" t="str">
            <v>BDB-000217</v>
          </cell>
          <cell r="D617" t="str">
            <v>PVN-003483</v>
          </cell>
          <cell r="E617" t="str">
            <v>OrthoLite X-40-Hybrid SEEDPEARL/12-0703TPX Hybrid Flat Sheet 0.16D 35+/-4 Asker C 1.1M 1.7M 12mm</v>
          </cell>
          <cell r="F617">
            <v>11</v>
          </cell>
          <cell r="G617">
            <v>11</v>
          </cell>
          <cell r="H617">
            <v>11</v>
          </cell>
          <cell r="I617">
            <v>0</v>
          </cell>
          <cell r="J617" t="str">
            <v>BROOKS</v>
          </cell>
          <cell r="K617" t="str">
            <v>Pr.Sch.R</v>
          </cell>
          <cell r="L617" t="str">
            <v>MOLDED</v>
          </cell>
          <cell r="M617">
            <v>1</v>
          </cell>
        </row>
        <row r="618">
          <cell r="A618" t="str">
            <v>F-2025-11-183</v>
          </cell>
          <cell r="B618" t="str">
            <v>RPRO-251110-0475</v>
          </cell>
          <cell r="C618" t="str">
            <v>BDB-000319</v>
          </cell>
          <cell r="D618" t="str">
            <v>PVN-004081</v>
          </cell>
          <cell r="E618" t="str">
            <v>OrthoLite X-40-Hybrid-Nike SEEDPEARL/12-0703TPX Hybrid Flat Sheet 0.16D 25+/-4 Asker C 1.1M 2M 6mm</v>
          </cell>
          <cell r="F618">
            <v>138</v>
          </cell>
          <cell r="G618">
            <v>138</v>
          </cell>
          <cell r="H618">
            <v>0</v>
          </cell>
          <cell r="I618">
            <v>138</v>
          </cell>
          <cell r="J618" t="str">
            <v>NIKE</v>
          </cell>
          <cell r="K618" t="str">
            <v>Pr.Sch.R</v>
          </cell>
          <cell r="L618" t="str">
            <v>MOLDED</v>
          </cell>
          <cell r="M618">
            <v>1</v>
          </cell>
        </row>
        <row r="619">
          <cell r="A619" t="str">
            <v>F-2025-11-184</v>
          </cell>
          <cell r="B619" t="str">
            <v>RPRO-251110-0476</v>
          </cell>
          <cell r="C619" t="str">
            <v>BDB-000067</v>
          </cell>
          <cell r="D619" t="str">
            <v>PVN-002129</v>
          </cell>
          <cell r="E619" t="str">
            <v>OrthoLite Ultra SEEDPEARL/12-0703TPX Flat Sheet 0.085D 25+/-4 Asker C 1.1M 2M 6mm</v>
          </cell>
          <cell r="F619">
            <v>299</v>
          </cell>
          <cell r="G619">
            <v>299</v>
          </cell>
          <cell r="H619">
            <v>0</v>
          </cell>
          <cell r="I619">
            <v>299</v>
          </cell>
          <cell r="J619" t="str">
            <v>BABOLAT</v>
          </cell>
          <cell r="K619" t="str">
            <v>Pr.Sch.R</v>
          </cell>
          <cell r="L619" t="str">
            <v>DIE CUT</v>
          </cell>
          <cell r="M619">
            <v>1</v>
          </cell>
        </row>
        <row r="620">
          <cell r="A620" t="str">
            <v>F-2025-11-185-1</v>
          </cell>
          <cell r="B620" t="str">
            <v>RPRO-251110-0477</v>
          </cell>
          <cell r="C620" t="str">
            <v>BDB-000165</v>
          </cell>
          <cell r="D620" t="str">
            <v>PVN-002053</v>
          </cell>
          <cell r="E620" t="str">
            <v>OrthoLite Ultra-Nike LIME GREEN/14-0452TPX Flat Sheet 0.085D 15+/-4 Asker C 1.1M 2M 5mm</v>
          </cell>
          <cell r="F620">
            <v>2968</v>
          </cell>
          <cell r="G620">
            <v>1000</v>
          </cell>
          <cell r="H620">
            <v>0</v>
          </cell>
          <cell r="I620">
            <v>1000</v>
          </cell>
          <cell r="J620" t="str">
            <v>NIKE</v>
          </cell>
          <cell r="K620" t="str">
            <v>Pr.Sch.R</v>
          </cell>
          <cell r="L620" t="str">
            <v>DIE CUT</v>
          </cell>
          <cell r="M620">
            <v>1</v>
          </cell>
        </row>
        <row r="621">
          <cell r="A621" t="str">
            <v>F-2025-11-185-2</v>
          </cell>
          <cell r="B621" t="str">
            <v>RPRO-251112-0330</v>
          </cell>
          <cell r="C621" t="str">
            <v>BDB-000165</v>
          </cell>
          <cell r="D621" t="str">
            <v>PVN-002053</v>
          </cell>
          <cell r="E621" t="str">
            <v>OrthoLite Ultra-Nike LIME GREEN/14-0452TPX Flat Sheet 0.085D 15+/-4 Asker C 1.1M 2M 5mm</v>
          </cell>
          <cell r="F621">
            <v>2968</v>
          </cell>
          <cell r="G621">
            <v>1000</v>
          </cell>
          <cell r="H621">
            <v>0</v>
          </cell>
          <cell r="I621">
            <v>1000</v>
          </cell>
          <cell r="J621" t="str">
            <v>NIKE</v>
          </cell>
          <cell r="K621" t="str">
            <v>Pr.Sch.R</v>
          </cell>
          <cell r="L621" t="str">
            <v>DIE CUT</v>
          </cell>
          <cell r="M621">
            <v>1</v>
          </cell>
        </row>
        <row r="622">
          <cell r="A622" t="str">
            <v>F-2025-11-185-3</v>
          </cell>
          <cell r="B622" t="str">
            <v>RPRO-251112-0331</v>
          </cell>
          <cell r="C622" t="str">
            <v>BDB-000165</v>
          </cell>
          <cell r="D622" t="str">
            <v>PVN-002053</v>
          </cell>
          <cell r="E622" t="str">
            <v>OrthoLite Ultra-Nike LIME GREEN/14-0452TPX Flat Sheet 0.085D 15+/-4 Asker C 1.1M 2M 5mm</v>
          </cell>
          <cell r="F622">
            <v>2968</v>
          </cell>
          <cell r="G622">
            <v>968</v>
          </cell>
          <cell r="H622">
            <v>0</v>
          </cell>
          <cell r="I622">
            <v>968</v>
          </cell>
          <cell r="J622" t="str">
            <v>NIKE</v>
          </cell>
          <cell r="K622" t="str">
            <v>Pr.Sch.R</v>
          </cell>
          <cell r="L622" t="str">
            <v>DIE CUT</v>
          </cell>
          <cell r="M622">
            <v>1</v>
          </cell>
        </row>
        <row r="623">
          <cell r="A623" t="str">
            <v>F-2025-11-186</v>
          </cell>
          <cell r="B623" t="str">
            <v>RPRO-251110-0478</v>
          </cell>
          <cell r="C623" t="str">
            <v>BDB-000347</v>
          </cell>
          <cell r="D623" t="str">
            <v>PVN-004192</v>
          </cell>
          <cell r="E623" t="str">
            <v>OrthoLite X-55-Hybrid SEEDPEARL/12-0703TPX Hybrid Flat Sheet 0.16D 25+/-4 Asker C 1.1M 2M 12mm</v>
          </cell>
          <cell r="F623">
            <v>1188</v>
          </cell>
          <cell r="G623">
            <v>1188</v>
          </cell>
          <cell r="H623">
            <v>0</v>
          </cell>
          <cell r="I623">
            <v>1188</v>
          </cell>
          <cell r="J623" t="str">
            <v>BROOKS</v>
          </cell>
          <cell r="K623" t="str">
            <v>Pr.Sch.R</v>
          </cell>
          <cell r="L623" t="str">
            <v>MOLDED</v>
          </cell>
          <cell r="M623">
            <v>1</v>
          </cell>
        </row>
        <row r="624">
          <cell r="A624" t="str">
            <v>F-2025-11-187</v>
          </cell>
          <cell r="B624" t="str">
            <v>RPRO-251110-0479</v>
          </cell>
          <cell r="C624" t="str">
            <v>BDB-000055</v>
          </cell>
          <cell r="D624" t="str">
            <v>PVN-004155</v>
          </cell>
          <cell r="E624" t="str">
            <v>OrthoLite X-40 TRUE BLUE/19-4057TPX Flat Sheet 0.16D 35+/-4 Asker C 1.1M 1.7M 3.2mm</v>
          </cell>
          <cell r="F624">
            <v>989</v>
          </cell>
          <cell r="G624">
            <v>989</v>
          </cell>
          <cell r="H624">
            <v>0</v>
          </cell>
          <cell r="I624">
            <v>989</v>
          </cell>
          <cell r="J624" t="str">
            <v>ADIDAS</v>
          </cell>
          <cell r="K624" t="str">
            <v>Pr.Sch.R</v>
          </cell>
          <cell r="L624" t="str">
            <v>MOLDED</v>
          </cell>
          <cell r="M624">
            <v>1</v>
          </cell>
        </row>
        <row r="625">
          <cell r="A625" t="str">
            <v>F-2025-11-188</v>
          </cell>
          <cell r="B625" t="str">
            <v>RPRO-251110-0480</v>
          </cell>
          <cell r="C625" t="str">
            <v>BDB-000324</v>
          </cell>
          <cell r="D625" t="str">
            <v>PVN-004110</v>
          </cell>
          <cell r="E625" t="str">
            <v>OrthoLite X-40 TRUE BLUE/19-4057TPX Flat Sheet 0.16D 25+/-4 Asker C 1.1M 2M 14.5mm</v>
          </cell>
          <cell r="F625">
            <v>63</v>
          </cell>
          <cell r="G625">
            <v>63</v>
          </cell>
          <cell r="H625">
            <v>0</v>
          </cell>
          <cell r="I625">
            <v>63</v>
          </cell>
          <cell r="J625" t="str">
            <v>LOWA</v>
          </cell>
          <cell r="K625" t="str">
            <v>Pr.Sch.R</v>
          </cell>
          <cell r="L625" t="str">
            <v>MOLDED</v>
          </cell>
          <cell r="M625">
            <v>1</v>
          </cell>
        </row>
        <row r="626">
          <cell r="A626" t="str">
            <v>F-2025-11-189</v>
          </cell>
          <cell r="B626" t="str">
            <v>RPRO-251111-0319</v>
          </cell>
          <cell r="C626" t="str">
            <v>BDB-000011</v>
          </cell>
          <cell r="D626" t="str">
            <v>PVN-000258</v>
          </cell>
          <cell r="E626" t="str">
            <v>OrthoLite Regular AIR BLUE/16-4134TPX Flat Sheet 0.13D 35+/-4 Asker C 1.1M 2M 2.5mm</v>
          </cell>
          <cell r="F626">
            <v>112</v>
          </cell>
          <cell r="G626">
            <v>112</v>
          </cell>
          <cell r="H626">
            <v>0</v>
          </cell>
          <cell r="I626">
            <v>112</v>
          </cell>
          <cell r="J626"/>
          <cell r="K626" t="str">
            <v>MPS</v>
          </cell>
          <cell r="L626" t="str">
            <v>SPLITTING</v>
          </cell>
          <cell r="M626">
            <v>2</v>
          </cell>
        </row>
        <row r="627">
          <cell r="A627" t="str">
            <v>F-2025-11-190</v>
          </cell>
          <cell r="B627" t="str">
            <v>RPRO-251111-0320</v>
          </cell>
          <cell r="C627" t="str">
            <v>BDB-000010</v>
          </cell>
          <cell r="D627" t="str">
            <v>PVN-000102</v>
          </cell>
          <cell r="E627" t="str">
            <v>OrthoLite Regular AIR BLUE/16-4134TPX Flat Sheet 0.11D 25+/-4 Asker C 1.1M 2M 4mm</v>
          </cell>
          <cell r="F627">
            <v>35</v>
          </cell>
          <cell r="G627">
            <v>35</v>
          </cell>
          <cell r="H627">
            <v>35</v>
          </cell>
          <cell r="I627">
            <v>0</v>
          </cell>
          <cell r="J627"/>
          <cell r="K627" t="str">
            <v>MPS</v>
          </cell>
          <cell r="L627" t="str">
            <v>SPLITTING</v>
          </cell>
          <cell r="M627">
            <v>2</v>
          </cell>
        </row>
        <row r="628">
          <cell r="A628" t="str">
            <v>F-2025-11-191</v>
          </cell>
          <cell r="B628" t="str">
            <v>RPRO-251111-0321</v>
          </cell>
          <cell r="C628" t="str">
            <v>BDB-000058</v>
          </cell>
          <cell r="D628" t="str">
            <v>PVN-001277</v>
          </cell>
          <cell r="E628" t="str">
            <v>OrthoLite Ultra GREEN/16-5932TPX Flat Sheet 0.085D 25+/-4 Asker C 1.1M 2M 4mm</v>
          </cell>
          <cell r="F628">
            <v>2205</v>
          </cell>
          <cell r="G628">
            <v>2205</v>
          </cell>
          <cell r="H628">
            <v>2205</v>
          </cell>
          <cell r="I628">
            <v>0</v>
          </cell>
          <cell r="J628"/>
          <cell r="K628" t="str">
            <v>MPS</v>
          </cell>
          <cell r="L628" t="str">
            <v>SPLITTING</v>
          </cell>
          <cell r="M628">
            <v>2</v>
          </cell>
        </row>
        <row r="629">
          <cell r="A629" t="str">
            <v>F-2025-11-192</v>
          </cell>
          <cell r="B629" t="str">
            <v>RPRO-251111-0322</v>
          </cell>
          <cell r="C629" t="str">
            <v>BDB-000180</v>
          </cell>
          <cell r="D629" t="str">
            <v>PVN-003236</v>
          </cell>
          <cell r="E629" t="str">
            <v>OrthoLite Eco LT-Hybrid-Converse SEEDPEARL/12-0703TPX Hybrid 0.13D 25+/-4 Asker C 1.1M 2M 5mm</v>
          </cell>
          <cell r="F629">
            <v>1708</v>
          </cell>
          <cell r="G629">
            <v>1708</v>
          </cell>
          <cell r="H629">
            <v>1708</v>
          </cell>
          <cell r="I629">
            <v>0</v>
          </cell>
          <cell r="J629"/>
          <cell r="K629" t="str">
            <v>MPS</v>
          </cell>
          <cell r="L629" t="str">
            <v>SPLITTING</v>
          </cell>
          <cell r="M629">
            <v>2</v>
          </cell>
        </row>
        <row r="630">
          <cell r="A630" t="str">
            <v>F-2025-11-193</v>
          </cell>
          <cell r="B630" t="str">
            <v>RPRO-251111-0323</v>
          </cell>
          <cell r="C630" t="str">
            <v>BDB-000123</v>
          </cell>
          <cell r="D630" t="str">
            <v>PVN-003300</v>
          </cell>
          <cell r="E630" t="str">
            <v>OrthoLite Ultra-Hybrid SEEDPEARL/12-0703TPX Hybrid Flat Sheet 0.085D 25+/-4 Asker C 1.1M 2M 2mm</v>
          </cell>
          <cell r="F630">
            <v>840</v>
          </cell>
          <cell r="G630">
            <v>840</v>
          </cell>
          <cell r="H630">
            <v>840</v>
          </cell>
          <cell r="I630">
            <v>0</v>
          </cell>
          <cell r="J630"/>
          <cell r="K630" t="str">
            <v>MPS</v>
          </cell>
          <cell r="L630" t="str">
            <v>SPLITTING</v>
          </cell>
          <cell r="M630">
            <v>2</v>
          </cell>
        </row>
        <row r="631">
          <cell r="A631" t="str">
            <v>F-2025-11-194</v>
          </cell>
          <cell r="B631" t="str">
            <v>RPRO-251111-0324</v>
          </cell>
          <cell r="C631" t="str">
            <v>BDB-000123</v>
          </cell>
          <cell r="D631" t="str">
            <v>PVN-003315</v>
          </cell>
          <cell r="E631" t="str">
            <v>OrthoLite Ultra-Hybrid SEEDPEARL/12-0703TPX Hybrid 0.085D 25+/-4 Asker C 1.1M 2M 3.5mm</v>
          </cell>
          <cell r="F631">
            <v>40</v>
          </cell>
          <cell r="G631">
            <v>40</v>
          </cell>
          <cell r="H631">
            <v>40</v>
          </cell>
          <cell r="I631">
            <v>0</v>
          </cell>
          <cell r="J631"/>
          <cell r="K631" t="str">
            <v>MPS</v>
          </cell>
          <cell r="L631" t="str">
            <v>SPLITTING</v>
          </cell>
          <cell r="M631">
            <v>2</v>
          </cell>
        </row>
        <row r="632">
          <cell r="A632" t="str">
            <v>F-2025-11-195</v>
          </cell>
          <cell r="B632" t="str">
            <v>RPRO-251111-0325</v>
          </cell>
          <cell r="C632" t="str">
            <v>BDB-000154</v>
          </cell>
          <cell r="D632" t="str">
            <v>PVN-003347</v>
          </cell>
          <cell r="E632" t="str">
            <v>OrthoLite X-40-Nike TRUE BLUE/19-4057TPX Flat Sheet 0.16D 35+/-4 Asker C 1.1M 1.7M 4mm</v>
          </cell>
          <cell r="F632">
            <v>70</v>
          </cell>
          <cell r="G632">
            <v>70</v>
          </cell>
          <cell r="H632">
            <v>70</v>
          </cell>
          <cell r="I632">
            <v>0</v>
          </cell>
          <cell r="J632"/>
          <cell r="K632" t="str">
            <v>MPS</v>
          </cell>
          <cell r="L632" t="str">
            <v>SPLITTING</v>
          </cell>
          <cell r="M632">
            <v>2</v>
          </cell>
        </row>
        <row r="633">
          <cell r="A633" t="str">
            <v>F-2025-11-196</v>
          </cell>
          <cell r="B633" t="str">
            <v>RPRO-251111-0326</v>
          </cell>
          <cell r="C633" t="str">
            <v>BDB-000077</v>
          </cell>
          <cell r="D633" t="str">
            <v>PVN-003513</v>
          </cell>
          <cell r="E633" t="str">
            <v>OrthoLite X-25 SEEDPEARL/12-0703TPX Flat Sheet 0.12D 20+/-4 Asker C 1.1M 2M 2mm</v>
          </cell>
          <cell r="F633">
            <v>70</v>
          </cell>
          <cell r="G633">
            <v>70</v>
          </cell>
          <cell r="H633">
            <v>0</v>
          </cell>
          <cell r="I633">
            <v>70</v>
          </cell>
          <cell r="J633"/>
          <cell r="K633" t="str">
            <v>MPS</v>
          </cell>
          <cell r="L633" t="str">
            <v>SPLITTING</v>
          </cell>
          <cell r="M633">
            <v>2</v>
          </cell>
        </row>
        <row r="634">
          <cell r="A634" t="str">
            <v>F-2025-11-197</v>
          </cell>
          <cell r="B634" t="str">
            <v>RPRO-251111-0327</v>
          </cell>
          <cell r="C634" t="str">
            <v>BDB-000235</v>
          </cell>
          <cell r="D634" t="str">
            <v>PVN-003576</v>
          </cell>
          <cell r="E634" t="str">
            <v>OrthoLite X-55-Hybrid FOSSIL/17-0909TPX Hybrid Flat Sheet 0.16D 25+/-4 Asker C 1.1M 1.7M 12mm</v>
          </cell>
          <cell r="F634">
            <v>165</v>
          </cell>
          <cell r="G634">
            <v>165</v>
          </cell>
          <cell r="H634">
            <v>0</v>
          </cell>
          <cell r="I634">
            <v>165</v>
          </cell>
          <cell r="J634" t="str">
            <v>ASICS</v>
          </cell>
          <cell r="K634" t="str">
            <v>Pr.Sch.R</v>
          </cell>
          <cell r="L634" t="str">
            <v>MOLDED</v>
          </cell>
          <cell r="M634" t="str">
            <v>1-RM-WIP</v>
          </cell>
        </row>
        <row r="635">
          <cell r="A635" t="str">
            <v>F-2025-11-198</v>
          </cell>
          <cell r="B635" t="str">
            <v>RPRO-251111-0328</v>
          </cell>
          <cell r="C635" t="str">
            <v>BDB-000076</v>
          </cell>
          <cell r="D635" t="str">
            <v>PVN-003448</v>
          </cell>
          <cell r="E635" t="str">
            <v>OrthoLite X-25 BILLIARD/16-5427TPX Flat Sheet 0.12D 20+/-4 Asker C 1.1M 2M 6.2mm</v>
          </cell>
          <cell r="F635">
            <v>22</v>
          </cell>
          <cell r="G635">
            <v>22</v>
          </cell>
          <cell r="H635">
            <v>22</v>
          </cell>
          <cell r="I635">
            <v>0</v>
          </cell>
          <cell r="J635" t="str">
            <v>ADIDAS</v>
          </cell>
          <cell r="K635" t="str">
            <v>Pr.Sch.R</v>
          </cell>
          <cell r="L635" t="str">
            <v>MOLDED</v>
          </cell>
          <cell r="M635">
            <v>1</v>
          </cell>
        </row>
        <row r="636">
          <cell r="A636" t="str">
            <v>F-2025-11-199</v>
          </cell>
          <cell r="B636" t="str">
            <v>RPRO-251111-0329</v>
          </cell>
          <cell r="C636" t="str">
            <v>BDB-000209</v>
          </cell>
          <cell r="D636" t="str">
            <v>PVN-003537</v>
          </cell>
          <cell r="E636" t="str">
            <v>OrthoLite HybridPlus-Recycled MINT GREEN/11-4805TPX Hybrid Flat Sheet 0.12D 25+/-4 Asker C 1.1M 2M 4.5mm</v>
          </cell>
          <cell r="F636">
            <v>31</v>
          </cell>
          <cell r="G636">
            <v>31</v>
          </cell>
          <cell r="H636">
            <v>31</v>
          </cell>
          <cell r="I636">
            <v>0</v>
          </cell>
          <cell r="J636" t="str">
            <v>AKU</v>
          </cell>
          <cell r="K636" t="str">
            <v>Pr.Sch.R</v>
          </cell>
          <cell r="L636" t="str">
            <v>MOLDED</v>
          </cell>
          <cell r="M636">
            <v>1</v>
          </cell>
        </row>
        <row r="637">
          <cell r="A637" t="str">
            <v>F-2025-11-200</v>
          </cell>
          <cell r="B637" t="str">
            <v>RPRO-251111-0330</v>
          </cell>
          <cell r="C637" t="str">
            <v>BDB-000209</v>
          </cell>
          <cell r="D637" t="str">
            <v>PVN-003462</v>
          </cell>
          <cell r="E637" t="str">
            <v>OrthoLite HybridPlus-Recycled MINT GREEN/11-4805TPX Hybrid Flat Sheet 0.12D 25+/-4 Asker C 1.1M 2M 12mm</v>
          </cell>
          <cell r="F637">
            <v>616</v>
          </cell>
          <cell r="G637">
            <v>616</v>
          </cell>
          <cell r="H637">
            <v>616</v>
          </cell>
          <cell r="I637">
            <v>0</v>
          </cell>
          <cell r="J637" t="str">
            <v>BROOKS</v>
          </cell>
          <cell r="K637" t="str">
            <v>Pr.Sch.R</v>
          </cell>
          <cell r="L637" t="str">
            <v>MOLDED</v>
          </cell>
          <cell r="M637">
            <v>1</v>
          </cell>
        </row>
        <row r="638">
          <cell r="A638" t="str">
            <v>F-2025-11-201</v>
          </cell>
          <cell r="B638" t="str">
            <v>RPRO-251111-0331</v>
          </cell>
          <cell r="C638" t="str">
            <v>BDB-000157</v>
          </cell>
          <cell r="D638" t="str">
            <v>PVN-003642</v>
          </cell>
          <cell r="E638" t="str">
            <v>OrthoLite X-35-Hybrid-Nike SEEDPEARL/12-0703TPX Hybrid Flat Sheet 0.145D 25+/-4 Asker C 1.1M 2M 6.2mm</v>
          </cell>
          <cell r="F638">
            <v>110</v>
          </cell>
          <cell r="G638">
            <v>110</v>
          </cell>
          <cell r="H638">
            <v>0</v>
          </cell>
          <cell r="I638">
            <v>110</v>
          </cell>
          <cell r="J638" t="str">
            <v>NIKE</v>
          </cell>
          <cell r="K638" t="str">
            <v>Pr.Sch.R</v>
          </cell>
          <cell r="L638" t="str">
            <v>MOLDED</v>
          </cell>
          <cell r="M638">
            <v>1</v>
          </cell>
        </row>
        <row r="639">
          <cell r="A639" t="str">
            <v>F-2025-11-202</v>
          </cell>
          <cell r="B639" t="str">
            <v>RPRO-251111-0332</v>
          </cell>
          <cell r="C639" t="str">
            <v>BDB-000113</v>
          </cell>
          <cell r="D639" t="str">
            <v>PVN-002465</v>
          </cell>
          <cell r="E639" t="str">
            <v>OrthoLite Regular-Hybrid SEEDPEARL/12-0703TPX Hybrid Flat Sheet 0.11D 25+/-4 Asker C 1.1M 2M 5mm</v>
          </cell>
          <cell r="F639">
            <v>896</v>
          </cell>
          <cell r="G639">
            <v>896</v>
          </cell>
          <cell r="H639">
            <v>0</v>
          </cell>
          <cell r="I639">
            <v>896</v>
          </cell>
          <cell r="J639" t="str">
            <v>ASICS</v>
          </cell>
          <cell r="K639" t="str">
            <v>Pr.Sch.R</v>
          </cell>
          <cell r="L639" t="str">
            <v>DIE CUT</v>
          </cell>
          <cell r="M639">
            <v>1</v>
          </cell>
        </row>
        <row r="640">
          <cell r="A640" t="str">
            <v>F-2025-11-203</v>
          </cell>
          <cell r="B640" t="str">
            <v>RPRO-251111-0333</v>
          </cell>
          <cell r="C640" t="str">
            <v>BDB-000010</v>
          </cell>
          <cell r="D640" t="str">
            <v>PVN-003437</v>
          </cell>
          <cell r="E640" t="str">
            <v>OrthoLite Regular AIR BLUE/16-4134TPX Flat Sheet 0.11D 25+/-4 Asker C 1.1M 2M 10.5mm</v>
          </cell>
          <cell r="F640">
            <v>276</v>
          </cell>
          <cell r="G640">
            <v>276</v>
          </cell>
          <cell r="H640">
            <v>276</v>
          </cell>
          <cell r="I640">
            <v>0</v>
          </cell>
          <cell r="J640" t="str">
            <v>TRAVIS MATHEW</v>
          </cell>
          <cell r="K640" t="str">
            <v>Pr.Sch.R</v>
          </cell>
          <cell r="L640" t="str">
            <v>MOLDED</v>
          </cell>
          <cell r="M640">
            <v>1</v>
          </cell>
        </row>
        <row r="641">
          <cell r="A641" t="str">
            <v>F-2025-11-204</v>
          </cell>
          <cell r="B641" t="str">
            <v>RPRO-251111-0334</v>
          </cell>
          <cell r="C641" t="str">
            <v>BDB-000242</v>
          </cell>
          <cell r="D641" t="str">
            <v>PVN-003614</v>
          </cell>
          <cell r="E641" t="str">
            <v>OrthoLite Regular GREY/17-1501TPX Flat Sheet 0.11D 5-10 Asker C 1.1M 2M 3.5mm</v>
          </cell>
          <cell r="F641">
            <v>640</v>
          </cell>
          <cell r="G641">
            <v>640</v>
          </cell>
          <cell r="H641">
            <v>640</v>
          </cell>
          <cell r="I641">
            <v>0</v>
          </cell>
          <cell r="J641" t="str">
            <v>TRAVIS MATHEW</v>
          </cell>
          <cell r="K641" t="str">
            <v>Pr.Sch.R</v>
          </cell>
          <cell r="L641" t="str">
            <v>MOLDED</v>
          </cell>
          <cell r="M641">
            <v>1</v>
          </cell>
        </row>
        <row r="642">
          <cell r="A642" t="str">
            <v>F-2025-11-205</v>
          </cell>
          <cell r="B642" t="str">
            <v>RPRO-251111-0335</v>
          </cell>
          <cell r="C642" t="str">
            <v>BDB-000156</v>
          </cell>
          <cell r="D642" t="str">
            <v>PVN-003243</v>
          </cell>
          <cell r="E642" t="str">
            <v>OrthoLite X-35-Hybrid-Nike AMAZON/18-6024TPX Hybrid Flat Sheet 0.145D 25+/-4 Asker C 1.1M 2M 5.2mm</v>
          </cell>
          <cell r="F642">
            <v>676</v>
          </cell>
          <cell r="G642">
            <v>676</v>
          </cell>
          <cell r="H642">
            <v>0</v>
          </cell>
          <cell r="I642">
            <v>676</v>
          </cell>
          <cell r="J642" t="str">
            <v>NIKE</v>
          </cell>
          <cell r="K642" t="str">
            <v>Pr.Sch.R</v>
          </cell>
          <cell r="L642" t="str">
            <v>MOLDED</v>
          </cell>
          <cell r="M642">
            <v>1</v>
          </cell>
        </row>
        <row r="643">
          <cell r="A643" t="str">
            <v>F-2025-11-206</v>
          </cell>
          <cell r="B643" t="str">
            <v>RPRO-251111-0336</v>
          </cell>
          <cell r="C643" t="str">
            <v>BDB-000125</v>
          </cell>
          <cell r="D643" t="str">
            <v>PVN-001412</v>
          </cell>
          <cell r="E643" t="str">
            <v>OrthoLite Regular-Nike AIR BLUE/16-4134TPX Flat Sheet 0.11D 25+/-4 Asker C 1.1M 2M 5mm</v>
          </cell>
          <cell r="F643">
            <v>1568</v>
          </cell>
          <cell r="G643">
            <v>1568</v>
          </cell>
          <cell r="H643">
            <v>1568</v>
          </cell>
          <cell r="I643">
            <v>0</v>
          </cell>
          <cell r="J643" t="str">
            <v>NIKE</v>
          </cell>
          <cell r="K643" t="str">
            <v>Pr.Sch.R</v>
          </cell>
          <cell r="L643" t="str">
            <v>MOLDED</v>
          </cell>
          <cell r="M643">
            <v>1</v>
          </cell>
        </row>
        <row r="644">
          <cell r="A644" t="str">
            <v>F-2025-11-207</v>
          </cell>
          <cell r="B644" t="str">
            <v>RPRO-251111-0337</v>
          </cell>
          <cell r="C644" t="str">
            <v>BDB-000126</v>
          </cell>
          <cell r="D644" t="str">
            <v>PVN-002325</v>
          </cell>
          <cell r="E644" t="str">
            <v>OrthoLite Regular-Nike RED/19-1764TPX Flat Sheet 0.11D 25+/-4 Asker C 1.1M 2M 5.2mm</v>
          </cell>
          <cell r="F644">
            <v>104</v>
          </cell>
          <cell r="G644">
            <v>104</v>
          </cell>
          <cell r="H644">
            <v>0</v>
          </cell>
          <cell r="I644">
            <v>104</v>
          </cell>
          <cell r="J644" t="str">
            <v>NIKE</v>
          </cell>
          <cell r="K644" t="str">
            <v>Pr.Sch.R</v>
          </cell>
          <cell r="L644" t="str">
            <v>MOLDED</v>
          </cell>
          <cell r="M644">
            <v>1</v>
          </cell>
        </row>
        <row r="645">
          <cell r="A645" t="str">
            <v>F-2025-11-208</v>
          </cell>
          <cell r="B645" t="str">
            <v>RPRO-251111-0338</v>
          </cell>
          <cell r="C645" t="str">
            <v>BDB-000319</v>
          </cell>
          <cell r="D645" t="str">
            <v>PVN-004081</v>
          </cell>
          <cell r="E645" t="str">
            <v>OrthoLite X-40-Hybrid-Nike SEEDPEARL/12-0703TPX Hybrid Flat Sheet 0.16D 25+/-4 Asker C 1.1M 2M 6mm</v>
          </cell>
          <cell r="F645">
            <v>46</v>
          </cell>
          <cell r="G645">
            <v>46</v>
          </cell>
          <cell r="H645">
            <v>0</v>
          </cell>
          <cell r="I645">
            <v>46</v>
          </cell>
          <cell r="J645" t="str">
            <v>NIKE</v>
          </cell>
          <cell r="K645" t="str">
            <v>Pr.Sch.R</v>
          </cell>
          <cell r="L645" t="str">
            <v>MOLDED</v>
          </cell>
          <cell r="M645">
            <v>1</v>
          </cell>
        </row>
        <row r="646">
          <cell r="A646" t="str">
            <v>F-2025-11-209</v>
          </cell>
          <cell r="B646" t="str">
            <v>RPRO-251111-0339</v>
          </cell>
          <cell r="C646" t="str">
            <v>BDB-000336</v>
          </cell>
          <cell r="D646" t="str">
            <v>PVN-004168</v>
          </cell>
          <cell r="E646" t="str">
            <v>OrthoLite X-40-Nike SEEDPEARL/12-0703TPX Flat Sheet 0.16D 35+/-4 Asker C 1.1M 2M 4.5mm</v>
          </cell>
          <cell r="F646">
            <v>124</v>
          </cell>
          <cell r="G646">
            <v>124</v>
          </cell>
          <cell r="H646">
            <v>124</v>
          </cell>
          <cell r="I646">
            <v>0</v>
          </cell>
          <cell r="J646" t="str">
            <v>NIKE</v>
          </cell>
          <cell r="K646" t="str">
            <v>Pr.Sch.R</v>
          </cell>
          <cell r="L646" t="str">
            <v>MOLDED</v>
          </cell>
          <cell r="M646">
            <v>1</v>
          </cell>
        </row>
        <row r="647">
          <cell r="A647" t="str">
            <v>F-2025-11-210</v>
          </cell>
          <cell r="B647" t="str">
            <v>RPRO-251111-0340</v>
          </cell>
          <cell r="C647" t="str">
            <v>BDB-000318</v>
          </cell>
          <cell r="D647" t="str">
            <v>PVN-004077</v>
          </cell>
          <cell r="E647" t="str">
            <v>OrthoLite X-55 RED/19-1764TPX Flat Sheet 0.16D 25+/-4 Asker C 1.1M 2M 5.2mm</v>
          </cell>
          <cell r="F647">
            <v>78</v>
          </cell>
          <cell r="G647">
            <v>78</v>
          </cell>
          <cell r="H647">
            <v>78</v>
          </cell>
          <cell r="I647">
            <v>0</v>
          </cell>
          <cell r="J647" t="str">
            <v>NEW BALANCE</v>
          </cell>
          <cell r="K647" t="str">
            <v>Pr.Sch.R</v>
          </cell>
          <cell r="L647" t="str">
            <v>MOLDED</v>
          </cell>
          <cell r="M647">
            <v>1</v>
          </cell>
        </row>
        <row r="648">
          <cell r="A648" t="str">
            <v>F-2025-11-211</v>
          </cell>
          <cell r="B648" t="str">
            <v>RPRO-251111-0341</v>
          </cell>
          <cell r="C648" t="str">
            <v>BDB-000347</v>
          </cell>
          <cell r="D648" t="str">
            <v>PVN-004193</v>
          </cell>
          <cell r="E648" t="str">
            <v>OrthoLite X-55-Hybrid SEEDPEARL/12-0703TPX Hybrid Flat Sheet 0.16D 25+/-4 Asker C 1.1M 2M 11mm</v>
          </cell>
          <cell r="F648">
            <v>12</v>
          </cell>
          <cell r="G648">
            <v>12</v>
          </cell>
          <cell r="H648">
            <v>12</v>
          </cell>
          <cell r="I648">
            <v>0</v>
          </cell>
          <cell r="J648" t="str">
            <v>DESCENTE</v>
          </cell>
          <cell r="K648" t="str">
            <v>Pr.Sch.R</v>
          </cell>
          <cell r="L648" t="str">
            <v>MOLDED</v>
          </cell>
          <cell r="M648">
            <v>1</v>
          </cell>
        </row>
        <row r="649">
          <cell r="A649" t="str">
            <v>F-2025-11-212</v>
          </cell>
          <cell r="B649" t="str">
            <v>RPRO-251112-0334</v>
          </cell>
          <cell r="C649" t="str">
            <v>BDB-000011</v>
          </cell>
          <cell r="D649" t="str">
            <v>PVN-000258</v>
          </cell>
          <cell r="E649" t="str">
            <v>OrthoLite Regular AIR BLUE/16-4134TPX Flat Sheet 0.13D 35+/-4 Asker C 1.1M 2M 2.5mm</v>
          </cell>
          <cell r="F649">
            <v>560</v>
          </cell>
          <cell r="G649">
            <v>560</v>
          </cell>
          <cell r="H649">
            <v>0</v>
          </cell>
          <cell r="I649">
            <v>560</v>
          </cell>
          <cell r="J649"/>
          <cell r="K649" t="str">
            <v>MPS</v>
          </cell>
          <cell r="L649" t="str">
            <v>SPLITTING</v>
          </cell>
          <cell r="M649">
            <v>2</v>
          </cell>
        </row>
        <row r="650">
          <cell r="A650" t="str">
            <v>F-2025-11-213-1</v>
          </cell>
          <cell r="B650" t="str">
            <v>RPRO-251112-0335</v>
          </cell>
          <cell r="C650" t="str">
            <v>BDB-000117</v>
          </cell>
          <cell r="D650" t="str">
            <v>PVN-003588</v>
          </cell>
          <cell r="E650" t="str">
            <v>OrthoLite X-35-Hybrid SEEDPEARL/12-0703TPX Hybrid 0.145D 25+/-4 Asker C 1.1M 2M 5mm</v>
          </cell>
          <cell r="F650">
            <v>28</v>
          </cell>
          <cell r="G650">
            <v>2</v>
          </cell>
          <cell r="H650">
            <v>0</v>
          </cell>
          <cell r="I650">
            <v>2</v>
          </cell>
          <cell r="J650"/>
          <cell r="K650" t="str">
            <v>MPS</v>
          </cell>
          <cell r="L650" t="str">
            <v>SPLITTING</v>
          </cell>
          <cell r="M650" t="str">
            <v>SLT</v>
          </cell>
        </row>
        <row r="651">
          <cell r="A651" t="str">
            <v>F-2025-11-213-2</v>
          </cell>
          <cell r="B651" t="str">
            <v>RPRO-251121-0439</v>
          </cell>
          <cell r="C651" t="str">
            <v>BDB-000117</v>
          </cell>
          <cell r="D651" t="str">
            <v>PVN-003588</v>
          </cell>
          <cell r="E651" t="str">
            <v>OrthoLite X-35-Hybrid SEEDPEARL/12-0703TPX Hybrid 0.145D 25+/-4 Asker C 1.1M 2M 5mm</v>
          </cell>
          <cell r="F651">
            <v>28</v>
          </cell>
          <cell r="G651">
            <v>26</v>
          </cell>
          <cell r="H651">
            <v>0</v>
          </cell>
          <cell r="I651">
            <v>26</v>
          </cell>
          <cell r="J651"/>
          <cell r="K651" t="str">
            <v>MPS</v>
          </cell>
          <cell r="L651" t="str">
            <v>SPLITTING</v>
          </cell>
          <cell r="M651">
            <v>2</v>
          </cell>
        </row>
        <row r="652">
          <cell r="A652" t="str">
            <v>F-2025-11-214-1</v>
          </cell>
          <cell r="B652" t="str">
            <v>RPRO-251120-0009</v>
          </cell>
          <cell r="C652" t="str">
            <v>BDB-000033</v>
          </cell>
          <cell r="D652" t="str">
            <v>PVN-003858</v>
          </cell>
          <cell r="E652" t="str">
            <v>OrthoLite Regular SEEDPEARL/12-0703TPX 0.13D 35+/-4 Asker C 1.1M 2M 5mm</v>
          </cell>
          <cell r="F652">
            <v>28</v>
          </cell>
          <cell r="G652">
            <v>15</v>
          </cell>
          <cell r="H652">
            <v>0</v>
          </cell>
          <cell r="I652">
            <v>15</v>
          </cell>
          <cell r="J652"/>
          <cell r="K652" t="str">
            <v>MPS</v>
          </cell>
          <cell r="L652" t="str">
            <v>SPLITTING</v>
          </cell>
          <cell r="M652" t="str">
            <v>SLT</v>
          </cell>
        </row>
        <row r="653">
          <cell r="A653" t="str">
            <v>F-2025-11-214-2</v>
          </cell>
          <cell r="B653" t="str">
            <v>RPRO-251121-0445</v>
          </cell>
          <cell r="C653" t="str">
            <v>BDB-000033</v>
          </cell>
          <cell r="D653" t="str">
            <v>PVN-003858</v>
          </cell>
          <cell r="E653" t="str">
            <v>OrthoLite Regular SEEDPEARL/12-0703TPX 0.13D 35+/-4 Asker C 1.1M 2M 5mm</v>
          </cell>
          <cell r="F653">
            <v>28</v>
          </cell>
          <cell r="G653">
            <v>13</v>
          </cell>
          <cell r="H653">
            <v>0</v>
          </cell>
          <cell r="I653">
            <v>13</v>
          </cell>
          <cell r="J653"/>
          <cell r="K653" t="str">
            <v>MPS</v>
          </cell>
          <cell r="L653" t="str">
            <v>SPLITTING</v>
          </cell>
          <cell r="M653">
            <v>2</v>
          </cell>
        </row>
        <row r="654">
          <cell r="A654" t="str">
            <v>F-2025-11-215-1</v>
          </cell>
          <cell r="B654" t="str">
            <v>RPRO-251112-0337</v>
          </cell>
          <cell r="C654" t="str">
            <v>BDB-000116</v>
          </cell>
          <cell r="D654" t="str">
            <v>PVN-004074</v>
          </cell>
          <cell r="E654" t="str">
            <v>OrthoLite Regular-Hybrid SEEDPEARL/12-0703TPX Hybrid Flat Sheet 0.13D 25+/-4 Asker C 1.1M 2M 2mm</v>
          </cell>
          <cell r="F654">
            <v>350</v>
          </cell>
          <cell r="G654">
            <v>300</v>
          </cell>
          <cell r="H654">
            <v>300</v>
          </cell>
          <cell r="I654">
            <v>0</v>
          </cell>
          <cell r="J654"/>
          <cell r="K654" t="str">
            <v>MPS</v>
          </cell>
          <cell r="L654" t="str">
            <v>SPLITTING</v>
          </cell>
          <cell r="M654" t="str">
            <v>SLT</v>
          </cell>
        </row>
        <row r="655">
          <cell r="A655" t="str">
            <v>F-2025-11-215-2</v>
          </cell>
          <cell r="B655" t="str">
            <v>RPRO-251121-0440</v>
          </cell>
          <cell r="C655" t="str">
            <v>BDB-000116</v>
          </cell>
          <cell r="D655" t="str">
            <v>PVN-004074</v>
          </cell>
          <cell r="E655" t="str">
            <v>OrthoLite Regular-Hybrid SEEDPEARL/12-0703TPX Hybrid Flat Sheet 0.13D 25+/-4 Asker C 1.1M 2M 2mm</v>
          </cell>
          <cell r="F655">
            <v>350</v>
          </cell>
          <cell r="G655">
            <v>50</v>
          </cell>
          <cell r="H655">
            <v>50</v>
          </cell>
          <cell r="I655">
            <v>0</v>
          </cell>
          <cell r="J655"/>
          <cell r="K655" t="str">
            <v>MPS</v>
          </cell>
          <cell r="L655" t="str">
            <v>SPLITTING</v>
          </cell>
          <cell r="M655">
            <v>2</v>
          </cell>
        </row>
        <row r="656">
          <cell r="A656" t="str">
            <v>F-2025-11-216-1</v>
          </cell>
          <cell r="B656" t="str">
            <v>RPRO-251120-0012</v>
          </cell>
          <cell r="C656" t="str">
            <v>BDB-000033</v>
          </cell>
          <cell r="D656" t="str">
            <v>PVN-004208</v>
          </cell>
          <cell r="E656" t="str">
            <v>OrthoLite Regular SEEDPEARL/12-0703TPX Flat Sheet 0.13D 35+/-4 Asker C 1.1M 2M 3mm</v>
          </cell>
          <cell r="F656">
            <v>46</v>
          </cell>
          <cell r="G656">
            <v>15</v>
          </cell>
          <cell r="H656">
            <v>0</v>
          </cell>
          <cell r="I656">
            <v>15</v>
          </cell>
          <cell r="J656"/>
          <cell r="K656" t="str">
            <v>MPS</v>
          </cell>
          <cell r="L656" t="str">
            <v>SPLITTING</v>
          </cell>
          <cell r="M656" t="str">
            <v>SLT</v>
          </cell>
        </row>
        <row r="657">
          <cell r="A657" t="str">
            <v>F-2025-11-216-2</v>
          </cell>
          <cell r="B657" t="str">
            <v>RPRO-251121-0446</v>
          </cell>
          <cell r="C657" t="str">
            <v>BDB-000033</v>
          </cell>
          <cell r="D657" t="str">
            <v>PVN-004208</v>
          </cell>
          <cell r="E657" t="str">
            <v>OrthoLite Regular SEEDPEARL/12-0703TPX Flat Sheet 0.13D 35+/-4 Asker C 1.1M 2M 3mm</v>
          </cell>
          <cell r="F657">
            <v>46</v>
          </cell>
          <cell r="G657">
            <v>31</v>
          </cell>
          <cell r="H657">
            <v>0</v>
          </cell>
          <cell r="I657">
            <v>31</v>
          </cell>
          <cell r="J657"/>
          <cell r="K657" t="str">
            <v>MPS</v>
          </cell>
          <cell r="L657" t="str">
            <v>SPLITTING</v>
          </cell>
          <cell r="M657">
            <v>2</v>
          </cell>
        </row>
        <row r="658">
          <cell r="A658" t="str">
            <v>F-2025-11-217-1</v>
          </cell>
          <cell r="B658" t="str">
            <v>RPRO-251120-0013</v>
          </cell>
          <cell r="C658" t="str">
            <v>BDB-000017</v>
          </cell>
          <cell r="D658" t="str">
            <v>PVN-004209</v>
          </cell>
          <cell r="E658" t="str">
            <v>OrthoLite Regular YELLOW/13-0858TPX 0.11D 15+/-4 Asker C 1.1M 1.7M 3mm</v>
          </cell>
          <cell r="F658">
            <v>46</v>
          </cell>
          <cell r="G658">
            <v>45</v>
          </cell>
          <cell r="H658">
            <v>0</v>
          </cell>
          <cell r="I658">
            <v>45</v>
          </cell>
          <cell r="J658"/>
          <cell r="K658" t="str">
            <v>MPS</v>
          </cell>
          <cell r="L658" t="str">
            <v>SPLITTING</v>
          </cell>
          <cell r="M658" t="str">
            <v>SLT</v>
          </cell>
        </row>
        <row r="659">
          <cell r="A659" t="str">
            <v>F-2025-11-217-2</v>
          </cell>
          <cell r="B659" t="str">
            <v>RPRO-251121-0447</v>
          </cell>
          <cell r="C659" t="str">
            <v>BDB-000017</v>
          </cell>
          <cell r="D659" t="str">
            <v>PVN-004209</v>
          </cell>
          <cell r="E659" t="str">
            <v>OrthoLite Regular YELLOW/13-0858TPX 0.11D 15+/-4 Asker C 1.1M 1.7M 3mm</v>
          </cell>
          <cell r="F659">
            <v>46</v>
          </cell>
          <cell r="G659">
            <v>1</v>
          </cell>
          <cell r="H659">
            <v>0</v>
          </cell>
          <cell r="I659">
            <v>1</v>
          </cell>
          <cell r="J659"/>
          <cell r="K659" t="str">
            <v>MPS</v>
          </cell>
          <cell r="L659" t="str">
            <v>SPLITTING</v>
          </cell>
          <cell r="M659">
            <v>2</v>
          </cell>
        </row>
        <row r="660">
          <cell r="A660" t="str">
            <v>F-2025-11-218</v>
          </cell>
          <cell r="B660" t="str">
            <v>RPRO-251112-0340</v>
          </cell>
          <cell r="C660" t="str">
            <v>BDB-000002</v>
          </cell>
          <cell r="D660" t="str">
            <v>PVN-000027</v>
          </cell>
          <cell r="E660" t="str">
            <v>OrthoLite Regular YELLOW/13-0858TPX 0.11D 15+/-4 Asker C 1.1M 2M 3mm</v>
          </cell>
          <cell r="F660">
            <v>1012</v>
          </cell>
          <cell r="G660">
            <v>1012</v>
          </cell>
          <cell r="H660">
            <v>1012</v>
          </cell>
          <cell r="I660">
            <v>0</v>
          </cell>
          <cell r="J660"/>
          <cell r="K660" t="str">
            <v>MPS</v>
          </cell>
          <cell r="L660" t="str">
            <v>SPLITTING</v>
          </cell>
          <cell r="M660" t="str">
            <v>SLT</v>
          </cell>
        </row>
        <row r="661">
          <cell r="A661" t="str">
            <v>F-2025-11-219</v>
          </cell>
          <cell r="B661" t="str">
            <v>RPRO-251112-0341</v>
          </cell>
          <cell r="C661" t="str">
            <v>BDB-000113</v>
          </cell>
          <cell r="D661" t="str">
            <v>PVN-002501</v>
          </cell>
          <cell r="E661" t="str">
            <v>OrthoLite Regular-Hybrid SEEDPEARL/12-0703TPX Hybrid Flat Sheet 0.11D 25+/-4 Asker C 1.1M 2M 2mm</v>
          </cell>
          <cell r="F661">
            <v>630</v>
          </cell>
          <cell r="G661">
            <v>630</v>
          </cell>
          <cell r="H661">
            <v>0</v>
          </cell>
          <cell r="I661">
            <v>630</v>
          </cell>
          <cell r="J661"/>
          <cell r="K661" t="str">
            <v>MPS</v>
          </cell>
          <cell r="L661" t="str">
            <v>SPLITTING</v>
          </cell>
          <cell r="M661">
            <v>2</v>
          </cell>
        </row>
        <row r="662">
          <cell r="A662" t="str">
            <v>F-2025-11-220-1</v>
          </cell>
          <cell r="B662" t="str">
            <v>RPRO-251112-0342</v>
          </cell>
          <cell r="C662" t="str">
            <v>BDB-000002</v>
          </cell>
          <cell r="D662" t="str">
            <v>PVN-003875</v>
          </cell>
          <cell r="E662" t="str">
            <v>OrthoLite Regular YELLOW/13-0858TPX Flat Sheet 0.11D 15+/-4 Asker C 1.1M 2M 2mm</v>
          </cell>
          <cell r="F662">
            <v>210</v>
          </cell>
          <cell r="G662">
            <v>150</v>
          </cell>
          <cell r="H662">
            <v>0</v>
          </cell>
          <cell r="I662">
            <v>150</v>
          </cell>
          <cell r="J662"/>
          <cell r="K662" t="str">
            <v>MPS</v>
          </cell>
          <cell r="L662" t="str">
            <v>SPLITTING</v>
          </cell>
          <cell r="M662" t="str">
            <v>SLT</v>
          </cell>
        </row>
        <row r="663">
          <cell r="A663" t="str">
            <v>F-2025-11-220-2</v>
          </cell>
          <cell r="B663" t="str">
            <v>RPRO-251121-0441</v>
          </cell>
          <cell r="C663" t="str">
            <v>BDB-000002</v>
          </cell>
          <cell r="D663" t="str">
            <v>PVN-003875</v>
          </cell>
          <cell r="E663" t="str">
            <v>OrthoLite Regular YELLOW/13-0858TPX Flat Sheet 0.11D 15+/-4 Asker C 1.1M 2M 2mm</v>
          </cell>
          <cell r="F663">
            <v>210</v>
          </cell>
          <cell r="G663">
            <v>60</v>
          </cell>
          <cell r="H663">
            <v>0</v>
          </cell>
          <cell r="I663">
            <v>60</v>
          </cell>
          <cell r="J663"/>
          <cell r="K663" t="str">
            <v>MPS</v>
          </cell>
          <cell r="L663" t="str">
            <v>SPLITTING</v>
          </cell>
          <cell r="M663">
            <v>2</v>
          </cell>
        </row>
        <row r="664">
          <cell r="A664" t="str">
            <v>F-2025-11-221</v>
          </cell>
          <cell r="B664" t="str">
            <v>RPRO-251112-0343</v>
          </cell>
          <cell r="C664" t="str">
            <v>BDB-000235</v>
          </cell>
          <cell r="D664" t="str">
            <v>PVN-003576</v>
          </cell>
          <cell r="E664" t="str">
            <v>OrthoLite X-55-Hybrid FOSSIL/17-0909TPX Hybrid Flat Sheet 0.16D 25+/-4 Asker C 1.1M 1.7M 12mm</v>
          </cell>
          <cell r="F664">
            <v>77</v>
          </cell>
          <cell r="G664">
            <v>77</v>
          </cell>
          <cell r="H664">
            <v>0</v>
          </cell>
          <cell r="I664">
            <v>77</v>
          </cell>
          <cell r="J664" t="str">
            <v>ASICS</v>
          </cell>
          <cell r="K664" t="str">
            <v>Pr.Sch.R</v>
          </cell>
          <cell r="L664" t="str">
            <v>MOLDED</v>
          </cell>
          <cell r="M664" t="str">
            <v>1-RM-WIP</v>
          </cell>
        </row>
        <row r="665">
          <cell r="A665" t="str">
            <v>F-2025-11-222</v>
          </cell>
          <cell r="B665" t="str">
            <v>RPRO-251112-0344</v>
          </cell>
          <cell r="C665" t="str">
            <v>BDB-000248</v>
          </cell>
          <cell r="D665" t="str">
            <v>PVN-003931</v>
          </cell>
          <cell r="E665" t="str">
            <v>OrthoLite X-40-Hybrid RED/19-1764TPX Hybrid Flat Sheet 0.16D 25+/-4 Asker C 1.1M 1.7M 6.5mm</v>
          </cell>
          <cell r="F665">
            <v>21</v>
          </cell>
          <cell r="G665">
            <v>21</v>
          </cell>
          <cell r="H665">
            <v>0</v>
          </cell>
          <cell r="I665">
            <v>21</v>
          </cell>
          <cell r="J665" t="str">
            <v>REDWING</v>
          </cell>
          <cell r="K665" t="str">
            <v>Pr.Sch.R</v>
          </cell>
          <cell r="L665" t="str">
            <v>MOLDED</v>
          </cell>
          <cell r="M665">
            <v>1</v>
          </cell>
        </row>
        <row r="666">
          <cell r="A666" t="str">
            <v>F-2025-11-223</v>
          </cell>
          <cell r="B666" t="str">
            <v>RPRO-251112-0345</v>
          </cell>
          <cell r="C666" t="str">
            <v>BDB-000125</v>
          </cell>
          <cell r="D666" t="str">
            <v>PVN-001579</v>
          </cell>
          <cell r="E666" t="str">
            <v>OrthoLite Regular-Nike AIR BLUE/16-4134TPX Flat Sheet 0.11D 25+/-4 Asker C 1.1M 2M 4mm</v>
          </cell>
          <cell r="F666">
            <v>245</v>
          </cell>
          <cell r="G666">
            <v>245</v>
          </cell>
          <cell r="H666">
            <v>0</v>
          </cell>
          <cell r="I666">
            <v>245</v>
          </cell>
          <cell r="J666" t="str">
            <v>NIKE</v>
          </cell>
          <cell r="K666" t="str">
            <v>Pr.Sch.R</v>
          </cell>
          <cell r="L666" t="str">
            <v>LAMINATING</v>
          </cell>
          <cell r="M666">
            <v>1</v>
          </cell>
        </row>
        <row r="667">
          <cell r="A667" t="str">
            <v>F-2025-11-224</v>
          </cell>
          <cell r="B667" t="str">
            <v>RPRO-251112-0346</v>
          </cell>
          <cell r="C667" t="str">
            <v>BDB-000234</v>
          </cell>
          <cell r="D667" t="str">
            <v>PVN-003581</v>
          </cell>
          <cell r="E667" t="str">
            <v>OrthoLite X-30-Hybrid BROWN SUGAR/17-1134TPX Hybrid Flat Sheet 0.13D 25+/-4 Asker C 1.1M 2M 12mm</v>
          </cell>
          <cell r="F667">
            <v>594</v>
          </cell>
          <cell r="G667">
            <v>594</v>
          </cell>
          <cell r="H667">
            <v>0</v>
          </cell>
          <cell r="I667">
            <v>594</v>
          </cell>
          <cell r="J667" t="str">
            <v>ASICS</v>
          </cell>
          <cell r="K667" t="str">
            <v>Pr.Sch.R</v>
          </cell>
          <cell r="L667" t="str">
            <v>MOLDED</v>
          </cell>
          <cell r="M667" t="str">
            <v>1-RM-WIP</v>
          </cell>
        </row>
        <row r="668">
          <cell r="A668" t="str">
            <v>F-2025-11-225</v>
          </cell>
          <cell r="B668" t="str">
            <v>RPRO-251112-0347</v>
          </cell>
          <cell r="C668" t="str">
            <v>BDB-000113</v>
          </cell>
          <cell r="D668" t="str">
            <v>PVN-002465</v>
          </cell>
          <cell r="E668" t="str">
            <v>OrthoLite Regular-Hybrid SEEDPEARL/12-0703TPX Hybrid Flat Sheet 0.11D 25+/-4 Asker C 1.1M 2M 5mm</v>
          </cell>
          <cell r="F668">
            <v>1000</v>
          </cell>
          <cell r="G668">
            <v>1000</v>
          </cell>
          <cell r="H668">
            <v>0</v>
          </cell>
          <cell r="I668">
            <v>1000</v>
          </cell>
          <cell r="J668" t="str">
            <v>ASICS</v>
          </cell>
          <cell r="K668" t="str">
            <v>Pr.Sch.R</v>
          </cell>
          <cell r="L668" t="str">
            <v>DIE CUT</v>
          </cell>
          <cell r="M668">
            <v>1</v>
          </cell>
        </row>
        <row r="669">
          <cell r="A669" t="str">
            <v>F-2025-11-226</v>
          </cell>
          <cell r="B669" t="str">
            <v>RPRO-251112-0348</v>
          </cell>
          <cell r="C669" t="str">
            <v>BDB-000113</v>
          </cell>
          <cell r="D669" t="str">
            <v>PVN-002465</v>
          </cell>
          <cell r="E669" t="str">
            <v>OrthoLite Regular-Hybrid SEEDPEARL/12-0703TPX Hybrid Flat Sheet 0.11D 25+/-4 Asker C 1.1M 2M 5mm</v>
          </cell>
          <cell r="F669">
            <v>1500</v>
          </cell>
          <cell r="G669">
            <v>1500</v>
          </cell>
          <cell r="H669">
            <v>0</v>
          </cell>
          <cell r="I669">
            <v>1500</v>
          </cell>
          <cell r="J669" t="str">
            <v>ASICS</v>
          </cell>
          <cell r="K669" t="str">
            <v>Pr.Sch.R</v>
          </cell>
          <cell r="L669" t="str">
            <v>DIE CUT</v>
          </cell>
          <cell r="M669">
            <v>1</v>
          </cell>
        </row>
        <row r="670">
          <cell r="A670" t="str">
            <v>F-2025-11-227</v>
          </cell>
          <cell r="B670" t="str">
            <v>RPRO-251112-0349</v>
          </cell>
          <cell r="C670" t="str">
            <v>BDB-000113</v>
          </cell>
          <cell r="D670" t="str">
            <v>PVN-002465</v>
          </cell>
          <cell r="E670" t="str">
            <v>OrthoLite Regular-Hybrid SEEDPEARL/12-0703TPX Hybrid Flat Sheet 0.11D 25+/-4 Asker C 1.1M 2M 5mm</v>
          </cell>
          <cell r="F670">
            <v>1168</v>
          </cell>
          <cell r="G670">
            <v>1168</v>
          </cell>
          <cell r="H670">
            <v>0</v>
          </cell>
          <cell r="I670">
            <v>1168</v>
          </cell>
          <cell r="J670" t="str">
            <v>ASICS</v>
          </cell>
          <cell r="K670" t="str">
            <v>Pr.Sch.R</v>
          </cell>
          <cell r="L670" t="str">
            <v>DIE CUT</v>
          </cell>
          <cell r="M670">
            <v>1</v>
          </cell>
        </row>
        <row r="671">
          <cell r="A671" t="str">
            <v>F-2025-11-228</v>
          </cell>
          <cell r="B671" t="str">
            <v>RPRO-251112-0350</v>
          </cell>
          <cell r="C671" t="str">
            <v>BDB-000209</v>
          </cell>
          <cell r="D671" t="str">
            <v>PVN-003461</v>
          </cell>
          <cell r="E671" t="str">
            <v>OrthoLite HybridPlus-Recycled MINT GREEN/11-4805TPX Hybrid Flat Sheet 0.12D 25+/-4 Asker C 1.1M 2M 11mm</v>
          </cell>
          <cell r="F671">
            <v>12</v>
          </cell>
          <cell r="G671">
            <v>12</v>
          </cell>
          <cell r="H671">
            <v>0</v>
          </cell>
          <cell r="I671">
            <v>12</v>
          </cell>
          <cell r="J671" t="str">
            <v>AKU</v>
          </cell>
          <cell r="K671" t="str">
            <v>Pr.Sch.R</v>
          </cell>
          <cell r="L671" t="str">
            <v>MOLDED</v>
          </cell>
          <cell r="M671">
            <v>1</v>
          </cell>
        </row>
        <row r="672">
          <cell r="A672" t="str">
            <v>F-2025-11-229</v>
          </cell>
          <cell r="B672" t="str">
            <v>RPRO-251112-0351</v>
          </cell>
          <cell r="C672" t="str">
            <v>BDB-000046</v>
          </cell>
          <cell r="D672" t="str">
            <v>PVN-000448</v>
          </cell>
          <cell r="E672" t="str">
            <v>OrthoLite Regular RED/19-1764TPX Flat Sheet 0.13D 35+/-4 Asker C 1.1M 1.47M 4mm</v>
          </cell>
          <cell r="F672">
            <v>35</v>
          </cell>
          <cell r="G672">
            <v>35</v>
          </cell>
          <cell r="H672">
            <v>0</v>
          </cell>
          <cell r="I672">
            <v>35</v>
          </cell>
          <cell r="J672" t="str">
            <v>REEBOK</v>
          </cell>
          <cell r="K672" t="str">
            <v>Pr.Sch.R</v>
          </cell>
          <cell r="L672" t="str">
            <v>DIE CUT</v>
          </cell>
          <cell r="M672">
            <v>1</v>
          </cell>
        </row>
        <row r="673">
          <cell r="A673" t="str">
            <v>F-2025-11-230</v>
          </cell>
          <cell r="B673" t="str">
            <v>RPRO-251112-0352</v>
          </cell>
          <cell r="C673" t="str">
            <v>BDB-000011</v>
          </cell>
          <cell r="D673" t="str">
            <v>PVN-000121</v>
          </cell>
          <cell r="E673" t="str">
            <v>OrthoLite Regular AIR BLUE/16-4134TPX Flat Sheet 0.13D 35+/-4 Asker C 1.1M 2M 12mm</v>
          </cell>
          <cell r="F673">
            <v>22</v>
          </cell>
          <cell r="G673">
            <v>22</v>
          </cell>
          <cell r="H673">
            <v>0</v>
          </cell>
          <cell r="I673">
            <v>22</v>
          </cell>
          <cell r="J673" t="str">
            <v>ASICS</v>
          </cell>
          <cell r="K673" t="str">
            <v>Pr.Sch.R</v>
          </cell>
          <cell r="L673" t="str">
            <v>MOLDED</v>
          </cell>
          <cell r="M673" t="str">
            <v>1-RM-WIP</v>
          </cell>
        </row>
        <row r="674">
          <cell r="A674" t="str">
            <v>F-2025-11-231</v>
          </cell>
          <cell r="B674" t="str">
            <v>RPRO-251112-0353</v>
          </cell>
          <cell r="C674" t="str">
            <v>BDB-000149</v>
          </cell>
          <cell r="D674" t="str">
            <v>PVN-002773</v>
          </cell>
          <cell r="E674" t="str">
            <v>OrthoLite Regular-Hybrid-Nike SEEDPEARL/12-0703TPX Hybrid Flat Sheet 0.11D 25+/-4 Asker C 1.1M 2M 4mm</v>
          </cell>
          <cell r="F674">
            <v>1015</v>
          </cell>
          <cell r="G674">
            <v>1015</v>
          </cell>
          <cell r="H674">
            <v>0</v>
          </cell>
          <cell r="I674">
            <v>1015</v>
          </cell>
          <cell r="J674" t="str">
            <v>NIKE</v>
          </cell>
          <cell r="K674" t="str">
            <v>Pr.Sch.R</v>
          </cell>
          <cell r="L674" t="str">
            <v>DIE CUT</v>
          </cell>
          <cell r="M674">
            <v>1</v>
          </cell>
        </row>
        <row r="675">
          <cell r="A675" t="str">
            <v>F-2025-11-232</v>
          </cell>
          <cell r="B675" t="str">
            <v>RPRO-251112-0354</v>
          </cell>
          <cell r="C675" t="str">
            <v>BDB-000165</v>
          </cell>
          <cell r="D675" t="str">
            <v>PVN-002053</v>
          </cell>
          <cell r="E675" t="str">
            <v>OrthoLite Ultra-Nike LIME GREEN/14-0452TPX Flat Sheet 0.085D 15+/-4 Asker C 1.1M 2M 5mm</v>
          </cell>
          <cell r="F675">
            <v>28</v>
          </cell>
          <cell r="G675">
            <v>28</v>
          </cell>
          <cell r="H675">
            <v>0</v>
          </cell>
          <cell r="I675">
            <v>28</v>
          </cell>
          <cell r="J675" t="str">
            <v>NIKE</v>
          </cell>
          <cell r="K675" t="str">
            <v>Pr.Sch.R</v>
          </cell>
          <cell r="L675" t="str">
            <v>DIE CUT</v>
          </cell>
          <cell r="M675">
            <v>1</v>
          </cell>
        </row>
        <row r="676">
          <cell r="A676" t="str">
            <v>F-2025-11-233</v>
          </cell>
          <cell r="B676" t="str">
            <v>RPRO-251112-0355</v>
          </cell>
          <cell r="C676" t="str">
            <v>BDB-000004</v>
          </cell>
          <cell r="D676" t="str">
            <v>PVN-000445</v>
          </cell>
          <cell r="E676" t="str">
            <v>OrthoLite Regular GREY/17-1501TPX Flat Sheet 0.11D 25+/-4 Asker C 1.1M 2M 13mm</v>
          </cell>
          <cell r="F676">
            <v>10</v>
          </cell>
          <cell r="G676">
            <v>10</v>
          </cell>
          <cell r="H676">
            <v>10</v>
          </cell>
          <cell r="I676">
            <v>0</v>
          </cell>
          <cell r="J676" t="str">
            <v>DANNER</v>
          </cell>
          <cell r="K676" t="str">
            <v>Pr.Sch.R</v>
          </cell>
          <cell r="L676" t="str">
            <v>MOLDED</v>
          </cell>
          <cell r="M676">
            <v>1</v>
          </cell>
        </row>
        <row r="677">
          <cell r="A677" t="str">
            <v>F-2025-11-234</v>
          </cell>
          <cell r="B677" t="str">
            <v>RPRO-251112-0356</v>
          </cell>
          <cell r="C677" t="str">
            <v>BDB-000347</v>
          </cell>
          <cell r="D677" t="str">
            <v>PVN-004192</v>
          </cell>
          <cell r="E677" t="str">
            <v>OrthoLite X-55-Hybrid SEEDPEARL/12-0703TPX Hybrid Flat Sheet 0.16D 25+/-4 Asker C 1.1M 2M 12mm</v>
          </cell>
          <cell r="F677">
            <v>77</v>
          </cell>
          <cell r="G677">
            <v>77</v>
          </cell>
          <cell r="H677">
            <v>0</v>
          </cell>
          <cell r="I677">
            <v>77</v>
          </cell>
          <cell r="J677" t="str">
            <v>BROOKS</v>
          </cell>
          <cell r="K677" t="str">
            <v>Pr.Sch.R</v>
          </cell>
          <cell r="L677" t="str">
            <v>MOLDED</v>
          </cell>
          <cell r="M677">
            <v>1</v>
          </cell>
        </row>
        <row r="678">
          <cell r="A678" t="str">
            <v>F-2025-11-235</v>
          </cell>
          <cell r="B678" t="str">
            <v>RPRO-251113-0328</v>
          </cell>
          <cell r="C678" t="str">
            <v>BDB-000051</v>
          </cell>
          <cell r="D678" t="str">
            <v>PVN-003320</v>
          </cell>
          <cell r="E678" t="str">
            <v>OrthoLite X-40 TRUE BLUE/19-4057TPX Flat Sheet 0.16D 25+/-4 Asker C 1.1M 1.7M 2mm</v>
          </cell>
          <cell r="F678">
            <v>490</v>
          </cell>
          <cell r="G678">
            <v>490</v>
          </cell>
          <cell r="H678">
            <v>0</v>
          </cell>
          <cell r="I678">
            <v>490</v>
          </cell>
          <cell r="J678"/>
          <cell r="K678" t="str">
            <v>MPS</v>
          </cell>
          <cell r="L678" t="str">
            <v>SPLITTING</v>
          </cell>
          <cell r="M678" t="str">
            <v>SLT</v>
          </cell>
        </row>
        <row r="679">
          <cell r="A679" t="str">
            <v>F-2025-11-236</v>
          </cell>
          <cell r="B679" t="str">
            <v>RPRO-251113-0329</v>
          </cell>
          <cell r="C679" t="str">
            <v>BDB-000200</v>
          </cell>
          <cell r="D679" t="str">
            <v>PVN-003425</v>
          </cell>
          <cell r="E679" t="str">
            <v>OrthoLite Ultra SEEDPEARL/12-0703TPX Flat Sheet 0.085D 78-90 Asker F 1.1M 2M 4mm</v>
          </cell>
          <cell r="F679">
            <v>490</v>
          </cell>
          <cell r="G679">
            <v>490</v>
          </cell>
          <cell r="H679">
            <v>0</v>
          </cell>
          <cell r="I679">
            <v>490</v>
          </cell>
          <cell r="J679"/>
          <cell r="K679" t="str">
            <v>MPS</v>
          </cell>
          <cell r="L679" t="str">
            <v>SPLITTING</v>
          </cell>
          <cell r="M679">
            <v>2</v>
          </cell>
        </row>
        <row r="680">
          <cell r="A680" t="str">
            <v>F-2025-11-237-1</v>
          </cell>
          <cell r="B680" t="str">
            <v>RPRO-251113-0330</v>
          </cell>
          <cell r="C680" t="str">
            <v>BDB-000209</v>
          </cell>
          <cell r="D680" t="str">
            <v>PVN-003504</v>
          </cell>
          <cell r="E680" t="str">
            <v>OrthoLite HybridPlus-Recycled MINT GREEN/11-4805TPX Hybrid 0.12D 25+/-4 Asker C 1.1M 2M 4mm</v>
          </cell>
          <cell r="F680">
            <v>35</v>
          </cell>
          <cell r="G680">
            <v>9</v>
          </cell>
          <cell r="H680">
            <v>0</v>
          </cell>
          <cell r="I680">
            <v>9</v>
          </cell>
          <cell r="J680"/>
          <cell r="K680" t="str">
            <v>MPS</v>
          </cell>
          <cell r="L680" t="str">
            <v>SPLITTING</v>
          </cell>
          <cell r="M680" t="str">
            <v>SLT</v>
          </cell>
        </row>
        <row r="681">
          <cell r="A681" t="str">
            <v>F-2025-11-237-2</v>
          </cell>
          <cell r="B681" t="str">
            <v>RPRO-251121-0442</v>
          </cell>
          <cell r="C681" t="str">
            <v>BDB-000209</v>
          </cell>
          <cell r="D681" t="str">
            <v>PVN-003504</v>
          </cell>
          <cell r="E681" t="str">
            <v>OrthoLite HybridPlus-Recycled MINT GREEN/11-4805TPX Hybrid 0.12D 25+/-4 Asker C 1.1M 2M 4mm</v>
          </cell>
          <cell r="F681">
            <v>35</v>
          </cell>
          <cell r="G681">
            <v>26</v>
          </cell>
          <cell r="H681">
            <v>0</v>
          </cell>
          <cell r="I681">
            <v>26</v>
          </cell>
          <cell r="J681"/>
          <cell r="K681" t="str">
            <v>MPS</v>
          </cell>
          <cell r="L681" t="str">
            <v>SPLITTING</v>
          </cell>
          <cell r="M681">
            <v>2</v>
          </cell>
        </row>
        <row r="682">
          <cell r="A682" t="str">
            <v>F-2025-11-238</v>
          </cell>
          <cell r="B682" t="str">
            <v>RPRO-251113-0331</v>
          </cell>
          <cell r="C682" t="str">
            <v>BDB-000157</v>
          </cell>
          <cell r="D682" t="str">
            <v>PVN-003642</v>
          </cell>
          <cell r="E682" t="str">
            <v>OrthoLite X-35-Hybrid-Nike SEEDPEARL/12-0703TPX Hybrid Flat Sheet 0.145D 25+/-4 Asker C 1.1M 2M 6.2mm</v>
          </cell>
          <cell r="F682">
            <v>176</v>
          </cell>
          <cell r="G682">
            <v>176</v>
          </cell>
          <cell r="H682">
            <v>0</v>
          </cell>
          <cell r="I682">
            <v>176</v>
          </cell>
          <cell r="J682" t="str">
            <v>NIKE</v>
          </cell>
          <cell r="K682" t="str">
            <v>Pr.Sch.R</v>
          </cell>
          <cell r="L682" t="str">
            <v>MOLDED</v>
          </cell>
          <cell r="M682">
            <v>1</v>
          </cell>
        </row>
        <row r="683">
          <cell r="A683" t="str">
            <v>F-2025-11-239</v>
          </cell>
          <cell r="B683" t="str">
            <v>RPRO-251113-0332</v>
          </cell>
          <cell r="C683" t="str">
            <v>BDB-000234</v>
          </cell>
          <cell r="D683" t="str">
            <v>PVN-003581</v>
          </cell>
          <cell r="E683" t="str">
            <v>OrthoLite X-30-Hybrid BROWN SUGAR/17-1134TPX Hybrid Flat Sheet 0.13D 25+/-4 Asker C 1.1M 2M 12mm</v>
          </cell>
          <cell r="F683">
            <v>11</v>
          </cell>
          <cell r="G683">
            <v>11</v>
          </cell>
          <cell r="H683">
            <v>0</v>
          </cell>
          <cell r="I683">
            <v>11</v>
          </cell>
          <cell r="J683" t="str">
            <v>ASICS</v>
          </cell>
          <cell r="K683" t="str">
            <v>Pr.Sch.R</v>
          </cell>
          <cell r="L683" t="str">
            <v>MOLDED</v>
          </cell>
          <cell r="M683" t="str">
            <v>1-RM-WIP</v>
          </cell>
        </row>
        <row r="684">
          <cell r="A684" t="str">
            <v>F-2025-11-240</v>
          </cell>
          <cell r="B684" t="str">
            <v>RPRO-251113-0333</v>
          </cell>
          <cell r="C684" t="str">
            <v>BDB-000113</v>
          </cell>
          <cell r="D684" t="str">
            <v>PVN-002465</v>
          </cell>
          <cell r="E684" t="str">
            <v>OrthoLite Regular-Hybrid SEEDPEARL/12-0703TPX Hybrid Flat Sheet 0.11D 25+/-4 Asker C 1.1M 2M 5mm</v>
          </cell>
          <cell r="F684">
            <v>56</v>
          </cell>
          <cell r="G684">
            <v>56</v>
          </cell>
          <cell r="H684">
            <v>0</v>
          </cell>
          <cell r="I684">
            <v>56</v>
          </cell>
          <cell r="J684" t="str">
            <v>ASICS</v>
          </cell>
          <cell r="K684" t="str">
            <v>Pr.Sch.R</v>
          </cell>
          <cell r="L684" t="str">
            <v>DIE CUT</v>
          </cell>
          <cell r="M684">
            <v>1</v>
          </cell>
        </row>
        <row r="685">
          <cell r="A685" t="str">
            <v>F-2025-11-241</v>
          </cell>
          <cell r="B685" t="str">
            <v>RPRO-251113-0334</v>
          </cell>
          <cell r="C685" t="str">
            <v>BDB-000010</v>
          </cell>
          <cell r="D685" t="str">
            <v>PVN-003437</v>
          </cell>
          <cell r="E685" t="str">
            <v>OrthoLite Regular AIR BLUE/16-4134TPX Flat Sheet 0.11D 25+/-4 Asker C 1.1M 2M 10.5mm</v>
          </cell>
          <cell r="F685">
            <v>24</v>
          </cell>
          <cell r="G685">
            <v>24</v>
          </cell>
          <cell r="H685">
            <v>0</v>
          </cell>
          <cell r="I685">
            <v>24</v>
          </cell>
          <cell r="J685" t="str">
            <v>TRAVIS MATHEW</v>
          </cell>
          <cell r="K685" t="str">
            <v>Pr.Sch.R</v>
          </cell>
          <cell r="L685" t="str">
            <v>MOLDED</v>
          </cell>
          <cell r="M685">
            <v>1</v>
          </cell>
        </row>
        <row r="686">
          <cell r="A686" t="str">
            <v>F-2025-11-242</v>
          </cell>
          <cell r="B686" t="str">
            <v>RPRO-251113-0335</v>
          </cell>
          <cell r="C686" t="str">
            <v>BDB-000242</v>
          </cell>
          <cell r="D686" t="str">
            <v>PVN-003614</v>
          </cell>
          <cell r="E686" t="str">
            <v>OrthoLite Regular GREY/17-1501TPX Flat Sheet 0.11D 5-10 Asker C 1.1M 2M 3.5mm</v>
          </cell>
          <cell r="F686">
            <v>40</v>
          </cell>
          <cell r="G686">
            <v>40</v>
          </cell>
          <cell r="H686">
            <v>40</v>
          </cell>
          <cell r="I686">
            <v>0</v>
          </cell>
          <cell r="J686" t="str">
            <v>TRAVIS MATHEW</v>
          </cell>
          <cell r="K686" t="str">
            <v>Pr.Sch.R</v>
          </cell>
          <cell r="L686" t="str">
            <v>MOLDED</v>
          </cell>
          <cell r="M686">
            <v>1</v>
          </cell>
        </row>
        <row r="687">
          <cell r="A687" t="str">
            <v>F-2025-11-243</v>
          </cell>
          <cell r="B687" t="str">
            <v>RPRO-251113-0336</v>
          </cell>
          <cell r="C687" t="str">
            <v>BDB-000054</v>
          </cell>
          <cell r="D687" t="str">
            <v>PVN-003895</v>
          </cell>
          <cell r="E687" t="str">
            <v>OrthoLite X-40 RED/19-1764TPX Flat Sheet 0.16D 25+/-4 Asker C 1.1M 1.7M 5mm</v>
          </cell>
          <cell r="F687">
            <v>28</v>
          </cell>
          <cell r="G687">
            <v>28</v>
          </cell>
          <cell r="H687">
            <v>0</v>
          </cell>
          <cell r="I687">
            <v>28</v>
          </cell>
          <cell r="J687" t="str">
            <v>PAYNTR</v>
          </cell>
          <cell r="K687" t="str">
            <v>Pr.Sch.R</v>
          </cell>
          <cell r="L687" t="str">
            <v>MOLDED</v>
          </cell>
          <cell r="M687">
            <v>1</v>
          </cell>
        </row>
        <row r="688">
          <cell r="A688" t="str">
            <v>F-2025-11-244</v>
          </cell>
          <cell r="B688" t="str">
            <v>RPRO-251113-0337</v>
          </cell>
          <cell r="C688" t="str">
            <v>BDB-000218</v>
          </cell>
          <cell r="D688" t="str">
            <v>PVN-003488</v>
          </cell>
          <cell r="E688" t="str">
            <v>OrthoLite Ultra-Nike SEEDPEARL/12-0703TPX Flat Sheet 0.085D 5-10 Asker C 1.1M 2M 4mm</v>
          </cell>
          <cell r="F688">
            <v>525</v>
          </cell>
          <cell r="G688">
            <v>525</v>
          </cell>
          <cell r="H688">
            <v>0</v>
          </cell>
          <cell r="I688">
            <v>525</v>
          </cell>
          <cell r="J688" t="str">
            <v>NIKE</v>
          </cell>
          <cell r="K688" t="str">
            <v>Pr.Sch.R</v>
          </cell>
          <cell r="L688" t="str">
            <v>DIE CUT</v>
          </cell>
          <cell r="M688">
            <v>1</v>
          </cell>
        </row>
        <row r="689">
          <cell r="A689" t="str">
            <v>F-2025-11-245</v>
          </cell>
          <cell r="B689" t="str">
            <v>RPRO-251113-0338</v>
          </cell>
          <cell r="C689" t="str">
            <v>BDB-000011</v>
          </cell>
          <cell r="D689" t="str">
            <v>PVN-000121</v>
          </cell>
          <cell r="E689" t="str">
            <v>OrthoLite Regular AIR BLUE/16-4134TPX Flat Sheet 0.13D 35+/-4 Asker C 1.1M 2M 12mm</v>
          </cell>
          <cell r="F689">
            <v>22</v>
          </cell>
          <cell r="G689">
            <v>22</v>
          </cell>
          <cell r="H689">
            <v>22</v>
          </cell>
          <cell r="I689">
            <v>0</v>
          </cell>
          <cell r="J689" t="str">
            <v>ASICS</v>
          </cell>
          <cell r="K689" t="str">
            <v>Pr.Sch.R</v>
          </cell>
          <cell r="L689" t="str">
            <v>MOLDED</v>
          </cell>
          <cell r="M689" t="str">
            <v>1-RM-WIP</v>
          </cell>
        </row>
        <row r="690">
          <cell r="A690" t="str">
            <v>F-2025-11-246</v>
          </cell>
          <cell r="B690" t="str">
            <v>RPRO-251113-0339</v>
          </cell>
          <cell r="C690" t="str">
            <v>BDB-000113</v>
          </cell>
          <cell r="D690" t="str">
            <v>PVN-003796</v>
          </cell>
          <cell r="E690" t="str">
            <v>OrthoLite Regular-Hybrid SEEDPEARL/12-0703TPX Hybrid Flat Sheet 0.11D 25+/-4 Asker C 1.1M 2M 3.5mm</v>
          </cell>
          <cell r="F690">
            <v>40</v>
          </cell>
          <cell r="G690">
            <v>40</v>
          </cell>
          <cell r="H690">
            <v>0</v>
          </cell>
          <cell r="I690">
            <v>40</v>
          </cell>
          <cell r="J690" t="str">
            <v>ASICS</v>
          </cell>
          <cell r="K690" t="str">
            <v>Pr.Sch.R</v>
          </cell>
          <cell r="L690" t="str">
            <v>DIE CUT</v>
          </cell>
          <cell r="M690">
            <v>1</v>
          </cell>
        </row>
        <row r="691">
          <cell r="A691" t="str">
            <v>F-2025-11-247</v>
          </cell>
          <cell r="B691" t="str">
            <v>RPRO-251113-0340</v>
          </cell>
          <cell r="C691" t="str">
            <v>BDB-000125</v>
          </cell>
          <cell r="D691" t="str">
            <v>PVN-001412</v>
          </cell>
          <cell r="E691" t="str">
            <v>OrthoLite Regular-Nike AIR BLUE/16-4134TPX Flat Sheet 0.11D 25+/-4 Asker C 1.1M 2M 5mm</v>
          </cell>
          <cell r="F691">
            <v>980</v>
          </cell>
          <cell r="G691">
            <v>980</v>
          </cell>
          <cell r="H691">
            <v>0</v>
          </cell>
          <cell r="I691">
            <v>980</v>
          </cell>
          <cell r="J691" t="str">
            <v>NIKE</v>
          </cell>
          <cell r="K691" t="str">
            <v>Pr.Sch.R</v>
          </cell>
          <cell r="L691" t="str">
            <v>MOLDED</v>
          </cell>
          <cell r="M691">
            <v>1</v>
          </cell>
        </row>
        <row r="692">
          <cell r="A692" t="str">
            <v>F-2025-11-248</v>
          </cell>
          <cell r="B692" t="str">
            <v>RPRO-251113-0341</v>
          </cell>
          <cell r="C692" t="str">
            <v>BDB-000324</v>
          </cell>
          <cell r="D692" t="str">
            <v>PVN-004110</v>
          </cell>
          <cell r="E692" t="str">
            <v>OrthoLite X-40 TRUE BLUE/19-4057TPX Flat Sheet 0.16D 25+/-4 Asker C 1.1M 2M 14.5mm</v>
          </cell>
          <cell r="F692">
            <v>18</v>
          </cell>
          <cell r="G692">
            <v>18</v>
          </cell>
          <cell r="H692">
            <v>0</v>
          </cell>
          <cell r="I692">
            <v>18</v>
          </cell>
          <cell r="J692" t="str">
            <v>LOWA</v>
          </cell>
          <cell r="K692" t="str">
            <v>Pr.Sch.R</v>
          </cell>
          <cell r="L692" t="str">
            <v>MOLDED</v>
          </cell>
          <cell r="M692">
            <v>1</v>
          </cell>
        </row>
        <row r="693">
          <cell r="A693" t="str">
            <v>F-2025-11-249</v>
          </cell>
          <cell r="B693" t="str">
            <v>RPRO-251113-0342</v>
          </cell>
          <cell r="C693" t="str">
            <v>BDB-000004</v>
          </cell>
          <cell r="D693" t="str">
            <v>PVN-000060</v>
          </cell>
          <cell r="E693" t="str">
            <v>OrthoLite Regular GREY/17-1501TPX Flat Sheet 0.11D 25+/-4 Asker C 1.1M 2M 14mm</v>
          </cell>
          <cell r="F693">
            <v>63</v>
          </cell>
          <cell r="G693">
            <v>63</v>
          </cell>
          <cell r="H693">
            <v>63</v>
          </cell>
          <cell r="I693">
            <v>0</v>
          </cell>
          <cell r="J693" t="str">
            <v>DANNER</v>
          </cell>
          <cell r="K693" t="str">
            <v>Pr.Sch.R</v>
          </cell>
          <cell r="L693" t="str">
            <v>MOLDED</v>
          </cell>
          <cell r="M693">
            <v>1</v>
          </cell>
        </row>
        <row r="694">
          <cell r="A694" t="str">
            <v>OIN-2025.11.12-01</v>
          </cell>
          <cell r="B694" t="str">
            <v>RPRO-251117-0026</v>
          </cell>
          <cell r="C694" t="str">
            <v>BDB-000179</v>
          </cell>
          <cell r="D694" t="str">
            <v>PVN-004216</v>
          </cell>
          <cell r="E694" t="str">
            <v>[116-9761] X 55 25+/-4 Asker C 0.16D Red 19-1764 Tpx 1.10M X 1.70M 24mm</v>
          </cell>
          <cell r="F694">
            <v>10</v>
          </cell>
          <cell r="G694">
            <v>10</v>
          </cell>
          <cell r="H694">
            <v>0</v>
          </cell>
          <cell r="I694">
            <v>10</v>
          </cell>
          <cell r="J694" t="str">
            <v>MILWAUKEE</v>
          </cell>
          <cell r="K694" t="str">
            <v>PO-6116-SO-251113-0276</v>
          </cell>
          <cell r="L694" t="str">
            <v>FLAT SHEET</v>
          </cell>
          <cell r="M694">
            <v>2</v>
          </cell>
        </row>
        <row r="695">
          <cell r="A695" t="str">
            <v>F-2025-11-250</v>
          </cell>
          <cell r="B695" t="str">
            <v>RPRO-251114-0210</v>
          </cell>
          <cell r="C695" t="str">
            <v>BDB-000011</v>
          </cell>
          <cell r="D695" t="str">
            <v>PVN-000258</v>
          </cell>
          <cell r="E695" t="str">
            <v>OrthoLite Regular AIR BLUE/16-4134TPX Flat Sheet 0.13D 35+/-4 Asker C 1.1M 2M 2.5mm</v>
          </cell>
          <cell r="F695">
            <v>1120</v>
          </cell>
          <cell r="G695">
            <v>1120</v>
          </cell>
          <cell r="H695">
            <v>0</v>
          </cell>
          <cell r="I695">
            <v>1120</v>
          </cell>
          <cell r="J695"/>
          <cell r="K695" t="str">
            <v>MPS</v>
          </cell>
          <cell r="L695" t="str">
            <v>SPLITTING</v>
          </cell>
          <cell r="M695">
            <v>2</v>
          </cell>
        </row>
        <row r="696">
          <cell r="A696" t="str">
            <v>F-2025-11-251-1</v>
          </cell>
          <cell r="B696" t="str">
            <v>RPRO-251114-0211</v>
          </cell>
          <cell r="C696" t="str">
            <v>BDB-000051</v>
          </cell>
          <cell r="D696" t="str">
            <v>PVN-003323</v>
          </cell>
          <cell r="E696" t="str">
            <v>OrthoLite X-40 TRUE BLUE/19-4057TPX Flat Sheet 0.16D 25+/-4 Asker C 1.1M 1.7M 3mm</v>
          </cell>
          <cell r="F696">
            <v>414</v>
          </cell>
          <cell r="G696">
            <v>400</v>
          </cell>
          <cell r="H696">
            <v>0</v>
          </cell>
          <cell r="I696">
            <v>400</v>
          </cell>
          <cell r="J696"/>
          <cell r="K696" t="str">
            <v>MPS</v>
          </cell>
          <cell r="L696" t="str">
            <v>SPLITTING</v>
          </cell>
          <cell r="M696" t="str">
            <v>SLT</v>
          </cell>
        </row>
        <row r="697">
          <cell r="A697" t="str">
            <v>F-2025-11-251-2</v>
          </cell>
          <cell r="B697" t="str">
            <v>RPRO-251121-0443</v>
          </cell>
          <cell r="C697" t="str">
            <v>BDB-000051</v>
          </cell>
          <cell r="D697" t="str">
            <v>PVN-003323</v>
          </cell>
          <cell r="E697" t="str">
            <v>OrthoLite X-40 TRUE BLUE/19-4057TPX Flat Sheet 0.16D 25+/-4 Asker C 1.1M 1.7M 3mm</v>
          </cell>
          <cell r="F697">
            <v>414</v>
          </cell>
          <cell r="G697">
            <v>14</v>
          </cell>
          <cell r="H697">
            <v>0</v>
          </cell>
          <cell r="I697">
            <v>14</v>
          </cell>
          <cell r="J697"/>
          <cell r="K697" t="str">
            <v>MPS</v>
          </cell>
          <cell r="L697" t="str">
            <v>SPLITTING</v>
          </cell>
          <cell r="M697">
            <v>2</v>
          </cell>
        </row>
        <row r="698">
          <cell r="A698" t="str">
            <v>F-2025-11-252</v>
          </cell>
          <cell r="B698" t="str">
            <v>RPRO-251114-0212</v>
          </cell>
          <cell r="C698" t="str">
            <v>BDB-000235</v>
          </cell>
          <cell r="D698" t="str">
            <v>PVN-003576</v>
          </cell>
          <cell r="E698" t="str">
            <v>OrthoLite X-55-Hybrid FOSSIL/17-0909TPX Hybrid Flat Sheet 0.16D 25+/-4 Asker C 1.1M 1.7M 12mm</v>
          </cell>
          <cell r="F698">
            <v>11</v>
          </cell>
          <cell r="G698">
            <v>11</v>
          </cell>
          <cell r="H698">
            <v>0</v>
          </cell>
          <cell r="I698">
            <v>11</v>
          </cell>
          <cell r="J698" t="str">
            <v>ASICS</v>
          </cell>
          <cell r="K698" t="str">
            <v>Pr.Sch.R</v>
          </cell>
          <cell r="L698" t="str">
            <v>MOLDED</v>
          </cell>
          <cell r="M698" t="str">
            <v>1-RM-WIP</v>
          </cell>
        </row>
        <row r="699">
          <cell r="A699" t="str">
            <v>F-2025-11-253</v>
          </cell>
          <cell r="B699" t="str">
            <v>RPRO-251114-0213</v>
          </cell>
          <cell r="C699" t="str">
            <v>BDB-000209</v>
          </cell>
          <cell r="D699" t="str">
            <v>PVN-003537</v>
          </cell>
          <cell r="E699" t="str">
            <v>OrthoLite HybridPlus-Recycled MINT GREEN/11-4805TPX Hybrid Flat Sheet 0.12D 25+/-4 Asker C 1.1M 2M 4.5mm</v>
          </cell>
          <cell r="F699">
            <v>3348</v>
          </cell>
          <cell r="G699">
            <v>3348</v>
          </cell>
          <cell r="H699">
            <v>0</v>
          </cell>
          <cell r="I699">
            <v>3348</v>
          </cell>
          <cell r="J699" t="str">
            <v>AKU</v>
          </cell>
          <cell r="K699" t="str">
            <v>Pr.Sch.R</v>
          </cell>
          <cell r="L699" t="str">
            <v>MOLDED</v>
          </cell>
          <cell r="M699">
            <v>1</v>
          </cell>
        </row>
        <row r="700">
          <cell r="A700" t="str">
            <v>F-2025-11-254</v>
          </cell>
          <cell r="B700" t="str">
            <v>RPRO-251114-0214</v>
          </cell>
          <cell r="C700" t="str">
            <v>BDB-000129</v>
          </cell>
          <cell r="D700" t="str">
            <v>PVN-001550</v>
          </cell>
          <cell r="E700" t="str">
            <v>OrthoLite Regular-Nike AIR BLUE/16-4134TPX Flat Sheet 0.11D 25+/-4 Asker C 1.1M 1.7M 2mm</v>
          </cell>
          <cell r="F700">
            <v>490</v>
          </cell>
          <cell r="G700">
            <v>490</v>
          </cell>
          <cell r="H700">
            <v>0</v>
          </cell>
          <cell r="I700">
            <v>490</v>
          </cell>
          <cell r="J700" t="str">
            <v>NIKE</v>
          </cell>
          <cell r="K700" t="str">
            <v>Pr.Sch.R</v>
          </cell>
          <cell r="L700" t="str">
            <v>LAMINATING</v>
          </cell>
          <cell r="M700">
            <v>1</v>
          </cell>
        </row>
        <row r="701">
          <cell r="A701" t="str">
            <v>F-2025-11-255</v>
          </cell>
          <cell r="B701" t="str">
            <v>RPRO-251114-0215</v>
          </cell>
          <cell r="C701" t="str">
            <v>BDB-000123</v>
          </cell>
          <cell r="D701" t="str">
            <v>PVN-002539</v>
          </cell>
          <cell r="E701" t="str">
            <v>OrthoLite Ultra-Hybrid SEEDPEARL/12-0703TPX Hybrid Flat Sheet 0.085D 25+/-4 Asker C 1.1M 2M 5mm</v>
          </cell>
          <cell r="F701">
            <v>28</v>
          </cell>
          <cell r="G701">
            <v>28</v>
          </cell>
          <cell r="H701">
            <v>0</v>
          </cell>
          <cell r="I701">
            <v>28</v>
          </cell>
          <cell r="J701" t="str">
            <v>BROOKS</v>
          </cell>
          <cell r="K701" t="str">
            <v>Pr.Sch.R</v>
          </cell>
          <cell r="L701" t="str">
            <v>DIE CUT</v>
          </cell>
          <cell r="M701">
            <v>1</v>
          </cell>
        </row>
        <row r="702">
          <cell r="A702" t="str">
            <v>F-2025-11-256</v>
          </cell>
          <cell r="B702" t="str">
            <v>RPRO-251114-0216</v>
          </cell>
          <cell r="C702" t="str">
            <v>BDB-000262</v>
          </cell>
          <cell r="D702" t="str">
            <v>PVN-003816</v>
          </cell>
          <cell r="E702" t="str">
            <v>OrthoLite Ultra-Hybrid SEEDPEARL/12-0703TPX Hybrid Flat Sheet 0.085D 78-90 Asker F 1.1M 2M 2.5mm</v>
          </cell>
          <cell r="F702">
            <v>280</v>
          </cell>
          <cell r="G702">
            <v>280</v>
          </cell>
          <cell r="H702">
            <v>0</v>
          </cell>
          <cell r="I702">
            <v>280</v>
          </cell>
          <cell r="J702" t="str">
            <v>FOOTJOY</v>
          </cell>
          <cell r="K702" t="str">
            <v>Pr.Sch.R</v>
          </cell>
          <cell r="L702" t="str">
            <v>DIE CUT</v>
          </cell>
          <cell r="M702">
            <v>1</v>
          </cell>
        </row>
        <row r="703">
          <cell r="A703" t="str">
            <v>F-2025-11-257</v>
          </cell>
          <cell r="B703" t="str">
            <v>RPRO-251114-0217</v>
          </cell>
          <cell r="C703" t="str">
            <v>BDB-000229</v>
          </cell>
          <cell r="D703" t="str">
            <v>PVN-003692</v>
          </cell>
          <cell r="E703" t="str">
            <v>OrthoLite Ultra-Hybrid SEEDPEARL/12-0703TPX Hybrid Flat Sheet 0.095D 33+/-4 Asker C 1.1M 2M 15.5mm</v>
          </cell>
          <cell r="F703">
            <v>56</v>
          </cell>
          <cell r="G703">
            <v>56</v>
          </cell>
          <cell r="H703">
            <v>0</v>
          </cell>
          <cell r="I703">
            <v>56</v>
          </cell>
          <cell r="J703" t="str">
            <v>GARMONT</v>
          </cell>
          <cell r="K703" t="str">
            <v>Pr.Sch.R</v>
          </cell>
          <cell r="L703" t="str">
            <v>MOLDED</v>
          </cell>
          <cell r="M703">
            <v>1</v>
          </cell>
        </row>
        <row r="704">
          <cell r="A704" t="str">
            <v>F-2025-11-258</v>
          </cell>
          <cell r="B704" t="str">
            <v>RPRO-251114-0218</v>
          </cell>
          <cell r="C704" t="str">
            <v>BDB-000220</v>
          </cell>
          <cell r="D704" t="str">
            <v>PVN-003656</v>
          </cell>
          <cell r="E704" t="str">
            <v>OrthoLite X-25 BILLIARD/16-5427TPX Flat Sheet 0.12D 20+/-4 Asker C 1.1M 1.47M 3mm</v>
          </cell>
          <cell r="F704">
            <v>46</v>
          </cell>
          <cell r="G704">
            <v>46</v>
          </cell>
          <cell r="H704">
            <v>0</v>
          </cell>
          <cell r="I704">
            <v>46</v>
          </cell>
          <cell r="J704" t="str">
            <v>FOOTJOY</v>
          </cell>
          <cell r="K704" t="str">
            <v>Pr.Sch.R</v>
          </cell>
          <cell r="L704" t="str">
            <v>DIE CUT</v>
          </cell>
          <cell r="M704">
            <v>1</v>
          </cell>
        </row>
        <row r="705">
          <cell r="A705" t="str">
            <v>F-2025-11-259</v>
          </cell>
          <cell r="B705" t="str">
            <v>RPRO-251114-0219</v>
          </cell>
          <cell r="C705" t="str">
            <v>BDB-000229</v>
          </cell>
          <cell r="D705" t="str">
            <v>PVN-003878</v>
          </cell>
          <cell r="E705" t="str">
            <v>OrthoLite Ultra-Hybrid SEEDPEARL/12-0703TPX Hybrid Flat Sheet 0.095D 33+/-4 Asker C 1.1M 2M 4mm</v>
          </cell>
          <cell r="F705">
            <v>105</v>
          </cell>
          <cell r="G705">
            <v>105</v>
          </cell>
          <cell r="H705">
            <v>0</v>
          </cell>
          <cell r="I705">
            <v>105</v>
          </cell>
          <cell r="J705" t="str">
            <v>ON RUNNING</v>
          </cell>
          <cell r="K705" t="str">
            <v>Pr.Sch.R</v>
          </cell>
          <cell r="L705" t="str">
            <v>DIE CUT</v>
          </cell>
          <cell r="M705">
            <v>1</v>
          </cell>
        </row>
        <row r="706">
          <cell r="A706" t="str">
            <v>F-2025-11-260</v>
          </cell>
          <cell r="B706" t="str">
            <v>RPRO-251114-0220</v>
          </cell>
          <cell r="C706" t="str">
            <v>BDB-000011</v>
          </cell>
          <cell r="D706" t="str">
            <v>PVN-004051</v>
          </cell>
          <cell r="E706" t="str">
            <v>OrthoLite Regular AIR BLUE/16-4134TPX Flat Sheet 0.13D 35+/-4 Asker C 1.1M 2M 30mm</v>
          </cell>
          <cell r="F706">
            <v>20</v>
          </cell>
          <cell r="G706">
            <v>20</v>
          </cell>
          <cell r="H706">
            <v>0</v>
          </cell>
          <cell r="I706">
            <v>20</v>
          </cell>
          <cell r="J706" t="str">
            <v>RAG-BONE</v>
          </cell>
          <cell r="K706" t="str">
            <v>Pr.Sch.R</v>
          </cell>
          <cell r="L706" t="str">
            <v>MOLDED</v>
          </cell>
          <cell r="M706">
            <v>1</v>
          </cell>
        </row>
        <row r="707">
          <cell r="A707" t="str">
            <v>F-2025-11-261</v>
          </cell>
          <cell r="B707" t="str">
            <v>RPRO-251114-0221</v>
          </cell>
          <cell r="C707" t="str">
            <v>BDB-000123</v>
          </cell>
          <cell r="D707" t="str">
            <v>PVN-003743</v>
          </cell>
          <cell r="E707" t="str">
            <v>OrthoLite Ultra-Hybrid SEEDPEARL/12-0703TPX Hybrid Flat Sheet 0.085D 25+/-4 Asker C 1.1M 2M 5.5mm</v>
          </cell>
          <cell r="F707">
            <v>175</v>
          </cell>
          <cell r="G707">
            <v>175</v>
          </cell>
          <cell r="H707">
            <v>0</v>
          </cell>
          <cell r="I707">
            <v>175</v>
          </cell>
          <cell r="J707" t="str">
            <v>LOWA</v>
          </cell>
          <cell r="K707" t="str">
            <v>Pr.Sch.R</v>
          </cell>
          <cell r="L707" t="str">
            <v>MOLDED</v>
          </cell>
          <cell r="M707">
            <v>1</v>
          </cell>
        </row>
        <row r="708">
          <cell r="A708" t="str">
            <v>F-2025-11-262</v>
          </cell>
          <cell r="B708" t="str">
            <v>RPRO-251114-0222</v>
          </cell>
          <cell r="C708" t="str">
            <v>BDB-000275</v>
          </cell>
          <cell r="D708" t="str">
            <v>PVN-003797</v>
          </cell>
          <cell r="E708" t="str">
            <v>OrthoLite Regular RED/19-1764TPX Flat Sheet 0.15D 45+/-4 Asker C 1.1M 1.7M 3mm</v>
          </cell>
          <cell r="F708">
            <v>46</v>
          </cell>
          <cell r="G708">
            <v>46</v>
          </cell>
          <cell r="H708">
            <v>0</v>
          </cell>
          <cell r="I708">
            <v>46</v>
          </cell>
          <cell r="J708" t="str">
            <v>FOOTJOY</v>
          </cell>
          <cell r="K708" t="str">
            <v>Pr.Sch.R</v>
          </cell>
          <cell r="L708" t="str">
            <v>MOLDED</v>
          </cell>
          <cell r="M708">
            <v>1</v>
          </cell>
        </row>
        <row r="709">
          <cell r="A709" t="str">
            <v>F-2025-11-263</v>
          </cell>
          <cell r="B709" t="str">
            <v>RPRO-251114-0223</v>
          </cell>
          <cell r="C709" t="str">
            <v>BDB-000076</v>
          </cell>
          <cell r="D709" t="str">
            <v>PVN-004072</v>
          </cell>
          <cell r="E709" t="str">
            <v>OrthoLite X-25 BILLIARD/16-5427TPX Flat Sheet 0.12D 20+/-4 Asker C 1.1M 2M 20mm</v>
          </cell>
          <cell r="F709">
            <v>6</v>
          </cell>
          <cell r="G709">
            <v>6</v>
          </cell>
          <cell r="H709">
            <v>0</v>
          </cell>
          <cell r="I709">
            <v>6</v>
          </cell>
          <cell r="J709" t="str">
            <v>FOOTJOY</v>
          </cell>
          <cell r="K709" t="str">
            <v>Pr.Sch.R</v>
          </cell>
          <cell r="L709" t="str">
            <v>MOLDED</v>
          </cell>
          <cell r="M709">
            <v>1</v>
          </cell>
        </row>
        <row r="710">
          <cell r="A710" t="str">
            <v>F-2025-11-264</v>
          </cell>
          <cell r="B710" t="str">
            <v>RPRO-251114-0224</v>
          </cell>
          <cell r="C710" t="str">
            <v>BDB-000113</v>
          </cell>
          <cell r="D710" t="str">
            <v>PVN-002501</v>
          </cell>
          <cell r="E710" t="str">
            <v>OrthoLite Regular-Hybrid SEEDPEARL/12-0703TPX Hybrid Flat Sheet 0.11D 25+/-4 Asker C 1.1M 2M 2mm</v>
          </cell>
          <cell r="F710">
            <v>140</v>
          </cell>
          <cell r="G710">
            <v>140</v>
          </cell>
          <cell r="H710">
            <v>0</v>
          </cell>
          <cell r="I710">
            <v>140</v>
          </cell>
          <cell r="J710" t="str">
            <v>ASICS</v>
          </cell>
          <cell r="K710" t="str">
            <v>Pr.Sch.R</v>
          </cell>
          <cell r="L710" t="str">
            <v>LAMINATING</v>
          </cell>
          <cell r="M710">
            <v>1</v>
          </cell>
        </row>
        <row r="711">
          <cell r="A711" t="str">
            <v>F-2025-11-265</v>
          </cell>
          <cell r="B711" t="str">
            <v>RPRO-251117-0001</v>
          </cell>
          <cell r="C711" t="str">
            <v>BDB-000077</v>
          </cell>
          <cell r="D711" t="str">
            <v>PVN-003478</v>
          </cell>
          <cell r="E711" t="str">
            <v>Ortholite X-25 SEEDPEARL/12-0703TPX Flat Sheet 0.12D 20+/-4 Asker C 1.1M 2M 4mm</v>
          </cell>
          <cell r="F711">
            <v>35</v>
          </cell>
          <cell r="G711">
            <v>35</v>
          </cell>
          <cell r="H711">
            <v>0</v>
          </cell>
          <cell r="I711">
            <v>35</v>
          </cell>
          <cell r="J711"/>
          <cell r="K711" t="str">
            <v>MPS</v>
          </cell>
          <cell r="L711" t="str">
            <v>SPLITTING</v>
          </cell>
          <cell r="M711">
            <v>2</v>
          </cell>
        </row>
        <row r="712">
          <cell r="A712" t="str">
            <v>F-2025-11-266</v>
          </cell>
          <cell r="B712" t="str">
            <v>RPRO-251117-0002</v>
          </cell>
          <cell r="C712" t="str">
            <v>BDB-000083</v>
          </cell>
          <cell r="D712" t="str">
            <v>PVN-000935</v>
          </cell>
          <cell r="E712" t="str">
            <v>OrthoLite Eco LT 300C(ADIDAS BLUEBIRD) Flat Sheet 0.11D 25+/-4 Asker C 1.1M 2M 4mm</v>
          </cell>
          <cell r="F712">
            <v>840</v>
          </cell>
          <cell r="G712">
            <v>840</v>
          </cell>
          <cell r="H712">
            <v>0</v>
          </cell>
          <cell r="I712">
            <v>840</v>
          </cell>
          <cell r="J712"/>
          <cell r="K712" t="str">
            <v>MPS</v>
          </cell>
          <cell r="L712" t="str">
            <v>SPLITTING</v>
          </cell>
          <cell r="M712">
            <v>2</v>
          </cell>
        </row>
        <row r="713">
          <cell r="A713" t="str">
            <v>F-2025-11-267</v>
          </cell>
          <cell r="B713" t="str">
            <v>RPRO-251117-0003</v>
          </cell>
          <cell r="C713" t="str">
            <v>BDB-000085</v>
          </cell>
          <cell r="D713" t="str">
            <v>PVN-001091</v>
          </cell>
          <cell r="E713" t="str">
            <v>OrthoLite Eco LT GREY/17-1501TPX Flat Sheet 0.11D 25+/-4 Asker C 1.1M 2M 4mm</v>
          </cell>
          <cell r="F713">
            <v>35</v>
          </cell>
          <cell r="G713">
            <v>35</v>
          </cell>
          <cell r="H713">
            <v>0</v>
          </cell>
          <cell r="I713">
            <v>35</v>
          </cell>
          <cell r="J713"/>
          <cell r="K713" t="str">
            <v>MPS</v>
          </cell>
          <cell r="L713" t="str">
            <v>SPLITTING</v>
          </cell>
          <cell r="M713">
            <v>2</v>
          </cell>
        </row>
        <row r="714">
          <cell r="A714" t="str">
            <v>F-2025-11-268</v>
          </cell>
          <cell r="B714" t="str">
            <v>RPRO-251117-0004</v>
          </cell>
          <cell r="C714" t="str">
            <v>BDB-000084</v>
          </cell>
          <cell r="D714" t="str">
            <v>PVN-001111</v>
          </cell>
          <cell r="E714" t="str">
            <v>OrthoLite Eco LT YELLOW/13-0858TPX 0.11D 25+/-4 Asker C 1.1M 2M 4mm</v>
          </cell>
          <cell r="F714">
            <v>175</v>
          </cell>
          <cell r="G714">
            <v>175</v>
          </cell>
          <cell r="H714">
            <v>0</v>
          </cell>
          <cell r="I714">
            <v>175</v>
          </cell>
          <cell r="J714"/>
          <cell r="K714" t="str">
            <v>MPS</v>
          </cell>
          <cell r="L714" t="str">
            <v>SPLITTING</v>
          </cell>
          <cell r="M714">
            <v>2</v>
          </cell>
        </row>
        <row r="715">
          <cell r="A715" t="str">
            <v>F-2025-11-269</v>
          </cell>
          <cell r="B715" t="str">
            <v>RPRO-251117-0005</v>
          </cell>
          <cell r="C715" t="str">
            <v>BDB-000123</v>
          </cell>
          <cell r="D715" t="str">
            <v>PVN-002539</v>
          </cell>
          <cell r="E715" t="str">
            <v>OrthoLite Ultra-Hybrid SEEDPEARL/12-0703TPX Hybrid Flat Sheet 0.085D 25+/-4 Asker C 1.1M 2M 5mm</v>
          </cell>
          <cell r="F715">
            <v>280</v>
          </cell>
          <cell r="G715">
            <v>280</v>
          </cell>
          <cell r="H715">
            <v>0</v>
          </cell>
          <cell r="I715">
            <v>280</v>
          </cell>
          <cell r="J715"/>
          <cell r="K715" t="str">
            <v>MPS</v>
          </cell>
          <cell r="L715" t="str">
            <v>SPLITTING</v>
          </cell>
          <cell r="M715">
            <v>2</v>
          </cell>
        </row>
        <row r="716">
          <cell r="A716" t="str">
            <v>F-2025-11-270</v>
          </cell>
          <cell r="B716" t="str">
            <v>RPRO-251117-0006</v>
          </cell>
          <cell r="C716" t="str">
            <v>BDB-000123</v>
          </cell>
          <cell r="D716" t="str">
            <v>PVN-003300</v>
          </cell>
          <cell r="E716" t="str">
            <v>OrthoLite Ultra-Hybrid SEEDPEARL/12-0703TPX Hybrid Flat Sheet 0.085D 25+/-4 Asker C 1.1M 2M 2mm</v>
          </cell>
          <cell r="F716">
            <v>210</v>
          </cell>
          <cell r="G716">
            <v>210</v>
          </cell>
          <cell r="H716">
            <v>0</v>
          </cell>
          <cell r="I716">
            <v>210</v>
          </cell>
          <cell r="J716"/>
          <cell r="K716" t="str">
            <v>MPS</v>
          </cell>
          <cell r="L716" t="str">
            <v>SPLITTING</v>
          </cell>
          <cell r="M716">
            <v>2</v>
          </cell>
        </row>
        <row r="717">
          <cell r="A717" t="str">
            <v>F-2025-11-271</v>
          </cell>
          <cell r="B717" t="str">
            <v>RPRO-251117-0007</v>
          </cell>
          <cell r="C717" t="str">
            <v>BDB-000077</v>
          </cell>
          <cell r="D717" t="str">
            <v>PVN-003513</v>
          </cell>
          <cell r="E717" t="str">
            <v>OrthoLite X-25 SEEDPEARL/12-0703TPX Flat Sheet 0.12D 20+/-4 Asker C 1.1M 2M 2mm</v>
          </cell>
          <cell r="F717">
            <v>70</v>
          </cell>
          <cell r="G717">
            <v>70</v>
          </cell>
          <cell r="H717">
            <v>0</v>
          </cell>
          <cell r="I717">
            <v>70</v>
          </cell>
          <cell r="J717"/>
          <cell r="K717" t="str">
            <v>MPS</v>
          </cell>
          <cell r="L717" t="str">
            <v>SPLITTING</v>
          </cell>
          <cell r="M717">
            <v>2</v>
          </cell>
        </row>
        <row r="718">
          <cell r="A718" t="str">
            <v>F-2025-11-272</v>
          </cell>
          <cell r="B718" t="str">
            <v>RPRO-251117-0008</v>
          </cell>
          <cell r="C718" t="str">
            <v>BDB-000235</v>
          </cell>
          <cell r="D718" t="str">
            <v>PVN-003576</v>
          </cell>
          <cell r="E718" t="str">
            <v>OrthoLite X-55-Hybrid FOSSIL/17-0909TPX Hybrid Flat Sheet 0.16D 25+/-4 Asker C 1.1M 1.7M 12mm</v>
          </cell>
          <cell r="F718">
            <v>11</v>
          </cell>
          <cell r="G718">
            <v>11</v>
          </cell>
          <cell r="H718">
            <v>0</v>
          </cell>
          <cell r="I718">
            <v>11</v>
          </cell>
          <cell r="J718" t="str">
            <v>ASICS</v>
          </cell>
          <cell r="K718" t="str">
            <v>Pr.Sch.R</v>
          </cell>
          <cell r="L718" t="str">
            <v>MOLDED</v>
          </cell>
          <cell r="M718" t="str">
            <v>1-RM-WIP</v>
          </cell>
        </row>
        <row r="719">
          <cell r="A719" t="str">
            <v>F-2025-11-273</v>
          </cell>
          <cell r="B719" t="str">
            <v>RPRO-251117-0009</v>
          </cell>
          <cell r="C719" t="str">
            <v>BDB-000209</v>
          </cell>
          <cell r="D719" t="str">
            <v>PVN-003537</v>
          </cell>
          <cell r="E719" t="str">
            <v>OrthoLite HybridPlus-Recycled MINT GREEN/11-4805TPX Hybrid Flat Sheet 0.12D 25+/-4 Asker C 1.1M 2M 4.5mm</v>
          </cell>
          <cell r="F719">
            <v>1550</v>
          </cell>
          <cell r="G719">
            <v>1550</v>
          </cell>
          <cell r="H719">
            <v>0</v>
          </cell>
          <cell r="I719">
            <v>1550</v>
          </cell>
          <cell r="J719" t="str">
            <v>AKU</v>
          </cell>
          <cell r="K719" t="str">
            <v>Pr.Sch.R</v>
          </cell>
          <cell r="L719" t="str">
            <v>MOLDED</v>
          </cell>
          <cell r="M719">
            <v>1</v>
          </cell>
        </row>
        <row r="720">
          <cell r="A720" t="str">
            <v>F-2025-11-274</v>
          </cell>
          <cell r="B720" t="str">
            <v>RPRO-251117-0010</v>
          </cell>
          <cell r="C720" t="str">
            <v>BDB-000209</v>
          </cell>
          <cell r="D720" t="str">
            <v>PVN-003462</v>
          </cell>
          <cell r="E720" t="str">
            <v>OrthoLite HybridPlus-Recycled MINT GREEN/11-4805TPX Hybrid Flat Sheet 0.12D 25+/-4 Asker C 1.1M 2M 12mm</v>
          </cell>
          <cell r="F720">
            <v>528</v>
          </cell>
          <cell r="G720">
            <v>528</v>
          </cell>
          <cell r="H720">
            <v>0</v>
          </cell>
          <cell r="I720">
            <v>528</v>
          </cell>
          <cell r="J720" t="str">
            <v>BROOKS</v>
          </cell>
          <cell r="K720" t="str">
            <v>Pr.Sch.R</v>
          </cell>
          <cell r="L720" t="str">
            <v>MOLDED</v>
          </cell>
          <cell r="M720">
            <v>1</v>
          </cell>
        </row>
        <row r="721">
          <cell r="A721" t="str">
            <v>F-2025-11-275</v>
          </cell>
          <cell r="B721" t="str">
            <v>RPRO-251117-0011</v>
          </cell>
          <cell r="C721" t="str">
            <v>BDB-000113</v>
          </cell>
          <cell r="D721" t="str">
            <v>PVN-002465</v>
          </cell>
          <cell r="E721" t="str">
            <v>OrthoLite Regular-Hybrid SEEDPEARL/12-0703TPX Hybrid Flat Sheet 0.11D 25+/-4 Asker C 1.1M 2M 5mm</v>
          </cell>
          <cell r="F721">
            <v>224</v>
          </cell>
          <cell r="G721">
            <v>224</v>
          </cell>
          <cell r="H721">
            <v>0</v>
          </cell>
          <cell r="I721">
            <v>224</v>
          </cell>
          <cell r="J721" t="str">
            <v>ASICS</v>
          </cell>
          <cell r="K721" t="str">
            <v>Pr.Sch.R</v>
          </cell>
          <cell r="L721" t="str">
            <v>DIE CUT</v>
          </cell>
          <cell r="M721">
            <v>1</v>
          </cell>
        </row>
        <row r="722">
          <cell r="A722" t="str">
            <v>F-2025-11-276</v>
          </cell>
          <cell r="B722" t="str">
            <v>RPRO-251117-0012</v>
          </cell>
          <cell r="C722" t="str">
            <v>BDB-000149</v>
          </cell>
          <cell r="D722" t="str">
            <v>PVN-002827</v>
          </cell>
          <cell r="E722" t="str">
            <v>OrthoLite Regular-Hybrid-Nike SEEDPEARL/12-0703TPX Hybrid Flat Sheet 0.11D 25+/-4 Asker C 1.1M 2M 5mm</v>
          </cell>
          <cell r="F722">
            <v>224</v>
          </cell>
          <cell r="G722">
            <v>224</v>
          </cell>
          <cell r="H722">
            <v>0</v>
          </cell>
          <cell r="I722">
            <v>224</v>
          </cell>
          <cell r="J722" t="str">
            <v>NIKE</v>
          </cell>
          <cell r="K722" t="str">
            <v>Pr.Sch.R</v>
          </cell>
          <cell r="L722" t="str">
            <v>MOLDED</v>
          </cell>
          <cell r="M722">
            <v>1</v>
          </cell>
        </row>
        <row r="723">
          <cell r="A723" t="str">
            <v>F-2025-11-277</v>
          </cell>
          <cell r="B723" t="str">
            <v>RPRO-251117-0013</v>
          </cell>
          <cell r="C723" t="str">
            <v>BDB-000217</v>
          </cell>
          <cell r="D723" t="str">
            <v>PVN-003539</v>
          </cell>
          <cell r="E723" t="str">
            <v>OrthoLite X-40-Hybrid SEEDPEARL/12-0703TPX Hybrid Flat Sheet 0.16D 35+/-4 Asker C 1.1M 1.7M 6.2mm</v>
          </cell>
          <cell r="F723">
            <v>22</v>
          </cell>
          <cell r="G723">
            <v>22</v>
          </cell>
          <cell r="H723">
            <v>0</v>
          </cell>
          <cell r="I723">
            <v>22</v>
          </cell>
          <cell r="J723" t="str">
            <v>BROOKS</v>
          </cell>
          <cell r="K723" t="str">
            <v>Pr.Sch.R</v>
          </cell>
          <cell r="L723" t="str">
            <v>MOLDED</v>
          </cell>
          <cell r="M723">
            <v>1</v>
          </cell>
        </row>
        <row r="724">
          <cell r="A724" t="str">
            <v>F-2025-11-278</v>
          </cell>
          <cell r="B724" t="str">
            <v>RPRO-251117-0014</v>
          </cell>
          <cell r="C724" t="str">
            <v>BDB-000234</v>
          </cell>
          <cell r="D724" t="str">
            <v>PVN-003581</v>
          </cell>
          <cell r="E724" t="str">
            <v>OrthoLite X-30-Hybrid BROWN SUGAR/17-1134TPX Hybrid Flat Sheet 0.13D 25+/-4 Asker C 1.1M 2M 12mm</v>
          </cell>
          <cell r="F724">
            <v>11</v>
          </cell>
          <cell r="G724">
            <v>11</v>
          </cell>
          <cell r="H724">
            <v>0</v>
          </cell>
          <cell r="I724">
            <v>11</v>
          </cell>
          <cell r="J724" t="str">
            <v>ASICS</v>
          </cell>
          <cell r="K724" t="str">
            <v>Pr.Sch.R</v>
          </cell>
          <cell r="L724" t="str">
            <v>MOLDED</v>
          </cell>
          <cell r="M724" t="str">
            <v>1-RM-WIP</v>
          </cell>
        </row>
        <row r="725">
          <cell r="A725" t="str">
            <v>F-2025-11-279</v>
          </cell>
          <cell r="B725" t="str">
            <v>RPRO-251117-0015</v>
          </cell>
          <cell r="C725" t="str">
            <v>BDB-000077</v>
          </cell>
          <cell r="D725" t="str">
            <v>PVN-004147</v>
          </cell>
          <cell r="E725" t="str">
            <v>OrthoLite X-25 SEEDPEARL/12-0703TPX Flat Sheet 0.12D 20+/-4 Asker C 1.1M 2M 5.5mm</v>
          </cell>
          <cell r="F725">
            <v>1700</v>
          </cell>
          <cell r="G725">
            <v>1700</v>
          </cell>
          <cell r="H725">
            <v>0</v>
          </cell>
          <cell r="I725">
            <v>1700</v>
          </cell>
          <cell r="J725" t="str">
            <v>ON RUNNING</v>
          </cell>
          <cell r="K725" t="str">
            <v>Pr.Sch.R</v>
          </cell>
          <cell r="L725" t="str">
            <v>MOLDED</v>
          </cell>
          <cell r="M725">
            <v>1</v>
          </cell>
        </row>
        <row r="726">
          <cell r="A726" t="str">
            <v>F-2025-11-280</v>
          </cell>
          <cell r="B726" t="str">
            <v>RPRO-251117-0016</v>
          </cell>
          <cell r="C726" t="str">
            <v>BDB-000076</v>
          </cell>
          <cell r="D726" t="str">
            <v>PVN-003494</v>
          </cell>
          <cell r="E726" t="str">
            <v>OrthoLite X-25 BILLIARD/16-5427TPX Flat Sheet 0.12D 20+/-4 Asker C 1.1M 2M 5.5mm</v>
          </cell>
          <cell r="F726">
            <v>25</v>
          </cell>
          <cell r="G726">
            <v>25</v>
          </cell>
          <cell r="H726">
            <v>0</v>
          </cell>
          <cell r="I726">
            <v>25</v>
          </cell>
          <cell r="J726" t="str">
            <v>ON RUNNING</v>
          </cell>
          <cell r="K726" t="str">
            <v>Pr.Sch.R</v>
          </cell>
          <cell r="L726" t="str">
            <v>MOLDED</v>
          </cell>
          <cell r="M726">
            <v>1</v>
          </cell>
        </row>
        <row r="727">
          <cell r="A727" t="str">
            <v>F-2025-11-281</v>
          </cell>
          <cell r="B727" t="str">
            <v>RPRO-251117-0017</v>
          </cell>
          <cell r="C727" t="str">
            <v>BDB-000336</v>
          </cell>
          <cell r="D727" t="str">
            <v>PVN-004168</v>
          </cell>
          <cell r="E727" t="str">
            <v>OrthoLite X-40-Nike SEEDPEARL/12-0703TPX Flat Sheet 0.16D 35+/-4 Asker C 1.1M 2M 4.5mm</v>
          </cell>
          <cell r="F727">
            <v>93</v>
          </cell>
          <cell r="G727">
            <v>93</v>
          </cell>
          <cell r="H727">
            <v>0</v>
          </cell>
          <cell r="I727">
            <v>93</v>
          </cell>
          <cell r="J727" t="str">
            <v>NIKE</v>
          </cell>
          <cell r="K727" t="str">
            <v>Pr.Sch.R</v>
          </cell>
          <cell r="L727" t="str">
            <v>MOLDED</v>
          </cell>
          <cell r="M727">
            <v>1</v>
          </cell>
        </row>
        <row r="728">
          <cell r="A728" t="str">
            <v>F-2025-11-282</v>
          </cell>
          <cell r="B728" t="str">
            <v>RPRO-251117-0018</v>
          </cell>
          <cell r="C728" t="str">
            <v>BDB-000229</v>
          </cell>
          <cell r="D728" t="str">
            <v>PVN-003878</v>
          </cell>
          <cell r="E728" t="str">
            <v>OrthoLite Ultra-Hybrid SEEDPEARL/12-0703TPX Hybrid Flat Sheet 0.095D 33+/-4 Asker C 1.1M 2M 4mm</v>
          </cell>
          <cell r="F728">
            <v>105</v>
          </cell>
          <cell r="G728">
            <v>105</v>
          </cell>
          <cell r="H728">
            <v>0</v>
          </cell>
          <cell r="I728">
            <v>105</v>
          </cell>
          <cell r="J728" t="str">
            <v>ON RUNNING</v>
          </cell>
          <cell r="K728" t="str">
            <v>Pr.Sch.R</v>
          </cell>
          <cell r="L728" t="str">
            <v>DIE CUT</v>
          </cell>
          <cell r="M728">
            <v>1</v>
          </cell>
        </row>
        <row r="729">
          <cell r="A729" t="str">
            <v>F-2025-11-283</v>
          </cell>
          <cell r="B729" t="str">
            <v>RPRO-251117-0019</v>
          </cell>
          <cell r="C729" t="str">
            <v>BDB-000212</v>
          </cell>
          <cell r="D729" t="str">
            <v>PVN-003460</v>
          </cell>
          <cell r="E729" t="str">
            <v>OrthoLite X-25-Hybrid SEEDPEARL/12-0703TPX Hybrid Flat Sheet 0.12D 20+/-4 Asker C 1.1M 2M 5.5mm</v>
          </cell>
          <cell r="F729">
            <v>275</v>
          </cell>
          <cell r="G729">
            <v>275</v>
          </cell>
          <cell r="H729">
            <v>0</v>
          </cell>
          <cell r="I729">
            <v>275</v>
          </cell>
          <cell r="J729" t="str">
            <v>ON RUNNING</v>
          </cell>
          <cell r="K729" t="str">
            <v>Pr.Sch.R</v>
          </cell>
          <cell r="L729" t="str">
            <v>MOLDED</v>
          </cell>
          <cell r="M729">
            <v>1</v>
          </cell>
        </row>
        <row r="730">
          <cell r="A730" t="str">
            <v>F-2025-11-284</v>
          </cell>
          <cell r="B730" t="str">
            <v>RPRO-251117-0020</v>
          </cell>
          <cell r="C730" t="str">
            <v>BDB-000347</v>
          </cell>
          <cell r="D730" t="str">
            <v>PVN-004192</v>
          </cell>
          <cell r="E730" t="str">
            <v>OrthoLite X-55-Hybrid SEEDPEARL/12-0703TPX Hybrid Flat Sheet 0.16D 25+/-4 Asker C 1.1M 2M 12mm</v>
          </cell>
          <cell r="F730">
            <v>814</v>
          </cell>
          <cell r="G730">
            <v>814</v>
          </cell>
          <cell r="H730">
            <v>0</v>
          </cell>
          <cell r="I730">
            <v>814</v>
          </cell>
          <cell r="J730" t="str">
            <v>BROOKS</v>
          </cell>
          <cell r="K730" t="str">
            <v>Pr.Sch.R</v>
          </cell>
          <cell r="L730" t="str">
            <v>MOLDED</v>
          </cell>
          <cell r="M730">
            <v>1</v>
          </cell>
        </row>
        <row r="731">
          <cell r="A731" t="str">
            <v>F-2025-11-285</v>
          </cell>
          <cell r="B731" t="str">
            <v>RPRO-251117-0021</v>
          </cell>
          <cell r="C731" t="str">
            <v>BDB-000180</v>
          </cell>
          <cell r="D731" t="str">
            <v>PVN-003236</v>
          </cell>
          <cell r="E731" t="str">
            <v>OrthoLite Eco LT-Hybrid-Converse SEEDPEARL/12-0703TPX Hybrid Flat Sheet 0.13D 25+/-4 Asker C 1.1M 2M 5mm</v>
          </cell>
          <cell r="F731">
            <v>28</v>
          </cell>
          <cell r="G731">
            <v>28</v>
          </cell>
          <cell r="H731">
            <v>0</v>
          </cell>
          <cell r="I731">
            <v>28</v>
          </cell>
          <cell r="J731" t="str">
            <v>CONVERSE</v>
          </cell>
          <cell r="K731" t="str">
            <v>Pr.Sch.R</v>
          </cell>
          <cell r="L731" t="str">
            <v>DIE CUT</v>
          </cell>
          <cell r="M731">
            <v>1</v>
          </cell>
        </row>
        <row r="732">
          <cell r="A732" t="str">
            <v>F-2025-11-286</v>
          </cell>
          <cell r="B732" t="str">
            <v>RPRO-251117-0022</v>
          </cell>
          <cell r="C732" t="str">
            <v>BDB-000318</v>
          </cell>
          <cell r="D732" t="str">
            <v>PVN-004077</v>
          </cell>
          <cell r="E732" t="str">
            <v>OrthoLite X-55 RED/19-1764TPX Flat Sheet 0.16D 25+/-4 Asker C 1.1M 2M 5.2mm</v>
          </cell>
          <cell r="F732">
            <v>26</v>
          </cell>
          <cell r="G732">
            <v>26</v>
          </cell>
          <cell r="H732">
            <v>0</v>
          </cell>
          <cell r="I732">
            <v>26</v>
          </cell>
          <cell r="J732" t="str">
            <v>NEW BALANCE</v>
          </cell>
          <cell r="K732" t="str">
            <v>Pr.Sch.R</v>
          </cell>
          <cell r="L732" t="str">
            <v>MOLDED</v>
          </cell>
          <cell r="M732">
            <v>1</v>
          </cell>
        </row>
        <row r="733">
          <cell r="A733" t="str">
            <v>F-2025-11-287</v>
          </cell>
          <cell r="B733" t="str">
            <v>RPRO-251117-0023</v>
          </cell>
          <cell r="C733" t="str">
            <v>BDB-000217</v>
          </cell>
          <cell r="D733" t="str">
            <v>PVN-003733</v>
          </cell>
          <cell r="E733" t="str">
            <v>OrthoLite X-40-Hybrid SEEDPEARL/12-0703TPX Hybrid Flat Sheet 0.16D 35+/-4 Asker C 1.1M 1.7M 12.5mm</v>
          </cell>
          <cell r="F733">
            <v>10</v>
          </cell>
          <cell r="G733">
            <v>10</v>
          </cell>
          <cell r="H733">
            <v>0</v>
          </cell>
          <cell r="I733">
            <v>10</v>
          </cell>
          <cell r="J733" t="str">
            <v>OBOZ</v>
          </cell>
          <cell r="K733" t="str">
            <v>Pr.Sch.R</v>
          </cell>
          <cell r="L733" t="str">
            <v>MOLDED</v>
          </cell>
          <cell r="M733">
            <v>1</v>
          </cell>
        </row>
        <row r="734">
          <cell r="A734" t="str">
            <v>F-2025-11-288</v>
          </cell>
          <cell r="B734" t="str">
            <v>RPRO-251117-0024</v>
          </cell>
          <cell r="C734" t="str">
            <v>BDB-000347</v>
          </cell>
          <cell r="D734" t="str">
            <v>PVN-004194</v>
          </cell>
          <cell r="E734" t="str">
            <v>OrthoLite X-55-Hybrid SEEDPEARL/12-0703TPX Hybrid Flat Sheet 0.16D 25+/-4 Asker C 1.1M 2M 5.5mm</v>
          </cell>
          <cell r="F734">
            <v>50</v>
          </cell>
          <cell r="G734">
            <v>50</v>
          </cell>
          <cell r="H734">
            <v>0</v>
          </cell>
          <cell r="I734">
            <v>50</v>
          </cell>
          <cell r="J734" t="str">
            <v>BROOKS</v>
          </cell>
          <cell r="K734" t="str">
            <v>Pr.Sch.R</v>
          </cell>
          <cell r="L734" t="str">
            <v>MOLDED</v>
          </cell>
          <cell r="M734">
            <v>1</v>
          </cell>
        </row>
        <row r="735">
          <cell r="A735" t="str">
            <v>F-2025-11-289</v>
          </cell>
          <cell r="B735" t="str">
            <v>RPRO-251117-0025</v>
          </cell>
          <cell r="C735" t="str">
            <v>BDB-000321</v>
          </cell>
          <cell r="D735" t="str">
            <v>PVN-004105</v>
          </cell>
          <cell r="E735" t="str">
            <v>OrthoLite Float BLUE ATOLL/16-4535TPX Flat Sheet 0.12D 21+/-4 Asker C 1.1M 2M 4mm</v>
          </cell>
          <cell r="F735">
            <v>35</v>
          </cell>
          <cell r="G735">
            <v>35</v>
          </cell>
          <cell r="H735">
            <v>0</v>
          </cell>
          <cell r="I735">
            <v>35</v>
          </cell>
          <cell r="J735" t="str">
            <v>DESCENTE</v>
          </cell>
          <cell r="K735" t="str">
            <v>Pr.Sch.R</v>
          </cell>
          <cell r="L735" t="str">
            <v>DIE CUT</v>
          </cell>
          <cell r="M735">
            <v>1</v>
          </cell>
        </row>
        <row r="736">
          <cell r="A736" t="str">
            <v>F-2025-11-290</v>
          </cell>
          <cell r="B736" t="str">
            <v>RPRO-251118-1041</v>
          </cell>
          <cell r="C736" t="str">
            <v>BDB-000003</v>
          </cell>
          <cell r="D736" t="str">
            <v>PVN-000035</v>
          </cell>
          <cell r="E736" t="str">
            <v>OrthoLite Regular YELLOW/13-0858TPX Flat Sheet 0.11D 25+/-4 Asker C 1.1M 2M 5mm</v>
          </cell>
          <cell r="F736">
            <v>168</v>
          </cell>
          <cell r="G736">
            <v>168</v>
          </cell>
          <cell r="H736">
            <v>0</v>
          </cell>
          <cell r="I736">
            <v>168</v>
          </cell>
          <cell r="J736"/>
          <cell r="K736" t="str">
            <v>MPS</v>
          </cell>
          <cell r="L736" t="str">
            <v>SPLITTING</v>
          </cell>
          <cell r="M736">
            <v>2</v>
          </cell>
        </row>
        <row r="737">
          <cell r="A737" t="str">
            <v>F-2025-11-291</v>
          </cell>
          <cell r="B737" t="str">
            <v>RPRO-251118-1042</v>
          </cell>
          <cell r="C737" t="str">
            <v>BDB-000348</v>
          </cell>
          <cell r="D737" t="str">
            <v>PVN-004195</v>
          </cell>
          <cell r="E737" t="str">
            <v>OrthoLite IMPERIAL SEEDPEARL/12-0703TPX Flat Sheet 0.22D 25+/-4 Asker C 1.1M 1.47M 4mm</v>
          </cell>
          <cell r="F737">
            <v>1330</v>
          </cell>
          <cell r="G737">
            <v>1330</v>
          </cell>
          <cell r="H737">
            <v>0</v>
          </cell>
          <cell r="I737">
            <v>1330</v>
          </cell>
          <cell r="J737"/>
          <cell r="K737" t="str">
            <v>MPS</v>
          </cell>
          <cell r="L737" t="str">
            <v>SPLITTING</v>
          </cell>
          <cell r="M737">
            <v>2</v>
          </cell>
        </row>
        <row r="738">
          <cell r="A738" t="str">
            <v>F-2025-11-292</v>
          </cell>
          <cell r="B738" t="str">
            <v>RPRO-251118-1043</v>
          </cell>
          <cell r="C738" t="str">
            <v>BDB-000348</v>
          </cell>
          <cell r="D738" t="str">
            <v>PVN-004210</v>
          </cell>
          <cell r="E738" t="str">
            <v>OrthoLite IMPERIAL SEEDPEARL/12-0703TPX Flat Sheet 0.22D 25+/-4 Asker C 1.1M 1.47M 5mm</v>
          </cell>
          <cell r="F738">
            <v>448</v>
          </cell>
          <cell r="G738">
            <v>448</v>
          </cell>
          <cell r="H738">
            <v>0</v>
          </cell>
          <cell r="I738">
            <v>448</v>
          </cell>
          <cell r="J738"/>
          <cell r="K738" t="str">
            <v>MPS</v>
          </cell>
          <cell r="L738" t="str">
            <v>SPLITTING</v>
          </cell>
          <cell r="M738">
            <v>2</v>
          </cell>
        </row>
        <row r="739">
          <cell r="A739" t="str">
            <v>F-2025-11-293</v>
          </cell>
          <cell r="B739" t="str">
            <v>RPRO-251118-1044</v>
          </cell>
          <cell r="C739" t="str">
            <v>BDB-000010</v>
          </cell>
          <cell r="D739" t="str">
            <v>PVN-000099</v>
          </cell>
          <cell r="E739" t="str">
            <v>OrthoLite Regular AIR BLUE/16-4134TPX 0.11D 25+/-4 Asker C 1.1M 2M 2mm</v>
          </cell>
          <cell r="F739">
            <v>210</v>
          </cell>
          <cell r="G739">
            <v>210</v>
          </cell>
          <cell r="H739">
            <v>0</v>
          </cell>
          <cell r="I739">
            <v>210</v>
          </cell>
          <cell r="J739"/>
          <cell r="K739" t="str">
            <v>MPS</v>
          </cell>
          <cell r="L739" t="str">
            <v>SPLITTING</v>
          </cell>
          <cell r="M739">
            <v>2</v>
          </cell>
        </row>
        <row r="740">
          <cell r="A740" t="str">
            <v>F-2025-11-294</v>
          </cell>
          <cell r="B740" t="str">
            <v>RPRO-251118-1045</v>
          </cell>
          <cell r="C740" t="str">
            <v>BDB-000083</v>
          </cell>
          <cell r="D740" t="str">
            <v>PVN-000935</v>
          </cell>
          <cell r="E740" t="str">
            <v>OrthoLite Eco LT 300C(ADIDAS BLUEBIRD) Flat Sheet 0.11D 25+/-4 Asker C 1.1M 2M 4mm</v>
          </cell>
          <cell r="F740">
            <v>455</v>
          </cell>
          <cell r="G740">
            <v>455</v>
          </cell>
          <cell r="H740">
            <v>0</v>
          </cell>
          <cell r="I740">
            <v>455</v>
          </cell>
          <cell r="J740"/>
          <cell r="K740" t="str">
            <v>MPS</v>
          </cell>
          <cell r="L740" t="str">
            <v>SPLITTING</v>
          </cell>
          <cell r="M740">
            <v>2</v>
          </cell>
        </row>
        <row r="741">
          <cell r="A741" t="str">
            <v>F-2025-11-295</v>
          </cell>
          <cell r="B741" t="str">
            <v>RPRO-251118-1046</v>
          </cell>
          <cell r="C741" t="str">
            <v>BDB-000058</v>
          </cell>
          <cell r="D741" t="str">
            <v>PVN-001319</v>
          </cell>
          <cell r="E741" t="str">
            <v>OrthoLite Ultra GREEN/16-5932TPX 0.085D 25+/-4 Asker C 1.1M 2M 5mm</v>
          </cell>
          <cell r="F741">
            <v>1848</v>
          </cell>
          <cell r="G741">
            <v>1848</v>
          </cell>
          <cell r="H741">
            <v>0</v>
          </cell>
          <cell r="I741">
            <v>1848</v>
          </cell>
          <cell r="J741"/>
          <cell r="K741" t="str">
            <v>MPS</v>
          </cell>
          <cell r="L741" t="str">
            <v>SPLITTING</v>
          </cell>
          <cell r="M741">
            <v>2</v>
          </cell>
        </row>
        <row r="742">
          <cell r="A742" t="str">
            <v>F-2025-11-296</v>
          </cell>
          <cell r="B742" t="str">
            <v>RPRO-251118-1047</v>
          </cell>
          <cell r="C742" t="str">
            <v>BDB-000056</v>
          </cell>
          <cell r="D742" t="str">
            <v>PVN-001983</v>
          </cell>
          <cell r="E742" t="str">
            <v>OrthoLite X-40 SEEDPEARL/12-0703TPX Flat Sheet 0.16D 25+/-4 Asker C 1.1M 1.7M 5mm</v>
          </cell>
          <cell r="F742">
            <v>56</v>
          </cell>
          <cell r="G742">
            <v>56</v>
          </cell>
          <cell r="H742">
            <v>0</v>
          </cell>
          <cell r="I742">
            <v>56</v>
          </cell>
          <cell r="J742"/>
          <cell r="K742" t="str">
            <v>MPS</v>
          </cell>
          <cell r="L742" t="str">
            <v>SPLITTING</v>
          </cell>
          <cell r="M742">
            <v>2</v>
          </cell>
        </row>
        <row r="743">
          <cell r="A743" t="str">
            <v>F-2025-11-297</v>
          </cell>
          <cell r="B743" t="str">
            <v>RPRO-251118-1048</v>
          </cell>
          <cell r="C743" t="str">
            <v>BDB-000123</v>
          </cell>
          <cell r="D743" t="str">
            <v>PVN-003300</v>
          </cell>
          <cell r="E743" t="str">
            <v>OrthoLite Ultra-Hybrid SEEDPEARL/12-0703TPX Hybrid Flat Sheet 0.085D 25+/-4 Asker C 1.1M 2M 2mm</v>
          </cell>
          <cell r="F743">
            <v>70</v>
          </cell>
          <cell r="G743">
            <v>70</v>
          </cell>
          <cell r="H743">
            <v>0</v>
          </cell>
          <cell r="I743">
            <v>70</v>
          </cell>
          <cell r="J743"/>
          <cell r="K743" t="str">
            <v>MPS</v>
          </cell>
          <cell r="L743" t="str">
            <v>SPLITTING</v>
          </cell>
          <cell r="M743">
            <v>2</v>
          </cell>
        </row>
        <row r="744">
          <cell r="A744" t="str">
            <v>F-2025-11-298</v>
          </cell>
          <cell r="B744" t="str">
            <v>RPRO-251118-1049</v>
          </cell>
          <cell r="C744" t="str">
            <v>BDB-000123</v>
          </cell>
          <cell r="D744" t="str">
            <v>PVN-003315</v>
          </cell>
          <cell r="E744" t="str">
            <v>OrthoLite Ultra-Hybrid SEEDPEARL/12-0703TPX Hybrid 0.085D 25+/-4 Asker C 1.1M 2M 3.5mm</v>
          </cell>
          <cell r="F744">
            <v>680</v>
          </cell>
          <cell r="G744">
            <v>680</v>
          </cell>
          <cell r="H744">
            <v>0</v>
          </cell>
          <cell r="I744">
            <v>680</v>
          </cell>
          <cell r="J744"/>
          <cell r="K744" t="str">
            <v>MPS</v>
          </cell>
          <cell r="L744" t="str">
            <v>SPLITTING</v>
          </cell>
          <cell r="M744">
            <v>2</v>
          </cell>
        </row>
        <row r="745">
          <cell r="A745" t="str">
            <v>F-2025-11-299-1</v>
          </cell>
          <cell r="B745" t="str">
            <v>RPRO-251118-1050</v>
          </cell>
          <cell r="C745" t="str">
            <v>BDB-000051</v>
          </cell>
          <cell r="D745" t="str">
            <v>PVN-003320</v>
          </cell>
          <cell r="E745" t="str">
            <v>OrthoLite X-40 TRUE BLUE/19-4057TPX Flat Sheet 0.16D 25+/-4 Asker C 1.1M 1.7M 2mm</v>
          </cell>
          <cell r="F745">
            <v>70</v>
          </cell>
          <cell r="G745">
            <v>10</v>
          </cell>
          <cell r="H745">
            <v>0</v>
          </cell>
          <cell r="I745">
            <v>10</v>
          </cell>
          <cell r="J745"/>
          <cell r="K745" t="str">
            <v>MPS</v>
          </cell>
          <cell r="L745" t="str">
            <v>SPLITTING</v>
          </cell>
          <cell r="M745" t="str">
            <v>SLT</v>
          </cell>
        </row>
        <row r="746">
          <cell r="A746" t="str">
            <v>F-2025-11-299-2</v>
          </cell>
          <cell r="B746" t="str">
            <v>RPRO-251121-0444</v>
          </cell>
          <cell r="C746" t="str">
            <v>BDB-000051</v>
          </cell>
          <cell r="D746" t="str">
            <v>PVN-003320</v>
          </cell>
          <cell r="E746" t="str">
            <v>OrthoLite X-40 TRUE BLUE/19-4057TPX Flat Sheet 0.16D 25+/-4 Asker C 1.1M 1.7M 2mm</v>
          </cell>
          <cell r="F746">
            <v>70</v>
          </cell>
          <cell r="G746">
            <v>60</v>
          </cell>
          <cell r="H746">
            <v>0</v>
          </cell>
          <cell r="I746">
            <v>60</v>
          </cell>
          <cell r="J746"/>
          <cell r="K746" t="str">
            <v>MPS</v>
          </cell>
          <cell r="L746" t="str">
            <v>SPLITTING</v>
          </cell>
          <cell r="M746">
            <v>2</v>
          </cell>
        </row>
        <row r="747">
          <cell r="A747" t="str">
            <v>F-2025-11-300</v>
          </cell>
          <cell r="B747" t="str">
            <v>RPRO-251118-1051</v>
          </cell>
          <cell r="C747" t="str">
            <v>BDB-000083</v>
          </cell>
          <cell r="D747" t="str">
            <v>PVN-003969</v>
          </cell>
          <cell r="E747" t="str">
            <v>OrthoLite Eco LT 300C(ADIDAS BLUEBIRD) Flat Sheet 0.11D 25+/-4 Asker C 1.1M 2M 12mm</v>
          </cell>
          <cell r="F747">
            <v>44</v>
          </cell>
          <cell r="G747">
            <v>44</v>
          </cell>
          <cell r="H747">
            <v>0</v>
          </cell>
          <cell r="I747">
            <v>44</v>
          </cell>
          <cell r="J747" t="str">
            <v>ADIDAS</v>
          </cell>
          <cell r="K747" t="str">
            <v>Pr.Sch.R</v>
          </cell>
          <cell r="L747" t="str">
            <v>MOLDED</v>
          </cell>
          <cell r="M747">
            <v>1</v>
          </cell>
        </row>
        <row r="748">
          <cell r="A748" t="str">
            <v>F-2025-11-301</v>
          </cell>
          <cell r="B748" t="str">
            <v>RPRO-251118-1053</v>
          </cell>
          <cell r="C748" t="str">
            <v>BDB-000067</v>
          </cell>
          <cell r="D748" t="str">
            <v>PVN-001394</v>
          </cell>
          <cell r="E748" t="str">
            <v>OrthoLite Ultra SEEDPEARL/12-0703TPX Flat Sheet 0.085D 25+/-4 Asker C 1.1M 2M 5mm</v>
          </cell>
          <cell r="F748">
            <v>28</v>
          </cell>
          <cell r="G748">
            <v>28</v>
          </cell>
          <cell r="H748">
            <v>0</v>
          </cell>
          <cell r="I748">
            <v>28</v>
          </cell>
          <cell r="J748" t="str">
            <v>PUMA</v>
          </cell>
          <cell r="K748" t="str">
            <v>Pr.Sch.R</v>
          </cell>
          <cell r="L748" t="str">
            <v>DIE CUT</v>
          </cell>
          <cell r="M748">
            <v>1</v>
          </cell>
        </row>
        <row r="749">
          <cell r="A749" t="str">
            <v>F-2025-11-302</v>
          </cell>
          <cell r="B749" t="str">
            <v>RPRO-251118-1054</v>
          </cell>
          <cell r="C749" t="str">
            <v>BDB-000067</v>
          </cell>
          <cell r="D749" t="str">
            <v>PVN-003691</v>
          </cell>
          <cell r="E749" t="str">
            <v>OrthoLite Ultra SEEDPEARL/12-0703TPX Flat Sheet 0.085D 25+/-4 Asker C 1.1M 2M 5.2mm</v>
          </cell>
          <cell r="F749">
            <v>52</v>
          </cell>
          <cell r="G749">
            <v>52</v>
          </cell>
          <cell r="H749">
            <v>0</v>
          </cell>
          <cell r="I749">
            <v>52</v>
          </cell>
          <cell r="J749" t="str">
            <v>PUMA</v>
          </cell>
          <cell r="K749" t="str">
            <v>Pr.Sch.R</v>
          </cell>
          <cell r="L749" t="str">
            <v>MOLDED</v>
          </cell>
          <cell r="M749">
            <v>1</v>
          </cell>
        </row>
        <row r="750">
          <cell r="A750" t="str">
            <v>F-2025-11-303</v>
          </cell>
          <cell r="B750" t="str">
            <v>RPRO-251118-1055</v>
          </cell>
          <cell r="C750" t="str">
            <v>BDB-000076</v>
          </cell>
          <cell r="D750" t="str">
            <v>PVN-003448</v>
          </cell>
          <cell r="E750" t="str">
            <v>OrthoLite X-25 BILLIARD/16-5427TPX Flat Sheet 0.12D 20+/-4 Asker C 1.1M 2M 6.2mm</v>
          </cell>
          <cell r="F750">
            <v>1254</v>
          </cell>
          <cell r="G750">
            <v>1254</v>
          </cell>
          <cell r="H750">
            <v>0</v>
          </cell>
          <cell r="I750">
            <v>1254</v>
          </cell>
          <cell r="J750" t="str">
            <v>ADIDAS</v>
          </cell>
          <cell r="K750" t="str">
            <v>Pr.Sch.R</v>
          </cell>
          <cell r="L750" t="str">
            <v>MOLDED</v>
          </cell>
          <cell r="M750">
            <v>1</v>
          </cell>
        </row>
        <row r="751">
          <cell r="A751" t="str">
            <v>F-2025-11-304</v>
          </cell>
          <cell r="B751" t="str">
            <v>RPRO-251118-1056</v>
          </cell>
          <cell r="C751" t="str">
            <v>BDB-000209</v>
          </cell>
          <cell r="D751" t="str">
            <v>PVN-003537</v>
          </cell>
          <cell r="E751" t="str">
            <v>OrthoLite HybridPlus-Recycled MINT GREEN/11-4805TPX Hybrid Flat Sheet 0.12D 25+/-4 Asker C 1.1M 2M 4.5mm</v>
          </cell>
          <cell r="F751">
            <v>4402</v>
          </cell>
          <cell r="G751">
            <v>4402</v>
          </cell>
          <cell r="H751">
            <v>0</v>
          </cell>
          <cell r="I751">
            <v>4402</v>
          </cell>
          <cell r="J751" t="str">
            <v>AKU</v>
          </cell>
          <cell r="K751" t="str">
            <v>Pr.Sch.R</v>
          </cell>
          <cell r="L751" t="str">
            <v>MOLDED</v>
          </cell>
          <cell r="M751">
            <v>1</v>
          </cell>
        </row>
        <row r="752">
          <cell r="A752" t="str">
            <v>F-2025-11-305</v>
          </cell>
          <cell r="B752" t="str">
            <v>RPRO-251118-1057</v>
          </cell>
          <cell r="C752" t="str">
            <v>BDB-000129</v>
          </cell>
          <cell r="D752" t="str">
            <v>PVN-001550</v>
          </cell>
          <cell r="E752" t="str">
            <v>OrthoLite Regular-Nike AIR BLUE/16-4134TPX Flat Sheet 0.11D 25+/-4 Asker C 1.1M 1.7M 2mm</v>
          </cell>
          <cell r="F752">
            <v>70</v>
          </cell>
          <cell r="G752">
            <v>70</v>
          </cell>
          <cell r="H752">
            <v>0</v>
          </cell>
          <cell r="I752">
            <v>70</v>
          </cell>
          <cell r="J752" t="str">
            <v>NIKE</v>
          </cell>
          <cell r="K752" t="str">
            <v>Pr.Sch.R</v>
          </cell>
          <cell r="L752" t="str">
            <v>LAMINATING</v>
          </cell>
          <cell r="M752">
            <v>1</v>
          </cell>
        </row>
        <row r="753">
          <cell r="A753" t="str">
            <v>F-2025-11-306</v>
          </cell>
          <cell r="B753" t="str">
            <v>RPRO-251118-1058</v>
          </cell>
          <cell r="C753" t="str">
            <v>BDB-000010</v>
          </cell>
          <cell r="D753" t="str">
            <v>PVN-003437</v>
          </cell>
          <cell r="E753" t="str">
            <v>OrthoLite Regular AIR BLUE/16-4134TPX Flat Sheet 0.11D 25+/-4 Asker C 1.1M 2M 10.5mm</v>
          </cell>
          <cell r="F753">
            <v>12</v>
          </cell>
          <cell r="G753">
            <v>12</v>
          </cell>
          <cell r="H753">
            <v>0</v>
          </cell>
          <cell r="I753">
            <v>12</v>
          </cell>
          <cell r="J753" t="str">
            <v>TRAVIS MATHEW</v>
          </cell>
          <cell r="K753" t="str">
            <v>Pr.Sch.R</v>
          </cell>
          <cell r="L753" t="str">
            <v>MOLDED</v>
          </cell>
          <cell r="M753">
            <v>1</v>
          </cell>
        </row>
        <row r="754">
          <cell r="A754" t="str">
            <v>F-2025-11-307</v>
          </cell>
          <cell r="B754" t="str">
            <v>RPRO-251118-1059</v>
          </cell>
          <cell r="C754" t="str">
            <v>BDB-000123</v>
          </cell>
          <cell r="D754" t="str">
            <v>PVN-002539</v>
          </cell>
          <cell r="E754" t="str">
            <v>OrthoLite Ultra-Hybrid SEEDPEARL/12-0703TPX Hybrid Flat Sheet 0.085D 25+/-4 Asker C 1.1M 2M 5mm</v>
          </cell>
          <cell r="F754">
            <v>252</v>
          </cell>
          <cell r="G754">
            <v>252</v>
          </cell>
          <cell r="H754">
            <v>0</v>
          </cell>
          <cell r="I754">
            <v>252</v>
          </cell>
          <cell r="J754" t="str">
            <v>BROOKS</v>
          </cell>
          <cell r="K754" t="str">
            <v>Pr.Sch.R</v>
          </cell>
          <cell r="L754" t="str">
            <v>DIE CUT</v>
          </cell>
          <cell r="M754">
            <v>1</v>
          </cell>
        </row>
        <row r="755">
          <cell r="A755" t="str">
            <v>F-2025-11-308</v>
          </cell>
          <cell r="B755" t="str">
            <v>RPRO-251118-1060</v>
          </cell>
          <cell r="C755" t="str">
            <v>BDB-000197</v>
          </cell>
          <cell r="D755" t="str">
            <v>PVN-003406</v>
          </cell>
          <cell r="E755" t="str">
            <v>OrthoLite Ultra-Hybrid SEEDPEARL/12-0703TPX Hybrid Flat Sheet 0.085D 5-10 Asker C 1.1M 2M 2mm</v>
          </cell>
          <cell r="F755">
            <v>70</v>
          </cell>
          <cell r="G755">
            <v>70</v>
          </cell>
          <cell r="H755">
            <v>0</v>
          </cell>
          <cell r="I755">
            <v>70</v>
          </cell>
          <cell r="J755" t="str">
            <v>ADIDAS</v>
          </cell>
          <cell r="K755" t="str">
            <v>Pr.Sch.R</v>
          </cell>
          <cell r="L755" t="str">
            <v>DIE CUT</v>
          </cell>
          <cell r="M755">
            <v>1</v>
          </cell>
        </row>
        <row r="756">
          <cell r="A756" t="str">
            <v>F-2025-11-309</v>
          </cell>
          <cell r="B756" t="str">
            <v>RPRO-251118-1061</v>
          </cell>
          <cell r="C756" t="str">
            <v>BDB-000313</v>
          </cell>
          <cell r="D756" t="str">
            <v>PVN-004061</v>
          </cell>
          <cell r="E756" t="str">
            <v>OrthoLite X-55 RED/19-1764TPX Flat Sheet 0.16D 25+/-4 Asker C 1.1M 1.47M 18mm</v>
          </cell>
          <cell r="F756">
            <v>7</v>
          </cell>
          <cell r="G756">
            <v>7</v>
          </cell>
          <cell r="H756">
            <v>0</v>
          </cell>
          <cell r="I756">
            <v>7</v>
          </cell>
          <cell r="J756" t="str">
            <v>WILSON</v>
          </cell>
          <cell r="K756" t="str">
            <v>Pr.Sch.R</v>
          </cell>
          <cell r="L756" t="str">
            <v>MOLDED</v>
          </cell>
          <cell r="M756">
            <v>1</v>
          </cell>
        </row>
        <row r="757">
          <cell r="A757" t="str">
            <v>F-2025-11-310</v>
          </cell>
          <cell r="B757" t="str">
            <v>RPRO-251118-1062</v>
          </cell>
          <cell r="C757" t="str">
            <v>BDB-000149</v>
          </cell>
          <cell r="D757" t="str">
            <v>PVN-002773</v>
          </cell>
          <cell r="E757" t="str">
            <v>OrthoLite Regular-Hybrid-Nike SEEDPEARL/12-0703TPX Hybrid Flat Sheet 0.11D 25+/-4 Asker C 1.1M 2M 4mm</v>
          </cell>
          <cell r="F757">
            <v>735</v>
          </cell>
          <cell r="G757">
            <v>735</v>
          </cell>
          <cell r="H757">
            <v>0</v>
          </cell>
          <cell r="I757">
            <v>735</v>
          </cell>
          <cell r="J757" t="str">
            <v>NIKE</v>
          </cell>
          <cell r="K757" t="str">
            <v>Pr.Sch.R</v>
          </cell>
          <cell r="L757" t="str">
            <v>DIE CUT</v>
          </cell>
          <cell r="M757">
            <v>1</v>
          </cell>
        </row>
        <row r="758">
          <cell r="A758" t="str">
            <v>F-2025-11-311</v>
          </cell>
          <cell r="B758" t="str">
            <v>RPRO-251118-1063</v>
          </cell>
          <cell r="C758" t="str">
            <v>BDB-000212</v>
          </cell>
          <cell r="D758" t="str">
            <v>PVN-003460</v>
          </cell>
          <cell r="E758" t="str">
            <v>OrthoLite X-25-Hybrid SEEDPEARL/12-0703TPX Hybrid Flat Sheet 0.12D 20+/-4 Asker C 1.1M 2M 5.5mm</v>
          </cell>
          <cell r="F758">
            <v>300</v>
          </cell>
          <cell r="G758">
            <v>300</v>
          </cell>
          <cell r="H758">
            <v>0</v>
          </cell>
          <cell r="I758">
            <v>300</v>
          </cell>
          <cell r="J758" t="str">
            <v>ON RUNNING</v>
          </cell>
          <cell r="K758" t="str">
            <v>Pr.Sch.R</v>
          </cell>
          <cell r="L758" t="str">
            <v>MOLDED</v>
          </cell>
          <cell r="M758">
            <v>1</v>
          </cell>
        </row>
        <row r="759">
          <cell r="A759" t="str">
            <v>F-2025-11-312</v>
          </cell>
          <cell r="B759" t="str">
            <v>RPRO-251118-1064</v>
          </cell>
          <cell r="C759" t="str">
            <v>BDB-000055</v>
          </cell>
          <cell r="D759" t="str">
            <v>PVN-003387</v>
          </cell>
          <cell r="E759" t="str">
            <v>OrthoLite X-40 TRUE BLUE/19-4057TPX Flat Sheet 0.16D 35+/-4 Asker C 1.1M 1.7M 13.5mm</v>
          </cell>
          <cell r="F759">
            <v>18</v>
          </cell>
          <cell r="G759">
            <v>18</v>
          </cell>
          <cell r="H759">
            <v>0</v>
          </cell>
          <cell r="I759">
            <v>18</v>
          </cell>
          <cell r="J759" t="str">
            <v>ADIDAS</v>
          </cell>
          <cell r="K759" t="str">
            <v>Pr.Sch.R</v>
          </cell>
          <cell r="L759" t="str">
            <v>MOLDED</v>
          </cell>
          <cell r="M759">
            <v>1</v>
          </cell>
        </row>
        <row r="760">
          <cell r="A760" t="str">
            <v>F-2025-11-313</v>
          </cell>
          <cell r="B760" t="str">
            <v>RPRO-251118-1065</v>
          </cell>
          <cell r="C760" t="str">
            <v>BDB-000347</v>
          </cell>
          <cell r="D760" t="str">
            <v>PVN-004192</v>
          </cell>
          <cell r="E760" t="str">
            <v>OrthoLite X-55-Hybrid SEEDPEARL/12-0703TPX Hybrid Flat Sheet 0.16D 25+/-4 Asker C 1.1M 2M 12mm</v>
          </cell>
          <cell r="F760">
            <v>121</v>
          </cell>
          <cell r="G760">
            <v>121</v>
          </cell>
          <cell r="H760">
            <v>0</v>
          </cell>
          <cell r="I760">
            <v>121</v>
          </cell>
          <cell r="J760" t="str">
            <v>BROOKS</v>
          </cell>
          <cell r="K760" t="str">
            <v>Pr.Sch.R</v>
          </cell>
          <cell r="L760" t="str">
            <v>MOLDED</v>
          </cell>
          <cell r="M760">
            <v>1</v>
          </cell>
        </row>
        <row r="761">
          <cell r="A761" t="str">
            <v>F-2025-11-314</v>
          </cell>
          <cell r="B761" t="str">
            <v>RPRO-251118-1066</v>
          </cell>
          <cell r="C761" t="str">
            <v>BDB-000180</v>
          </cell>
          <cell r="D761" t="str">
            <v>PVN-003236</v>
          </cell>
          <cell r="E761" t="str">
            <v>OrthoLite Eco LT-Hybrid-Converse SEEDPEARL/12-0703TPX Hybrid Flat Sheet 0.13D 25+/-4 Asker C 1.1M 2M 5mm</v>
          </cell>
          <cell r="F761">
            <v>560</v>
          </cell>
          <cell r="G761">
            <v>560</v>
          </cell>
          <cell r="H761">
            <v>0</v>
          </cell>
          <cell r="I761">
            <v>560</v>
          </cell>
          <cell r="J761" t="str">
            <v>CONVERSE</v>
          </cell>
          <cell r="K761" t="str">
            <v>Pr.Sch.R</v>
          </cell>
          <cell r="L761" t="str">
            <v>DIE CUT</v>
          </cell>
          <cell r="M761">
            <v>1</v>
          </cell>
        </row>
        <row r="762">
          <cell r="A762" t="str">
            <v>F-2025-11-315</v>
          </cell>
          <cell r="B762" t="str">
            <v>RPRO-251118-1067</v>
          </cell>
          <cell r="C762" t="str">
            <v>BDB-000339</v>
          </cell>
          <cell r="D762" t="str">
            <v>PVN-004178</v>
          </cell>
          <cell r="E762" t="str">
            <v>OrthoLite Float NEUTRAL GRAY/17-4402TPX Flat Sheet 0.12D 21+/-4 Asker C 1.1M 2M 5.5mm</v>
          </cell>
          <cell r="F762">
            <v>150</v>
          </cell>
          <cell r="G762">
            <v>150</v>
          </cell>
          <cell r="H762">
            <v>0</v>
          </cell>
          <cell r="I762">
            <v>150</v>
          </cell>
          <cell r="J762" t="str">
            <v>PUMA</v>
          </cell>
          <cell r="K762" t="str">
            <v>Pr.Sch.R</v>
          </cell>
          <cell r="L762" t="str">
            <v>MOLDED</v>
          </cell>
          <cell r="M762">
            <v>1</v>
          </cell>
        </row>
        <row r="763">
          <cell r="A763" t="str">
            <v>F-2025-11-316</v>
          </cell>
          <cell r="B763" t="str">
            <v>RPRO-251118-1068</v>
          </cell>
          <cell r="C763" t="str">
            <v>BDB-000217</v>
          </cell>
          <cell r="D763" t="str">
            <v>PVN-003733</v>
          </cell>
          <cell r="E763" t="str">
            <v>OrthoLite X-40-Hybrid SEEDPEARL/12-0703TPX Hybrid Flat Sheet 0.16D 35+/-4 Asker C 1.1M 1.7M 12.5mm</v>
          </cell>
          <cell r="F763">
            <v>30</v>
          </cell>
          <cell r="G763">
            <v>30</v>
          </cell>
          <cell r="H763">
            <v>0</v>
          </cell>
          <cell r="I763">
            <v>30</v>
          </cell>
          <cell r="J763" t="str">
            <v>OBOZ</v>
          </cell>
          <cell r="K763" t="str">
            <v>Pr.Sch.R</v>
          </cell>
          <cell r="L763" t="str">
            <v>MOLDED</v>
          </cell>
          <cell r="M763">
            <v>1</v>
          </cell>
        </row>
        <row r="764">
          <cell r="A764" t="str">
            <v>F-2025-11-317</v>
          </cell>
          <cell r="B764" t="str">
            <v>RPRO-251118-1069</v>
          </cell>
          <cell r="C764" t="str">
            <v>BDB-000040</v>
          </cell>
          <cell r="D764" t="str">
            <v>PVN-000761</v>
          </cell>
          <cell r="E764" t="str">
            <v>OrthoLite Regular AIR BLUE/16-4134TPX Flat Sheet 0.13D 35+/-4 Asker C 1.1M 1.7M 2mm</v>
          </cell>
          <cell r="F764">
            <v>210</v>
          </cell>
          <cell r="G764">
            <v>210</v>
          </cell>
          <cell r="H764">
            <v>0</v>
          </cell>
          <cell r="I764">
            <v>210</v>
          </cell>
          <cell r="J764" t="str">
            <v>ADIDAS</v>
          </cell>
          <cell r="K764" t="str">
            <v>Pr.Sch.R</v>
          </cell>
          <cell r="L764" t="str">
            <v>OTHERS</v>
          </cell>
          <cell r="M764">
            <v>1</v>
          </cell>
        </row>
        <row r="765">
          <cell r="A765" t="str">
            <v>F-2025-11-318</v>
          </cell>
          <cell r="B765" t="str">
            <v>RPRO-251118-1070</v>
          </cell>
          <cell r="C765" t="str">
            <v>BDB-000123</v>
          </cell>
          <cell r="D765" t="str">
            <v>PVN-003743</v>
          </cell>
          <cell r="E765" t="str">
            <v>OrthoLite Ultra-Hybrid SEEDPEARL/12-0703TPX Hybrid Flat Sheet 0.085D 25+/-4 Asker C 1.1M 2M 5.5mm</v>
          </cell>
          <cell r="F765">
            <v>25</v>
          </cell>
          <cell r="G765">
            <v>25</v>
          </cell>
          <cell r="H765">
            <v>0</v>
          </cell>
          <cell r="I765">
            <v>25</v>
          </cell>
          <cell r="J765" t="str">
            <v>LOWA</v>
          </cell>
          <cell r="K765" t="str">
            <v>Pr.Sch.R</v>
          </cell>
          <cell r="L765" t="str">
            <v>MOLDED</v>
          </cell>
          <cell r="M765">
            <v>1</v>
          </cell>
        </row>
        <row r="766">
          <cell r="A766" t="str">
            <v>F-2025-11-319</v>
          </cell>
          <cell r="B766" t="str">
            <v>RPRO-251118-1071</v>
          </cell>
          <cell r="C766" t="str">
            <v>BDB-000026</v>
          </cell>
          <cell r="D766" t="str">
            <v>PVN-000369</v>
          </cell>
          <cell r="E766" t="str">
            <v>OrthoLite Regular YELLOW/13-0858TPX Flat Sheet 0.13D 35+/-4 Asker C 1.1M 2M 2mm</v>
          </cell>
          <cell r="F766">
            <v>70</v>
          </cell>
          <cell r="G766">
            <v>70</v>
          </cell>
          <cell r="H766">
            <v>0</v>
          </cell>
          <cell r="I766">
            <v>70</v>
          </cell>
          <cell r="J766" t="str">
            <v>SALOMON</v>
          </cell>
          <cell r="K766" t="str">
            <v>Pr.Sch.R</v>
          </cell>
          <cell r="L766" t="str">
            <v>MOLDED</v>
          </cell>
          <cell r="M766">
            <v>1</v>
          </cell>
        </row>
        <row r="767">
          <cell r="A767" t="str">
            <v>F-2025-11-320</v>
          </cell>
          <cell r="B767" t="str">
            <v>RPRO-251118-1072</v>
          </cell>
          <cell r="C767" t="str">
            <v>BDB-000123</v>
          </cell>
          <cell r="D767" t="str">
            <v>PVN-004024</v>
          </cell>
          <cell r="E767" t="str">
            <v>OrthoLite Ultra-Hybrid SEEDPEARL/12-0703TPX Hybrid Flat Sheet 0.085D 25+/-4 Asker C 1.1M 2M 5.2mm</v>
          </cell>
          <cell r="F767">
            <v>26</v>
          </cell>
          <cell r="G767">
            <v>26</v>
          </cell>
          <cell r="H767">
            <v>0</v>
          </cell>
          <cell r="I767">
            <v>26</v>
          </cell>
          <cell r="J767" t="str">
            <v>SALOMON</v>
          </cell>
          <cell r="K767" t="str">
            <v>Pr.Sch.R</v>
          </cell>
          <cell r="L767" t="str">
            <v>MOLDED</v>
          </cell>
          <cell r="M767">
            <v>1</v>
          </cell>
        </row>
        <row r="768">
          <cell r="A768" t="str">
            <v>F-2025-11-321</v>
          </cell>
          <cell r="B768" t="str">
            <v>FPRO-251117-0001</v>
          </cell>
          <cell r="C768" t="str">
            <v>BDB-000235</v>
          </cell>
          <cell r="D768" t="str">
            <v>PVN-003576</v>
          </cell>
          <cell r="E768" t="str">
            <v>OrthoLite X-55-Hybrid FOSSIL/17-0909TPX Hybrid Flat Sheet 0.16D 25+/-4 Asker C 1.1M 1.7M 12mm</v>
          </cell>
          <cell r="F768">
            <v>2500</v>
          </cell>
          <cell r="G768">
            <v>2500</v>
          </cell>
          <cell r="H768">
            <v>0</v>
          </cell>
          <cell r="I768">
            <v>2500</v>
          </cell>
          <cell r="J768" t="str">
            <v>ASICS</v>
          </cell>
          <cell r="K768" t="str">
            <v>Forecast</v>
          </cell>
          <cell r="L768" t="str">
            <v>MOLDED</v>
          </cell>
          <cell r="M768" t="str">
            <v>1-RM-WIP</v>
          </cell>
        </row>
        <row r="769">
          <cell r="A769" t="str">
            <v>F-2025-11-322</v>
          </cell>
          <cell r="B769" t="str">
            <v>FPRO-251117-0002</v>
          </cell>
          <cell r="C769" t="str">
            <v>BDB-000235</v>
          </cell>
          <cell r="D769" t="str">
            <v>PVN-003576</v>
          </cell>
          <cell r="E769" t="str">
            <v>OrthoLite X-55-Hybrid FOSSIL/17-0909TPX Hybrid Flat Sheet 0.16D 25+/-4 Asker C 1.1M 1.7M 12mm</v>
          </cell>
          <cell r="F769">
            <v>2500</v>
          </cell>
          <cell r="G769">
            <v>2500</v>
          </cell>
          <cell r="H769">
            <v>0</v>
          </cell>
          <cell r="I769">
            <v>2500</v>
          </cell>
          <cell r="J769" t="str">
            <v>ASICS</v>
          </cell>
          <cell r="K769" t="str">
            <v>Forecast</v>
          </cell>
          <cell r="L769" t="str">
            <v>MOLDED</v>
          </cell>
          <cell r="M769" t="str">
            <v>1-RM-WIP</v>
          </cell>
        </row>
        <row r="770">
          <cell r="A770" t="str">
            <v>F-2025-11-323</v>
          </cell>
          <cell r="B770" t="str">
            <v>FPRO-251117-0004</v>
          </cell>
          <cell r="C770" t="str">
            <v>BDB-000235</v>
          </cell>
          <cell r="D770" t="str">
            <v>PVN-003576</v>
          </cell>
          <cell r="E770" t="str">
            <v>OrthoLite X-55-Hybrid FOSSIL/17-0909TPX Hybrid Flat Sheet 0.16D 25+/-4 Asker C 1.1M 1.7M 12mm</v>
          </cell>
          <cell r="F770">
            <v>2500</v>
          </cell>
          <cell r="G770">
            <v>2500</v>
          </cell>
          <cell r="H770">
            <v>0</v>
          </cell>
          <cell r="I770">
            <v>2500</v>
          </cell>
          <cell r="J770" t="str">
            <v>ASICS</v>
          </cell>
          <cell r="K770" t="str">
            <v>Forecast</v>
          </cell>
          <cell r="L770" t="str">
            <v>MOLDED</v>
          </cell>
          <cell r="M770" t="str">
            <v>1-RM-WIP</v>
          </cell>
        </row>
        <row r="771">
          <cell r="A771" t="str">
            <v>F-2025-11-324</v>
          </cell>
          <cell r="B771" t="str">
            <v>FPRO-251117-0005</v>
          </cell>
          <cell r="C771" t="str">
            <v>BDB-000235</v>
          </cell>
          <cell r="D771" t="str">
            <v>PVN-003576</v>
          </cell>
          <cell r="E771" t="str">
            <v>OrthoLite X-55-Hybrid FOSSIL/17-0909TPX Hybrid Flat Sheet 0.16D 25+/-4 Asker C 1.1M 1.7M 12mm</v>
          </cell>
          <cell r="F771">
            <v>2500</v>
          </cell>
          <cell r="G771">
            <v>2500</v>
          </cell>
          <cell r="H771">
            <v>0</v>
          </cell>
          <cell r="I771">
            <v>2500</v>
          </cell>
          <cell r="J771" t="str">
            <v>ASICS</v>
          </cell>
          <cell r="K771" t="str">
            <v>Forecast</v>
          </cell>
          <cell r="L771" t="str">
            <v>MOLDED</v>
          </cell>
          <cell r="M771" t="str">
            <v>1-RM-WIP</v>
          </cell>
        </row>
        <row r="772">
          <cell r="A772" t="str">
            <v>F-2025-11-325</v>
          </cell>
          <cell r="B772" t="str">
            <v>FPRO-251117-0006</v>
          </cell>
          <cell r="C772" t="str">
            <v>BDB-000235</v>
          </cell>
          <cell r="D772" t="str">
            <v>PVN-003576</v>
          </cell>
          <cell r="E772" t="str">
            <v>OrthoLite X-55-Hybrid FOSSIL/17-0909TPX Hybrid Flat Sheet 0.16D 25+/-4 Asker C 1.1M 1.7M 12mm</v>
          </cell>
          <cell r="F772">
            <v>2500</v>
          </cell>
          <cell r="G772">
            <v>2500</v>
          </cell>
          <cell r="H772">
            <v>0</v>
          </cell>
          <cell r="I772">
            <v>2500</v>
          </cell>
          <cell r="J772" t="str">
            <v>ASICS</v>
          </cell>
          <cell r="K772" t="str">
            <v>Forecast</v>
          </cell>
          <cell r="L772" t="str">
            <v>MOLDED</v>
          </cell>
          <cell r="M772" t="str">
            <v>1-RM-WIP</v>
          </cell>
        </row>
        <row r="773">
          <cell r="A773" t="str">
            <v>F-2025-11-326</v>
          </cell>
          <cell r="B773" t="str">
            <v>FPRO-251117-0007</v>
          </cell>
          <cell r="C773" t="str">
            <v>BDB-000235</v>
          </cell>
          <cell r="D773" t="str">
            <v>PVN-003576</v>
          </cell>
          <cell r="E773" t="str">
            <v>OrthoLite X-55-Hybrid FOSSIL/17-0909TPX Hybrid Flat Sheet 0.16D 25+/-4 Asker C 1.1M 1.7M 12mm</v>
          </cell>
          <cell r="F773">
            <v>1650</v>
          </cell>
          <cell r="G773">
            <v>1650</v>
          </cell>
          <cell r="H773">
            <v>0</v>
          </cell>
          <cell r="I773">
            <v>1650</v>
          </cell>
          <cell r="J773" t="str">
            <v>ASICS</v>
          </cell>
          <cell r="K773" t="str">
            <v>Forecast</v>
          </cell>
          <cell r="L773" t="str">
            <v>MOLDED</v>
          </cell>
          <cell r="M773" t="str">
            <v>1-RM-WIP</v>
          </cell>
        </row>
        <row r="774">
          <cell r="A774" t="str">
            <v>F-2025-11-327</v>
          </cell>
          <cell r="B774" t="str">
            <v>FPRO-251117-0008</v>
          </cell>
          <cell r="C774" t="str">
            <v>BDB-000051</v>
          </cell>
          <cell r="D774" t="str">
            <v>PVN-003319</v>
          </cell>
          <cell r="E774" t="str">
            <v>OrthoLite X-40 TRUE BLUE/19-4057TPX Flat Sheet 0.16D 25+/-4 Asker C 1.1M 1.7M 12mm</v>
          </cell>
          <cell r="F774">
            <v>500</v>
          </cell>
          <cell r="G774">
            <v>500</v>
          </cell>
          <cell r="H774">
            <v>0</v>
          </cell>
          <cell r="I774">
            <v>500</v>
          </cell>
          <cell r="J774" t="str">
            <v>ASICS</v>
          </cell>
          <cell r="K774" t="str">
            <v>Forecast</v>
          </cell>
          <cell r="L774" t="str">
            <v>MOLDED</v>
          </cell>
          <cell r="M774" t="str">
            <v>1-RM-WIP</v>
          </cell>
        </row>
        <row r="775">
          <cell r="A775" t="str">
            <v>F-2025-11-328</v>
          </cell>
          <cell r="B775" t="str">
            <v>FPRO-251117-0009</v>
          </cell>
          <cell r="C775" t="str">
            <v>BDB-000051</v>
          </cell>
          <cell r="D775" t="str">
            <v>PVN-003319</v>
          </cell>
          <cell r="E775" t="str">
            <v>OrthoLite X-40 TRUE BLUE/19-4057TPX Flat Sheet 0.16D 25+/-4 Asker C 1.1M 1.7M 12mm</v>
          </cell>
          <cell r="F775">
            <v>500</v>
          </cell>
          <cell r="G775">
            <v>500</v>
          </cell>
          <cell r="H775">
            <v>0</v>
          </cell>
          <cell r="I775">
            <v>500</v>
          </cell>
          <cell r="J775" t="str">
            <v>ASICS</v>
          </cell>
          <cell r="K775" t="str">
            <v>Forecast</v>
          </cell>
          <cell r="L775" t="str">
            <v>MOLDED</v>
          </cell>
          <cell r="M775" t="str">
            <v>1-RM-WIP</v>
          </cell>
        </row>
        <row r="776">
          <cell r="A776" t="str">
            <v>F-2025-11-329</v>
          </cell>
          <cell r="B776" t="str">
            <v>FPRO-251117-0010</v>
          </cell>
          <cell r="C776" t="str">
            <v>BDB-000051</v>
          </cell>
          <cell r="D776" t="str">
            <v>PVN-003319</v>
          </cell>
          <cell r="E776" t="str">
            <v>OrthoLite X-40 TRUE BLUE/19-4057TPX Flat Sheet 0.16D 25+/-4 Asker C 1.1M 1.7M 12mm</v>
          </cell>
          <cell r="F776">
            <v>300</v>
          </cell>
          <cell r="G776">
            <v>300</v>
          </cell>
          <cell r="H776">
            <v>0</v>
          </cell>
          <cell r="I776">
            <v>300</v>
          </cell>
          <cell r="J776" t="str">
            <v>ASICS</v>
          </cell>
          <cell r="K776" t="str">
            <v>Forecast</v>
          </cell>
          <cell r="L776" t="str">
            <v>MOLDED</v>
          </cell>
          <cell r="M776" t="str">
            <v>1-RM-WIP</v>
          </cell>
        </row>
        <row r="777">
          <cell r="A777" t="str">
            <v>F-2025-11-330</v>
          </cell>
          <cell r="B777" t="str">
            <v>FPRO-251117-0011</v>
          </cell>
          <cell r="C777" t="str">
            <v>BDB-000113</v>
          </cell>
          <cell r="D777" t="str">
            <v>PVN-003414</v>
          </cell>
          <cell r="E777" t="str">
            <v>OrthoLite Regular-Hybrid SEEDPEARL/12-0703TPX Hybrid Flat Sheet 0.11D 25+/-4 Asker C 1.1M 2M 12mm</v>
          </cell>
          <cell r="F777">
            <v>4000</v>
          </cell>
          <cell r="G777">
            <v>4000</v>
          </cell>
          <cell r="H777">
            <v>0</v>
          </cell>
          <cell r="I777">
            <v>4000</v>
          </cell>
          <cell r="J777" t="str">
            <v>ASICS</v>
          </cell>
          <cell r="K777" t="str">
            <v>Forecast</v>
          </cell>
          <cell r="L777" t="str">
            <v>MOLDED</v>
          </cell>
          <cell r="M777" t="str">
            <v>1-RM-WIP</v>
          </cell>
        </row>
        <row r="778">
          <cell r="A778" t="str">
            <v>F-2025-11-331</v>
          </cell>
          <cell r="B778" t="str">
            <v>FPRO-251117-0012</v>
          </cell>
          <cell r="C778" t="str">
            <v>BDB-000113</v>
          </cell>
          <cell r="D778" t="str">
            <v>PVN-003414</v>
          </cell>
          <cell r="E778" t="str">
            <v>OrthoLite Regular-Hybrid SEEDPEARL/12-0703TPX Hybrid Flat Sheet 0.11D 25+/-4 Asker C 1.1M 2M 12mm</v>
          </cell>
          <cell r="F778">
            <v>4000</v>
          </cell>
          <cell r="G778">
            <v>4000</v>
          </cell>
          <cell r="H778">
            <v>0</v>
          </cell>
          <cell r="I778">
            <v>4000</v>
          </cell>
          <cell r="J778" t="str">
            <v>ASICS</v>
          </cell>
          <cell r="K778" t="str">
            <v>Forecast</v>
          </cell>
          <cell r="L778" t="str">
            <v>MOLDED</v>
          </cell>
          <cell r="M778" t="str">
            <v>1-RM-WIP</v>
          </cell>
        </row>
        <row r="779">
          <cell r="A779" t="str">
            <v>F-2025-11-332</v>
          </cell>
          <cell r="B779" t="str">
            <v>FPRO-251117-0013</v>
          </cell>
          <cell r="C779" t="str">
            <v>BDB-000113</v>
          </cell>
          <cell r="D779" t="str">
            <v>PVN-003414</v>
          </cell>
          <cell r="E779" t="str">
            <v>OrthoLite Regular-Hybrid SEEDPEARL/12-0703TPX Hybrid Flat Sheet 0.11D 25+/-4 Asker C 1.1M 2M 12mm</v>
          </cell>
          <cell r="F779">
            <v>4000</v>
          </cell>
          <cell r="G779">
            <v>4000</v>
          </cell>
          <cell r="H779">
            <v>0</v>
          </cell>
          <cell r="I779">
            <v>4000</v>
          </cell>
          <cell r="J779" t="str">
            <v>ASICS</v>
          </cell>
          <cell r="K779" t="str">
            <v>Forecast</v>
          </cell>
          <cell r="L779" t="str">
            <v>MOLDED</v>
          </cell>
          <cell r="M779" t="str">
            <v>1-RM-WIP</v>
          </cell>
        </row>
        <row r="780">
          <cell r="A780" t="str">
            <v>F-2025-11-333</v>
          </cell>
          <cell r="B780" t="str">
            <v>FPRO-251117-0014</v>
          </cell>
          <cell r="C780" t="str">
            <v>BDB-000113</v>
          </cell>
          <cell r="D780" t="str">
            <v>PVN-003414</v>
          </cell>
          <cell r="E780" t="str">
            <v>OrthoLite Regular-Hybrid SEEDPEARL/12-0703TPX Hybrid Flat Sheet 0.11D 25+/-4 Asker C 1.1M 2M 12mm</v>
          </cell>
          <cell r="F780">
            <v>4000</v>
          </cell>
          <cell r="G780">
            <v>4000</v>
          </cell>
          <cell r="H780">
            <v>0</v>
          </cell>
          <cell r="I780">
            <v>4000</v>
          </cell>
          <cell r="J780" t="str">
            <v>ASICS</v>
          </cell>
          <cell r="K780" t="str">
            <v>Forecast</v>
          </cell>
          <cell r="L780" t="str">
            <v>MOLDED</v>
          </cell>
          <cell r="M780" t="str">
            <v>1-RM-WIP</v>
          </cell>
        </row>
        <row r="781">
          <cell r="A781" t="str">
            <v>F-2025-11-334</v>
          </cell>
          <cell r="B781" t="str">
            <v>FPRO-251117-0015</v>
          </cell>
          <cell r="C781" t="str">
            <v>BDB-000113</v>
          </cell>
          <cell r="D781" t="str">
            <v>PVN-003414</v>
          </cell>
          <cell r="E781" t="str">
            <v>OrthoLite Regular-Hybrid SEEDPEARL/12-0703TPX Hybrid Flat Sheet 0.11D 25+/-4 Asker C 1.1M 2M 12mm</v>
          </cell>
          <cell r="F781">
            <v>4000</v>
          </cell>
          <cell r="G781">
            <v>4000</v>
          </cell>
          <cell r="H781">
            <v>0</v>
          </cell>
          <cell r="I781">
            <v>4000</v>
          </cell>
          <cell r="J781" t="str">
            <v>ASICS</v>
          </cell>
          <cell r="K781" t="str">
            <v>Forecast</v>
          </cell>
          <cell r="L781" t="str">
            <v>MOLDED</v>
          </cell>
          <cell r="M781" t="str">
            <v>1-RM-WIP</v>
          </cell>
        </row>
        <row r="782">
          <cell r="A782" t="str">
            <v>F-2025-11-335</v>
          </cell>
          <cell r="B782" t="str">
            <v>FPRO-251117-0016</v>
          </cell>
          <cell r="C782" t="str">
            <v>BDB-000113</v>
          </cell>
          <cell r="D782" t="str">
            <v>PVN-003414</v>
          </cell>
          <cell r="E782" t="str">
            <v>OrthoLite Regular-Hybrid SEEDPEARL/12-0703TPX Hybrid Flat Sheet 0.11D 25+/-4 Asker C 1.1M 2M 12mm</v>
          </cell>
          <cell r="F782">
            <v>4050</v>
          </cell>
          <cell r="G782">
            <v>4050</v>
          </cell>
          <cell r="H782">
            <v>0</v>
          </cell>
          <cell r="I782">
            <v>4050</v>
          </cell>
          <cell r="J782" t="str">
            <v>ASICS</v>
          </cell>
          <cell r="K782" t="str">
            <v>Forecast</v>
          </cell>
          <cell r="L782" t="str">
            <v>MOLDED</v>
          </cell>
          <cell r="M782" t="str">
            <v>1-RM-WIP</v>
          </cell>
        </row>
        <row r="783">
          <cell r="A783" t="str">
            <v>F-2025-11-336</v>
          </cell>
          <cell r="B783" t="str">
            <v>FPRO-251117-0017</v>
          </cell>
          <cell r="C783" t="str">
            <v>BDB-000234</v>
          </cell>
          <cell r="D783" t="str">
            <v>PVN-003581</v>
          </cell>
          <cell r="E783" t="str">
            <v>OrthoLite X-30-Hybrid BROWN SUGAR/17-1134TPX Hybrid Flat Sheet 0.13D 25+/-4 Asker C 1.1M 2M 12mm</v>
          </cell>
          <cell r="F783">
            <v>2000</v>
          </cell>
          <cell r="G783">
            <v>2000</v>
          </cell>
          <cell r="H783">
            <v>0</v>
          </cell>
          <cell r="I783">
            <v>2000</v>
          </cell>
          <cell r="J783" t="str">
            <v>ASICS</v>
          </cell>
          <cell r="K783" t="str">
            <v>Forecast</v>
          </cell>
          <cell r="L783" t="str">
            <v>MOLDED</v>
          </cell>
          <cell r="M783" t="str">
            <v>1-RM-WIP</v>
          </cell>
        </row>
        <row r="784">
          <cell r="A784" t="str">
            <v>F-2025-11-337</v>
          </cell>
          <cell r="B784" t="str">
            <v>FPRO-251117-0018</v>
          </cell>
          <cell r="C784" t="str">
            <v>BDB-000234</v>
          </cell>
          <cell r="D784" t="str">
            <v>PVN-003581</v>
          </cell>
          <cell r="E784" t="str">
            <v>OrthoLite X-30-Hybrid BROWN SUGAR/17-1134TPX Hybrid Flat Sheet 0.13D 25+/-4 Asker C 1.1M 2M 12mm</v>
          </cell>
          <cell r="F784">
            <v>800</v>
          </cell>
          <cell r="G784">
            <v>800</v>
          </cell>
          <cell r="H784">
            <v>0</v>
          </cell>
          <cell r="I784">
            <v>800</v>
          </cell>
          <cell r="J784" t="str">
            <v>ASICS</v>
          </cell>
          <cell r="K784" t="str">
            <v>Forecast</v>
          </cell>
          <cell r="L784" t="str">
            <v>MOLDED</v>
          </cell>
          <cell r="M784" t="str">
            <v>1-RM-WIP</v>
          </cell>
        </row>
        <row r="785">
          <cell r="A785" t="str">
            <v>F-2025-11-338</v>
          </cell>
          <cell r="B785" t="str">
            <v>FPRO-251117-0019</v>
          </cell>
          <cell r="C785" t="str">
            <v>BDB-000113</v>
          </cell>
          <cell r="D785" t="str">
            <v>PVN-002465</v>
          </cell>
          <cell r="E785" t="str">
            <v>OrthoLite Regular-Hybrid SEEDPEARL/12-0703TPX Hybrid Flat Sheet 0.11D 25+/-4 Asker C 1.1M 2M 5mm</v>
          </cell>
          <cell r="F785">
            <v>3000</v>
          </cell>
          <cell r="G785">
            <v>3000</v>
          </cell>
          <cell r="H785">
            <v>0</v>
          </cell>
          <cell r="I785">
            <v>3000</v>
          </cell>
          <cell r="J785" t="str">
            <v>ASICS</v>
          </cell>
          <cell r="K785" t="str">
            <v>Forecast</v>
          </cell>
          <cell r="L785" t="str">
            <v>DIE CUT</v>
          </cell>
          <cell r="M785">
            <v>1</v>
          </cell>
        </row>
        <row r="786">
          <cell r="A786" t="str">
            <v>F-2025-11-339</v>
          </cell>
          <cell r="B786" t="str">
            <v>FPRO-251117-0020</v>
          </cell>
          <cell r="C786" t="str">
            <v>BDB-000113</v>
          </cell>
          <cell r="D786" t="str">
            <v>PVN-002465</v>
          </cell>
          <cell r="E786" t="str">
            <v>OrthoLite Regular-Hybrid SEEDPEARL/12-0703TPX Hybrid Flat Sheet 0.11D 25+/-4 Asker C 1.1M 2M 5mm</v>
          </cell>
          <cell r="F786">
            <v>3000</v>
          </cell>
          <cell r="G786">
            <v>3000</v>
          </cell>
          <cell r="H786">
            <v>0</v>
          </cell>
          <cell r="I786">
            <v>3000</v>
          </cell>
          <cell r="J786" t="str">
            <v>ASICS</v>
          </cell>
          <cell r="K786" t="str">
            <v>Forecast</v>
          </cell>
          <cell r="L786" t="str">
            <v>DIE CUT</v>
          </cell>
          <cell r="M786">
            <v>1</v>
          </cell>
        </row>
        <row r="787">
          <cell r="A787" t="str">
            <v>F-2025-11-340</v>
          </cell>
          <cell r="B787" t="str">
            <v>FPRO-251117-0021</v>
          </cell>
          <cell r="C787" t="str">
            <v>BDB-000113</v>
          </cell>
          <cell r="D787" t="str">
            <v>PVN-002465</v>
          </cell>
          <cell r="E787" t="str">
            <v>OrthoLite Regular-Hybrid SEEDPEARL/12-0703TPX Hybrid Flat Sheet 0.11D 25+/-4 Asker C 1.1M 2M 5mm</v>
          </cell>
          <cell r="F787">
            <v>3000</v>
          </cell>
          <cell r="G787">
            <v>3000</v>
          </cell>
          <cell r="H787">
            <v>0</v>
          </cell>
          <cell r="I787">
            <v>3000</v>
          </cell>
          <cell r="J787" t="str">
            <v>ASICS</v>
          </cell>
          <cell r="K787" t="str">
            <v>Forecast</v>
          </cell>
          <cell r="L787" t="str">
            <v>DIE CUT</v>
          </cell>
          <cell r="M787">
            <v>1</v>
          </cell>
        </row>
        <row r="788">
          <cell r="A788" t="str">
            <v>F-2025-11-341</v>
          </cell>
          <cell r="B788" t="str">
            <v>FPRO-251117-0022</v>
          </cell>
          <cell r="C788" t="str">
            <v>BDB-000113</v>
          </cell>
          <cell r="D788" t="str">
            <v>PVN-002465</v>
          </cell>
          <cell r="E788" t="str">
            <v>OrthoLite Regular-Hybrid SEEDPEARL/12-0703TPX Hybrid Flat Sheet 0.11D 25+/-4 Asker C 1.1M 2M 5mm</v>
          </cell>
          <cell r="F788">
            <v>3000</v>
          </cell>
          <cell r="G788">
            <v>3000</v>
          </cell>
          <cell r="H788">
            <v>0</v>
          </cell>
          <cell r="I788">
            <v>3000</v>
          </cell>
          <cell r="J788" t="str">
            <v>ASICS</v>
          </cell>
          <cell r="K788" t="str">
            <v>Forecast</v>
          </cell>
          <cell r="L788" t="str">
            <v>DIE CUT</v>
          </cell>
          <cell r="M788">
            <v>1</v>
          </cell>
        </row>
        <row r="789">
          <cell r="A789" t="str">
            <v>F-2025-11-342</v>
          </cell>
          <cell r="B789" t="str">
            <v>FPRO-251117-0023</v>
          </cell>
          <cell r="C789" t="str">
            <v>BDB-000113</v>
          </cell>
          <cell r="D789" t="str">
            <v>PVN-002465</v>
          </cell>
          <cell r="E789" t="str">
            <v>OrthoLite Regular-Hybrid SEEDPEARL/12-0703TPX Hybrid Flat Sheet 0.11D 25+/-4 Asker C 1.1M 2M 5mm</v>
          </cell>
          <cell r="F789">
            <v>3000</v>
          </cell>
          <cell r="G789">
            <v>3000</v>
          </cell>
          <cell r="H789">
            <v>0</v>
          </cell>
          <cell r="I789">
            <v>3000</v>
          </cell>
          <cell r="J789" t="str">
            <v>ASICS</v>
          </cell>
          <cell r="K789" t="str">
            <v>Forecast</v>
          </cell>
          <cell r="L789" t="str">
            <v>DIE CUT</v>
          </cell>
          <cell r="M789">
            <v>1</v>
          </cell>
        </row>
        <row r="790">
          <cell r="A790" t="str">
            <v>F-2025-11-343</v>
          </cell>
          <cell r="B790" t="str">
            <v>FPRO-251117-0024</v>
          </cell>
          <cell r="C790" t="str">
            <v>BDB-000113</v>
          </cell>
          <cell r="D790" t="str">
            <v>PVN-002465</v>
          </cell>
          <cell r="E790" t="str">
            <v>OrthoLite Regular-Hybrid SEEDPEARL/12-0703TPX Hybrid Flat Sheet 0.11D 25+/-4 Asker C 1.1M 2M 5mm</v>
          </cell>
          <cell r="F790">
            <v>3000</v>
          </cell>
          <cell r="G790">
            <v>3000</v>
          </cell>
          <cell r="H790">
            <v>0</v>
          </cell>
          <cell r="I790">
            <v>3000</v>
          </cell>
          <cell r="J790" t="str">
            <v>ASICS</v>
          </cell>
          <cell r="K790" t="str">
            <v>Forecast</v>
          </cell>
          <cell r="L790" t="str">
            <v>DIE CUT</v>
          </cell>
          <cell r="M790">
            <v>1</v>
          </cell>
        </row>
        <row r="791">
          <cell r="A791" t="str">
            <v>F-2025-11-344</v>
          </cell>
          <cell r="B791" t="str">
            <v>FPRO-251117-0025</v>
          </cell>
          <cell r="C791" t="str">
            <v>BDB-000113</v>
          </cell>
          <cell r="D791" t="str">
            <v>PVN-002465</v>
          </cell>
          <cell r="E791" t="str">
            <v>OrthoLite Regular-Hybrid SEEDPEARL/12-0703TPX Hybrid Flat Sheet 0.11D 25+/-4 Asker C 1.1M 2M 5mm</v>
          </cell>
          <cell r="F791">
            <v>3000</v>
          </cell>
          <cell r="G791">
            <v>3000</v>
          </cell>
          <cell r="H791">
            <v>0</v>
          </cell>
          <cell r="I791">
            <v>3000</v>
          </cell>
          <cell r="J791" t="str">
            <v>ASICS</v>
          </cell>
          <cell r="K791" t="str">
            <v>Forecast</v>
          </cell>
          <cell r="L791" t="str">
            <v>DIE CUT</v>
          </cell>
          <cell r="M791">
            <v>1</v>
          </cell>
        </row>
        <row r="792">
          <cell r="A792" t="str">
            <v>F-2025-11-345</v>
          </cell>
          <cell r="B792" t="str">
            <v>FPRO-251117-0026</v>
          </cell>
          <cell r="C792" t="str">
            <v>BDB-000113</v>
          </cell>
          <cell r="D792" t="str">
            <v>PVN-002465</v>
          </cell>
          <cell r="E792" t="str">
            <v>OrthoLite Regular-Hybrid SEEDPEARL/12-0703TPX Hybrid Flat Sheet 0.11D 25+/-4 Asker C 1.1M 2M 5mm</v>
          </cell>
          <cell r="F792">
            <v>2900</v>
          </cell>
          <cell r="G792">
            <v>2900</v>
          </cell>
          <cell r="H792">
            <v>0</v>
          </cell>
          <cell r="I792">
            <v>2900</v>
          </cell>
          <cell r="J792" t="str">
            <v>ASICS</v>
          </cell>
          <cell r="K792" t="str">
            <v>Forecast</v>
          </cell>
          <cell r="L792" t="str">
            <v>DIE CUT</v>
          </cell>
          <cell r="M792">
            <v>1</v>
          </cell>
        </row>
        <row r="793">
          <cell r="A793" t="str">
            <v>F-2025-11-346</v>
          </cell>
          <cell r="B793" t="str">
            <v>FPRO-251117-0027</v>
          </cell>
          <cell r="C793" t="str">
            <v>BDB-000235</v>
          </cell>
          <cell r="D793" t="str">
            <v>PVN-003576</v>
          </cell>
          <cell r="E793" t="str">
            <v>OrthoLite X-55-Hybrid FOSSIL/17-0909TPX Hybrid Flat Sheet 0.16D 25+/-4 Asker C 1.1M 1.7M 12mm</v>
          </cell>
          <cell r="F793">
            <v>958</v>
          </cell>
          <cell r="G793">
            <v>958</v>
          </cell>
          <cell r="H793">
            <v>0</v>
          </cell>
          <cell r="I793">
            <v>958</v>
          </cell>
          <cell r="J793" t="str">
            <v>ASICS</v>
          </cell>
          <cell r="K793" t="str">
            <v>Forecast</v>
          </cell>
          <cell r="L793" t="str">
            <v>MOLDED</v>
          </cell>
          <cell r="M793" t="str">
            <v>1-RM-WIP</v>
          </cell>
        </row>
        <row r="794">
          <cell r="A794" t="str">
            <v>F-2025-11-347</v>
          </cell>
          <cell r="B794" t="str">
            <v>FPRO-251117-0028</v>
          </cell>
          <cell r="C794" t="str">
            <v>BDB-000113</v>
          </cell>
          <cell r="D794" t="str">
            <v>PVN-003414</v>
          </cell>
          <cell r="E794" t="str">
            <v>OrthoLite Regular-Hybrid SEEDPEARL/12-0703TPX Hybrid Flat Sheet 0.11D 25+/-4 Asker C 1.1M 2M 12mm</v>
          </cell>
          <cell r="F794">
            <v>570</v>
          </cell>
          <cell r="G794">
            <v>570</v>
          </cell>
          <cell r="H794">
            <v>0</v>
          </cell>
          <cell r="I794">
            <v>570</v>
          </cell>
          <cell r="J794" t="str">
            <v>ASICS</v>
          </cell>
          <cell r="K794" t="str">
            <v>Forecast</v>
          </cell>
          <cell r="L794" t="str">
            <v>MOLDED</v>
          </cell>
          <cell r="M794" t="str">
            <v>1-RM-WIP</v>
          </cell>
        </row>
        <row r="795">
          <cell r="A795" t="str">
            <v>F-2025-11-348</v>
          </cell>
          <cell r="B795" t="str">
            <v>FPRO-251117-0029</v>
          </cell>
          <cell r="C795" t="str">
            <v>BDB-000113</v>
          </cell>
          <cell r="D795" t="str">
            <v>PVN-002465</v>
          </cell>
          <cell r="E795" t="str">
            <v>OrthoLite Regular-Hybrid SEEDPEARL/12-0703TPX Hybrid Flat Sheet 0.11D 25+/-4 Asker C 1.1M 2M 5mm</v>
          </cell>
          <cell r="F795">
            <v>165</v>
          </cell>
          <cell r="G795">
            <v>165</v>
          </cell>
          <cell r="H795">
            <v>0</v>
          </cell>
          <cell r="I795">
            <v>165</v>
          </cell>
          <cell r="J795" t="str">
            <v>ASICS</v>
          </cell>
          <cell r="K795" t="str">
            <v>Forecast</v>
          </cell>
          <cell r="L795" t="str">
            <v>DIE CUT</v>
          </cell>
          <cell r="M795">
            <v>1</v>
          </cell>
        </row>
        <row r="796">
          <cell r="A796" t="str">
            <v>F-2025-11-349</v>
          </cell>
          <cell r="B796" t="str">
            <v>FPRO-251117-0030</v>
          </cell>
          <cell r="C796" t="str">
            <v>BDB-000008</v>
          </cell>
          <cell r="D796" t="str">
            <v>PVN-000505</v>
          </cell>
          <cell r="E796" t="str">
            <v>OrthoLite Regular LIME GREEN/14-0452TPX Flat Sheet 0.11D 25+/-4 Asker C 1.1M 2M 12mm</v>
          </cell>
          <cell r="F796">
            <v>144</v>
          </cell>
          <cell r="G796">
            <v>144</v>
          </cell>
          <cell r="H796">
            <v>0</v>
          </cell>
          <cell r="I796">
            <v>144</v>
          </cell>
          <cell r="J796" t="str">
            <v>ASICS</v>
          </cell>
          <cell r="K796" t="str">
            <v>Forecast</v>
          </cell>
          <cell r="L796" t="str">
            <v>MOLDED</v>
          </cell>
          <cell r="M796" t="str">
            <v>1-RM-WIP</v>
          </cell>
        </row>
        <row r="797">
          <cell r="A797" t="str">
            <v>F-2025-11-350</v>
          </cell>
          <cell r="B797" t="str">
            <v>RPRO-251119-0850</v>
          </cell>
          <cell r="C797" t="str">
            <v>BDB-000066</v>
          </cell>
          <cell r="D797" t="str">
            <v>PVN-004012</v>
          </cell>
          <cell r="E797" t="str">
            <v>OrthoLite Ultra GREY/17-1501TPX Flat Sheet 0.085D 25+/-4 Asker C 1.1M 2M 4mm</v>
          </cell>
          <cell r="F797">
            <v>70</v>
          </cell>
          <cell r="G797">
            <v>70</v>
          </cell>
          <cell r="H797">
            <v>0</v>
          </cell>
          <cell r="I797">
            <v>70</v>
          </cell>
          <cell r="J797"/>
          <cell r="K797" t="str">
            <v>MPS</v>
          </cell>
          <cell r="L797" t="str">
            <v>SPLITTING</v>
          </cell>
          <cell r="M797">
            <v>2</v>
          </cell>
        </row>
        <row r="798">
          <cell r="A798" t="str">
            <v>F-2025-11-351</v>
          </cell>
          <cell r="B798" t="str">
            <v>RPRO-251119-0851</v>
          </cell>
          <cell r="C798" t="str">
            <v>BDB-000083</v>
          </cell>
          <cell r="D798" t="str">
            <v>PVN-000935</v>
          </cell>
          <cell r="E798" t="str">
            <v>OrthoLite Eco LT 300C(ADIDAS BLUEBIRD) Flat Sheet 0.11D 25+/-4 Asker C 1.1M 2M 4mm</v>
          </cell>
          <cell r="F798">
            <v>245</v>
          </cell>
          <cell r="G798">
            <v>245</v>
          </cell>
          <cell r="H798">
            <v>0</v>
          </cell>
          <cell r="I798">
            <v>245</v>
          </cell>
          <cell r="J798"/>
          <cell r="K798" t="str">
            <v>MPS</v>
          </cell>
          <cell r="L798" t="str">
            <v>SPLITTING</v>
          </cell>
          <cell r="M798">
            <v>2</v>
          </cell>
        </row>
        <row r="799">
          <cell r="A799" t="str">
            <v>F-2025-11-352</v>
          </cell>
          <cell r="B799" t="str">
            <v>RPRO-251119-0852</v>
          </cell>
          <cell r="C799" t="str">
            <v>BDB-000259</v>
          </cell>
          <cell r="D799" t="str">
            <v>PVN-003684</v>
          </cell>
          <cell r="E799" t="str">
            <v>OrthoLite Nike PP002 GLACIER GRAY/14-4102TPX Flat Sheet 0.145D 25+/-4 asker C 1.1M 2M 4.2mm</v>
          </cell>
          <cell r="F799">
            <v>429</v>
          </cell>
          <cell r="G799">
            <v>429</v>
          </cell>
          <cell r="H799">
            <v>0</v>
          </cell>
          <cell r="I799">
            <v>429</v>
          </cell>
          <cell r="J799" t="str">
            <v>NIKE</v>
          </cell>
          <cell r="K799" t="str">
            <v>Pr.Sch.R</v>
          </cell>
          <cell r="L799" t="str">
            <v>MOLDED</v>
          </cell>
          <cell r="M799">
            <v>1</v>
          </cell>
        </row>
        <row r="800">
          <cell r="A800" t="str">
            <v>F-2025-11-353</v>
          </cell>
          <cell r="B800" t="str">
            <v>RPRO-251119-0853</v>
          </cell>
          <cell r="C800" t="str">
            <v>BDB-000209</v>
          </cell>
          <cell r="D800" t="str">
            <v>PVN-003537</v>
          </cell>
          <cell r="E800" t="str">
            <v>OrthoLite HybridPlus-Recycled MINT GREEN/11-4805TPX Hybrid Flat Sheet 0.12D 25+/-4 Asker C 1.1M 2M 4.5mm</v>
          </cell>
          <cell r="F800">
            <v>651</v>
          </cell>
          <cell r="G800">
            <v>651</v>
          </cell>
          <cell r="H800">
            <v>0</v>
          </cell>
          <cell r="I800">
            <v>651</v>
          </cell>
          <cell r="J800" t="str">
            <v>AKU</v>
          </cell>
          <cell r="K800" t="str">
            <v>Pr.Sch.R</v>
          </cell>
          <cell r="L800" t="str">
            <v>MOLDED</v>
          </cell>
          <cell r="M800">
            <v>1</v>
          </cell>
        </row>
        <row r="801">
          <cell r="A801" t="str">
            <v>F-2025-11-354</v>
          </cell>
          <cell r="B801" t="str">
            <v>RPRO-251119-0854</v>
          </cell>
          <cell r="C801" t="str">
            <v>BDB-000129</v>
          </cell>
          <cell r="D801" t="str">
            <v>PVN-001550</v>
          </cell>
          <cell r="E801" t="str">
            <v>OrthoLite Regular-Nike AIR BLUE/16-4134TPX Flat Sheet 0.11D 25+/-4 Asker C 1.1M 1.7M 2mm</v>
          </cell>
          <cell r="F801">
            <v>280</v>
          </cell>
          <cell r="G801">
            <v>280</v>
          </cell>
          <cell r="H801">
            <v>0</v>
          </cell>
          <cell r="I801">
            <v>280</v>
          </cell>
          <cell r="J801" t="str">
            <v>NIKE</v>
          </cell>
          <cell r="K801" t="str">
            <v>Pr.Sch.R</v>
          </cell>
          <cell r="L801" t="str">
            <v>LAMINATING</v>
          </cell>
          <cell r="M801">
            <v>1</v>
          </cell>
        </row>
        <row r="802">
          <cell r="A802" t="str">
            <v>F-2025-11-355</v>
          </cell>
          <cell r="B802" t="str">
            <v>RPRO-251119-0855</v>
          </cell>
          <cell r="C802" t="str">
            <v>BDB-000156</v>
          </cell>
          <cell r="D802" t="str">
            <v>PVN-003243</v>
          </cell>
          <cell r="E802" t="str">
            <v>OrthoLite X-35-Hybrid-Nike AMAZON/18-6024TPX Hybrid Flat Sheet 0.145D 25+/-4 Asker C 1.1M 2M 5.2mm</v>
          </cell>
          <cell r="F802">
            <v>1664</v>
          </cell>
          <cell r="G802">
            <v>1664</v>
          </cell>
          <cell r="H802">
            <v>0</v>
          </cell>
          <cell r="I802">
            <v>1664</v>
          </cell>
          <cell r="J802" t="str">
            <v>NIKE</v>
          </cell>
          <cell r="K802" t="str">
            <v>Pr.Sch.R</v>
          </cell>
          <cell r="L802" t="str">
            <v>MOLDED</v>
          </cell>
          <cell r="M802">
            <v>1</v>
          </cell>
        </row>
        <row r="803">
          <cell r="A803" t="str">
            <v>F-2025-11-356</v>
          </cell>
          <cell r="B803" t="str">
            <v>RPRO-251119-0856</v>
          </cell>
          <cell r="C803" t="str">
            <v>BDB-000332</v>
          </cell>
          <cell r="D803" t="str">
            <v>PVN-004146</v>
          </cell>
          <cell r="E803" t="str">
            <v>OrthoLite X-25 CASTLEROCK/18-0201TPX Flat Sheet 0.12D 20+/-4 Asker C 1.1M 2M 5.5mm</v>
          </cell>
          <cell r="F803">
            <v>1325</v>
          </cell>
          <cell r="G803">
            <v>1325</v>
          </cell>
          <cell r="H803">
            <v>0</v>
          </cell>
          <cell r="I803">
            <v>1325</v>
          </cell>
          <cell r="J803" t="str">
            <v>ON RUNNING</v>
          </cell>
          <cell r="K803" t="str">
            <v>Pr.Sch.R</v>
          </cell>
          <cell r="L803" t="str">
            <v>MOLDED</v>
          </cell>
          <cell r="M803">
            <v>1</v>
          </cell>
        </row>
        <row r="804">
          <cell r="A804" t="str">
            <v>F-2025-11-357</v>
          </cell>
          <cell r="B804" t="str">
            <v>RPRO-251119-0857</v>
          </cell>
          <cell r="C804" t="str">
            <v>BDB-000077</v>
          </cell>
          <cell r="D804" t="str">
            <v>PVN-004147</v>
          </cell>
          <cell r="E804" t="str">
            <v>OrthoLite X-25 SEEDPEARL/12-0703TPX Flat Sheet 0.12D 20+/-4 Asker C 1.1M 2M 5.5mm</v>
          </cell>
          <cell r="F804">
            <v>1225</v>
          </cell>
          <cell r="G804">
            <v>1225</v>
          </cell>
          <cell r="H804">
            <v>0</v>
          </cell>
          <cell r="I804">
            <v>1225</v>
          </cell>
          <cell r="J804" t="str">
            <v>ON RUNNING</v>
          </cell>
          <cell r="K804" t="str">
            <v>Pr.Sch.R</v>
          </cell>
          <cell r="L804" t="str">
            <v>MOLDED</v>
          </cell>
          <cell r="M804">
            <v>1</v>
          </cell>
        </row>
        <row r="805">
          <cell r="A805" t="str">
            <v>F-2025-11-358</v>
          </cell>
          <cell r="B805" t="str">
            <v>RPRO-251119-0858</v>
          </cell>
          <cell r="C805" t="str">
            <v>BDB-000217</v>
          </cell>
          <cell r="D805" t="str">
            <v>PVN-003483</v>
          </cell>
          <cell r="E805" t="str">
            <v>OrthoLite X-40-Hybrid SEEDPEARL/12-0703TPX Hybrid Flat Sheet 0.16D 35+/-4 Asker C 1.1M 1.7M 12mm</v>
          </cell>
          <cell r="F805">
            <v>11</v>
          </cell>
          <cell r="G805">
            <v>11</v>
          </cell>
          <cell r="H805">
            <v>0</v>
          </cell>
          <cell r="I805">
            <v>11</v>
          </cell>
          <cell r="J805" t="str">
            <v>BROOKS</v>
          </cell>
          <cell r="K805" t="str">
            <v>Pr.Sch.R</v>
          </cell>
          <cell r="L805" t="str">
            <v>MOLDED</v>
          </cell>
          <cell r="M805">
            <v>1</v>
          </cell>
        </row>
        <row r="806">
          <cell r="A806" t="str">
            <v>F-2025-11-359</v>
          </cell>
          <cell r="B806" t="str">
            <v>RPRO-251119-0859</v>
          </cell>
          <cell r="C806" t="str">
            <v>BDB-000229</v>
          </cell>
          <cell r="D806" t="str">
            <v>PVN-003878</v>
          </cell>
          <cell r="E806" t="str">
            <v>OrthoLite Ultra-Hybrid SEEDPEARL/12-0703TPX Hybrid Flat Sheet 0.095D 33+/-4 Asker C 1.1M 2M 4mm</v>
          </cell>
          <cell r="F806">
            <v>175</v>
          </cell>
          <cell r="G806">
            <v>175</v>
          </cell>
          <cell r="H806">
            <v>0</v>
          </cell>
          <cell r="I806">
            <v>175</v>
          </cell>
          <cell r="J806" t="str">
            <v>ON RUNNING</v>
          </cell>
          <cell r="K806" t="str">
            <v>Pr.Sch.R</v>
          </cell>
          <cell r="L806" t="str">
            <v>DIE CUT</v>
          </cell>
          <cell r="M806">
            <v>1</v>
          </cell>
        </row>
        <row r="807">
          <cell r="A807" t="str">
            <v>F-2025-11-360</v>
          </cell>
          <cell r="B807" t="str">
            <v>RPRO-251119-0860</v>
          </cell>
          <cell r="C807" t="str">
            <v>BDB-000347</v>
          </cell>
          <cell r="D807" t="str">
            <v>PVN-004192</v>
          </cell>
          <cell r="E807" t="str">
            <v>OrthoLite X-55-Hybrid SEEDPEARL/12-0703TPX Hybrid Flat Sheet 0.16D 25+/-4 Asker C 1.1M 2M 12mm</v>
          </cell>
          <cell r="F807">
            <v>11</v>
          </cell>
          <cell r="G807">
            <v>11</v>
          </cell>
          <cell r="H807">
            <v>0</v>
          </cell>
          <cell r="I807">
            <v>11</v>
          </cell>
          <cell r="J807" t="str">
            <v>BROOKS</v>
          </cell>
          <cell r="K807" t="str">
            <v>Pr.Sch.R</v>
          </cell>
          <cell r="L807" t="str">
            <v>MOLDED</v>
          </cell>
          <cell r="M807">
            <v>1</v>
          </cell>
        </row>
        <row r="808">
          <cell r="A808" t="str">
            <v>F-2025-11-361</v>
          </cell>
          <cell r="B808" t="str">
            <v>RPRO-251119-0861</v>
          </cell>
          <cell r="C808" t="str">
            <v>BDB-000339</v>
          </cell>
          <cell r="D808" t="str">
            <v>PVN-004178</v>
          </cell>
          <cell r="E808" t="str">
            <v>OrthoLite Float NEUTRAL GRAY/17-4402TPX Flat Sheet 0.12D 21+/-4 Asker C 1.1M 2M 5.5mm</v>
          </cell>
          <cell r="F808">
            <v>75</v>
          </cell>
          <cell r="G808">
            <v>75</v>
          </cell>
          <cell r="H808">
            <v>0</v>
          </cell>
          <cell r="I808">
            <v>75</v>
          </cell>
          <cell r="J808" t="str">
            <v>PUMA</v>
          </cell>
          <cell r="K808" t="str">
            <v>Pr.Sch.R</v>
          </cell>
          <cell r="L808" t="str">
            <v>MOLDED</v>
          </cell>
          <cell r="M808">
            <v>1</v>
          </cell>
        </row>
        <row r="809">
          <cell r="A809" t="str">
            <v>F-2025-11-362</v>
          </cell>
          <cell r="B809" t="str">
            <v>RPRO-251119-0862</v>
          </cell>
          <cell r="C809" t="str">
            <v>BDB-000217</v>
          </cell>
          <cell r="D809" t="str">
            <v>PVN-003733</v>
          </cell>
          <cell r="E809" t="str">
            <v>OrthoLite X-40-Hybrid SEEDPEARL/12-0703TPX Hybrid Flat Sheet 0.16D 35+/-4 Asker C 1.1M 1.7M 12.5mm</v>
          </cell>
          <cell r="F809">
            <v>20</v>
          </cell>
          <cell r="G809">
            <v>20</v>
          </cell>
          <cell r="H809">
            <v>0</v>
          </cell>
          <cell r="I809">
            <v>20</v>
          </cell>
          <cell r="J809" t="str">
            <v>OBOZ</v>
          </cell>
          <cell r="K809" t="str">
            <v>Pr.Sch.R</v>
          </cell>
          <cell r="L809" t="str">
            <v>MOLDED</v>
          </cell>
          <cell r="M809">
            <v>1</v>
          </cell>
        </row>
        <row r="810">
          <cell r="A810" t="str">
            <v>F-2025-11-363</v>
          </cell>
          <cell r="B810" t="str">
            <v>RPRO-251119-0863</v>
          </cell>
          <cell r="C810" t="str">
            <v>BDB-000165</v>
          </cell>
          <cell r="D810" t="str">
            <v>PVN-002053</v>
          </cell>
          <cell r="E810" t="str">
            <v>OrthoLite Ultra-Nike LIME GREEN/14-0452TPX Flat Sheet 0.085D 15+/-4 Asker C 1.1M 2M 5mm</v>
          </cell>
          <cell r="F810">
            <v>1848</v>
          </cell>
          <cell r="G810">
            <v>1848</v>
          </cell>
          <cell r="H810">
            <v>0</v>
          </cell>
          <cell r="I810">
            <v>1848</v>
          </cell>
          <cell r="J810" t="str">
            <v>NIKE</v>
          </cell>
          <cell r="K810" t="str">
            <v>Pr.Sch.R</v>
          </cell>
          <cell r="L810" t="str">
            <v>DIE CUT</v>
          </cell>
          <cell r="M810">
            <v>1</v>
          </cell>
        </row>
        <row r="811">
          <cell r="A811" t="str">
            <v>F-2025-11-364</v>
          </cell>
          <cell r="B811" t="str">
            <v>RPRO-251119-0864</v>
          </cell>
          <cell r="C811" t="str">
            <v>BDB-000055</v>
          </cell>
          <cell r="D811" t="str">
            <v>PVN-004155</v>
          </cell>
          <cell r="E811" t="str">
            <v>OrthoLite X-40 TRUE BLUE/19-4057TPX Flat Sheet 0.16D 35+/-4 Asker C 1.1M 1.7M 3.2mm</v>
          </cell>
          <cell r="F811">
            <v>258</v>
          </cell>
          <cell r="G811">
            <v>258</v>
          </cell>
          <cell r="H811">
            <v>0</v>
          </cell>
          <cell r="I811">
            <v>258</v>
          </cell>
          <cell r="J811" t="str">
            <v>ADIDAS</v>
          </cell>
          <cell r="K811" t="str">
            <v>Pr.Sch.R</v>
          </cell>
          <cell r="L811" t="str">
            <v>MOLDED</v>
          </cell>
          <cell r="M811">
            <v>1</v>
          </cell>
        </row>
        <row r="812">
          <cell r="A812" t="str">
            <v>F-2025-11-365</v>
          </cell>
          <cell r="B812" t="str">
            <v>RPRO-251119-0865</v>
          </cell>
          <cell r="C812" t="str">
            <v>BDB-000123</v>
          </cell>
          <cell r="D812" t="str">
            <v>PVN-003743</v>
          </cell>
          <cell r="E812" t="str">
            <v>OrthoLite Ultra-Hybrid SEEDPEARL/12-0703TPX Hybrid Flat Sheet 0.085D 25+/-4 Asker C 1.1M 2M 5.5mm</v>
          </cell>
          <cell r="F812">
            <v>150</v>
          </cell>
          <cell r="G812">
            <v>150</v>
          </cell>
          <cell r="H812">
            <v>0</v>
          </cell>
          <cell r="I812">
            <v>150</v>
          </cell>
          <cell r="J812" t="str">
            <v>LOWA</v>
          </cell>
          <cell r="K812" t="str">
            <v>Pr.Sch.R</v>
          </cell>
          <cell r="L812" t="str">
            <v>MOLDED</v>
          </cell>
          <cell r="M812">
            <v>1</v>
          </cell>
        </row>
        <row r="813">
          <cell r="A813" t="str">
            <v>F-2025-11-366</v>
          </cell>
          <cell r="B813" t="str">
            <v>RPRO-251119-0866</v>
          </cell>
          <cell r="C813" t="str">
            <v>BDB-000324</v>
          </cell>
          <cell r="D813" t="str">
            <v>PVN-004110</v>
          </cell>
          <cell r="E813" t="str">
            <v>OrthoLite X-40 TRUE BLUE/19-4057TPX Flat Sheet 0.16D 25+/-4 Asker C 1.1M 2M 14.5mm</v>
          </cell>
          <cell r="F813">
            <v>90</v>
          </cell>
          <cell r="G813">
            <v>90</v>
          </cell>
          <cell r="H813">
            <v>0</v>
          </cell>
          <cell r="I813">
            <v>90</v>
          </cell>
          <cell r="J813" t="str">
            <v>LOWA</v>
          </cell>
          <cell r="K813" t="str">
            <v>Pr.Sch.R</v>
          </cell>
          <cell r="L813" t="str">
            <v>MOLDED</v>
          </cell>
          <cell r="M813">
            <v>1</v>
          </cell>
        </row>
        <row r="814">
          <cell r="A814" t="str">
            <v>OIN-2025.11.19-01</v>
          </cell>
          <cell r="B814" t="str">
            <v>RPRO-251120-0107</v>
          </cell>
          <cell r="C814" t="str">
            <v>BDB-000356</v>
          </cell>
          <cell r="D814" t="str">
            <v>PVN-004232</v>
          </cell>
          <cell r="E814" t="str">
            <v>[116-12300] Eco Lite 15+/-4 Asker C 0.11D Lime Green 14-0452 Tpx 1.10M X 2.00M 47mm</v>
          </cell>
          <cell r="F814">
            <v>20</v>
          </cell>
          <cell r="G814">
            <v>20</v>
          </cell>
          <cell r="H814">
            <v>0</v>
          </cell>
          <cell r="I814">
            <v>20</v>
          </cell>
          <cell r="J814" t="str">
            <v>JOOP</v>
          </cell>
          <cell r="K814" t="str">
            <v>PO-6166-SO-251119-0239</v>
          </cell>
          <cell r="L814" t="str">
            <v>FLAT SHEET</v>
          </cell>
          <cell r="M814">
            <v>2</v>
          </cell>
        </row>
        <row r="815">
          <cell r="A815" t="str">
            <v>F-2025-11-367</v>
          </cell>
          <cell r="B815" t="str">
            <v>RPRO-251120-0174</v>
          </cell>
          <cell r="C815" t="str">
            <v>BDB-000117</v>
          </cell>
          <cell r="D815" t="str">
            <v>PVN-003588</v>
          </cell>
          <cell r="E815" t="str">
            <v>OrthoLite X-35-Hybrid SEEDPEARL/12-0703TPX Hybrid 0.145D 25+/-4 Asker C 1.1M 2M 5mm</v>
          </cell>
          <cell r="F815">
            <v>140</v>
          </cell>
          <cell r="G815">
            <v>140</v>
          </cell>
          <cell r="H815">
            <v>0</v>
          </cell>
          <cell r="I815">
            <v>140</v>
          </cell>
          <cell r="J815"/>
          <cell r="K815" t="str">
            <v>MPS</v>
          </cell>
          <cell r="L815" t="str">
            <v>SPLITTING</v>
          </cell>
          <cell r="M815" t="str">
            <v>2-SLT</v>
          </cell>
        </row>
        <row r="816">
          <cell r="A816" t="str">
            <v>F-2025-11-368</v>
          </cell>
          <cell r="B816" t="str">
            <v>RPRO-251120-0175</v>
          </cell>
          <cell r="C816" t="str">
            <v>BDB-000348</v>
          </cell>
          <cell r="D816" t="str">
            <v>PVN-004195</v>
          </cell>
          <cell r="E816" t="str">
            <v>OrthoLite IMPERIAL SEEDPEARL/12-0703TPX Flat Sheet 0.22D 25+/-4 Asker C 1.1M 1.47M 4mm</v>
          </cell>
          <cell r="F816">
            <v>385</v>
          </cell>
          <cell r="G816">
            <v>385</v>
          </cell>
          <cell r="H816">
            <v>0</v>
          </cell>
          <cell r="I816">
            <v>385</v>
          </cell>
          <cell r="J816"/>
          <cell r="K816" t="str">
            <v>MPS</v>
          </cell>
          <cell r="L816" t="str">
            <v>SPLITTING</v>
          </cell>
          <cell r="M816">
            <v>2</v>
          </cell>
        </row>
        <row r="817">
          <cell r="A817" t="str">
            <v>F-2025-11-369</v>
          </cell>
          <cell r="B817" t="str">
            <v>RPRO-251120-0176</v>
          </cell>
          <cell r="C817" t="str">
            <v>BDB-000286</v>
          </cell>
          <cell r="D817" t="str">
            <v>PVN-003864</v>
          </cell>
          <cell r="E817" t="str">
            <v>OrthoLite Regular-Hybrid SEEDPEARL/12-0703TPX Hybrid Flat Sheet 0.13D 25+/-4 Asker C 1.1M 1.7M 3mm</v>
          </cell>
          <cell r="F817">
            <v>460</v>
          </cell>
          <cell r="G817">
            <v>460</v>
          </cell>
          <cell r="H817">
            <v>0</v>
          </cell>
          <cell r="I817">
            <v>460</v>
          </cell>
          <cell r="J817"/>
          <cell r="K817" t="str">
            <v>MPS</v>
          </cell>
          <cell r="L817" t="str">
            <v>SPLITTING</v>
          </cell>
          <cell r="M817">
            <v>2</v>
          </cell>
        </row>
        <row r="818">
          <cell r="A818" t="str">
            <v>F-2025-11-370</v>
          </cell>
          <cell r="B818" t="str">
            <v>RPRO-251120-0177</v>
          </cell>
          <cell r="C818" t="str">
            <v>BDB-000157</v>
          </cell>
          <cell r="D818" t="str">
            <v>PVN-003573</v>
          </cell>
          <cell r="E818" t="str">
            <v>OrthoLite X-35-Hybrid-Nike SEEDPEARL/12-0703TPX Hybrid Flat Sheet 0.145D 25+/-4 Asker C 1.1M 2M 4.2mm</v>
          </cell>
          <cell r="F818">
            <v>3003</v>
          </cell>
          <cell r="G818">
            <v>3003</v>
          </cell>
          <cell r="H818">
            <v>0</v>
          </cell>
          <cell r="I818">
            <v>3003</v>
          </cell>
          <cell r="J818" t="str">
            <v>NIKE</v>
          </cell>
          <cell r="K818" t="str">
            <v>Pr.Sch.R</v>
          </cell>
          <cell r="L818" t="str">
            <v>MOLDED</v>
          </cell>
          <cell r="M818">
            <v>1</v>
          </cell>
        </row>
        <row r="819">
          <cell r="A819" t="str">
            <v>F-2025-11-371</v>
          </cell>
          <cell r="B819" t="str">
            <v>RPRO-251120-0178</v>
          </cell>
          <cell r="C819" t="str">
            <v>BDB-000125</v>
          </cell>
          <cell r="D819" t="str">
            <v>PVN-001579</v>
          </cell>
          <cell r="E819" t="str">
            <v>OrthoLite Regular-Nike AIR BLUE/16-4134TPX Flat Sheet 0.11D 25+/-4 Asker C 1.1M 2M 4mm</v>
          </cell>
          <cell r="F819">
            <v>595</v>
          </cell>
          <cell r="G819">
            <v>595</v>
          </cell>
          <cell r="H819">
            <v>0</v>
          </cell>
          <cell r="I819">
            <v>595</v>
          </cell>
          <cell r="J819" t="str">
            <v>NIKE</v>
          </cell>
          <cell r="K819" t="str">
            <v>Pr.Sch.R</v>
          </cell>
          <cell r="L819" t="str">
            <v>LAMINATING</v>
          </cell>
          <cell r="M819">
            <v>1</v>
          </cell>
        </row>
        <row r="820">
          <cell r="A820" t="str">
            <v>F-2025-11-372</v>
          </cell>
          <cell r="B820" t="str">
            <v>RPRO-251120-0179</v>
          </cell>
          <cell r="C820" t="str">
            <v>BDB-000209</v>
          </cell>
          <cell r="D820" t="str">
            <v>PVN-003537</v>
          </cell>
          <cell r="E820" t="str">
            <v>OrthoLite HybridPlus-Recycled MINT GREEN/11-4805TPX Hybrid Flat Sheet 0.12D 25+/-4 Asker C 1.1M 2M 4.5mm</v>
          </cell>
          <cell r="F820">
            <v>1147</v>
          </cell>
          <cell r="G820">
            <v>1147</v>
          </cell>
          <cell r="H820">
            <v>0</v>
          </cell>
          <cell r="I820">
            <v>1147</v>
          </cell>
          <cell r="J820" t="str">
            <v>AKU</v>
          </cell>
          <cell r="K820" t="str">
            <v>Pr.Sch.R</v>
          </cell>
          <cell r="L820" t="str">
            <v>MOLDED</v>
          </cell>
          <cell r="M820">
            <v>1</v>
          </cell>
        </row>
        <row r="821">
          <cell r="A821" t="str">
            <v>F-2025-11-373</v>
          </cell>
          <cell r="B821" t="str">
            <v>RPRO-251120-0180</v>
          </cell>
          <cell r="C821" t="str">
            <v>BDB-000175</v>
          </cell>
          <cell r="D821" t="str">
            <v>PVN-002876</v>
          </cell>
          <cell r="E821" t="str">
            <v>OrthoLite Ultra-Hybrid-Nike SEEDPEARL/12-0703TPX Hybrid Flat Sheet 0.085D 25+/-4 Asker C 1.1M 2M 5mm</v>
          </cell>
          <cell r="F821">
            <v>28</v>
          </cell>
          <cell r="G821">
            <v>28</v>
          </cell>
          <cell r="H821">
            <v>0</v>
          </cell>
          <cell r="I821">
            <v>28</v>
          </cell>
          <cell r="J821" t="str">
            <v>NIKE</v>
          </cell>
          <cell r="K821" t="str">
            <v>Pr.Sch.R</v>
          </cell>
          <cell r="L821" t="str">
            <v>MOLDED</v>
          </cell>
          <cell r="M821">
            <v>1</v>
          </cell>
        </row>
        <row r="822">
          <cell r="A822" t="str">
            <v>F-2025-11-374</v>
          </cell>
          <cell r="B822" t="str">
            <v>RPRO-251120-0181</v>
          </cell>
          <cell r="C822" t="str">
            <v>BDB-000209</v>
          </cell>
          <cell r="D822" t="str">
            <v>PVN-003462</v>
          </cell>
          <cell r="E822" t="str">
            <v>OrthoLite HybridPlus-Recycled MINT GREEN/11-4805TPX Hybrid Flat Sheet 0.12D 25+/-4 Asker C 1.1M 2M 12mm</v>
          </cell>
          <cell r="F822">
            <v>11</v>
          </cell>
          <cell r="G822">
            <v>11</v>
          </cell>
          <cell r="H822">
            <v>0</v>
          </cell>
          <cell r="I822">
            <v>11</v>
          </cell>
          <cell r="J822" t="str">
            <v>BROOKS</v>
          </cell>
          <cell r="K822" t="str">
            <v>Pr.Sch.R</v>
          </cell>
          <cell r="L822" t="str">
            <v>MOLDED</v>
          </cell>
          <cell r="M822">
            <v>1</v>
          </cell>
        </row>
        <row r="823">
          <cell r="A823" t="str">
            <v>F-2025-11-375</v>
          </cell>
          <cell r="B823" t="str">
            <v>RPRO-251120-0182</v>
          </cell>
          <cell r="C823" t="str">
            <v>BDB-000129</v>
          </cell>
          <cell r="D823" t="str">
            <v>PVN-001550</v>
          </cell>
          <cell r="E823" t="str">
            <v>OrthoLite Regular-Nike AIR BLUE/16-4134TPX Flat Sheet 0.11D 25+/-4 Asker C 1.1M 1.7M 2mm</v>
          </cell>
          <cell r="F823">
            <v>910</v>
          </cell>
          <cell r="G823">
            <v>910</v>
          </cell>
          <cell r="H823">
            <v>0</v>
          </cell>
          <cell r="I823">
            <v>910</v>
          </cell>
          <cell r="J823" t="str">
            <v>NIKE</v>
          </cell>
          <cell r="K823" t="str">
            <v>Pr.Sch.R</v>
          </cell>
          <cell r="L823" t="str">
            <v>LAMINATING</v>
          </cell>
          <cell r="M823">
            <v>1</v>
          </cell>
        </row>
        <row r="824">
          <cell r="A824" t="str">
            <v>F-2025-11-376</v>
          </cell>
          <cell r="B824" t="str">
            <v>RPRO-251120-0183</v>
          </cell>
          <cell r="C824" t="str">
            <v>BDB-000011</v>
          </cell>
          <cell r="D824" t="str">
            <v>PVN-000121</v>
          </cell>
          <cell r="E824" t="str">
            <v>OrthoLite Regular AIR BLUE/16-4134TPX Flat Sheet 0.13D 35+/-4 Asker C 1.1M 2M 12mm</v>
          </cell>
          <cell r="F824">
            <v>11</v>
          </cell>
          <cell r="G824">
            <v>11</v>
          </cell>
          <cell r="H824">
            <v>0</v>
          </cell>
          <cell r="I824">
            <v>11</v>
          </cell>
          <cell r="J824" t="str">
            <v>ASICS</v>
          </cell>
          <cell r="K824" t="str">
            <v>Pr.Sch.R</v>
          </cell>
          <cell r="L824" t="str">
            <v>MOLDED</v>
          </cell>
          <cell r="M824">
            <v>1</v>
          </cell>
        </row>
        <row r="825">
          <cell r="A825" t="str">
            <v>F-2025-11-377</v>
          </cell>
          <cell r="B825" t="str">
            <v>RPRO-251120-0184</v>
          </cell>
          <cell r="C825" t="str">
            <v>BDB-000149</v>
          </cell>
          <cell r="D825" t="str">
            <v>PVN-002827</v>
          </cell>
          <cell r="E825" t="str">
            <v>OrthoLite Regular-Hybrid-Nike SEEDPEARL/12-0703TPX Hybrid Flat Sheet 0.11D 25+/-4 Asker C 1.1M 2M 5mm</v>
          </cell>
          <cell r="F825">
            <v>140</v>
          </cell>
          <cell r="G825">
            <v>140</v>
          </cell>
          <cell r="H825">
            <v>0</v>
          </cell>
          <cell r="I825">
            <v>140</v>
          </cell>
          <cell r="J825" t="str">
            <v>NIKE</v>
          </cell>
          <cell r="K825" t="str">
            <v>Pr.Sch.R</v>
          </cell>
          <cell r="L825" t="str">
            <v>MOLDED</v>
          </cell>
          <cell r="M825">
            <v>1</v>
          </cell>
        </row>
        <row r="826">
          <cell r="A826" t="str">
            <v>F-2025-11-378</v>
          </cell>
          <cell r="B826" t="str">
            <v>RPRO-251120-0185</v>
          </cell>
          <cell r="C826" t="str">
            <v>BDB-000217</v>
          </cell>
          <cell r="D826" t="str">
            <v>PVN-003539</v>
          </cell>
          <cell r="E826" t="str">
            <v>OrthoLite X-40-Hybrid SEEDPEARL/12-0703TPX Hybrid Flat Sheet 0.16D 35+/-4 Asker C 1.1M 1.7M 6.2mm</v>
          </cell>
          <cell r="F826">
            <v>22</v>
          </cell>
          <cell r="G826">
            <v>22</v>
          </cell>
          <cell r="H826">
            <v>0</v>
          </cell>
          <cell r="I826">
            <v>22</v>
          </cell>
          <cell r="J826" t="str">
            <v>BROOKS</v>
          </cell>
          <cell r="K826" t="str">
            <v>Pr.Sch.R</v>
          </cell>
          <cell r="L826" t="str">
            <v>MOLDED</v>
          </cell>
          <cell r="M826">
            <v>1</v>
          </cell>
        </row>
        <row r="827">
          <cell r="A827" t="str">
            <v>F-2025-11-379</v>
          </cell>
          <cell r="B827" t="str">
            <v>RPRO-251120-0186</v>
          </cell>
          <cell r="C827" t="str">
            <v>BDB-000252</v>
          </cell>
          <cell r="D827" t="str">
            <v>PVN-003714</v>
          </cell>
          <cell r="E827" t="str">
            <v>OrthoLite Nike PP002 AMAZON/18-6024TPX Flat Sheet 0.145D 25+/-4 asker C 1.1M 2M 5.2mm</v>
          </cell>
          <cell r="F827">
            <v>26</v>
          </cell>
          <cell r="G827">
            <v>26</v>
          </cell>
          <cell r="H827">
            <v>0</v>
          </cell>
          <cell r="I827">
            <v>26</v>
          </cell>
          <cell r="J827" t="str">
            <v>NIKE</v>
          </cell>
          <cell r="K827" t="str">
            <v>Pr.Sch.R</v>
          </cell>
          <cell r="L827" t="str">
            <v>MOLDED</v>
          </cell>
          <cell r="M827">
            <v>1</v>
          </cell>
        </row>
        <row r="828">
          <cell r="A828" t="str">
            <v>F-2025-11-380</v>
          </cell>
          <cell r="B828" t="str">
            <v>RPRO-251120-0187</v>
          </cell>
          <cell r="C828" t="str">
            <v>BDB-000076</v>
          </cell>
          <cell r="D828" t="str">
            <v>PVN-003494</v>
          </cell>
          <cell r="E828" t="str">
            <v>OrthoLite X-25 BILLIARD/16-5427TPX Flat Sheet 0.12D 20+/-4 Asker C 1.1M 2M 5.5mm</v>
          </cell>
          <cell r="F828">
            <v>100</v>
          </cell>
          <cell r="G828">
            <v>100</v>
          </cell>
          <cell r="H828">
            <v>0</v>
          </cell>
          <cell r="I828">
            <v>100</v>
          </cell>
          <cell r="J828" t="str">
            <v>ON RUNNING</v>
          </cell>
          <cell r="K828" t="str">
            <v>Pr.Sch.R</v>
          </cell>
          <cell r="L828" t="str">
            <v>MOLDED</v>
          </cell>
          <cell r="M828">
            <v>1</v>
          </cell>
        </row>
        <row r="829">
          <cell r="A829" t="str">
            <v>F-2025-11-381</v>
          </cell>
          <cell r="B829" t="str">
            <v>RPRO-251120-0188</v>
          </cell>
          <cell r="C829" t="str">
            <v>BDB-000212</v>
          </cell>
          <cell r="D829" t="str">
            <v>PVN-003460</v>
          </cell>
          <cell r="E829" t="str">
            <v>OrthoLite X-25-Hybrid SEEDPEARL/12-0703TPX Hybrid Flat Sheet 0.12D 20+/-4 Asker C 1.1M 2M 5.5mm</v>
          </cell>
          <cell r="F829">
            <v>25</v>
          </cell>
          <cell r="G829">
            <v>25</v>
          </cell>
          <cell r="H829">
            <v>0</v>
          </cell>
          <cell r="I829">
            <v>25</v>
          </cell>
          <cell r="J829" t="str">
            <v>ON RUNNING</v>
          </cell>
          <cell r="K829" t="str">
            <v>Pr.Sch.R</v>
          </cell>
          <cell r="L829" t="str">
            <v>MOLDED</v>
          </cell>
          <cell r="M829">
            <v>1</v>
          </cell>
        </row>
        <row r="830">
          <cell r="A830" t="str">
            <v>F-2025-11-382</v>
          </cell>
          <cell r="B830" t="str">
            <v>RPRO-251120-0189</v>
          </cell>
          <cell r="C830" t="str">
            <v>BDB-000175</v>
          </cell>
          <cell r="D830" t="str">
            <v>PVN-003018</v>
          </cell>
          <cell r="E830" t="str">
            <v>OrthoLite Ultra-Hybrid-Nike SEEDPEARL/12-0703TPX Hybrid Flat Sheet 0.085D 25+/-4 Asker C 1.1M 2M 2mm</v>
          </cell>
          <cell r="F830">
            <v>140</v>
          </cell>
          <cell r="G830">
            <v>140</v>
          </cell>
          <cell r="H830">
            <v>0</v>
          </cell>
          <cell r="I830">
            <v>140</v>
          </cell>
          <cell r="J830" t="str">
            <v>NIKE</v>
          </cell>
          <cell r="K830" t="str">
            <v>Pr.Sch.R</v>
          </cell>
          <cell r="L830" t="str">
            <v>DIE CUT</v>
          </cell>
          <cell r="M830">
            <v>1</v>
          </cell>
        </row>
        <row r="831">
          <cell r="A831" t="str">
            <v>F-2025-11-383</v>
          </cell>
          <cell r="B831" t="str">
            <v>RPRO-251120-0190</v>
          </cell>
          <cell r="C831" t="str">
            <v>BDB-000212</v>
          </cell>
          <cell r="D831" t="str">
            <v>PVN-003458</v>
          </cell>
          <cell r="E831" t="str">
            <v>OrthoLite X-25-Hybrid SEEDPEARL/12-0703TPX Hybrid Flat Sheet 0.12D 20+/-4 Asker C 1.1M 2M 4mm</v>
          </cell>
          <cell r="F831">
            <v>70</v>
          </cell>
          <cell r="G831">
            <v>70</v>
          </cell>
          <cell r="H831">
            <v>0</v>
          </cell>
          <cell r="I831">
            <v>70</v>
          </cell>
          <cell r="J831" t="str">
            <v>ON RUNNING</v>
          </cell>
          <cell r="K831" t="str">
            <v>Pr.Sch.R</v>
          </cell>
          <cell r="L831" t="str">
            <v>DIE CUT</v>
          </cell>
          <cell r="M831">
            <v>1</v>
          </cell>
        </row>
        <row r="832">
          <cell r="A832" t="str">
            <v>F-2025-11-384</v>
          </cell>
          <cell r="B832" t="str">
            <v>RPRO-251120-0191</v>
          </cell>
          <cell r="C832" t="str">
            <v>BDB-000213</v>
          </cell>
          <cell r="D832" t="str">
            <v>PVN-003752</v>
          </cell>
          <cell r="E832" t="str">
            <v>OrthoLite X-25-Hybrid SEEDPEARL/12-0703TPX Hybrid Flat Sheet 0.12D 20+/-4 Asker C 1.1M 1.47M 4.5mm</v>
          </cell>
          <cell r="F832">
            <v>372</v>
          </cell>
          <cell r="G832">
            <v>372</v>
          </cell>
          <cell r="H832">
            <v>0</v>
          </cell>
          <cell r="I832">
            <v>372</v>
          </cell>
          <cell r="J832" t="str">
            <v>ON RUNNING</v>
          </cell>
          <cell r="K832" t="str">
            <v>Pr.Sch.R</v>
          </cell>
          <cell r="L832" t="str">
            <v>MOLDED</v>
          </cell>
          <cell r="M832">
            <v>1</v>
          </cell>
        </row>
        <row r="833">
          <cell r="A833" t="str">
            <v>F-2025-11-385</v>
          </cell>
          <cell r="B833" t="str">
            <v>RPRO-251120-0192</v>
          </cell>
          <cell r="C833" t="str">
            <v>BDB-000347</v>
          </cell>
          <cell r="D833" t="str">
            <v>PVN-004192</v>
          </cell>
          <cell r="E833" t="str">
            <v>OrthoLite X-55-Hybrid SEEDPEARL/12-0703TPX Hybrid Flat Sheet 0.16D 25+/-4 Asker C 1.1M 2M 12mm</v>
          </cell>
          <cell r="F833">
            <v>77</v>
          </cell>
          <cell r="G833">
            <v>77</v>
          </cell>
          <cell r="H833">
            <v>0</v>
          </cell>
          <cell r="I833">
            <v>77</v>
          </cell>
          <cell r="J833" t="str">
            <v>BROOKS</v>
          </cell>
          <cell r="K833" t="str">
            <v>Pr.Sch.R</v>
          </cell>
          <cell r="L833" t="str">
            <v>MOLDED</v>
          </cell>
          <cell r="M833">
            <v>1</v>
          </cell>
        </row>
        <row r="834">
          <cell r="A834" t="str">
            <v>F-2025-11-386</v>
          </cell>
          <cell r="B834" t="str">
            <v>RPRO-251120-0193</v>
          </cell>
          <cell r="C834" t="str">
            <v>BDB-000113</v>
          </cell>
          <cell r="D834" t="str">
            <v>PVN-002515</v>
          </cell>
          <cell r="E834" t="str">
            <v>OrthoLite Regular-Hybrid SEEDPEARL/12-0703TPX Hybrid Flat Sheet 0.11D 25+/-4 Asker C 1.1M 2M 11mm</v>
          </cell>
          <cell r="F834">
            <v>12</v>
          </cell>
          <cell r="G834">
            <v>12</v>
          </cell>
          <cell r="H834">
            <v>0</v>
          </cell>
          <cell r="I834">
            <v>12</v>
          </cell>
          <cell r="J834" t="str">
            <v>ASICS</v>
          </cell>
          <cell r="K834" t="str">
            <v>Pr.Sch.R</v>
          </cell>
          <cell r="L834" t="str">
            <v>MOLDED</v>
          </cell>
          <cell r="M834">
            <v>1</v>
          </cell>
        </row>
        <row r="835">
          <cell r="A835" t="str">
            <v>F-2025-11-387</v>
          </cell>
          <cell r="B835" t="str">
            <v>RPRO-251120-0194</v>
          </cell>
          <cell r="C835" t="str">
            <v>BDB-000339</v>
          </cell>
          <cell r="D835" t="str">
            <v>PVN-004178</v>
          </cell>
          <cell r="E835" t="str">
            <v>OrthoLite Float NEUTRAL GRAY/17-4402TPX Flat Sheet 0.12D 21+/-4 Asker C 1.1M 2M 5.5mm</v>
          </cell>
          <cell r="F835">
            <v>175</v>
          </cell>
          <cell r="G835">
            <v>175</v>
          </cell>
          <cell r="H835">
            <v>0</v>
          </cell>
          <cell r="I835">
            <v>175</v>
          </cell>
          <cell r="J835" t="str">
            <v>PUMA</v>
          </cell>
          <cell r="K835" t="str">
            <v>Pr.Sch.R</v>
          </cell>
          <cell r="L835" t="str">
            <v>MOLDED</v>
          </cell>
          <cell r="M835">
            <v>1</v>
          </cell>
        </row>
        <row r="836">
          <cell r="A836" t="str">
            <v>F-2025-11-388</v>
          </cell>
          <cell r="B836" t="str">
            <v>RPRO-251120-0195</v>
          </cell>
          <cell r="C836" t="str">
            <v>BDB-000255</v>
          </cell>
          <cell r="D836" t="str">
            <v>PVN-003730</v>
          </cell>
          <cell r="E836" t="str">
            <v>OrthoLite Regular GREY/17-1501TPX Flat Sheet 0.15D 45+/-4 Asker C 1.1M 1.7M 2mm</v>
          </cell>
          <cell r="F836">
            <v>70</v>
          </cell>
          <cell r="G836">
            <v>70</v>
          </cell>
          <cell r="H836">
            <v>0</v>
          </cell>
          <cell r="I836">
            <v>70</v>
          </cell>
          <cell r="J836" t="str">
            <v>OBOZ</v>
          </cell>
          <cell r="K836" t="str">
            <v>Pr.Sch.R</v>
          </cell>
          <cell r="L836" t="str">
            <v>MOLDED</v>
          </cell>
          <cell r="M836">
            <v>1</v>
          </cell>
        </row>
        <row r="837">
          <cell r="A837" t="str">
            <v>F-2025-11-389</v>
          </cell>
          <cell r="B837" t="str">
            <v>RPRO-251120-0196</v>
          </cell>
          <cell r="C837" t="str">
            <v>BDB-000217</v>
          </cell>
          <cell r="D837" t="str">
            <v>PVN-003733</v>
          </cell>
          <cell r="E837" t="str">
            <v>OrthoLite X-40-Hybrid SEEDPEARL/12-0703TPX Hybrid Flat Sheet 0.16D 35+/-4 Asker C 1.1M 1.7M 12.5mm</v>
          </cell>
          <cell r="F837">
            <v>10</v>
          </cell>
          <cell r="G837">
            <v>10</v>
          </cell>
          <cell r="H837">
            <v>0</v>
          </cell>
          <cell r="I837">
            <v>10</v>
          </cell>
          <cell r="J837" t="str">
            <v>OBOZ</v>
          </cell>
          <cell r="K837" t="str">
            <v>Pr.Sch.R</v>
          </cell>
          <cell r="L837" t="str">
            <v>MOLDED</v>
          </cell>
          <cell r="M837">
            <v>1</v>
          </cell>
        </row>
        <row r="838">
          <cell r="A838" t="str">
            <v>F-2025-11-390</v>
          </cell>
          <cell r="B838" t="str">
            <v>RPRO-251120-0197</v>
          </cell>
          <cell r="C838" t="str">
            <v>BDB-000282</v>
          </cell>
          <cell r="D838" t="str">
            <v>PVN-003834</v>
          </cell>
          <cell r="E838" t="str">
            <v>OrthoLite X-40-Hybrid SEEDPEARL/12-0703TPX Hybrid Flat Sheet 0.16D 35+/-4 Asker C 1.1M 2M 12.5mm</v>
          </cell>
          <cell r="F838">
            <v>20</v>
          </cell>
          <cell r="G838">
            <v>20</v>
          </cell>
          <cell r="H838">
            <v>0</v>
          </cell>
          <cell r="I838">
            <v>20</v>
          </cell>
          <cell r="J838" t="str">
            <v>OBOZ</v>
          </cell>
          <cell r="K838" t="str">
            <v>Pr.Sch.R</v>
          </cell>
          <cell r="L838" t="str">
            <v>MOLDED</v>
          </cell>
          <cell r="M838">
            <v>1</v>
          </cell>
        </row>
        <row r="839">
          <cell r="A839" t="str">
            <v>F-2025-11-391</v>
          </cell>
          <cell r="B839" t="str">
            <v>RPRO-251120-0198</v>
          </cell>
          <cell r="C839" t="str">
            <v>BDB-000164</v>
          </cell>
          <cell r="D839" t="str">
            <v>PVN-001618</v>
          </cell>
          <cell r="E839" t="str">
            <v>OrthoLite Ultra-Nike GREY/17-1501TPX Flat Sheet 0.085D 25+/-4 Asker C 1.1M 2M 4mm</v>
          </cell>
          <cell r="F839">
            <v>630</v>
          </cell>
          <cell r="G839">
            <v>630</v>
          </cell>
          <cell r="H839">
            <v>0</v>
          </cell>
          <cell r="I839">
            <v>630</v>
          </cell>
          <cell r="J839" t="str">
            <v>NIKE</v>
          </cell>
          <cell r="K839" t="str">
            <v>Pr.Sch.R</v>
          </cell>
          <cell r="L839" t="str">
            <v>DIE CUT</v>
          </cell>
          <cell r="M839">
            <v>1</v>
          </cell>
        </row>
        <row r="840">
          <cell r="A840" t="str">
            <v>F-2025-11-392</v>
          </cell>
          <cell r="B840" t="str">
            <v>RPRO-251120-0199</v>
          </cell>
          <cell r="C840" t="str">
            <v>BDB-000346</v>
          </cell>
          <cell r="D840" t="str">
            <v>PVN-004188</v>
          </cell>
          <cell r="E840" t="str">
            <v>OrthoLite Float NEUTRAL GRAY/17-4402TPX Flat Sheet 0.12D 21+/-4 Asker C 1.1M 1.47M 5.5mm</v>
          </cell>
          <cell r="F840">
            <v>725</v>
          </cell>
          <cell r="G840">
            <v>725</v>
          </cell>
          <cell r="H840">
            <v>0</v>
          </cell>
          <cell r="I840">
            <v>725</v>
          </cell>
          <cell r="J840" t="str">
            <v>PUMA</v>
          </cell>
          <cell r="K840" t="str">
            <v>Pr.Sch.R</v>
          </cell>
          <cell r="L840" t="str">
            <v>MOLDED</v>
          </cell>
          <cell r="M840">
            <v>1</v>
          </cell>
        </row>
        <row r="841">
          <cell r="A841" t="str">
            <v>F-2025-11-393</v>
          </cell>
          <cell r="B841" t="str">
            <v>RPRO-251120-0200</v>
          </cell>
          <cell r="C841" t="str">
            <v>BDB-000339</v>
          </cell>
          <cell r="D841" t="str">
            <v>PVN-004223</v>
          </cell>
          <cell r="E841" t="str">
            <v>OrthoLite Float NEUTRAL GRAY/17-4402TPX Flat Sheet 0.12D 21+/-4 Asker C 1.1M 2M 5mm</v>
          </cell>
          <cell r="F841">
            <v>84</v>
          </cell>
          <cell r="G841">
            <v>84</v>
          </cell>
          <cell r="H841">
            <v>0</v>
          </cell>
          <cell r="I841">
            <v>84</v>
          </cell>
          <cell r="J841" t="str">
            <v>PUMA</v>
          </cell>
          <cell r="K841" t="str">
            <v>Pr.Sch.R</v>
          </cell>
          <cell r="L841" t="str">
            <v>DIE CUT</v>
          </cell>
          <cell r="M841">
            <v>1</v>
          </cell>
        </row>
        <row r="842">
          <cell r="A842" t="str">
            <v>F-2025-11-394</v>
          </cell>
          <cell r="B842" t="str">
            <v>RPRO-251120-0201</v>
          </cell>
          <cell r="C842" t="str">
            <v>BDB-000346</v>
          </cell>
          <cell r="D842" t="str">
            <v>PVN-004226</v>
          </cell>
          <cell r="E842" t="str">
            <v>OrthoLite Float NEUTRAL GRAY/17-4402TPX Flat Sheet 0.12D 21+/-4 Asker C 1.1M 1.47M 5mm</v>
          </cell>
          <cell r="F842">
            <v>28</v>
          </cell>
          <cell r="G842">
            <v>28</v>
          </cell>
          <cell r="H842">
            <v>0</v>
          </cell>
          <cell r="I842">
            <v>28</v>
          </cell>
          <cell r="J842" t="str">
            <v>PUMA</v>
          </cell>
          <cell r="K842" t="str">
            <v>Pr.Sch.R</v>
          </cell>
          <cell r="L842" t="str">
            <v>DIE CUT</v>
          </cell>
          <cell r="M842">
            <v>1</v>
          </cell>
        </row>
        <row r="843">
          <cell r="A843" t="str">
            <v>F-2025-11-395_0</v>
          </cell>
          <cell r="B843" t="str">
            <v>RPRO-251121-0583</v>
          </cell>
          <cell r="C843" t="str">
            <v>BDB-000117</v>
          </cell>
          <cell r="D843" t="str">
            <v>PVN-003596</v>
          </cell>
          <cell r="E843" t="str">
            <v>OrthoLite X-35-Hybrid SEEDPEARL/12-0703TPX Hybrid Flat Sheet 0.145D 25+/-4 Asker C 1.1M 2M 3mm</v>
          </cell>
          <cell r="F843">
            <v>46</v>
          </cell>
          <cell r="G843">
            <v>46</v>
          </cell>
          <cell r="H843">
            <v>0</v>
          </cell>
          <cell r="I843">
            <v>46</v>
          </cell>
          <cell r="J843"/>
          <cell r="K843" t="str">
            <v>MPS</v>
          </cell>
          <cell r="L843" t="str">
            <v>SPLITTING</v>
          </cell>
          <cell r="M843">
            <v>2</v>
          </cell>
        </row>
        <row r="844">
          <cell r="A844" t="str">
            <v>F-2025-11-396</v>
          </cell>
          <cell r="B844" t="str">
            <v>RPRO-251121-0584</v>
          </cell>
          <cell r="C844" t="str">
            <v>BDB-000348</v>
          </cell>
          <cell r="D844" t="str">
            <v>PVN-004195</v>
          </cell>
          <cell r="E844" t="str">
            <v>OrthoLite IMPERIAL SEEDPEARL/12-0703TPX Flat Sheet 0.22D 25+/-4 Asker C 1.1M 1.47M 4mm</v>
          </cell>
          <cell r="F844">
            <v>175</v>
          </cell>
          <cell r="G844">
            <v>175</v>
          </cell>
          <cell r="H844">
            <v>0</v>
          </cell>
          <cell r="I844">
            <v>175</v>
          </cell>
          <cell r="J844"/>
          <cell r="K844" t="str">
            <v>MPS</v>
          </cell>
          <cell r="L844" t="str">
            <v>SPLITTING</v>
          </cell>
          <cell r="M844">
            <v>2</v>
          </cell>
        </row>
        <row r="845">
          <cell r="A845" t="str">
            <v>F-2025-11-397</v>
          </cell>
          <cell r="B845" t="str">
            <v>RPRO-251121-0585</v>
          </cell>
          <cell r="C845" t="str">
            <v>BDB-000083</v>
          </cell>
          <cell r="D845" t="str">
            <v>PVN-000935</v>
          </cell>
          <cell r="E845" t="str">
            <v>OrthoLite Eco LT 300C(ADIDAS BLUEBIRD) Flat Sheet 0.11D 25+/-4 Asker C 1.1M 2M 4mm</v>
          </cell>
          <cell r="F845">
            <v>35</v>
          </cell>
          <cell r="G845">
            <v>35</v>
          </cell>
          <cell r="H845">
            <v>0</v>
          </cell>
          <cell r="I845">
            <v>35</v>
          </cell>
          <cell r="J845"/>
          <cell r="K845" t="str">
            <v>MPS</v>
          </cell>
          <cell r="L845" t="str">
            <v>SPLITTING</v>
          </cell>
          <cell r="M845">
            <v>2</v>
          </cell>
        </row>
        <row r="846">
          <cell r="A846" t="str">
            <v>F-2025-11-398</v>
          </cell>
          <cell r="B846" t="str">
            <v>RPRO-251121-0586</v>
          </cell>
          <cell r="C846" t="str">
            <v>BDB-000058</v>
          </cell>
          <cell r="D846" t="str">
            <v>PVN-001277</v>
          </cell>
          <cell r="E846" t="str">
            <v>OrthoLite Ultra GREEN/16-5932TPX Flat Sheet 0.085D 25+/-4 Asker C 1.1M 2M 4mm</v>
          </cell>
          <cell r="F846">
            <v>175</v>
          </cell>
          <cell r="G846">
            <v>175</v>
          </cell>
          <cell r="H846">
            <v>0</v>
          </cell>
          <cell r="I846">
            <v>175</v>
          </cell>
          <cell r="J846"/>
          <cell r="K846" t="str">
            <v>MPS</v>
          </cell>
          <cell r="L846" t="str">
            <v>SPLITTING</v>
          </cell>
          <cell r="M846">
            <v>2</v>
          </cell>
        </row>
        <row r="847">
          <cell r="A847" t="str">
            <v>F-2025-11-399</v>
          </cell>
          <cell r="B847" t="str">
            <v>RPRO-251121-0587</v>
          </cell>
          <cell r="C847" t="str">
            <v>BDB-000123</v>
          </cell>
          <cell r="D847" t="str">
            <v>PVN-003300</v>
          </cell>
          <cell r="E847" t="str">
            <v>OrthoLite Ultra-Hybrid SEEDPEARL/12-0703TPX Hybrid Flat Sheet 0.085D 25+/-4 Asker C 1.1M 2M 2mm</v>
          </cell>
          <cell r="F847">
            <v>980</v>
          </cell>
          <cell r="G847">
            <v>980</v>
          </cell>
          <cell r="H847">
            <v>0</v>
          </cell>
          <cell r="I847">
            <v>980</v>
          </cell>
          <cell r="J847"/>
          <cell r="K847" t="str">
            <v>MPS</v>
          </cell>
          <cell r="L847" t="str">
            <v>SPLITTING</v>
          </cell>
          <cell r="M847">
            <v>2</v>
          </cell>
        </row>
        <row r="848">
          <cell r="A848" t="str">
            <v>F-2025-11-400</v>
          </cell>
          <cell r="B848" t="str">
            <v>RPRO-251121-0588</v>
          </cell>
          <cell r="C848" t="str">
            <v>BDB-000051</v>
          </cell>
          <cell r="D848" t="str">
            <v>PVN-003320</v>
          </cell>
          <cell r="E848" t="str">
            <v>OrthoLite X-40 TRUE BLUE/19-4057TPX Flat Sheet 0.16D 25+/-4 Asker C 1.1M 1.7M 2mm</v>
          </cell>
          <cell r="F848">
            <v>280</v>
          </cell>
          <cell r="G848">
            <v>280</v>
          </cell>
          <cell r="H848">
            <v>0</v>
          </cell>
          <cell r="I848">
            <v>280</v>
          </cell>
          <cell r="J848"/>
          <cell r="K848" t="str">
            <v>MPS</v>
          </cell>
          <cell r="L848" t="str">
            <v>SPLITTING</v>
          </cell>
          <cell r="M848">
            <v>2</v>
          </cell>
        </row>
        <row r="849">
          <cell r="A849" t="str">
            <v>F-2025-11-401</v>
          </cell>
          <cell r="B849" t="str">
            <v>RPRO-251121-0589</v>
          </cell>
          <cell r="C849" t="str">
            <v>BDB-000200</v>
          </cell>
          <cell r="D849" t="str">
            <v>PVN-003418</v>
          </cell>
          <cell r="E849" t="str">
            <v>OrthoLite Ultra SEEDPEARL/12-0703TPX Flat Sheet 0.085D 78-90 Asker F 1.1M 2M 5mm</v>
          </cell>
          <cell r="F849">
            <v>252</v>
          </cell>
          <cell r="G849">
            <v>252</v>
          </cell>
          <cell r="H849">
            <v>0</v>
          </cell>
          <cell r="I849">
            <v>252</v>
          </cell>
          <cell r="J849"/>
          <cell r="K849" t="str">
            <v>MPS</v>
          </cell>
          <cell r="L849" t="str">
            <v>SPLITTING</v>
          </cell>
          <cell r="M849">
            <v>2</v>
          </cell>
        </row>
        <row r="850">
          <cell r="A850" t="str">
            <v>F-2025-11-402</v>
          </cell>
          <cell r="B850" t="str">
            <v>RPRO-251121-0590</v>
          </cell>
          <cell r="C850" t="str">
            <v>BDB-000200</v>
          </cell>
          <cell r="D850" t="str">
            <v>PVN-003425</v>
          </cell>
          <cell r="E850" t="str">
            <v>OrthoLite Ultra SEEDPEARL/12-0703TPX Flat Sheet 0.085D 78-90 Asker F 1.1M 2M 4mm</v>
          </cell>
          <cell r="F850">
            <v>35</v>
          </cell>
          <cell r="G850">
            <v>35</v>
          </cell>
          <cell r="H850">
            <v>0</v>
          </cell>
          <cell r="I850">
            <v>35</v>
          </cell>
          <cell r="J850"/>
          <cell r="K850" t="str">
            <v>MPS</v>
          </cell>
          <cell r="L850" t="str">
            <v>SPLITTING</v>
          </cell>
          <cell r="M850">
            <v>2</v>
          </cell>
        </row>
        <row r="851">
          <cell r="A851" t="str">
            <v>F-2025-11-403</v>
          </cell>
          <cell r="B851" t="str">
            <v>RPRO-251121-0591</v>
          </cell>
          <cell r="C851" t="str">
            <v>BDB-000125</v>
          </cell>
          <cell r="D851" t="str">
            <v>PVN-001579</v>
          </cell>
          <cell r="E851" t="str">
            <v>OrthoLite Regular-Nike AIR BLUE/16-4134TPX Flat Sheet 0.11D 25+/-4 Asker C 1.1M 2M 4mm</v>
          </cell>
          <cell r="F851">
            <v>175</v>
          </cell>
          <cell r="G851">
            <v>175</v>
          </cell>
          <cell r="H851">
            <v>0</v>
          </cell>
          <cell r="I851">
            <v>175</v>
          </cell>
          <cell r="J851" t="str">
            <v>NIKE</v>
          </cell>
          <cell r="K851" t="str">
            <v>Pr.Sch.R</v>
          </cell>
          <cell r="L851" t="str">
            <v>LAMINATING</v>
          </cell>
          <cell r="M851">
            <v>1</v>
          </cell>
        </row>
        <row r="852">
          <cell r="A852" t="str">
            <v>F-2025-11-404</v>
          </cell>
          <cell r="B852" t="str">
            <v>RPRO-251121-0592</v>
          </cell>
          <cell r="C852" t="str">
            <v>BDB-000209</v>
          </cell>
          <cell r="D852" t="str">
            <v>PVN-003537</v>
          </cell>
          <cell r="E852" t="str">
            <v>OrthoLite HybridPlus-Recycled MINT GREEN/11-4805TPX Hybrid Flat Sheet 0.12D 25+/-4 Asker C 1.1M 2M 4.5mm</v>
          </cell>
          <cell r="F852">
            <v>31</v>
          </cell>
          <cell r="G852">
            <v>31</v>
          </cell>
          <cell r="H852">
            <v>0</v>
          </cell>
          <cell r="I852">
            <v>31</v>
          </cell>
          <cell r="J852" t="str">
            <v>AKU</v>
          </cell>
          <cell r="K852" t="str">
            <v>Pr.Sch.R</v>
          </cell>
          <cell r="L852" t="str">
            <v>MOLDED</v>
          </cell>
          <cell r="M852">
            <v>1</v>
          </cell>
        </row>
        <row r="853">
          <cell r="A853" t="str">
            <v>F-2025-11-405</v>
          </cell>
          <cell r="B853" t="str">
            <v>RPRO-251121-0593</v>
          </cell>
          <cell r="C853" t="str">
            <v>BDB-000209</v>
          </cell>
          <cell r="D853" t="str">
            <v>PVN-003462</v>
          </cell>
          <cell r="E853" t="str">
            <v>OrthoLite HybridPlus-Recycled MINT GREEN/11-4805TPX Hybrid Flat Sheet 0.12D 25+/-4 Asker C 1.1M 2M 12mm</v>
          </cell>
          <cell r="F853">
            <v>11</v>
          </cell>
          <cell r="G853">
            <v>11</v>
          </cell>
          <cell r="H853">
            <v>0</v>
          </cell>
          <cell r="I853">
            <v>11</v>
          </cell>
          <cell r="J853" t="str">
            <v>BROOKS</v>
          </cell>
          <cell r="K853" t="str">
            <v>Pr.Sch.R</v>
          </cell>
          <cell r="L853" t="str">
            <v>MOLDED</v>
          </cell>
          <cell r="M853">
            <v>1</v>
          </cell>
        </row>
        <row r="854">
          <cell r="A854" t="str">
            <v>F-2025-11-406</v>
          </cell>
          <cell r="B854" t="str">
            <v>RPRO-251121-0594</v>
          </cell>
          <cell r="C854" t="str">
            <v>BDB-000129</v>
          </cell>
          <cell r="D854" t="str">
            <v>PVN-001550</v>
          </cell>
          <cell r="E854" t="str">
            <v>OrthoLite Regular-Nike AIR BLUE/16-4134TPX Flat Sheet 0.11D 25+/-4 Asker C 1.1M 1.7M 2mm</v>
          </cell>
          <cell r="F854">
            <v>2240</v>
          </cell>
          <cell r="G854">
            <v>2240</v>
          </cell>
          <cell r="H854">
            <v>0</v>
          </cell>
          <cell r="I854">
            <v>2240</v>
          </cell>
          <cell r="J854" t="str">
            <v>NIKE</v>
          </cell>
          <cell r="K854" t="str">
            <v>Pr.Sch.R</v>
          </cell>
          <cell r="L854" t="str">
            <v>LAMINATING</v>
          </cell>
          <cell r="M854">
            <v>1</v>
          </cell>
        </row>
        <row r="855">
          <cell r="A855" t="str">
            <v>F-2025-11-407</v>
          </cell>
          <cell r="B855" t="str">
            <v>RPRO-251121-0595</v>
          </cell>
          <cell r="C855" t="str">
            <v>BDB-000157</v>
          </cell>
          <cell r="D855" t="str">
            <v>PVN-003573</v>
          </cell>
          <cell r="E855" t="str">
            <v>OrthoLite X-35-Hybrid-Nike SEEDPEARL/12-0703TPX Hybrid Flat Sheet 0.145D 25+/-4 Asker C 1.1M 2M 4.2mm</v>
          </cell>
          <cell r="F855">
            <v>1551</v>
          </cell>
          <cell r="G855">
            <v>1551</v>
          </cell>
          <cell r="H855">
            <v>0</v>
          </cell>
          <cell r="I855">
            <v>1551</v>
          </cell>
          <cell r="J855" t="str">
            <v>NIKE</v>
          </cell>
          <cell r="K855" t="str">
            <v>Pr.Sch.R</v>
          </cell>
          <cell r="L855" t="str">
            <v>MOLDED</v>
          </cell>
          <cell r="M855">
            <v>1</v>
          </cell>
        </row>
        <row r="856">
          <cell r="A856" t="str">
            <v>F-2025-11-408</v>
          </cell>
          <cell r="B856" t="str">
            <v>RPRO-251121-0596</v>
          </cell>
          <cell r="C856" t="str">
            <v>BDB-000217</v>
          </cell>
          <cell r="D856" t="str">
            <v>PVN-003539</v>
          </cell>
          <cell r="E856" t="str">
            <v>OrthoLite X-40-Hybrid SEEDPEARL/12-0703TPX Hybrid Flat Sheet 0.16D 35+/-4 Asker C 1.1M 1.7M 6.2mm</v>
          </cell>
          <cell r="F856">
            <v>22</v>
          </cell>
          <cell r="G856">
            <v>22</v>
          </cell>
          <cell r="H856">
            <v>0</v>
          </cell>
          <cell r="I856">
            <v>22</v>
          </cell>
          <cell r="J856" t="str">
            <v>BROOKS</v>
          </cell>
          <cell r="K856" t="str">
            <v>Pr.Sch.R</v>
          </cell>
          <cell r="L856" t="str">
            <v>MOLDED</v>
          </cell>
          <cell r="M856">
            <v>1</v>
          </cell>
        </row>
        <row r="857">
          <cell r="A857" t="str">
            <v>F-2025-11-409</v>
          </cell>
          <cell r="B857" t="str">
            <v>RPRO-251121-0597</v>
          </cell>
          <cell r="C857" t="str">
            <v>BDB-000149</v>
          </cell>
          <cell r="D857" t="str">
            <v>PVN-002773</v>
          </cell>
          <cell r="E857" t="str">
            <v>OrthoLite Regular-Hybrid-Nike SEEDPEARL/12-0703TPX Hybrid Flat Sheet 0.11D 25+/-4 Asker C 1.1M 2M 4mm</v>
          </cell>
          <cell r="F857">
            <v>210</v>
          </cell>
          <cell r="G857">
            <v>210</v>
          </cell>
          <cell r="H857">
            <v>0</v>
          </cell>
          <cell r="I857">
            <v>210</v>
          </cell>
          <cell r="J857" t="str">
            <v>NIKE</v>
          </cell>
          <cell r="K857" t="str">
            <v>Pr.Sch.R</v>
          </cell>
          <cell r="L857" t="str">
            <v>DIE CUT</v>
          </cell>
          <cell r="M857">
            <v>1</v>
          </cell>
        </row>
        <row r="858">
          <cell r="A858" t="str">
            <v>F-2025-11-410</v>
          </cell>
          <cell r="B858" t="str">
            <v>RPRO-251121-0598</v>
          </cell>
          <cell r="C858" t="str">
            <v>BDB-000332</v>
          </cell>
          <cell r="D858" t="str">
            <v>PVN-004146</v>
          </cell>
          <cell r="E858" t="str">
            <v>OrthoLite X-25 CASTLEROCK/18-0201TPX Flat Sheet 0.12D 20+/-4 Asker C 1.1M 2M 5.5mm</v>
          </cell>
          <cell r="F858">
            <v>50</v>
          </cell>
          <cell r="G858">
            <v>50</v>
          </cell>
          <cell r="H858">
            <v>0</v>
          </cell>
          <cell r="I858">
            <v>50</v>
          </cell>
          <cell r="J858" t="str">
            <v>ON RUNNING</v>
          </cell>
          <cell r="K858" t="str">
            <v>Pr.Sch.R</v>
          </cell>
          <cell r="L858" t="str">
            <v>MOLDED</v>
          </cell>
          <cell r="M858">
            <v>1</v>
          </cell>
        </row>
        <row r="859">
          <cell r="A859" t="str">
            <v>F-2025-11-411</v>
          </cell>
          <cell r="B859" t="str">
            <v>RPRO-251121-0599</v>
          </cell>
          <cell r="C859" t="str">
            <v>BDB-000117</v>
          </cell>
          <cell r="D859" t="str">
            <v>PVN-003234</v>
          </cell>
          <cell r="E859" t="str">
            <v>OrthoLite X-35-Hybrid SEEDPEARL/12-0703TPX Hybrid Flat Sheet 0.145D 25+/-4 Asker C 1.1M 2M 5.5mm</v>
          </cell>
          <cell r="F859">
            <v>25</v>
          </cell>
          <cell r="G859">
            <v>25</v>
          </cell>
          <cell r="H859">
            <v>0</v>
          </cell>
          <cell r="I859">
            <v>25</v>
          </cell>
          <cell r="J859" t="str">
            <v>PUMA</v>
          </cell>
          <cell r="K859" t="str">
            <v>Pr.Sch.R</v>
          </cell>
          <cell r="L859" t="str">
            <v>MOLDED</v>
          </cell>
          <cell r="M859">
            <v>1</v>
          </cell>
        </row>
        <row r="860">
          <cell r="A860" t="str">
            <v>F-2025-11-412</v>
          </cell>
          <cell r="B860" t="str">
            <v>RPRO-251121-0600</v>
          </cell>
          <cell r="C860" t="str">
            <v>BDB-000145</v>
          </cell>
          <cell r="D860" t="str">
            <v>PVN-002811</v>
          </cell>
          <cell r="E860" t="str">
            <v>OrthoLite Regular-Hybrid-Nike YELLOW/13-0858TPX Hybrid Flat Sheet 0.11D 25+/-4 Asker C 1.1M 1.7M 2mm</v>
          </cell>
          <cell r="F860">
            <v>70</v>
          </cell>
          <cell r="G860">
            <v>70</v>
          </cell>
          <cell r="H860">
            <v>0</v>
          </cell>
          <cell r="I860">
            <v>70</v>
          </cell>
          <cell r="J860" t="str">
            <v>NIKE</v>
          </cell>
          <cell r="K860" t="str">
            <v>Pr.Sch.R</v>
          </cell>
          <cell r="L860" t="str">
            <v>DIE CUT</v>
          </cell>
          <cell r="M860">
            <v>1</v>
          </cell>
        </row>
        <row r="861">
          <cell r="A861" t="str">
            <v>F-2025-11-413</v>
          </cell>
          <cell r="B861" t="str">
            <v>RPRO-251121-0601</v>
          </cell>
          <cell r="C861" t="str">
            <v>BDB-000212</v>
          </cell>
          <cell r="D861" t="str">
            <v>PVN-003458</v>
          </cell>
          <cell r="E861" t="str">
            <v>OrthoLite X-25-Hybrid SEEDPEARL/12-0703TPX Hybrid Flat Sheet 0.12D 20+/-4 Asker C 1.1M 2M 4mm</v>
          </cell>
          <cell r="F861">
            <v>70</v>
          </cell>
          <cell r="G861">
            <v>70</v>
          </cell>
          <cell r="H861">
            <v>0</v>
          </cell>
          <cell r="I861">
            <v>70</v>
          </cell>
          <cell r="J861" t="str">
            <v>ON RUNNING</v>
          </cell>
          <cell r="K861" t="str">
            <v>Pr.Sch.R</v>
          </cell>
          <cell r="L861" t="str">
            <v>DIE CUT</v>
          </cell>
          <cell r="M861">
            <v>1</v>
          </cell>
        </row>
        <row r="862">
          <cell r="A862" t="str">
            <v>F-2025-11-414</v>
          </cell>
          <cell r="B862" t="str">
            <v>RPRO-251121-0602</v>
          </cell>
          <cell r="C862" t="str">
            <v>BDB-000125</v>
          </cell>
          <cell r="D862" t="str">
            <v>PVN-001590</v>
          </cell>
          <cell r="E862" t="str">
            <v>OrthoLite Regular-Nike AIR BLUE/16-4134TPX Flat Sheet 0.11D 25+/-4 Asker C 1.1M 2M 4.8mm</v>
          </cell>
          <cell r="F862">
            <v>29</v>
          </cell>
          <cell r="G862">
            <v>29</v>
          </cell>
          <cell r="H862">
            <v>0</v>
          </cell>
          <cell r="I862">
            <v>29</v>
          </cell>
          <cell r="J862" t="str">
            <v>NIKE</v>
          </cell>
          <cell r="K862" t="str">
            <v>Pr.Sch.R</v>
          </cell>
          <cell r="L862" t="str">
            <v>MOLDED</v>
          </cell>
          <cell r="M862">
            <v>1</v>
          </cell>
        </row>
        <row r="863">
          <cell r="A863" t="str">
            <v>F-2025-11-415</v>
          </cell>
          <cell r="B863" t="str">
            <v>RPRO-251121-0603</v>
          </cell>
          <cell r="C863" t="str">
            <v>BDB-000339</v>
          </cell>
          <cell r="D863" t="str">
            <v>PVN-004178</v>
          </cell>
          <cell r="E863" t="str">
            <v>OrthoLite Float NEUTRAL GRAY/17-4402TPX Flat Sheet 0.12D 21+/-4 Asker C 1.1M 2M 5.5mm</v>
          </cell>
          <cell r="F863">
            <v>25</v>
          </cell>
          <cell r="G863">
            <v>25</v>
          </cell>
          <cell r="H863">
            <v>0</v>
          </cell>
          <cell r="I863">
            <v>25</v>
          </cell>
          <cell r="J863" t="str">
            <v>PUMA</v>
          </cell>
          <cell r="K863" t="str">
            <v>Pr.Sch.R</v>
          </cell>
          <cell r="L863" t="str">
            <v>MOLDED</v>
          </cell>
          <cell r="M863">
            <v>1</v>
          </cell>
        </row>
        <row r="864">
          <cell r="A864" t="str">
            <v>F-2025-11-416</v>
          </cell>
          <cell r="B864" t="str">
            <v>RPRO-251121-0604</v>
          </cell>
          <cell r="C864" t="str">
            <v>BDB-000346</v>
          </cell>
          <cell r="D864" t="str">
            <v>PVN-004188</v>
          </cell>
          <cell r="E864" t="str">
            <v>OrthoLite Float NEUTRAL GRAY/17-4402TPX Flat Sheet 0.12D 21+/-4 Asker C 1.1M 1.47M 5.5mm</v>
          </cell>
          <cell r="F864">
            <v>175</v>
          </cell>
          <cell r="G864">
            <v>175</v>
          </cell>
          <cell r="H864">
            <v>0</v>
          </cell>
          <cell r="I864">
            <v>175</v>
          </cell>
          <cell r="J864" t="str">
            <v>PUMA</v>
          </cell>
          <cell r="K864" t="str">
            <v>Pr.Sch.R</v>
          </cell>
          <cell r="L864" t="str">
            <v>MOLDED</v>
          </cell>
          <cell r="M864">
            <v>1</v>
          </cell>
        </row>
        <row r="865">
          <cell r="A865" t="str">
            <v>F-2025-11-417</v>
          </cell>
          <cell r="B865" t="str">
            <v>RPRO-251121-0605</v>
          </cell>
          <cell r="C865" t="str">
            <v>BDB-000340</v>
          </cell>
          <cell r="D865" t="str">
            <v>PVN-004177</v>
          </cell>
          <cell r="E865" t="str">
            <v>OrthoLite Float SEEDPEARL/12-0703TPX Flat Sheet 0.12D 21+/-4 Asker C 1.1M 2M 5.5mm</v>
          </cell>
          <cell r="F865">
            <v>325</v>
          </cell>
          <cell r="G865">
            <v>325</v>
          </cell>
          <cell r="H865">
            <v>0</v>
          </cell>
          <cell r="I865">
            <v>325</v>
          </cell>
          <cell r="J865" t="str">
            <v>ON RUNNING</v>
          </cell>
          <cell r="K865" t="str">
            <v>Pr.Sch.R</v>
          </cell>
          <cell r="L865" t="str">
            <v>MOLDED</v>
          </cell>
          <cell r="M865">
            <v>1</v>
          </cell>
        </row>
        <row r="866">
          <cell r="A866" t="str">
            <v>F-2025-11-418</v>
          </cell>
          <cell r="B866" t="str">
            <v>RPRO-251121-0606</v>
          </cell>
          <cell r="C866" t="str">
            <v>BDB-000083</v>
          </cell>
          <cell r="D866" t="str">
            <v>PVN-000933</v>
          </cell>
          <cell r="E866" t="str">
            <v>OrthoLite Eco LT 300C(ADIDAS BLUEBIRD) Flat Sheet 0.11D 25+/-4 Asker C 1.1M 2M 4.5mm</v>
          </cell>
          <cell r="F866">
            <v>155</v>
          </cell>
          <cell r="G866">
            <v>155</v>
          </cell>
          <cell r="H866">
            <v>0</v>
          </cell>
          <cell r="I866">
            <v>155</v>
          </cell>
          <cell r="J866" t="str">
            <v>ADIDAS</v>
          </cell>
          <cell r="K866" t="str">
            <v>Pr.Sch.R</v>
          </cell>
          <cell r="L866" t="str">
            <v>MOLDED</v>
          </cell>
          <cell r="M866">
            <v>1</v>
          </cell>
        </row>
        <row r="867">
          <cell r="A867" t="str">
            <v>F-2025-11-419</v>
          </cell>
          <cell r="B867" t="str">
            <v>RPRO-251121-0607</v>
          </cell>
          <cell r="C867" t="str">
            <v>BDB-000273</v>
          </cell>
          <cell r="D867" t="str">
            <v>PVN-004138</v>
          </cell>
          <cell r="E867" t="str">
            <v>OrthoLite X-40-Hybrid SEEDPEARL/12-0703TPX Hybrid Flat Sheet 0.16D 25+/-4 Asker C 1.1M 2M 5.5mm</v>
          </cell>
          <cell r="F867">
            <v>2675</v>
          </cell>
          <cell r="G867">
            <v>2675</v>
          </cell>
          <cell r="H867">
            <v>0</v>
          </cell>
          <cell r="I867">
            <v>2675</v>
          </cell>
          <cell r="J867" t="str">
            <v>ON RUNNING</v>
          </cell>
          <cell r="K867" t="str">
            <v>Pr.Sch.R</v>
          </cell>
          <cell r="L867" t="str">
            <v>MOLDED</v>
          </cell>
          <cell r="M867">
            <v>1</v>
          </cell>
        </row>
        <row r="868">
          <cell r="A868" t="str">
            <v>OIN-2025.11.21-01</v>
          </cell>
          <cell r="C868" t="e">
            <v>#N/A</v>
          </cell>
          <cell r="D868"/>
          <cell r="E868" t="str">
            <v>[116-11320] Ultra 25+/-4 Asker C 0.085D Yellow 13-0858 Tpx 1.10M X 2.00M 47mm</v>
          </cell>
          <cell r="F868">
            <v>63</v>
          </cell>
          <cell r="G868">
            <v>63</v>
          </cell>
          <cell r="H868">
            <v>0</v>
          </cell>
          <cell r="I868">
            <v>63</v>
          </cell>
          <cell r="J868" t="str">
            <v>Clarks</v>
          </cell>
          <cell r="K868" t="str">
            <v>PO-6178</v>
          </cell>
          <cell r="L868" t="str">
            <v>FLAT SHEET</v>
          </cell>
          <cell r="M868">
            <v>2</v>
          </cell>
        </row>
        <row r="869">
          <cell r="A869" t="str">
            <v>OIN-2025.11.21-02</v>
          </cell>
          <cell r="C869" t="e">
            <v>#N/A</v>
          </cell>
          <cell r="D869"/>
          <cell r="E869" t="str">
            <v>[116-1493] Eco Lite Hybrid 15+/-4 Asker C 0.085D Seedpearl 12-0703 Tpx 1.10M X 2.00M 47mm</v>
          </cell>
          <cell r="F869">
            <v>85</v>
          </cell>
          <cell r="G869">
            <v>85</v>
          </cell>
          <cell r="H869">
            <v>0</v>
          </cell>
          <cell r="I869">
            <v>85</v>
          </cell>
          <cell r="J869" t="str">
            <v>Puma</v>
          </cell>
          <cell r="K869" t="str">
            <v>PO-6178</v>
          </cell>
          <cell r="L869" t="str">
            <v>FLAT SHEET</v>
          </cell>
          <cell r="M869">
            <v>2</v>
          </cell>
        </row>
        <row r="870">
          <cell r="A870" t="str">
            <v>OIN-2025.11.21-03</v>
          </cell>
          <cell r="C870" t="e">
            <v>#N/A</v>
          </cell>
          <cell r="D870"/>
          <cell r="E870" t="str">
            <v>[116-12459] X 55 25+/-4 Asker C 0.16D Red 19-1764 Tpx 1.10M X 1.70M 47mm</v>
          </cell>
          <cell r="F870">
            <v>21</v>
          </cell>
          <cell r="G870">
            <v>21</v>
          </cell>
          <cell r="H870">
            <v>0</v>
          </cell>
          <cell r="I870">
            <v>21</v>
          </cell>
          <cell r="J870" t="str">
            <v>Toni Rossi</v>
          </cell>
          <cell r="K870" t="str">
            <v>PO-6178</v>
          </cell>
          <cell r="L870" t="str">
            <v>FLAT SHEET</v>
          </cell>
          <cell r="M870">
            <v>2</v>
          </cell>
        </row>
        <row r="871">
          <cell r="A871" t="str">
            <v>OIN-2025.11.21-04</v>
          </cell>
          <cell r="C871" t="e">
            <v>#N/A</v>
          </cell>
          <cell r="D871"/>
          <cell r="E871" t="str">
            <v>[116-12300] Eco Lite 15+/-4 Asker C 0.11D Lime Green 14-0452 Tpx 1.10M X 2.00M 47mm</v>
          </cell>
          <cell r="F871">
            <v>23</v>
          </cell>
          <cell r="G871">
            <v>23</v>
          </cell>
          <cell r="H871">
            <v>0</v>
          </cell>
          <cell r="I871">
            <v>23</v>
          </cell>
          <cell r="J871" t="str">
            <v>Bugatti</v>
          </cell>
          <cell r="K871" t="str">
            <v>PO-6178</v>
          </cell>
          <cell r="L871" t="str">
            <v>FLAT SHEET</v>
          </cell>
          <cell r="M871">
            <v>2</v>
          </cell>
        </row>
        <row r="872">
          <cell r="A872" t="str">
            <v>OIN-2025.11.21-05</v>
          </cell>
          <cell r="C872" t="e">
            <v>#N/A</v>
          </cell>
          <cell r="D872"/>
          <cell r="E872" t="str">
            <v>[116-120] Lazy 72 - 78 Asker F 0.15D Yellow 13-0858 Tpx 1.10M X 1.70M 3mm</v>
          </cell>
          <cell r="F872">
            <v>53</v>
          </cell>
          <cell r="G872">
            <v>53</v>
          </cell>
          <cell r="H872">
            <v>0</v>
          </cell>
          <cell r="I872">
            <v>53</v>
          </cell>
          <cell r="J872" t="str">
            <v>Puma</v>
          </cell>
          <cell r="K872" t="str">
            <v>PO-6178</v>
          </cell>
          <cell r="L872" t="str">
            <v>FLAT SHEET</v>
          </cell>
          <cell r="M872">
            <v>2</v>
          </cell>
        </row>
        <row r="1023744">
          <cell r="A1023744"/>
          <cell r="B1023744"/>
          <cell r="C1023744"/>
          <cell r="D1023744"/>
          <cell r="E1023744"/>
          <cell r="F1023744"/>
          <cell r="G1023744"/>
          <cell r="H1023744"/>
          <cell r="I1023744"/>
          <cell r="J1023744"/>
          <cell r="K1023744"/>
          <cell r="L1023744"/>
          <cell r="M1023744"/>
        </row>
        <row r="1023750">
          <cell r="A1023750"/>
          <cell r="B1023750"/>
          <cell r="C1023750"/>
          <cell r="D1023750"/>
          <cell r="E1023750"/>
          <cell r="F1023750"/>
          <cell r="G1023750"/>
          <cell r="H1023750"/>
          <cell r="I1023750"/>
          <cell r="J1023750"/>
          <cell r="K1023750"/>
          <cell r="L1023750"/>
          <cell r="M1023750"/>
        </row>
        <row r="1023751">
          <cell r="A1023751"/>
          <cell r="B1023751"/>
          <cell r="C1023751"/>
          <cell r="D1023751"/>
          <cell r="E1023751"/>
          <cell r="F1023751"/>
          <cell r="G1023751"/>
          <cell r="H1023751"/>
          <cell r="I1023751"/>
          <cell r="J1023751"/>
          <cell r="K1023751"/>
          <cell r="L1023751"/>
          <cell r="M1023751"/>
        </row>
        <row r="1023752">
          <cell r="A1023752"/>
          <cell r="B1023752"/>
          <cell r="C1023752"/>
          <cell r="D1023752"/>
          <cell r="E1023752"/>
          <cell r="F1023752"/>
          <cell r="G1023752"/>
          <cell r="H1023752"/>
          <cell r="I1023752"/>
          <cell r="J1023752"/>
          <cell r="K1023752"/>
          <cell r="L1023752"/>
          <cell r="M1023752"/>
        </row>
        <row r="1023757">
          <cell r="A1023757"/>
          <cell r="B1023757"/>
          <cell r="C1023757"/>
          <cell r="D1023757"/>
          <cell r="E1023757"/>
          <cell r="F1023757"/>
          <cell r="G1023757"/>
          <cell r="H1023757"/>
          <cell r="I1023757"/>
          <cell r="J1023757"/>
          <cell r="K1023757"/>
          <cell r="L1023757"/>
          <cell r="M1023757"/>
        </row>
        <row r="1023763">
          <cell r="A1023763"/>
          <cell r="B1023763"/>
          <cell r="C1023763"/>
          <cell r="D1023763"/>
          <cell r="E1023763"/>
          <cell r="F1023763"/>
          <cell r="G1023763"/>
          <cell r="H1023763"/>
          <cell r="I1023763"/>
          <cell r="J1023763"/>
          <cell r="K1023763"/>
          <cell r="L1023763"/>
          <cell r="M1023763"/>
        </row>
        <row r="1024386">
          <cell r="B1024386"/>
        </row>
        <row r="1024392">
          <cell r="B1024392"/>
        </row>
        <row r="1024393">
          <cell r="B1024393"/>
        </row>
        <row r="1024394">
          <cell r="B1024394"/>
        </row>
        <row r="1024399">
          <cell r="B1024399"/>
        </row>
        <row r="1024405">
          <cell r="B1024405"/>
        </row>
        <row r="1024614">
          <cell r="A1024614"/>
          <cell r="B1024614"/>
          <cell r="C1024614"/>
          <cell r="D1024614"/>
          <cell r="E1024614"/>
          <cell r="F1024614"/>
          <cell r="G1024614"/>
          <cell r="H1024614"/>
          <cell r="I1024614"/>
          <cell r="J1024614"/>
          <cell r="K1024614"/>
          <cell r="L1024614"/>
          <cell r="M1024614"/>
        </row>
        <row r="1025224">
          <cell r="A1025224"/>
          <cell r="B1025224"/>
          <cell r="C1025224"/>
          <cell r="D1025224"/>
          <cell r="E1025224"/>
          <cell r="F1025224"/>
          <cell r="G1025224"/>
          <cell r="H1025224"/>
          <cell r="I1025224"/>
          <cell r="J1025224"/>
          <cell r="K1025224"/>
          <cell r="L1025224"/>
          <cell r="M1025224"/>
        </row>
        <row r="1025256">
          <cell r="B1025256"/>
        </row>
        <row r="1025866">
          <cell r="B1025866"/>
        </row>
      </sheetData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api.qrserver.com/v1/create-qr-code/?size=300x300&amp;data=FPRO-260415-0016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0CBE2-CCC4-4196-A22F-A9B6FCF9714C}">
  <sheetPr codeName="Sheet1">
    <tabColor rgb="FF993300"/>
  </sheetPr>
  <dimension ref="A1:U24"/>
  <sheetViews>
    <sheetView tabSelected="1" view="pageBreakPreview" zoomScale="25" zoomScaleNormal="40" zoomScaleSheetLayoutView="25" workbookViewId="0">
      <selection activeCell="J9" sqref="J9"/>
    </sheetView>
  </sheetViews>
  <sheetFormatPr defaultColWidth="8.81640625" defaultRowHeight="14" x14ac:dyDescent="0.3"/>
  <cols>
    <col min="1" max="1" width="44.453125" style="12" customWidth="1"/>
    <col min="2" max="2" width="32" style="12" customWidth="1"/>
    <col min="3" max="3" width="35.1796875" style="12" customWidth="1"/>
    <col min="4" max="4" width="37" style="12" customWidth="1"/>
    <col min="5" max="5" width="36.7265625" style="12" customWidth="1"/>
    <col min="6" max="6" width="39" style="12" customWidth="1"/>
    <col min="7" max="7" width="37.54296875" style="12" customWidth="1"/>
    <col min="8" max="8" width="37.453125" style="12" customWidth="1"/>
    <col min="9" max="9" width="22.26953125" style="12" customWidth="1"/>
    <col min="10" max="10" width="19.81640625" style="12" customWidth="1"/>
    <col min="11" max="11" width="35" style="12" customWidth="1"/>
    <col min="12" max="12" width="15.54296875" style="14" customWidth="1"/>
    <col min="13" max="13" width="14.81640625" style="14" customWidth="1"/>
    <col min="14" max="14" width="23" style="14" customWidth="1"/>
    <col min="15" max="17" width="8.81640625" style="12" customWidth="1"/>
    <col min="18" max="20" width="8.81640625" style="12"/>
    <col min="21" max="21" width="9.81640625" style="12" customWidth="1"/>
    <col min="22" max="16384" width="8.81640625" style="12"/>
  </cols>
  <sheetData>
    <row r="1" spans="1:21" s="3" customFormat="1" ht="56.25" customHeight="1" x14ac:dyDescent="0.9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2"/>
      <c r="M1" s="2"/>
      <c r="N1" s="2"/>
    </row>
    <row r="2" spans="1:21" s="3" customFormat="1" ht="37.5" customHeight="1" x14ac:dyDescent="0.9">
      <c r="A2" s="66" t="s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2"/>
      <c r="M2" s="2"/>
      <c r="N2" s="2"/>
      <c r="S2" s="3" t="s">
        <v>2</v>
      </c>
    </row>
    <row r="3" spans="1:21" s="3" customFormat="1" ht="40.5" customHeight="1" x14ac:dyDescent="0.9">
      <c r="A3" s="4" t="s">
        <v>3</v>
      </c>
      <c r="B3" s="5" t="s">
        <v>4</v>
      </c>
      <c r="C3" s="1"/>
      <c r="D3" s="1"/>
      <c r="E3" s="1"/>
      <c r="F3" s="1"/>
      <c r="G3" s="79" t="e" vm="1">
        <f>_xlfn.IMAGE("https://api.qrserver.com/v1/create-qr-code/?size=300x300&amp;data=" &amp; A8)</f>
        <v>#VALUE!</v>
      </c>
      <c r="H3" s="1"/>
      <c r="I3" s="1"/>
      <c r="J3" s="1"/>
      <c r="K3" s="1"/>
      <c r="L3" s="2"/>
      <c r="M3" s="2"/>
      <c r="N3" s="2"/>
      <c r="S3" s="3" t="s">
        <v>5</v>
      </c>
    </row>
    <row r="4" spans="1:21" s="8" customFormat="1" ht="30.65" customHeight="1" x14ac:dyDescent="0.65">
      <c r="A4" s="6" t="s">
        <v>6</v>
      </c>
      <c r="B4" s="7">
        <f ca="1" xml:space="preserve"> NOW()</f>
        <v>46160.452537152778</v>
      </c>
      <c r="D4" s="4" t="s">
        <v>7</v>
      </c>
      <c r="F4" s="45" t="s">
        <v>81</v>
      </c>
      <c r="G4" s="79"/>
      <c r="I4" s="50" t="s">
        <v>8</v>
      </c>
      <c r="J4" s="79">
        <f>VLOOKUP(F4,'[1]master plan '!$A:$M,13,0)</f>
        <v>1</v>
      </c>
      <c r="K4" s="79"/>
      <c r="L4" s="9"/>
      <c r="M4" s="10"/>
      <c r="N4" s="10"/>
    </row>
    <row r="5" spans="1:21" s="3" customFormat="1" ht="34.5" customHeight="1" x14ac:dyDescent="0.65">
      <c r="A5" s="8" t="s">
        <v>9</v>
      </c>
      <c r="B5" s="8"/>
      <c r="C5" s="8"/>
      <c r="D5" s="8"/>
      <c r="F5" s="48" t="str">
        <f>IF(OR(LEFT(F4,1)="O",LEFT(F4,2)="SO"), "HÀNG XUẤT CONT", "")</f>
        <v/>
      </c>
      <c r="G5" s="79"/>
      <c r="H5" s="67"/>
      <c r="I5" s="67"/>
      <c r="J5" s="67"/>
      <c r="L5" s="2"/>
      <c r="M5" s="2"/>
      <c r="N5" s="2"/>
    </row>
    <row r="6" spans="1:21" s="3" customFormat="1" ht="36" customHeight="1" x14ac:dyDescent="0.55000000000000004">
      <c r="A6" s="43" t="s">
        <v>10</v>
      </c>
      <c r="B6" s="78" t="str">
        <f>VLOOKUP(F4,'[2]master plan '!$A:$AB,12,0)</f>
        <v>ON RUNNING</v>
      </c>
      <c r="C6" s="78"/>
      <c r="D6" s="11" t="s">
        <v>11</v>
      </c>
      <c r="E6" s="43" t="str">
        <f>VLOOKUP(F4,'[2]master plan '!$A:$AB,14,0)</f>
        <v>MOLDED</v>
      </c>
      <c r="G6" s="80"/>
      <c r="H6" s="8" t="s">
        <v>12</v>
      </c>
      <c r="I6" s="8">
        <f>VLOOKUP(F4,'[2]master plan '!$A:$AB,8,0)</f>
        <v>2500</v>
      </c>
      <c r="L6" s="2"/>
      <c r="M6" s="2"/>
      <c r="N6" s="2"/>
    </row>
    <row r="7" spans="1:21" s="30" customFormat="1" ht="110.15" customHeight="1" x14ac:dyDescent="0.5">
      <c r="A7" s="21" t="s">
        <v>13</v>
      </c>
      <c r="B7" s="21" t="s">
        <v>14</v>
      </c>
      <c r="C7" s="21" t="s">
        <v>15</v>
      </c>
      <c r="D7" s="68" t="s">
        <v>16</v>
      </c>
      <c r="E7" s="68"/>
      <c r="F7" s="68"/>
      <c r="G7" s="21" t="s">
        <v>17</v>
      </c>
      <c r="H7" s="21" t="s">
        <v>18</v>
      </c>
      <c r="I7" s="21" t="s">
        <v>19</v>
      </c>
      <c r="J7" s="21" t="s">
        <v>20</v>
      </c>
      <c r="K7" s="21" t="s">
        <v>21</v>
      </c>
      <c r="L7" s="29"/>
      <c r="M7" s="29"/>
      <c r="N7" s="29"/>
    </row>
    <row r="8" spans="1:21" s="34" customFormat="1" ht="98.25" customHeight="1" x14ac:dyDescent="0.35">
      <c r="A8" s="44" t="s">
        <v>82</v>
      </c>
      <c r="B8" s="22" t="str">
        <f>VLOOKUP($F$4,'[2]master plan '!$A:$AB,5,0)</f>
        <v>BDB-000209</v>
      </c>
      <c r="C8" s="22" t="str">
        <f>VLOOKUP($F$4,'[2]master plan '!$A:$AB,6,0)</f>
        <v>PVN-003537</v>
      </c>
      <c r="D8" s="69" t="str">
        <f>IF(J4=$S$2,VLOOKUP($F$4,'[2]master plan '!$A:$AB,7,0)&amp;" (Giao kho PU 6mm)",IF(J4=$S$3,VLOOKUP($F$4,'[2]master plan '!$A:$AB,7,0)&amp;" (Giao kho PU 12mm)",VLOOKUP($F$4,'[2]master plan '!$A:$AB,7,0)))</f>
        <v>OrthoLite HybridPlus-Recycled MINT GREEN/11-4805TPX Hybrid 0.12D 25+/-4 Asker C 1.1M 2M 4.5mm</v>
      </c>
      <c r="E8" s="70"/>
      <c r="F8" s="71"/>
      <c r="G8" s="22">
        <f>VLOOKUP($F$4,'[2]master plan '!$A:$AB,9,0)</f>
        <v>2500</v>
      </c>
      <c r="H8" s="22">
        <f>VLOOKUP($F$4,'[2]master plan '!$A:$AB,22,0)</f>
        <v>81</v>
      </c>
      <c r="I8" s="23" t="str">
        <f ca="1">"Week "&amp;WEEKNUM(B4,1)</f>
        <v>Week 21</v>
      </c>
      <c r="J8" s="24">
        <f>VLOOKUP(F4,'[3]W20-2026'!$A:$AL,17,0)</f>
        <v>46161</v>
      </c>
      <c r="K8" s="25"/>
      <c r="L8" s="31"/>
      <c r="M8" s="32"/>
      <c r="N8" s="33"/>
      <c r="U8" s="35"/>
    </row>
    <row r="9" spans="1:21" s="3" customFormat="1" ht="49.5" customHeight="1" x14ac:dyDescent="0.55000000000000004">
      <c r="A9" s="8" t="s">
        <v>22</v>
      </c>
      <c r="B9" s="8"/>
      <c r="L9" s="2"/>
      <c r="M9" s="2"/>
      <c r="N9" s="2"/>
    </row>
    <row r="10" spans="1:21" s="30" customFormat="1" ht="88" customHeight="1" x14ac:dyDescent="0.5">
      <c r="A10" s="21" t="s">
        <v>23</v>
      </c>
      <c r="B10" s="72" t="s">
        <v>24</v>
      </c>
      <c r="C10" s="73"/>
      <c r="D10" s="72" t="s">
        <v>25</v>
      </c>
      <c r="E10" s="73"/>
      <c r="F10" s="21" t="s">
        <v>26</v>
      </c>
      <c r="G10" s="72" t="s">
        <v>27</v>
      </c>
      <c r="H10" s="73"/>
      <c r="I10" s="72" t="s">
        <v>28</v>
      </c>
      <c r="J10" s="73"/>
      <c r="K10" s="21" t="s">
        <v>29</v>
      </c>
      <c r="L10" s="36"/>
      <c r="M10" s="37"/>
      <c r="N10" s="37"/>
    </row>
    <row r="11" spans="1:21" s="16" customFormat="1" ht="51.65" customHeight="1" x14ac:dyDescent="0.4">
      <c r="A11" s="20"/>
      <c r="B11" s="57"/>
      <c r="C11" s="57"/>
      <c r="D11" s="57"/>
      <c r="E11" s="57"/>
      <c r="F11" s="20"/>
      <c r="G11" s="57"/>
      <c r="H11" s="57"/>
      <c r="I11" s="57"/>
      <c r="J11" s="57"/>
      <c r="K11" s="42"/>
      <c r="L11" s="15"/>
      <c r="M11" s="15"/>
      <c r="N11" s="15"/>
      <c r="U11" s="12"/>
    </row>
    <row r="12" spans="1:21" s="16" customFormat="1" ht="51.65" customHeight="1" x14ac:dyDescent="0.4">
      <c r="A12" s="20"/>
      <c r="B12" s="55"/>
      <c r="C12" s="56"/>
      <c r="D12" s="55"/>
      <c r="E12" s="56"/>
      <c r="F12" s="20"/>
      <c r="G12" s="55"/>
      <c r="H12" s="56"/>
      <c r="I12" s="57"/>
      <c r="J12" s="57"/>
      <c r="K12" s="42"/>
      <c r="L12" s="15"/>
      <c r="M12" s="15"/>
      <c r="N12" s="15"/>
      <c r="U12" s="12"/>
    </row>
    <row r="13" spans="1:21" s="16" customFormat="1" ht="51.65" customHeight="1" x14ac:dyDescent="0.4">
      <c r="A13" s="20"/>
      <c r="B13" s="55"/>
      <c r="C13" s="56"/>
      <c r="D13" s="55"/>
      <c r="E13" s="56"/>
      <c r="F13" s="20"/>
      <c r="G13" s="55"/>
      <c r="H13" s="56"/>
      <c r="I13" s="57"/>
      <c r="J13" s="57"/>
      <c r="K13" s="42"/>
      <c r="L13" s="15"/>
      <c r="M13" s="15"/>
      <c r="N13" s="15"/>
      <c r="U13" s="12"/>
    </row>
    <row r="14" spans="1:21" s="16" customFormat="1" ht="51.65" customHeight="1" x14ac:dyDescent="0.4">
      <c r="A14" s="20"/>
      <c r="B14" s="55"/>
      <c r="C14" s="56"/>
      <c r="D14" s="55"/>
      <c r="E14" s="56"/>
      <c r="F14" s="20"/>
      <c r="G14" s="55"/>
      <c r="H14" s="56"/>
      <c r="I14" s="57"/>
      <c r="J14" s="57"/>
      <c r="K14" s="42"/>
      <c r="L14" s="15"/>
      <c r="M14" s="15"/>
      <c r="N14" s="15"/>
      <c r="U14" s="12"/>
    </row>
    <row r="15" spans="1:21" s="16" customFormat="1" ht="51.65" customHeight="1" x14ac:dyDescent="0.4">
      <c r="A15" s="20"/>
      <c r="B15" s="55"/>
      <c r="C15" s="56"/>
      <c r="D15" s="55"/>
      <c r="E15" s="56"/>
      <c r="F15" s="20"/>
      <c r="G15" s="55"/>
      <c r="H15" s="56"/>
      <c r="I15" s="57"/>
      <c r="J15" s="57"/>
      <c r="K15" s="42"/>
      <c r="L15" s="15"/>
      <c r="M15" s="15"/>
      <c r="N15" s="15"/>
      <c r="U15" s="12"/>
    </row>
    <row r="16" spans="1:21" s="40" customFormat="1" ht="129" customHeight="1" x14ac:dyDescent="0.65">
      <c r="A16" s="26" t="s">
        <v>30</v>
      </c>
      <c r="B16" s="26" t="s">
        <v>31</v>
      </c>
      <c r="C16" s="27" t="s">
        <v>32</v>
      </c>
      <c r="D16" s="27" t="s">
        <v>33</v>
      </c>
      <c r="E16" s="26" t="s">
        <v>34</v>
      </c>
      <c r="F16" s="26" t="s">
        <v>35</v>
      </c>
      <c r="G16" s="60" t="s">
        <v>36</v>
      </c>
      <c r="H16" s="61"/>
      <c r="I16" s="58" t="s">
        <v>37</v>
      </c>
      <c r="J16" s="59"/>
      <c r="K16" s="27" t="s">
        <v>38</v>
      </c>
      <c r="L16" s="38"/>
      <c r="M16" s="39"/>
      <c r="N16" s="39"/>
    </row>
    <row r="17" spans="1:21" s="16" customFormat="1" ht="51.65" customHeight="1" x14ac:dyDescent="0.4">
      <c r="A17" s="20"/>
      <c r="B17" s="20"/>
      <c r="C17" s="47"/>
      <c r="D17" s="46"/>
      <c r="E17" s="20"/>
      <c r="F17" s="20" t="s">
        <v>39</v>
      </c>
      <c r="G17" s="55" t="s">
        <v>40</v>
      </c>
      <c r="H17" s="56"/>
      <c r="I17" s="55"/>
      <c r="J17" s="56"/>
      <c r="K17" s="47"/>
      <c r="L17" s="15"/>
      <c r="M17" s="15"/>
      <c r="N17" s="15"/>
      <c r="U17" s="12"/>
    </row>
    <row r="18" spans="1:21" s="16" customFormat="1" ht="51.65" customHeight="1" x14ac:dyDescent="0.4">
      <c r="A18" s="20"/>
      <c r="B18" s="20"/>
      <c r="C18" s="47"/>
      <c r="D18" s="46"/>
      <c r="E18" s="20"/>
      <c r="F18" s="20"/>
      <c r="G18" s="55"/>
      <c r="H18" s="56"/>
      <c r="I18" s="55"/>
      <c r="J18" s="56"/>
      <c r="K18" s="47"/>
      <c r="L18" s="15"/>
      <c r="M18" s="15"/>
      <c r="N18" s="15"/>
      <c r="U18" s="12"/>
    </row>
    <row r="19" spans="1:21" s="16" customFormat="1" ht="51.65" customHeight="1" x14ac:dyDescent="0.4">
      <c r="A19" s="20"/>
      <c r="B19" s="20"/>
      <c r="C19" s="47"/>
      <c r="D19" s="46"/>
      <c r="E19" s="20"/>
      <c r="F19" s="20"/>
      <c r="G19" s="55"/>
      <c r="H19" s="56"/>
      <c r="I19" s="55"/>
      <c r="J19" s="56"/>
      <c r="K19" s="47"/>
      <c r="L19" s="15"/>
      <c r="M19" s="15"/>
      <c r="N19" s="15"/>
      <c r="U19" s="12"/>
    </row>
    <row r="20" spans="1:21" s="16" customFormat="1" ht="51.65" customHeight="1" x14ac:dyDescent="0.4">
      <c r="A20" s="20" t="s">
        <v>41</v>
      </c>
      <c r="B20" s="20"/>
      <c r="C20" s="47"/>
      <c r="D20" s="46"/>
      <c r="E20" s="20"/>
      <c r="F20" s="20" t="s">
        <v>42</v>
      </c>
      <c r="G20" s="55"/>
      <c r="H20" s="56"/>
      <c r="I20" s="55"/>
      <c r="J20" s="56"/>
      <c r="K20" s="47"/>
      <c r="L20" s="15"/>
      <c r="M20" s="15"/>
      <c r="N20" s="15"/>
      <c r="U20" s="12"/>
    </row>
    <row r="21" spans="1:21" s="40" customFormat="1" ht="90.75" customHeight="1" x14ac:dyDescent="0.65">
      <c r="A21" s="52" t="s">
        <v>43</v>
      </c>
      <c r="B21" s="62" t="s">
        <v>44</v>
      </c>
      <c r="C21" s="63"/>
      <c r="D21" s="62" t="s">
        <v>45</v>
      </c>
      <c r="E21" s="63"/>
      <c r="F21" s="52" t="s">
        <v>46</v>
      </c>
      <c r="G21" s="62" t="s">
        <v>47</v>
      </c>
      <c r="H21" s="63"/>
      <c r="I21" s="54" t="s">
        <v>48</v>
      </c>
      <c r="J21" s="54"/>
      <c r="K21" s="52" t="s">
        <v>29</v>
      </c>
      <c r="L21" s="38"/>
      <c r="M21" s="39"/>
      <c r="N21" s="39"/>
    </row>
    <row r="22" spans="1:21" s="40" customFormat="1" ht="47.25" customHeight="1" x14ac:dyDescent="0.65">
      <c r="A22" s="53"/>
      <c r="B22" s="64"/>
      <c r="C22" s="65"/>
      <c r="D22" s="64"/>
      <c r="E22" s="65"/>
      <c r="F22" s="53"/>
      <c r="G22" s="64"/>
      <c r="H22" s="65"/>
      <c r="I22" s="28" t="s">
        <v>49</v>
      </c>
      <c r="J22" s="28" t="s">
        <v>50</v>
      </c>
      <c r="K22" s="53"/>
      <c r="L22" s="38"/>
      <c r="M22" s="39"/>
      <c r="N22" s="39"/>
    </row>
    <row r="23" spans="1:21" ht="51" customHeight="1" x14ac:dyDescent="0.4">
      <c r="A23" s="41"/>
      <c r="B23" s="77"/>
      <c r="C23" s="77"/>
      <c r="D23" s="74"/>
      <c r="E23" s="75"/>
      <c r="F23" s="41"/>
      <c r="G23" s="74"/>
      <c r="H23" s="76"/>
      <c r="I23" s="41"/>
      <c r="J23" s="41"/>
      <c r="K23" s="41"/>
      <c r="L23" s="13"/>
      <c r="M23" s="13"/>
    </row>
    <row r="24" spans="1:21" ht="51" customHeight="1" x14ac:dyDescent="0.4">
      <c r="A24" s="41"/>
      <c r="B24" s="74"/>
      <c r="C24" s="75"/>
      <c r="D24" s="74"/>
      <c r="E24" s="75"/>
      <c r="F24" s="41"/>
      <c r="G24" s="74"/>
      <c r="H24" s="76"/>
      <c r="I24" s="49"/>
      <c r="J24" s="49"/>
      <c r="K24" s="41"/>
      <c r="L24" s="13"/>
      <c r="M24" s="13"/>
    </row>
  </sheetData>
  <mergeCells count="55">
    <mergeCell ref="B6:C6"/>
    <mergeCell ref="B13:C13"/>
    <mergeCell ref="D13:E13"/>
    <mergeCell ref="G13:H13"/>
    <mergeCell ref="I13:J13"/>
    <mergeCell ref="I10:J10"/>
    <mergeCell ref="B11:C11"/>
    <mergeCell ref="D11:E11"/>
    <mergeCell ref="G11:H11"/>
    <mergeCell ref="I11:J11"/>
    <mergeCell ref="G3:G6"/>
    <mergeCell ref="J4:K4"/>
    <mergeCell ref="B24:C24"/>
    <mergeCell ref="D24:E24"/>
    <mergeCell ref="G24:H24"/>
    <mergeCell ref="B23:C23"/>
    <mergeCell ref="D23:E23"/>
    <mergeCell ref="G23:H23"/>
    <mergeCell ref="A1:K1"/>
    <mergeCell ref="A2:K2"/>
    <mergeCell ref="G15:H15"/>
    <mergeCell ref="I15:J15"/>
    <mergeCell ref="H5:J5"/>
    <mergeCell ref="B12:C12"/>
    <mergeCell ref="D12:E12"/>
    <mergeCell ref="G12:H12"/>
    <mergeCell ref="I12:J12"/>
    <mergeCell ref="B15:C15"/>
    <mergeCell ref="D15:E15"/>
    <mergeCell ref="D7:F7"/>
    <mergeCell ref="D8:F8"/>
    <mergeCell ref="B10:C10"/>
    <mergeCell ref="D10:E10"/>
    <mergeCell ref="G10:H10"/>
    <mergeCell ref="A21:A22"/>
    <mergeCell ref="F21:F22"/>
    <mergeCell ref="B21:C22"/>
    <mergeCell ref="I19:J19"/>
    <mergeCell ref="I17:J17"/>
    <mergeCell ref="I20:J20"/>
    <mergeCell ref="I18:J18"/>
    <mergeCell ref="G17:H17"/>
    <mergeCell ref="G18:H18"/>
    <mergeCell ref="G19:H19"/>
    <mergeCell ref="G20:H20"/>
    <mergeCell ref="G21:H22"/>
    <mergeCell ref="D21:E22"/>
    <mergeCell ref="K21:K22"/>
    <mergeCell ref="I21:J21"/>
    <mergeCell ref="B14:C14"/>
    <mergeCell ref="D14:E14"/>
    <mergeCell ref="G14:H14"/>
    <mergeCell ref="I14:J14"/>
    <mergeCell ref="I16:J16"/>
    <mergeCell ref="G16:H16"/>
  </mergeCells>
  <conditionalFormatting sqref="F4">
    <cfRule type="duplicateValues" dxfId="8" priority="3"/>
  </conditionalFormatting>
  <conditionalFormatting sqref="B6">
    <cfRule type="containsText" dxfId="7" priority="2" operator="containsText" text="ASICS">
      <formula>NOT(ISERROR(SEARCH("ASICS",B6)))</formula>
    </cfRule>
  </conditionalFormatting>
  <conditionalFormatting sqref="J4">
    <cfRule type="containsText" dxfId="6" priority="1" operator="containsText" text="RM">
      <formula>NOT(ISERROR(SEARCH("RM",J4)))</formula>
    </cfRule>
  </conditionalFormatting>
  <printOptions horizontalCentered="1"/>
  <pageMargins left="0.17" right="0.16" top="0.35433070866141703" bottom="0" header="0.196850393700787" footer="0.31496062992126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indon">
                <anchor moveWithCells="1" sizeWithCells="1">
                  <from>
                    <xdr:col>21</xdr:col>
                    <xdr:colOff>50800</xdr:colOff>
                    <xdr:row>7</xdr:row>
                    <xdr:rowOff>552450</xdr:rowOff>
                  </from>
                  <to>
                    <xdr:col>29</xdr:col>
                    <xdr:colOff>76200</xdr:colOff>
                    <xdr:row>9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6A24E-EE2C-4B7D-BC01-1C6D0D61F97B}">
  <sheetPr codeName="Sheet2"/>
  <dimension ref="A1:J150"/>
  <sheetViews>
    <sheetView zoomScale="80" zoomScaleNormal="80" workbookViewId="0">
      <selection activeCell="A27" sqref="A27"/>
    </sheetView>
  </sheetViews>
  <sheetFormatPr defaultRowHeight="14.5" x14ac:dyDescent="0.35"/>
  <cols>
    <col min="1" max="1" width="27.7265625" bestFit="1" customWidth="1"/>
    <col min="2" max="3" width="9.1796875" style="18"/>
    <col min="6" max="7" width="9.1796875" style="18"/>
    <col min="9" max="9" width="16.26953125" customWidth="1"/>
  </cols>
  <sheetData>
    <row r="1" spans="1:10" ht="25" x14ac:dyDescent="0.35">
      <c r="A1" s="17" t="s">
        <v>51</v>
      </c>
      <c r="H1" t="s">
        <v>52</v>
      </c>
      <c r="I1" s="51"/>
    </row>
    <row r="2" spans="1:10" ht="20.5" x14ac:dyDescent="0.35">
      <c r="A2" s="19" t="s">
        <v>53</v>
      </c>
      <c r="B2" s="18">
        <f>VLOOKUP(A2,'[3]W20-2026'!$A:$AL,8,0)</f>
        <v>28</v>
      </c>
      <c r="C2" s="18">
        <f>VLOOKUP(A2,'[3]W20-2026'!$A:$AL,9,0)</f>
        <v>1</v>
      </c>
      <c r="D2">
        <f>VLOOKUP(A2,'[2]master plan '!$A:$W,9,0)</f>
        <v>28</v>
      </c>
      <c r="E2">
        <f>VLOOKUP(A2,'[2]master plan '!$A:$W,22,0)</f>
        <v>1</v>
      </c>
      <c r="F2" s="18" t="b">
        <f>B2=D2</f>
        <v>1</v>
      </c>
      <c r="G2" s="18" t="b">
        <f>C2=E2</f>
        <v>1</v>
      </c>
      <c r="H2">
        <f>VLOOKUP(A2,'[1]master plan '!$A:$M,13,0)</f>
        <v>2</v>
      </c>
      <c r="I2">
        <f>VLOOKUP(A2,'[2]master plan '!$A:$L,12,0)</f>
        <v>0</v>
      </c>
      <c r="J2">
        <f>VLOOKUP(A2,'[2]master plan '!$A:$V,20,0)</f>
        <v>5</v>
      </c>
    </row>
    <row r="3" spans="1:10" ht="20.5" x14ac:dyDescent="0.35">
      <c r="A3" s="19" t="s">
        <v>54</v>
      </c>
      <c r="B3" s="18">
        <f>VLOOKUP(A3,'[3]W20-2026'!$A:$AL,8,0)</f>
        <v>40</v>
      </c>
      <c r="C3" s="18">
        <f>VLOOKUP(A3,'[3]W20-2026'!$A:$AL,9,0)</f>
        <v>1</v>
      </c>
      <c r="D3">
        <f>VLOOKUP(A3,'[2]master plan '!$A:$W,9,0)</f>
        <v>40</v>
      </c>
      <c r="E3">
        <f>VLOOKUP(A3,'[2]master plan '!$A:$W,22,0)</f>
        <v>1</v>
      </c>
      <c r="F3" s="18" t="b">
        <f>B3=D3</f>
        <v>1</v>
      </c>
      <c r="G3" s="18" t="b">
        <f>C3=E3</f>
        <v>1</v>
      </c>
      <c r="H3">
        <f>VLOOKUP(A3,'[1]master plan '!$A:$M,13,0)</f>
        <v>1</v>
      </c>
      <c r="I3" t="str">
        <f>VLOOKUP(A3,'[2]master plan '!$A:$L,12,0)</f>
        <v>BROOKS</v>
      </c>
      <c r="J3">
        <f>VLOOKUP(A3,'[2]master plan '!$A:$V,20,0)</f>
        <v>3.5</v>
      </c>
    </row>
    <row r="4" spans="1:10" ht="20.5" x14ac:dyDescent="0.35">
      <c r="A4" s="19" t="s">
        <v>55</v>
      </c>
      <c r="B4" s="18">
        <f>VLOOKUP(A4,'[3]W20-2026'!$A:$AL,8,0)</f>
        <v>100</v>
      </c>
      <c r="C4" s="18">
        <f>VLOOKUP(A4,'[3]W20-2026'!$A:$AL,9,0)</f>
        <v>4</v>
      </c>
      <c r="D4">
        <f>VLOOKUP(A4,'[2]master plan '!$A:$W,9,0)</f>
        <v>100</v>
      </c>
      <c r="E4">
        <f>VLOOKUP(A4,'[2]master plan '!$A:$W,22,0)</f>
        <v>4</v>
      </c>
      <c r="F4" s="18" t="b">
        <f t="shared" ref="F4:G5" si="0">B4=D4</f>
        <v>1</v>
      </c>
      <c r="G4" s="18" t="b">
        <f>C4=E4</f>
        <v>1</v>
      </c>
      <c r="H4">
        <f>VLOOKUP(A4,'[1]master plan '!$A:$M,13,0)</f>
        <v>1</v>
      </c>
      <c r="I4" t="str">
        <f>VLOOKUP(A4,'[2]master plan '!$A:$L,12,0)</f>
        <v>ON RUNNING</v>
      </c>
      <c r="J4">
        <f>VLOOKUP(A4,'[2]master plan '!$A:$V,20,0)</f>
        <v>5.5</v>
      </c>
    </row>
    <row r="5" spans="1:10" ht="20.5" x14ac:dyDescent="0.35">
      <c r="A5" s="19" t="s">
        <v>56</v>
      </c>
      <c r="B5" s="18">
        <f>VLOOKUP(A5,'[3]W20-2026'!$A:$AL,8,0)</f>
        <v>9</v>
      </c>
      <c r="C5" s="18">
        <f>VLOOKUP(A5,'[3]W20-2026'!$A:$AL,9,0)</f>
        <v>1</v>
      </c>
      <c r="D5">
        <f>VLOOKUP(A5,'[2]master plan '!$A:$W,9,0)</f>
        <v>9</v>
      </c>
      <c r="E5">
        <f>VLOOKUP(A5,'[2]master plan '!$A:$W,22,0)</f>
        <v>1</v>
      </c>
      <c r="F5" s="18" t="b">
        <f t="shared" si="0"/>
        <v>1</v>
      </c>
      <c r="G5" s="18" t="b">
        <f t="shared" si="0"/>
        <v>1</v>
      </c>
      <c r="H5">
        <f>VLOOKUP(A5,'[1]master plan '!$A:$M,13,0)</f>
        <v>1</v>
      </c>
      <c r="I5" t="str">
        <f>VLOOKUP(A5,'[2]master plan '!$A:$L,12,0)</f>
        <v>FOOTJOY</v>
      </c>
      <c r="J5">
        <f>VLOOKUP(A5,'[2]master plan '!$A:$V,20,0)</f>
        <v>14</v>
      </c>
    </row>
    <row r="6" spans="1:10" ht="20.5" x14ac:dyDescent="0.35">
      <c r="A6" s="19" t="s">
        <v>57</v>
      </c>
      <c r="B6" s="18">
        <f>VLOOKUP(A6,'[3]W20-2026'!$A:$AL,8,0)</f>
        <v>10</v>
      </c>
      <c r="C6" s="18">
        <f>VLOOKUP(A6,'[3]W20-2026'!$A:$AL,9,0)</f>
        <v>1</v>
      </c>
      <c r="D6">
        <f>VLOOKUP(A6,'[2]master plan '!$A:$W,9,0)</f>
        <v>10</v>
      </c>
      <c r="E6">
        <f>VLOOKUP(A6,'[2]master plan '!$A:$W,22,0)</f>
        <v>1</v>
      </c>
      <c r="F6" s="18" t="b">
        <f t="shared" ref="F6:F31" si="1">B6=D6</f>
        <v>1</v>
      </c>
      <c r="G6" s="18" t="b">
        <f t="shared" ref="G6:G31" si="2">C6=E6</f>
        <v>1</v>
      </c>
      <c r="H6">
        <f>VLOOKUP(A6,'[1]master plan '!$A:$M,13,0)</f>
        <v>1</v>
      </c>
      <c r="I6" t="str">
        <f>VLOOKUP(A6,'[2]master plan '!$A:$L,12,0)</f>
        <v>OBOZ</v>
      </c>
      <c r="J6">
        <f>VLOOKUP(A6,'[2]master plan '!$A:$V,20,0)</f>
        <v>12.5</v>
      </c>
    </row>
    <row r="7" spans="1:10" ht="20.5" x14ac:dyDescent="0.35">
      <c r="A7" s="19" t="s">
        <v>58</v>
      </c>
      <c r="B7" s="18">
        <f>VLOOKUP(A7,'[3]W20-2026'!$A:$AL,8,0)</f>
        <v>700</v>
      </c>
      <c r="C7" s="18">
        <f>VLOOKUP(A7,'[3]W20-2026'!$A:$AL,9,0)</f>
        <v>28</v>
      </c>
      <c r="D7">
        <f>VLOOKUP(A7,'[2]master plan '!$A:$W,9,0)</f>
        <v>700</v>
      </c>
      <c r="E7">
        <f>VLOOKUP(A7,'[2]master plan '!$A:$W,22,0)</f>
        <v>28</v>
      </c>
      <c r="F7" s="18" t="b">
        <f t="shared" si="1"/>
        <v>1</v>
      </c>
      <c r="G7" s="18" t="b">
        <f t="shared" si="2"/>
        <v>1</v>
      </c>
      <c r="H7">
        <f>VLOOKUP(A7,'[1]master plan '!$A:$M,13,0)</f>
        <v>1</v>
      </c>
      <c r="I7" t="str">
        <f>VLOOKUP(A7,'[2]master plan '!$A:$L,12,0)</f>
        <v>ON RUNNING</v>
      </c>
      <c r="J7">
        <f>VLOOKUP(A7,'[2]master plan '!$A:$V,20,0)</f>
        <v>5.5</v>
      </c>
    </row>
    <row r="8" spans="1:10" ht="20.5" x14ac:dyDescent="0.35">
      <c r="A8" s="19" t="s">
        <v>59</v>
      </c>
      <c r="B8" s="18">
        <f>VLOOKUP(A8,'[3]W20-2026'!$A:$AL,8,0)</f>
        <v>2500</v>
      </c>
      <c r="C8" s="18">
        <f>VLOOKUP(A8,'[3]W20-2026'!$A:$AL,9,0)</f>
        <v>90</v>
      </c>
      <c r="D8">
        <f>VLOOKUP(A8,'[2]master plan '!$A:$W,9,0)</f>
        <v>2500</v>
      </c>
      <c r="E8">
        <f>VLOOKUP(A8,'[2]master plan '!$A:$W,22,0)</f>
        <v>90</v>
      </c>
      <c r="F8" s="18" t="b">
        <f t="shared" si="1"/>
        <v>1</v>
      </c>
      <c r="G8" s="18" t="b">
        <f t="shared" si="2"/>
        <v>1</v>
      </c>
      <c r="H8">
        <f>VLOOKUP(A8,'[1]master plan '!$A:$M,13,0)</f>
        <v>1</v>
      </c>
      <c r="I8" t="str">
        <f>VLOOKUP(A8,'[2]master plan '!$A:$L,12,0)</f>
        <v>ASICS</v>
      </c>
      <c r="J8">
        <f>VLOOKUP(A8,'[2]master plan '!$A:$V,20,0)</f>
        <v>5</v>
      </c>
    </row>
    <row r="9" spans="1:10" ht="20.5" x14ac:dyDescent="0.35">
      <c r="A9" s="19" t="s">
        <v>60</v>
      </c>
      <c r="B9" s="18">
        <f>VLOOKUP(A9,'[3]W20-2026'!$A:$AL,8,0)</f>
        <v>1000</v>
      </c>
      <c r="C9" s="18">
        <f>VLOOKUP(A9,'[3]W20-2026'!$A:$AL,9,0)</f>
        <v>15</v>
      </c>
      <c r="D9">
        <f>VLOOKUP(A9,'[2]master plan '!$A:$W,9,0)</f>
        <v>1000</v>
      </c>
      <c r="E9">
        <f>VLOOKUP(A9,'[2]master plan '!$A:$W,22,0)</f>
        <v>15</v>
      </c>
      <c r="F9" s="18" t="b">
        <f t="shared" si="1"/>
        <v>1</v>
      </c>
      <c r="G9" s="18" t="b">
        <f t="shared" si="2"/>
        <v>1</v>
      </c>
      <c r="H9">
        <f>VLOOKUP(A9,'[1]master plan '!$A:$M,13,0)</f>
        <v>2</v>
      </c>
      <c r="I9" t="str">
        <f>VLOOKUP(A9,'[2]master plan '!$A:$L,12,0)</f>
        <v>ASICS</v>
      </c>
      <c r="J9">
        <f>VLOOKUP(A9,'[2]master plan '!$A:$V,20,0)</f>
        <v>2</v>
      </c>
    </row>
    <row r="10" spans="1:10" ht="20.5" x14ac:dyDescent="0.35">
      <c r="A10" s="19" t="s">
        <v>61</v>
      </c>
      <c r="B10" s="18">
        <f>VLOOKUP(A10,'[3]W20-2026'!$A:$AL,8,0)</f>
        <v>46</v>
      </c>
      <c r="C10" s="18">
        <f>VLOOKUP(A10,'[3]W20-2026'!$A:$AL,9,0)</f>
        <v>2</v>
      </c>
      <c r="D10">
        <f>VLOOKUP(A10,'[2]master plan '!$A:$W,9,0)</f>
        <v>46</v>
      </c>
      <c r="E10">
        <f>VLOOKUP(A10,'[2]master plan '!$A:$W,22,0)</f>
        <v>2</v>
      </c>
      <c r="F10" s="18" t="b">
        <f t="shared" si="1"/>
        <v>1</v>
      </c>
      <c r="G10" s="18" t="b">
        <f t="shared" si="2"/>
        <v>1</v>
      </c>
      <c r="H10">
        <f>VLOOKUP(A10,'[1]master plan '!$A:$M,13,0)</f>
        <v>2</v>
      </c>
      <c r="I10">
        <f>VLOOKUP(A10,'[2]master plan '!$A:$L,12,0)</f>
        <v>0</v>
      </c>
      <c r="J10">
        <f>VLOOKUP(A10,'[2]master plan '!$A:$V,20,0)</f>
        <v>3</v>
      </c>
    </row>
    <row r="11" spans="1:10" ht="20.5" x14ac:dyDescent="0.35">
      <c r="A11" s="19" t="s">
        <v>62</v>
      </c>
      <c r="B11" s="18">
        <f>VLOOKUP(A11,'[3]W20-2026'!$A:$AL,8,0)</f>
        <v>112</v>
      </c>
      <c r="C11" s="18">
        <f>VLOOKUP(A11,'[3]W20-2026'!$A:$AL,9,0)</f>
        <v>4</v>
      </c>
      <c r="D11">
        <f>VLOOKUP(A11,'[2]master plan '!$A:$W,9,0)</f>
        <v>112</v>
      </c>
      <c r="E11">
        <f>VLOOKUP(A11,'[2]master plan '!$A:$W,22,0)</f>
        <v>4</v>
      </c>
      <c r="F11" s="18" t="b">
        <f t="shared" si="1"/>
        <v>1</v>
      </c>
      <c r="G11" s="18" t="b">
        <f t="shared" si="2"/>
        <v>1</v>
      </c>
      <c r="H11">
        <f>VLOOKUP(A11,'[1]master plan '!$A:$M,13,0)</f>
        <v>2</v>
      </c>
      <c r="I11">
        <f>VLOOKUP(A11,'[2]master plan '!$A:$L,12,0)</f>
        <v>0</v>
      </c>
      <c r="J11">
        <f>VLOOKUP(A11,'[2]master plan '!$A:$V,20,0)</f>
        <v>5</v>
      </c>
    </row>
    <row r="12" spans="1:10" ht="20.5" x14ac:dyDescent="0.35">
      <c r="A12" s="19" t="s">
        <v>63</v>
      </c>
      <c r="B12" s="18">
        <f>VLOOKUP(A12,'[3]W20-2026'!$A:$AL,8,0)</f>
        <v>35</v>
      </c>
      <c r="C12" s="18">
        <f>VLOOKUP(A12,'[3]W20-2026'!$A:$AL,9,0)</f>
        <v>1</v>
      </c>
      <c r="D12">
        <f>VLOOKUP(A12,'[2]master plan '!$A:$W,9,0)</f>
        <v>35</v>
      </c>
      <c r="E12">
        <f>VLOOKUP(A12,'[2]master plan '!$A:$W,22,0)</f>
        <v>1</v>
      </c>
      <c r="F12" s="18" t="b">
        <f t="shared" si="1"/>
        <v>1</v>
      </c>
      <c r="G12" s="18" t="b">
        <f t="shared" si="2"/>
        <v>1</v>
      </c>
      <c r="H12">
        <f>VLOOKUP(A12,'[1]master plan '!$A:$M,13,0)</f>
        <v>2</v>
      </c>
      <c r="I12">
        <f>VLOOKUP(A12,'[2]master plan '!$A:$L,12,0)</f>
        <v>0</v>
      </c>
      <c r="J12">
        <f>VLOOKUP(A12,'[2]master plan '!$A:$V,20,0)</f>
        <v>4</v>
      </c>
    </row>
    <row r="13" spans="1:10" ht="20.5" x14ac:dyDescent="0.35">
      <c r="A13" s="19" t="s">
        <v>64</v>
      </c>
      <c r="B13" s="18">
        <f>VLOOKUP(A13,'[3]W20-2026'!$A:$AL,8,0)</f>
        <v>35</v>
      </c>
      <c r="C13" s="18">
        <f>VLOOKUP(A13,'[3]W20-2026'!$A:$AL,9,0)</f>
        <v>1</v>
      </c>
      <c r="D13">
        <f>VLOOKUP(A13,'[2]master plan '!$A:$W,9,0)</f>
        <v>35</v>
      </c>
      <c r="E13">
        <f>VLOOKUP(A13,'[2]master plan '!$A:$W,22,0)</f>
        <v>1</v>
      </c>
      <c r="F13" s="18" t="b">
        <f t="shared" si="1"/>
        <v>1</v>
      </c>
      <c r="G13" s="18" t="b">
        <f t="shared" si="2"/>
        <v>1</v>
      </c>
      <c r="H13" t="str">
        <f>VLOOKUP(A13,'[1]master plan '!$A:$M,13,0)</f>
        <v>2-SLT</v>
      </c>
      <c r="I13">
        <f>VLOOKUP(A13,'[2]master plan '!$A:$L,12,0)</f>
        <v>0</v>
      </c>
      <c r="J13">
        <f>VLOOKUP(A13,'[2]master plan '!$A:$V,20,0)</f>
        <v>4</v>
      </c>
    </row>
    <row r="14" spans="1:10" ht="20.5" x14ac:dyDescent="0.35">
      <c r="A14" s="19" t="s">
        <v>65</v>
      </c>
      <c r="B14" s="18">
        <f>VLOOKUP(A14,'[3]W20-2026'!$A:$AL,8,0)</f>
        <v>17</v>
      </c>
      <c r="C14" s="18">
        <f>VLOOKUP(A14,'[3]W20-2026'!$A:$AL,9,0)</f>
        <v>1</v>
      </c>
      <c r="D14">
        <f>VLOOKUP(A14,'[2]master plan '!$A:$W,9,0)</f>
        <v>17</v>
      </c>
      <c r="E14">
        <f>VLOOKUP(A14,'[2]master plan '!$A:$W,22,0)</f>
        <v>1</v>
      </c>
      <c r="F14" s="18" t="b">
        <f t="shared" si="1"/>
        <v>1</v>
      </c>
      <c r="G14" s="18" t="b">
        <f t="shared" si="2"/>
        <v>1</v>
      </c>
      <c r="H14" t="str">
        <f>VLOOKUP(A14,'[1]master plan '!$A:$M,13,0)</f>
        <v>2-SLT</v>
      </c>
      <c r="I14">
        <f>VLOOKUP(A14,'[2]master plan '!$A:$L,12,0)</f>
        <v>0</v>
      </c>
      <c r="J14">
        <f>VLOOKUP(A14,'[2]master plan '!$A:$V,20,0)</f>
        <v>5</v>
      </c>
    </row>
    <row r="15" spans="1:10" ht="20.5" x14ac:dyDescent="0.35">
      <c r="A15" s="19" t="s">
        <v>66</v>
      </c>
      <c r="B15" s="18">
        <f>VLOOKUP(A15,'[3]W20-2026'!$A:$AL,8,0)</f>
        <v>39</v>
      </c>
      <c r="C15" s="18">
        <f>VLOOKUP(A15,'[3]W20-2026'!$A:$AL,9,0)</f>
        <v>2</v>
      </c>
      <c r="D15">
        <f>VLOOKUP(A15,'[2]master plan '!$A:$W,9,0)</f>
        <v>39</v>
      </c>
      <c r="E15">
        <f>VLOOKUP(A15,'[2]master plan '!$A:$W,22,0)</f>
        <v>2</v>
      </c>
      <c r="F15" s="18" t="b">
        <f t="shared" si="1"/>
        <v>1</v>
      </c>
      <c r="G15" s="18" t="b">
        <f t="shared" si="2"/>
        <v>1</v>
      </c>
      <c r="H15">
        <f>VLOOKUP(A15,'[1]master plan '!$A:$M,13,0)</f>
        <v>2</v>
      </c>
      <c r="I15">
        <f>VLOOKUP(A15,'[2]master plan '!$A:$L,12,0)</f>
        <v>0</v>
      </c>
      <c r="J15">
        <f>VLOOKUP(A15,'[2]master plan '!$A:$V,20,0)</f>
        <v>5</v>
      </c>
    </row>
    <row r="16" spans="1:10" ht="20.5" x14ac:dyDescent="0.35">
      <c r="A16" s="19" t="s">
        <v>67</v>
      </c>
      <c r="B16" s="18">
        <f>VLOOKUP(A16,'[3]W20-2026'!$A:$AL,8,0)</f>
        <v>7000</v>
      </c>
      <c r="C16" s="18">
        <f>VLOOKUP(A16,'[3]W20-2026'!$A:$AL,9,0)</f>
        <v>200</v>
      </c>
      <c r="D16">
        <f>VLOOKUP(A16,'[2]master plan '!$A:$W,9,0)</f>
        <v>7000</v>
      </c>
      <c r="E16">
        <f>VLOOKUP(A16,'[2]master plan '!$A:$W,22,0)</f>
        <v>200</v>
      </c>
      <c r="F16" s="18" t="b">
        <f t="shared" si="1"/>
        <v>1</v>
      </c>
      <c r="G16" s="18" t="b">
        <f t="shared" si="2"/>
        <v>1</v>
      </c>
      <c r="H16">
        <f>VLOOKUP(A16,'[1]master plan '!$A:$M,13,0)</f>
        <v>2</v>
      </c>
      <c r="I16" t="str">
        <f>VLOOKUP(A16,'[2]master plan '!$A:$L,12,0)</f>
        <v>ADIDAS</v>
      </c>
      <c r="J16">
        <f>VLOOKUP(A16,'[2]master plan '!$A:$V,20,0)</f>
        <v>4</v>
      </c>
    </row>
    <row r="17" spans="1:10" ht="20.5" x14ac:dyDescent="0.35">
      <c r="A17" s="19" t="s">
        <v>68</v>
      </c>
      <c r="B17" s="18">
        <f>VLOOKUP(A17,'[3]W20-2026'!$A:$AL,8,0)</f>
        <v>70</v>
      </c>
      <c r="C17" s="18">
        <f>VLOOKUP(A17,'[3]W20-2026'!$A:$AL,9,0)</f>
        <v>7</v>
      </c>
      <c r="D17">
        <f>VLOOKUP(A17,'[2]master plan '!$A:$W,9,0)</f>
        <v>70</v>
      </c>
      <c r="E17">
        <f>VLOOKUP(A17,'[2]master plan '!$A:$W,22,0)</f>
        <v>7</v>
      </c>
      <c r="F17" s="18" t="b">
        <f t="shared" si="1"/>
        <v>1</v>
      </c>
      <c r="G17" s="18" t="b">
        <f t="shared" si="2"/>
        <v>1</v>
      </c>
      <c r="H17" t="str">
        <f>VLOOKUP(A17,'[1]master plan '!$A:$M,13,0)</f>
        <v>1-SLT-WIP</v>
      </c>
      <c r="I17" t="str">
        <f>VLOOKUP(A17,'[2]master plan '!$A:$L,12,0)</f>
        <v>ASICS</v>
      </c>
      <c r="J17">
        <f>VLOOKUP(A17,'[2]master plan '!$A:$V,20,0)</f>
        <v>12</v>
      </c>
    </row>
    <row r="18" spans="1:10" ht="20.5" x14ac:dyDescent="0.35">
      <c r="A18" s="19" t="s">
        <v>69</v>
      </c>
      <c r="B18" s="18">
        <f>VLOOKUP(A18,'[3]W20-2026'!$A:$AL,8,0)</f>
        <v>564</v>
      </c>
      <c r="C18" s="18">
        <f>VLOOKUP(A18,'[3]W20-2026'!$A:$AL,9,0)</f>
        <v>50</v>
      </c>
      <c r="D18">
        <f>VLOOKUP(A18,'[2]master plan '!$A:$W,9,0)</f>
        <v>564</v>
      </c>
      <c r="E18">
        <f>VLOOKUP(A18,'[2]master plan '!$A:$W,22,0)</f>
        <v>50</v>
      </c>
      <c r="F18" s="18" t="b">
        <f t="shared" si="1"/>
        <v>1</v>
      </c>
      <c r="G18" s="18" t="b">
        <f t="shared" si="2"/>
        <v>1</v>
      </c>
      <c r="H18" t="str">
        <f>VLOOKUP(A18,'[1]master plan '!$A:$M,13,0)</f>
        <v>1-SLT-WIP</v>
      </c>
      <c r="I18" t="str">
        <f>VLOOKUP(A18,'[2]master plan '!$A:$L,12,0)</f>
        <v>ASICS</v>
      </c>
      <c r="J18">
        <f>VLOOKUP(A18,'[2]master plan '!$A:$V,20,0)</f>
        <v>12</v>
      </c>
    </row>
    <row r="19" spans="1:10" ht="20.5" x14ac:dyDescent="0.35">
      <c r="A19" s="19" t="s">
        <v>70</v>
      </c>
      <c r="B19" s="18">
        <f>VLOOKUP(A19,'[3]W20-2026'!$A:$AL,8,0)</f>
        <v>54</v>
      </c>
      <c r="C19" s="18">
        <f>VLOOKUP(A19,'[3]W20-2026'!$A:$AL,9,0)</f>
        <v>2</v>
      </c>
      <c r="D19">
        <f>VLOOKUP(A19,'[2]master plan '!$A:$W,9,0)</f>
        <v>54</v>
      </c>
      <c r="E19">
        <f>VLOOKUP(A19,'[2]master plan '!$A:$W,22,0)</f>
        <v>2</v>
      </c>
      <c r="F19" s="18" t="b">
        <f t="shared" si="1"/>
        <v>1</v>
      </c>
      <c r="G19" s="18" t="b">
        <f t="shared" si="2"/>
        <v>1</v>
      </c>
      <c r="H19" t="str">
        <f>VLOOKUP(A19,'[1]master plan '!$A:$M,13,0)</f>
        <v>1-SLT</v>
      </c>
      <c r="I19" t="str">
        <f>VLOOKUP(A19,'[2]master plan '!$A:$L,12,0)</f>
        <v>ASICS</v>
      </c>
      <c r="J19">
        <f>VLOOKUP(A19,'[2]master plan '!$A:$V,20,0)</f>
        <v>3</v>
      </c>
    </row>
    <row r="20" spans="1:10" ht="20.5" x14ac:dyDescent="0.35">
      <c r="A20" s="19" t="s">
        <v>71</v>
      </c>
      <c r="B20" s="18">
        <f>VLOOKUP(A20,'[3]W20-2026'!$A:$AL,8,0)</f>
        <v>1000</v>
      </c>
      <c r="C20" s="18">
        <f>VLOOKUP(A20,'[3]W20-2026'!$A:$AL,9,0)</f>
        <v>39</v>
      </c>
      <c r="D20">
        <f>VLOOKUP(A20,'[2]master plan '!$A:$W,9,0)</f>
        <v>1000</v>
      </c>
      <c r="E20">
        <f>VLOOKUP(A20,'[2]master plan '!$A:$W,22,0)</f>
        <v>39</v>
      </c>
      <c r="F20" s="18" t="b">
        <f t="shared" si="1"/>
        <v>1</v>
      </c>
      <c r="G20" s="18" t="b">
        <f t="shared" si="2"/>
        <v>1</v>
      </c>
      <c r="H20">
        <f>VLOOKUP(A20,'[1]master plan '!$A:$M,13,0)</f>
        <v>1</v>
      </c>
      <c r="I20" t="str">
        <f>VLOOKUP(A20,'[2]master plan '!$A:$L,12,0)</f>
        <v>NIKE</v>
      </c>
      <c r="J20">
        <f>VLOOKUP(A20,'[2]master plan '!$A:$V,20,0)</f>
        <v>5.2</v>
      </c>
    </row>
    <row r="21" spans="1:10" ht="20.5" x14ac:dyDescent="0.35">
      <c r="A21" s="19" t="s">
        <v>72</v>
      </c>
      <c r="B21" s="18">
        <f>VLOOKUP(A21,'[3]W20-2026'!$A:$AL,8,0)</f>
        <v>400</v>
      </c>
      <c r="C21" s="18">
        <f>VLOOKUP(A21,'[3]W20-2026'!$A:$AL,9,0)</f>
        <v>6</v>
      </c>
      <c r="D21">
        <f>VLOOKUP(A21,'[2]master plan '!$A:$W,9,0)</f>
        <v>400</v>
      </c>
      <c r="E21">
        <f>VLOOKUP(A21,'[2]master plan '!$A:$W,22,0)</f>
        <v>6</v>
      </c>
      <c r="F21" s="18" t="b">
        <f t="shared" si="1"/>
        <v>1</v>
      </c>
      <c r="G21" s="18" t="b">
        <f t="shared" si="2"/>
        <v>1</v>
      </c>
      <c r="H21">
        <f>VLOOKUP(A21,'[1]master plan '!$A:$M,13,0)</f>
        <v>2</v>
      </c>
      <c r="I21" t="str">
        <f>VLOOKUP(A21,'[2]master plan '!$A:$L,12,0)</f>
        <v>ASICS</v>
      </c>
      <c r="J21">
        <f>VLOOKUP(A21,'[2]master plan '!$A:$V,20,0)</f>
        <v>2</v>
      </c>
    </row>
    <row r="22" spans="1:10" ht="20.5" x14ac:dyDescent="0.35">
      <c r="A22" s="19" t="s">
        <v>73</v>
      </c>
      <c r="B22" s="18">
        <f>VLOOKUP(A22,'[3]W20-2026'!$A:$AL,8,0)</f>
        <v>1000</v>
      </c>
      <c r="C22" s="18">
        <f>VLOOKUP(A22,'[3]W20-2026'!$A:$AL,9,0)</f>
        <v>15</v>
      </c>
      <c r="D22">
        <f>VLOOKUP(A22,'[2]master plan '!$A:$W,9,0)</f>
        <v>1000</v>
      </c>
      <c r="E22">
        <f>VLOOKUP(A22,'[2]master plan '!$A:$W,22,0)</f>
        <v>15</v>
      </c>
      <c r="F22" s="18" t="b">
        <f t="shared" si="1"/>
        <v>1</v>
      </c>
      <c r="G22" s="18" t="b">
        <f t="shared" si="2"/>
        <v>1</v>
      </c>
      <c r="H22">
        <f>VLOOKUP(A22,'[1]master plan '!$A:$M,13,0)</f>
        <v>1</v>
      </c>
      <c r="I22" t="str">
        <f>VLOOKUP(A22,'[2]master plan '!$A:$L,12,0)</f>
        <v>ASICS</v>
      </c>
      <c r="J22">
        <f>VLOOKUP(A22,'[2]master plan '!$A:$V,20,0)</f>
        <v>2</v>
      </c>
    </row>
    <row r="23" spans="1:10" ht="20.5" x14ac:dyDescent="0.35">
      <c r="A23" s="19" t="s">
        <v>74</v>
      </c>
      <c r="B23" s="18">
        <f>VLOOKUP(A23,'[3]W20-2026'!$A:$AL,8,0)</f>
        <v>500</v>
      </c>
      <c r="C23" s="18">
        <f>VLOOKUP(A23,'[3]W20-2026'!$A:$AL,9,0)</f>
        <v>11</v>
      </c>
      <c r="D23">
        <f>VLOOKUP(A23,'[2]master plan '!$A:$W,9,0)</f>
        <v>500</v>
      </c>
      <c r="E23">
        <f>VLOOKUP(A23,'[2]master plan '!$A:$W,22,0)</f>
        <v>11</v>
      </c>
      <c r="F23" s="18" t="b">
        <f t="shared" si="1"/>
        <v>1</v>
      </c>
      <c r="G23" s="18" t="b">
        <f t="shared" si="2"/>
        <v>1</v>
      </c>
      <c r="H23">
        <f>VLOOKUP(A23,'[1]master plan '!$A:$M,13,0)</f>
        <v>1</v>
      </c>
      <c r="I23" t="str">
        <f>VLOOKUP(A23,'[2]master plan '!$A:$L,12,0)</f>
        <v>NIKE</v>
      </c>
      <c r="J23">
        <f>VLOOKUP(A23,'[2]master plan '!$A:$V,20,0)</f>
        <v>3</v>
      </c>
    </row>
    <row r="24" spans="1:10" ht="20.5" x14ac:dyDescent="0.35">
      <c r="A24" s="19" t="s">
        <v>75</v>
      </c>
      <c r="B24" s="18">
        <f>VLOOKUP(A24,'[3]W20-2026'!$A:$AL,8,0)</f>
        <v>73</v>
      </c>
      <c r="C24" s="18">
        <f>VLOOKUP(A24,'[3]W20-2026'!$A:$AL,9,0)</f>
        <v>7</v>
      </c>
      <c r="D24">
        <f>VLOOKUP(A24,'[2]master plan '!$A:$W,9,0)</f>
        <v>73</v>
      </c>
      <c r="E24">
        <f>VLOOKUP(A24,'[2]master plan '!$A:$W,22,0)</f>
        <v>7</v>
      </c>
      <c r="F24" s="18" t="b">
        <f t="shared" si="1"/>
        <v>1</v>
      </c>
      <c r="G24" s="18" t="b">
        <f t="shared" si="2"/>
        <v>1</v>
      </c>
      <c r="H24" t="str">
        <f>VLOOKUP(A24,'[1]master plan '!$A:$M,13,0)</f>
        <v>1-SLT-WIP</v>
      </c>
      <c r="I24" t="str">
        <f>VLOOKUP(A24,'[2]master plan '!$A:$L,12,0)</f>
        <v>ASICS</v>
      </c>
      <c r="J24">
        <f>VLOOKUP(A24,'[2]master plan '!$A:$V,20,0)</f>
        <v>12</v>
      </c>
    </row>
    <row r="25" spans="1:10" ht="20.5" x14ac:dyDescent="0.35">
      <c r="A25" s="19" t="s">
        <v>76</v>
      </c>
      <c r="B25" s="18">
        <f>VLOOKUP(A25,'[3]W20-2026'!$A:$AL,8,0)</f>
        <v>167</v>
      </c>
      <c r="C25" s="18">
        <f>VLOOKUP(A25,'[3]W20-2026'!$A:$AL,9,0)</f>
        <v>5</v>
      </c>
      <c r="D25">
        <f>VLOOKUP(A25,'[2]master plan '!$A:$W,9,0)</f>
        <v>167</v>
      </c>
      <c r="E25">
        <f>VLOOKUP(A25,'[2]master plan '!$A:$W,22,0)</f>
        <v>5</v>
      </c>
      <c r="F25" s="18" t="b">
        <f t="shared" si="1"/>
        <v>1</v>
      </c>
      <c r="G25" s="18" t="b">
        <f t="shared" si="2"/>
        <v>1</v>
      </c>
      <c r="H25" t="str">
        <f>VLOOKUP(A25,'[1]master plan '!$A:$M,13,0)</f>
        <v>2-SLT</v>
      </c>
      <c r="I25" t="str">
        <f>VLOOKUP(A25,'[2]master plan '!$A:$L,12,0)</f>
        <v>ASICS</v>
      </c>
      <c r="J25">
        <f>VLOOKUP(A25,'[2]master plan '!$A:$V,20,0)</f>
        <v>4</v>
      </c>
    </row>
    <row r="26" spans="1:10" ht="20.5" x14ac:dyDescent="0.35">
      <c r="A26" s="19" t="s">
        <v>77</v>
      </c>
      <c r="B26" s="18">
        <f>VLOOKUP(A26,'[3]W20-2026'!$A:$AL,8,0)</f>
        <v>355</v>
      </c>
      <c r="C26" s="18">
        <f>VLOOKUP(A26,'[3]W20-2026'!$A:$AL,9,0)</f>
        <v>13</v>
      </c>
      <c r="D26">
        <f>VLOOKUP(A26,'[2]master plan '!$A:$W,9,0)</f>
        <v>355</v>
      </c>
      <c r="E26">
        <f>VLOOKUP(A26,'[2]master plan '!$A:$W,22,0)</f>
        <v>13</v>
      </c>
      <c r="F26" s="18" t="b">
        <f t="shared" si="1"/>
        <v>1</v>
      </c>
      <c r="G26" s="18" t="b">
        <f t="shared" si="2"/>
        <v>1</v>
      </c>
      <c r="H26" t="str">
        <f>VLOOKUP(A26,'[1]master plan '!$A:$M,13,0)</f>
        <v>1-SLT</v>
      </c>
      <c r="I26" t="str">
        <f>VLOOKUP(A26,'[2]master plan '!$A:$L,12,0)</f>
        <v>ASICS</v>
      </c>
      <c r="J26">
        <f>VLOOKUP(A26,'[2]master plan '!$A:$V,20,0)</f>
        <v>5</v>
      </c>
    </row>
    <row r="27" spans="1:10" ht="20.5" x14ac:dyDescent="0.35">
      <c r="A27" s="19" t="s">
        <v>78</v>
      </c>
      <c r="B27" s="18">
        <f>VLOOKUP(A27,'[3]W20-2026'!$A:$AL,8,0)</f>
        <v>935</v>
      </c>
      <c r="C27" s="18">
        <f>VLOOKUP(A27,'[3]W20-2026'!$A:$AL,9,0)</f>
        <v>34</v>
      </c>
      <c r="D27">
        <f>VLOOKUP(A27,'[2]master plan '!$A:$W,9,0)</f>
        <v>935</v>
      </c>
      <c r="E27">
        <f>VLOOKUP(A27,'[2]master plan '!$A:$W,22,0)</f>
        <v>34</v>
      </c>
      <c r="F27" s="18" t="b">
        <f t="shared" si="1"/>
        <v>1</v>
      </c>
      <c r="G27" s="18" t="b">
        <f t="shared" si="2"/>
        <v>1</v>
      </c>
      <c r="H27" t="str">
        <f>VLOOKUP(A27,'[1]master plan '!$A:$M,13,0)</f>
        <v>1-SLT</v>
      </c>
      <c r="I27" t="str">
        <f>VLOOKUP(A27,'[2]master plan '!$A:$L,12,0)</f>
        <v>ASICS</v>
      </c>
      <c r="J27">
        <f>VLOOKUP(A27,'[2]master plan '!$A:$V,20,0)</f>
        <v>5</v>
      </c>
    </row>
    <row r="28" spans="1:10" ht="20.5" x14ac:dyDescent="0.35">
      <c r="A28" s="19" t="s">
        <v>79</v>
      </c>
      <c r="B28" s="18">
        <f>VLOOKUP(A28,'[3]W20-2026'!$A:$AL,8,0)</f>
        <v>1000</v>
      </c>
      <c r="C28" s="18">
        <f>VLOOKUP(A28,'[3]W20-2026'!$A:$AL,9,0)</f>
        <v>29</v>
      </c>
      <c r="D28">
        <f>VLOOKUP(A28,'[2]master plan '!$A:$W,9,0)</f>
        <v>1000</v>
      </c>
      <c r="E28">
        <f>VLOOKUP(A28,'[2]master plan '!$A:$W,22,0)</f>
        <v>29</v>
      </c>
      <c r="F28" s="18" t="b">
        <f t="shared" si="1"/>
        <v>1</v>
      </c>
      <c r="G28" s="18" t="b">
        <f t="shared" si="2"/>
        <v>1</v>
      </c>
      <c r="H28">
        <f>VLOOKUP(A28,'[1]master plan '!$A:$M,13,0)</f>
        <v>1</v>
      </c>
      <c r="I28" t="str">
        <f>VLOOKUP(A28,'[2]master plan '!$A:$L,12,0)</f>
        <v>NIKE</v>
      </c>
      <c r="J28">
        <f>VLOOKUP(A28,'[2]master plan '!$A:$V,20,0)</f>
        <v>4</v>
      </c>
    </row>
    <row r="29" spans="1:10" ht="20.5" x14ac:dyDescent="0.35">
      <c r="A29" s="19" t="s">
        <v>80</v>
      </c>
      <c r="B29" s="18">
        <f>VLOOKUP(A29,'[3]W20-2026'!$A:$AL,8,0)</f>
        <v>7000</v>
      </c>
      <c r="C29" s="18">
        <f>VLOOKUP(A29,'[3]W20-2026'!$A:$AL,9,0)</f>
        <v>153</v>
      </c>
      <c r="D29">
        <f>VLOOKUP(A29,'[2]master plan '!$A:$W,9,0)</f>
        <v>7000</v>
      </c>
      <c r="E29">
        <f>VLOOKUP(A29,'[2]master plan '!$A:$W,22,0)</f>
        <v>153</v>
      </c>
      <c r="F29" s="18" t="b">
        <f t="shared" si="1"/>
        <v>1</v>
      </c>
      <c r="G29" s="18" t="b">
        <f t="shared" si="2"/>
        <v>1</v>
      </c>
      <c r="H29">
        <f>VLOOKUP(A29,'[1]master plan '!$A:$M,13,0)</f>
        <v>2</v>
      </c>
      <c r="I29" t="str">
        <f>VLOOKUP(A29,'[2]master plan '!$A:$L,12,0)</f>
        <v>ADIDAS</v>
      </c>
      <c r="J29">
        <f>VLOOKUP(A29,'[2]master plan '!$A:$V,20,0)</f>
        <v>3</v>
      </c>
    </row>
    <row r="30" spans="1:10" ht="20.5" x14ac:dyDescent="0.35">
      <c r="A30" s="19" t="s">
        <v>81</v>
      </c>
      <c r="B30" s="18">
        <f>VLOOKUP(A30,'[3]W20-2026'!$A:$AL,8,0)</f>
        <v>2500</v>
      </c>
      <c r="C30" s="18">
        <f>VLOOKUP(A30,'[3]W20-2026'!$A:$AL,9,0)</f>
        <v>81</v>
      </c>
      <c r="D30">
        <f>VLOOKUP(A30,'[2]master plan '!$A:$W,9,0)</f>
        <v>2500</v>
      </c>
      <c r="E30">
        <f>VLOOKUP(A30,'[2]master plan '!$A:$W,22,0)</f>
        <v>81</v>
      </c>
      <c r="F30" s="18" t="b">
        <f t="shared" si="1"/>
        <v>1</v>
      </c>
      <c r="G30" s="18" t="b">
        <f t="shared" si="2"/>
        <v>1</v>
      </c>
      <c r="H30">
        <f>VLOOKUP(A30,'[1]master plan '!$A:$M,13,0)</f>
        <v>1</v>
      </c>
      <c r="I30" t="str">
        <f>VLOOKUP(A30,'[2]master plan '!$A:$L,12,0)</f>
        <v>ON RUNNING</v>
      </c>
      <c r="J30">
        <f>VLOOKUP(A30,'[2]master plan '!$A:$V,20,0)</f>
        <v>4.5</v>
      </c>
    </row>
    <row r="31" spans="1:10" ht="20.5" x14ac:dyDescent="0.35">
      <c r="A31" s="19"/>
      <c r="B31" s="18" t="e">
        <f>VLOOKUP(A31,'[3]W20-2026'!$A:$AL,8,0)</f>
        <v>#N/A</v>
      </c>
      <c r="C31" s="18" t="e">
        <f>VLOOKUP(A31,'[3]W20-2026'!$A:$AL,9,0)</f>
        <v>#N/A</v>
      </c>
      <c r="D31" t="e">
        <f>VLOOKUP(A31,'[2]master plan '!$A:$W,9,0)</f>
        <v>#N/A</v>
      </c>
      <c r="E31" t="e">
        <f>VLOOKUP(A31,'[2]master plan '!$A:$W,22,0)</f>
        <v>#N/A</v>
      </c>
      <c r="F31" s="18" t="e">
        <f t="shared" si="1"/>
        <v>#N/A</v>
      </c>
      <c r="G31" s="18" t="e">
        <f t="shared" si="2"/>
        <v>#N/A</v>
      </c>
      <c r="H31" t="e">
        <f>VLOOKUP(A31,'[1]master plan '!$A:$M,13,0)</f>
        <v>#N/A</v>
      </c>
      <c r="I31" t="e">
        <f>VLOOKUP(A31,'[2]master plan '!$A:$L,12,0)</f>
        <v>#N/A</v>
      </c>
      <c r="J31" t="e">
        <f>VLOOKUP(A31,'[2]master plan '!$A:$V,20,0)</f>
        <v>#N/A</v>
      </c>
    </row>
    <row r="32" spans="1:10" ht="20.5" x14ac:dyDescent="0.35">
      <c r="A32" s="19"/>
      <c r="B32" s="18" t="e">
        <f>VLOOKUP(A32,'[3]W20-2026'!$A:$AL,8,0)</f>
        <v>#N/A</v>
      </c>
      <c r="C32" s="18" t="e">
        <f>VLOOKUP(A32,'[3]W20-2026'!$A:$AL,9,0)</f>
        <v>#N/A</v>
      </c>
      <c r="D32" t="e">
        <f>VLOOKUP(A32,'[2]master plan '!$A:$W,9,0)</f>
        <v>#N/A</v>
      </c>
      <c r="E32" t="e">
        <f>VLOOKUP(A32,'[2]master plan '!$A:$W,22,0)</f>
        <v>#N/A</v>
      </c>
      <c r="F32" s="18" t="e">
        <f t="shared" ref="F32:F50" si="3">B32=D32</f>
        <v>#N/A</v>
      </c>
      <c r="G32" s="18" t="e">
        <f t="shared" ref="G32:G50" si="4">C32=E32</f>
        <v>#N/A</v>
      </c>
      <c r="H32" t="e">
        <f>VLOOKUP(A32,'[1]master plan '!$A:$M,13,0)</f>
        <v>#N/A</v>
      </c>
      <c r="I32" t="e">
        <f>VLOOKUP(A32,'[2]master plan '!$A:$L,12,0)</f>
        <v>#N/A</v>
      </c>
      <c r="J32" t="e">
        <f>VLOOKUP(A32,'[2]master plan '!$A:$V,20,0)</f>
        <v>#N/A</v>
      </c>
    </row>
    <row r="33" spans="1:10" ht="20.5" x14ac:dyDescent="0.35">
      <c r="A33" s="19"/>
      <c r="B33" s="18" t="e">
        <f>VLOOKUP(A33,'[3]W20-2026'!$A:$AL,8,0)</f>
        <v>#N/A</v>
      </c>
      <c r="C33" s="18" t="e">
        <f>VLOOKUP(A33,'[3]W20-2026'!$A:$AL,9,0)</f>
        <v>#N/A</v>
      </c>
      <c r="D33" t="e">
        <f>VLOOKUP(A33,'[2]master plan '!$A:$W,9,0)</f>
        <v>#N/A</v>
      </c>
      <c r="E33" t="e">
        <f>VLOOKUP(A33,'[2]master plan '!$A:$W,22,0)</f>
        <v>#N/A</v>
      </c>
      <c r="F33" s="18" t="e">
        <f t="shared" si="3"/>
        <v>#N/A</v>
      </c>
      <c r="G33" s="18" t="e">
        <f t="shared" si="4"/>
        <v>#N/A</v>
      </c>
      <c r="H33" t="e">
        <f>VLOOKUP(A33,'[1]master plan '!$A:$M,13,0)</f>
        <v>#N/A</v>
      </c>
      <c r="I33" t="e">
        <f>VLOOKUP(A33,'[2]master plan '!$A:$L,12,0)</f>
        <v>#N/A</v>
      </c>
      <c r="J33" t="e">
        <f>VLOOKUP(A33,'[2]master plan '!$A:$V,20,0)</f>
        <v>#N/A</v>
      </c>
    </row>
    <row r="34" spans="1:10" ht="20.5" x14ac:dyDescent="0.35">
      <c r="A34" s="19"/>
      <c r="B34" s="18" t="e">
        <f>VLOOKUP(A34,'[3]W20-2026'!$A:$AL,8,0)</f>
        <v>#N/A</v>
      </c>
      <c r="C34" s="18" t="e">
        <f>VLOOKUP(A34,'[3]W20-2026'!$A:$AL,9,0)</f>
        <v>#N/A</v>
      </c>
      <c r="D34" t="e">
        <f>VLOOKUP(A34,'[2]master plan '!$A:$W,9,0)</f>
        <v>#N/A</v>
      </c>
      <c r="E34" t="e">
        <f>VLOOKUP(A34,'[2]master plan '!$A:$W,22,0)</f>
        <v>#N/A</v>
      </c>
      <c r="F34" s="18" t="e">
        <f t="shared" si="3"/>
        <v>#N/A</v>
      </c>
      <c r="G34" s="18" t="e">
        <f t="shared" si="4"/>
        <v>#N/A</v>
      </c>
      <c r="H34" t="e">
        <f>VLOOKUP(A34,'[1]master plan '!$A:$M,13,0)</f>
        <v>#N/A</v>
      </c>
      <c r="I34" t="e">
        <f>VLOOKUP(A34,'[2]master plan '!$A:$L,12,0)</f>
        <v>#N/A</v>
      </c>
      <c r="J34" t="e">
        <f>VLOOKUP(A34,'[2]master plan '!$A:$V,20,0)</f>
        <v>#N/A</v>
      </c>
    </row>
    <row r="35" spans="1:10" ht="20.5" x14ac:dyDescent="0.35">
      <c r="A35" s="19"/>
      <c r="B35" s="18" t="e">
        <f>VLOOKUP(A35,'[3]W20-2026'!$A:$AL,8,0)</f>
        <v>#N/A</v>
      </c>
      <c r="C35" s="18" t="e">
        <f>VLOOKUP(A35,'[3]W20-2026'!$A:$AL,9,0)</f>
        <v>#N/A</v>
      </c>
      <c r="D35" t="e">
        <f>VLOOKUP(A35,'[2]master plan '!$A:$W,9,0)</f>
        <v>#N/A</v>
      </c>
      <c r="E35" t="e">
        <f>VLOOKUP(A35,'[2]master plan '!$A:$W,22,0)</f>
        <v>#N/A</v>
      </c>
      <c r="F35" s="18" t="e">
        <f t="shared" si="3"/>
        <v>#N/A</v>
      </c>
      <c r="G35" s="18" t="e">
        <f t="shared" si="4"/>
        <v>#N/A</v>
      </c>
      <c r="H35" t="e">
        <f>VLOOKUP(A35,'[1]master plan '!$A:$M,13,0)</f>
        <v>#N/A</v>
      </c>
      <c r="I35" t="e">
        <f>VLOOKUP(A35,'[2]master plan '!$A:$L,12,0)</f>
        <v>#N/A</v>
      </c>
      <c r="J35" t="e">
        <f>VLOOKUP(A35,'[2]master plan '!$A:$V,20,0)</f>
        <v>#N/A</v>
      </c>
    </row>
    <row r="36" spans="1:10" ht="20.5" x14ac:dyDescent="0.35">
      <c r="A36" s="19"/>
      <c r="B36" s="18" t="e">
        <f>VLOOKUP(A36,'[3]W20-2026'!$A:$AL,8,0)</f>
        <v>#N/A</v>
      </c>
      <c r="C36" s="18" t="e">
        <f>VLOOKUP(A36,'[3]W20-2026'!$A:$AL,9,0)</f>
        <v>#N/A</v>
      </c>
      <c r="D36" t="e">
        <f>VLOOKUP(A36,'[2]master plan '!$A:$W,9,0)</f>
        <v>#N/A</v>
      </c>
      <c r="E36" t="e">
        <f>VLOOKUP(A36,'[2]master plan '!$A:$W,22,0)</f>
        <v>#N/A</v>
      </c>
      <c r="F36" s="18" t="e">
        <f t="shared" si="3"/>
        <v>#N/A</v>
      </c>
      <c r="G36" s="18" t="e">
        <f t="shared" si="4"/>
        <v>#N/A</v>
      </c>
      <c r="H36" t="e">
        <f>VLOOKUP(A36,'[1]master plan '!$A:$M,13,0)</f>
        <v>#N/A</v>
      </c>
      <c r="I36" t="e">
        <f>VLOOKUP(A36,'[2]master plan '!$A:$L,12,0)</f>
        <v>#N/A</v>
      </c>
      <c r="J36" t="e">
        <f>VLOOKUP(A36,'[2]master plan '!$A:$V,20,0)</f>
        <v>#N/A</v>
      </c>
    </row>
    <row r="37" spans="1:10" ht="20.5" x14ac:dyDescent="0.35">
      <c r="A37" s="19"/>
      <c r="B37" s="18" t="e">
        <f>VLOOKUP(A37,'[3]W20-2026'!$A:$AL,8,0)</f>
        <v>#N/A</v>
      </c>
      <c r="C37" s="18" t="e">
        <f>VLOOKUP(A37,'[3]W20-2026'!$A:$AL,9,0)</f>
        <v>#N/A</v>
      </c>
      <c r="D37" t="e">
        <f>VLOOKUP(A37,'[2]master plan '!$A:$W,9,0)</f>
        <v>#N/A</v>
      </c>
      <c r="E37" t="e">
        <f>VLOOKUP(A37,'[2]master plan '!$A:$W,22,0)</f>
        <v>#N/A</v>
      </c>
      <c r="F37" s="18" t="e">
        <f t="shared" si="3"/>
        <v>#N/A</v>
      </c>
      <c r="G37" s="18" t="e">
        <f t="shared" si="4"/>
        <v>#N/A</v>
      </c>
      <c r="H37" t="e">
        <f>VLOOKUP(A37,'[1]master plan '!$A:$M,13,0)</f>
        <v>#N/A</v>
      </c>
      <c r="I37" t="e">
        <f>VLOOKUP(A37,'[2]master plan '!$A:$L,12,0)</f>
        <v>#N/A</v>
      </c>
      <c r="J37" t="e">
        <f>VLOOKUP(A37,'[2]master plan '!$A:$V,20,0)</f>
        <v>#N/A</v>
      </c>
    </row>
    <row r="38" spans="1:10" ht="20.5" x14ac:dyDescent="0.35">
      <c r="A38" s="19"/>
      <c r="B38" s="18" t="e">
        <f>VLOOKUP(A38,'[3]W20-2026'!$A:$AL,8,0)</f>
        <v>#N/A</v>
      </c>
      <c r="C38" s="18" t="e">
        <f>VLOOKUP(A38,'[3]W20-2026'!$A:$AL,9,0)</f>
        <v>#N/A</v>
      </c>
      <c r="D38" t="e">
        <f>VLOOKUP(A38,'[2]master plan '!$A:$W,9,0)</f>
        <v>#N/A</v>
      </c>
      <c r="E38" t="e">
        <f>VLOOKUP(A38,'[2]master plan '!$A:$W,22,0)</f>
        <v>#N/A</v>
      </c>
      <c r="F38" s="18" t="e">
        <f t="shared" si="3"/>
        <v>#N/A</v>
      </c>
      <c r="G38" s="18" t="e">
        <f t="shared" si="4"/>
        <v>#N/A</v>
      </c>
      <c r="H38" t="e">
        <f>VLOOKUP(A38,'[1]master plan '!$A:$M,13,0)</f>
        <v>#N/A</v>
      </c>
      <c r="I38" t="e">
        <f>VLOOKUP(A38,'[2]master plan '!$A:$L,12,0)</f>
        <v>#N/A</v>
      </c>
      <c r="J38" t="e">
        <f>VLOOKUP(A38,'[2]master plan '!$A:$V,20,0)</f>
        <v>#N/A</v>
      </c>
    </row>
    <row r="39" spans="1:10" ht="20.5" x14ac:dyDescent="0.35">
      <c r="A39" s="19"/>
      <c r="B39" s="18" t="e">
        <f>VLOOKUP(A39,'[3]W20-2026'!$A:$AL,8,0)</f>
        <v>#N/A</v>
      </c>
      <c r="C39" s="18" t="e">
        <f>VLOOKUP(A39,'[3]W20-2026'!$A:$AL,9,0)</f>
        <v>#N/A</v>
      </c>
      <c r="D39" t="e">
        <f>VLOOKUP(A39,'[2]master plan '!$A:$W,9,0)</f>
        <v>#N/A</v>
      </c>
      <c r="E39" t="e">
        <f>VLOOKUP(A39,'[2]master plan '!$A:$W,22,0)</f>
        <v>#N/A</v>
      </c>
      <c r="F39" s="18" t="e">
        <f t="shared" si="3"/>
        <v>#N/A</v>
      </c>
      <c r="G39" s="18" t="e">
        <f t="shared" si="4"/>
        <v>#N/A</v>
      </c>
      <c r="H39" t="e">
        <f>VLOOKUP(A39,'[1]master plan '!$A:$M,13,0)</f>
        <v>#N/A</v>
      </c>
      <c r="I39" t="e">
        <f>VLOOKUP(A39,'[2]master plan '!$A:$L,12,0)</f>
        <v>#N/A</v>
      </c>
      <c r="J39" t="e">
        <f>VLOOKUP(A39,'[2]master plan '!$A:$V,20,0)</f>
        <v>#N/A</v>
      </c>
    </row>
    <row r="40" spans="1:10" ht="20.5" x14ac:dyDescent="0.35">
      <c r="A40" s="19"/>
      <c r="B40" s="18" t="e">
        <f>VLOOKUP(A40,'[3]W20-2026'!$A:$AL,8,0)</f>
        <v>#N/A</v>
      </c>
      <c r="C40" s="18" t="e">
        <f>VLOOKUP(A40,'[3]W20-2026'!$A:$AL,9,0)</f>
        <v>#N/A</v>
      </c>
      <c r="D40" t="e">
        <f>VLOOKUP(A40,'[2]master plan '!$A:$W,9,0)</f>
        <v>#N/A</v>
      </c>
      <c r="E40" t="e">
        <f>VLOOKUP(A40,'[2]master plan '!$A:$W,22,0)</f>
        <v>#N/A</v>
      </c>
      <c r="F40" s="18" t="e">
        <f t="shared" si="3"/>
        <v>#N/A</v>
      </c>
      <c r="G40" s="18" t="e">
        <f t="shared" si="4"/>
        <v>#N/A</v>
      </c>
      <c r="H40" t="e">
        <f>VLOOKUP(A40,'[1]master plan '!$A:$M,13,0)</f>
        <v>#N/A</v>
      </c>
      <c r="I40" t="e">
        <f>VLOOKUP(A40,'[2]master plan '!$A:$L,12,0)</f>
        <v>#N/A</v>
      </c>
      <c r="J40" t="e">
        <f>VLOOKUP(A40,'[2]master plan '!$A:$V,20,0)</f>
        <v>#N/A</v>
      </c>
    </row>
    <row r="41" spans="1:10" ht="20.5" x14ac:dyDescent="0.35">
      <c r="A41" s="19"/>
      <c r="B41" s="18" t="e">
        <f>VLOOKUP(A41,'[3]W20-2026'!$A:$AL,8,0)</f>
        <v>#N/A</v>
      </c>
      <c r="C41" s="18" t="e">
        <f>VLOOKUP(A41,'[3]W20-2026'!$A:$AL,9,0)</f>
        <v>#N/A</v>
      </c>
      <c r="D41" t="e">
        <f>VLOOKUP(A41,'[2]master plan '!$A:$W,9,0)</f>
        <v>#N/A</v>
      </c>
      <c r="E41" t="e">
        <f>VLOOKUP(A41,'[2]master plan '!$A:$W,22,0)</f>
        <v>#N/A</v>
      </c>
      <c r="F41" s="18" t="e">
        <f t="shared" si="3"/>
        <v>#N/A</v>
      </c>
      <c r="G41" s="18" t="e">
        <f t="shared" si="4"/>
        <v>#N/A</v>
      </c>
      <c r="H41" t="e">
        <f>VLOOKUP(A41,'[1]master plan '!$A:$M,13,0)</f>
        <v>#N/A</v>
      </c>
      <c r="I41" t="e">
        <f>VLOOKUP(A41,'[2]master plan '!$A:$L,12,0)</f>
        <v>#N/A</v>
      </c>
      <c r="J41" t="e">
        <f>VLOOKUP(A41,'[2]master plan '!$A:$V,20,0)</f>
        <v>#N/A</v>
      </c>
    </row>
    <row r="42" spans="1:10" ht="20.5" x14ac:dyDescent="0.35">
      <c r="A42" s="19"/>
      <c r="B42" s="18" t="e">
        <f>VLOOKUP(A42,'[3]W20-2026'!$A:$AL,8,0)</f>
        <v>#N/A</v>
      </c>
      <c r="C42" s="18" t="e">
        <f>VLOOKUP(A42,'[3]W20-2026'!$A:$AL,9,0)</f>
        <v>#N/A</v>
      </c>
      <c r="D42" t="e">
        <f>VLOOKUP(A42,'[2]master plan '!$A:$W,9,0)</f>
        <v>#N/A</v>
      </c>
      <c r="E42" t="e">
        <f>VLOOKUP(A42,'[2]master plan '!$A:$W,22,0)</f>
        <v>#N/A</v>
      </c>
      <c r="F42" s="18" t="e">
        <f t="shared" si="3"/>
        <v>#N/A</v>
      </c>
      <c r="G42" s="18" t="e">
        <f t="shared" si="4"/>
        <v>#N/A</v>
      </c>
      <c r="H42" t="e">
        <f>VLOOKUP(A42,'[1]master plan '!$A:$M,13,0)</f>
        <v>#N/A</v>
      </c>
      <c r="I42" t="e">
        <f>VLOOKUP(A42,'[2]master plan '!$A:$L,12,0)</f>
        <v>#N/A</v>
      </c>
      <c r="J42" t="e">
        <f>VLOOKUP(A42,'[2]master plan '!$A:$V,20,0)</f>
        <v>#N/A</v>
      </c>
    </row>
    <row r="43" spans="1:10" ht="20.5" x14ac:dyDescent="0.35">
      <c r="A43" s="19"/>
      <c r="B43" s="18" t="e">
        <f>VLOOKUP(A43,'[3]W20-2026'!$A:$AL,8,0)</f>
        <v>#N/A</v>
      </c>
      <c r="C43" s="18" t="e">
        <f>VLOOKUP(A43,'[3]W20-2026'!$A:$AL,9,0)</f>
        <v>#N/A</v>
      </c>
      <c r="D43" t="e">
        <f>VLOOKUP(A43,'[2]master plan '!$A:$W,9,0)</f>
        <v>#N/A</v>
      </c>
      <c r="E43" t="e">
        <f>VLOOKUP(A43,'[2]master plan '!$A:$W,22,0)</f>
        <v>#N/A</v>
      </c>
      <c r="F43" s="18" t="e">
        <f t="shared" si="3"/>
        <v>#N/A</v>
      </c>
      <c r="G43" s="18" t="e">
        <f t="shared" si="4"/>
        <v>#N/A</v>
      </c>
      <c r="H43" t="e">
        <f>VLOOKUP(A43,'[1]master plan '!$A:$M,13,0)</f>
        <v>#N/A</v>
      </c>
      <c r="I43" t="e">
        <f>VLOOKUP(A43,'[2]master plan '!$A:$L,12,0)</f>
        <v>#N/A</v>
      </c>
      <c r="J43" t="e">
        <f>VLOOKUP(A43,'[2]master plan '!$A:$V,20,0)</f>
        <v>#N/A</v>
      </c>
    </row>
    <row r="44" spans="1:10" ht="20.5" x14ac:dyDescent="0.35">
      <c r="A44" s="19"/>
      <c r="B44" s="18" t="e">
        <f>VLOOKUP(A44,'[3]W20-2026'!$A:$AL,8,0)</f>
        <v>#N/A</v>
      </c>
      <c r="C44" s="18" t="e">
        <f>VLOOKUP(A44,'[3]W20-2026'!$A:$AL,9,0)</f>
        <v>#N/A</v>
      </c>
      <c r="D44" t="e">
        <f>VLOOKUP(A44,'[2]master plan '!$A:$W,9,0)</f>
        <v>#N/A</v>
      </c>
      <c r="E44" t="e">
        <f>VLOOKUP(A44,'[2]master plan '!$A:$W,22,0)</f>
        <v>#N/A</v>
      </c>
      <c r="F44" s="18" t="e">
        <f t="shared" si="3"/>
        <v>#N/A</v>
      </c>
      <c r="G44" s="18" t="e">
        <f t="shared" si="4"/>
        <v>#N/A</v>
      </c>
      <c r="H44" t="e">
        <f>VLOOKUP(A44,'[1]master plan '!$A:$M,13,0)</f>
        <v>#N/A</v>
      </c>
      <c r="I44" t="e">
        <f>VLOOKUP(A44,'[2]master plan '!$A:$L,12,0)</f>
        <v>#N/A</v>
      </c>
      <c r="J44" t="e">
        <f>VLOOKUP(A44,'[2]master plan '!$A:$V,20,0)</f>
        <v>#N/A</v>
      </c>
    </row>
    <row r="45" spans="1:10" ht="20.5" x14ac:dyDescent="0.35">
      <c r="A45" s="19"/>
      <c r="B45" s="18" t="e">
        <f>VLOOKUP(A45,'[3]W20-2026'!$A:$AL,8,0)</f>
        <v>#N/A</v>
      </c>
      <c r="C45" s="18" t="e">
        <f>VLOOKUP(A45,'[3]W20-2026'!$A:$AL,9,0)</f>
        <v>#N/A</v>
      </c>
      <c r="D45" t="e">
        <f>VLOOKUP(A45,'[2]master plan '!$A:$W,9,0)</f>
        <v>#N/A</v>
      </c>
      <c r="E45" t="e">
        <f>VLOOKUP(A45,'[2]master plan '!$A:$W,22,0)</f>
        <v>#N/A</v>
      </c>
      <c r="F45" s="18" t="e">
        <f t="shared" si="3"/>
        <v>#N/A</v>
      </c>
      <c r="G45" s="18" t="e">
        <f t="shared" si="4"/>
        <v>#N/A</v>
      </c>
      <c r="H45" t="e">
        <f>VLOOKUP(A45,'[1]master plan '!$A:$M,13,0)</f>
        <v>#N/A</v>
      </c>
      <c r="I45" t="e">
        <f>VLOOKUP(A45,'[2]master plan '!$A:$L,12,0)</f>
        <v>#N/A</v>
      </c>
      <c r="J45" t="e">
        <f>VLOOKUP(A45,'[2]master plan '!$A:$V,20,0)</f>
        <v>#N/A</v>
      </c>
    </row>
    <row r="46" spans="1:10" ht="20.5" x14ac:dyDescent="0.35">
      <c r="A46" s="19"/>
      <c r="B46" s="18" t="e">
        <f>VLOOKUP(A46,'[3]W20-2026'!$A:$AL,8,0)</f>
        <v>#N/A</v>
      </c>
      <c r="C46" s="18" t="e">
        <f>VLOOKUP(A46,'[3]W20-2026'!$A:$AL,9,0)</f>
        <v>#N/A</v>
      </c>
      <c r="D46" t="e">
        <f>VLOOKUP(A46,'[2]master plan '!$A:$W,9,0)</f>
        <v>#N/A</v>
      </c>
      <c r="E46" t="e">
        <f>VLOOKUP(A46,'[2]master plan '!$A:$W,22,0)</f>
        <v>#N/A</v>
      </c>
      <c r="F46" s="18" t="e">
        <f t="shared" si="3"/>
        <v>#N/A</v>
      </c>
      <c r="G46" s="18" t="e">
        <f t="shared" si="4"/>
        <v>#N/A</v>
      </c>
      <c r="H46" t="e">
        <f>VLOOKUP(A46,'[1]master plan '!$A:$M,13,0)</f>
        <v>#N/A</v>
      </c>
      <c r="I46" t="e">
        <f>VLOOKUP(A46,'[2]master plan '!$A:$L,12,0)</f>
        <v>#N/A</v>
      </c>
      <c r="J46" t="e">
        <f>VLOOKUP(A46,'[2]master plan '!$A:$V,20,0)</f>
        <v>#N/A</v>
      </c>
    </row>
    <row r="47" spans="1:10" ht="20.5" x14ac:dyDescent="0.35">
      <c r="A47" s="19"/>
      <c r="B47" s="18" t="e">
        <f>VLOOKUP(A47,'[3]W20-2026'!$A:$AL,8,0)</f>
        <v>#N/A</v>
      </c>
      <c r="C47" s="18" t="e">
        <f>VLOOKUP(A47,'[3]W20-2026'!$A:$AL,9,0)</f>
        <v>#N/A</v>
      </c>
      <c r="D47" t="e">
        <f>VLOOKUP(A47,'[2]master plan '!$A:$W,9,0)</f>
        <v>#N/A</v>
      </c>
      <c r="E47" t="e">
        <f>VLOOKUP(A47,'[2]master plan '!$A:$W,22,0)</f>
        <v>#N/A</v>
      </c>
      <c r="F47" s="18" t="e">
        <f t="shared" si="3"/>
        <v>#N/A</v>
      </c>
      <c r="G47" s="18" t="e">
        <f t="shared" si="4"/>
        <v>#N/A</v>
      </c>
      <c r="H47" t="e">
        <f>VLOOKUP(A47,'[1]master plan '!$A:$M,13,0)</f>
        <v>#N/A</v>
      </c>
      <c r="I47" t="e">
        <f>VLOOKUP(A47,'[2]master plan '!$A:$L,12,0)</f>
        <v>#N/A</v>
      </c>
      <c r="J47" t="e">
        <f>VLOOKUP(A47,'[2]master plan '!$A:$V,20,0)</f>
        <v>#N/A</v>
      </c>
    </row>
    <row r="48" spans="1:10" ht="20.5" x14ac:dyDescent="0.35">
      <c r="A48" s="19"/>
      <c r="B48" s="18" t="e">
        <f>VLOOKUP(A48,'[3]W20-2026'!$A:$AL,8,0)</f>
        <v>#N/A</v>
      </c>
      <c r="C48" s="18" t="e">
        <f>VLOOKUP(A48,'[3]W20-2026'!$A:$AL,9,0)</f>
        <v>#N/A</v>
      </c>
      <c r="D48" t="e">
        <f>VLOOKUP(A48,'[2]master plan '!$A:$W,9,0)</f>
        <v>#N/A</v>
      </c>
      <c r="E48" t="e">
        <f>VLOOKUP(A48,'[2]master plan '!$A:$W,22,0)</f>
        <v>#N/A</v>
      </c>
      <c r="F48" s="18" t="e">
        <f t="shared" si="3"/>
        <v>#N/A</v>
      </c>
      <c r="G48" s="18" t="e">
        <f t="shared" si="4"/>
        <v>#N/A</v>
      </c>
      <c r="H48" t="e">
        <f>VLOOKUP(A48,'[1]master plan '!$A:$M,13,0)</f>
        <v>#N/A</v>
      </c>
      <c r="I48" t="e">
        <f>VLOOKUP(A48,'[2]master plan '!$A:$L,12,0)</f>
        <v>#N/A</v>
      </c>
      <c r="J48" t="e">
        <f>VLOOKUP(A48,'[2]master plan '!$A:$V,20,0)</f>
        <v>#N/A</v>
      </c>
    </row>
    <row r="49" spans="1:10" ht="20.5" x14ac:dyDescent="0.35">
      <c r="A49" s="19"/>
      <c r="B49" s="18" t="e">
        <f>VLOOKUP(A49,'[3]W20-2026'!$A:$AL,8,0)</f>
        <v>#N/A</v>
      </c>
      <c r="C49" s="18" t="e">
        <f>VLOOKUP(A49,'[3]W20-2026'!$A:$AL,9,0)</f>
        <v>#N/A</v>
      </c>
      <c r="D49" t="e">
        <f>VLOOKUP(A49,'[2]master plan '!$A:$W,9,0)</f>
        <v>#N/A</v>
      </c>
      <c r="E49" t="e">
        <f>VLOOKUP(A49,'[2]master plan '!$A:$W,22,0)</f>
        <v>#N/A</v>
      </c>
      <c r="F49" s="18" t="e">
        <f t="shared" si="3"/>
        <v>#N/A</v>
      </c>
      <c r="G49" s="18" t="e">
        <f t="shared" si="4"/>
        <v>#N/A</v>
      </c>
      <c r="H49" t="e">
        <f>VLOOKUP(A49,'[1]master plan '!$A:$M,13,0)</f>
        <v>#N/A</v>
      </c>
      <c r="I49" t="e">
        <f>VLOOKUP(A49,'[2]master plan '!$A:$L,12,0)</f>
        <v>#N/A</v>
      </c>
      <c r="J49" t="e">
        <f>VLOOKUP(A49,'[2]master plan '!$A:$V,20,0)</f>
        <v>#N/A</v>
      </c>
    </row>
    <row r="50" spans="1:10" ht="20.5" x14ac:dyDescent="0.35">
      <c r="A50" s="19"/>
      <c r="B50" s="18" t="e">
        <f>VLOOKUP(A50,'[3]W20-2026'!$A:$AL,8,0)</f>
        <v>#N/A</v>
      </c>
      <c r="C50" s="18" t="e">
        <f>VLOOKUP(A50,'[3]W20-2026'!$A:$AL,9,0)</f>
        <v>#N/A</v>
      </c>
      <c r="D50" t="e">
        <f>VLOOKUP(A50,'[2]master plan '!$A:$W,9,0)</f>
        <v>#N/A</v>
      </c>
      <c r="E50" t="e">
        <f>VLOOKUP(A50,'[2]master plan '!$A:$W,22,0)</f>
        <v>#N/A</v>
      </c>
      <c r="F50" s="18" t="e">
        <f t="shared" si="3"/>
        <v>#N/A</v>
      </c>
      <c r="G50" s="18" t="e">
        <f t="shared" si="4"/>
        <v>#N/A</v>
      </c>
      <c r="H50" t="e">
        <f>VLOOKUP(A50,'[1]master plan '!$A:$M,13,0)</f>
        <v>#N/A</v>
      </c>
      <c r="I50" t="e">
        <f>VLOOKUP(A50,'[2]master plan '!$A:$L,12,0)</f>
        <v>#N/A</v>
      </c>
      <c r="J50" t="e">
        <f>VLOOKUP(A50,'[2]master plan '!$A:$V,20,0)</f>
        <v>#N/A</v>
      </c>
    </row>
    <row r="51" spans="1:10" ht="20.5" x14ac:dyDescent="0.35">
      <c r="A51" s="19"/>
      <c r="B51" s="18" t="e">
        <f>VLOOKUP(A51,'[3]W20-2026'!$A:$AL,8,0)</f>
        <v>#N/A</v>
      </c>
      <c r="C51" s="18" t="e">
        <f>VLOOKUP(A51,'[3]W20-2026'!$A:$AL,9,0)</f>
        <v>#N/A</v>
      </c>
      <c r="D51" t="e">
        <f>VLOOKUP(A51,'[2]master plan '!$A:$W,9,0)</f>
        <v>#N/A</v>
      </c>
      <c r="E51" t="e">
        <f>VLOOKUP(A51,'[2]master plan '!$A:$W,22,0)</f>
        <v>#N/A</v>
      </c>
      <c r="F51" s="18" t="e">
        <f t="shared" ref="F51:F93" si="5">B51=D51</f>
        <v>#N/A</v>
      </c>
      <c r="G51" s="18" t="e">
        <f t="shared" ref="G51:G93" si="6">C51=E51</f>
        <v>#N/A</v>
      </c>
      <c r="H51" t="e">
        <f>VLOOKUP(A51,'[1]master plan '!$A:$M,13,0)</f>
        <v>#N/A</v>
      </c>
      <c r="I51" t="e">
        <f>VLOOKUP(A51,'[2]master plan '!$A:$L,12,0)</f>
        <v>#N/A</v>
      </c>
      <c r="J51" t="e">
        <f>VLOOKUP(A51,'[2]master plan '!$A:$V,20,0)</f>
        <v>#N/A</v>
      </c>
    </row>
    <row r="52" spans="1:10" ht="20.5" x14ac:dyDescent="0.35">
      <c r="A52" s="19"/>
      <c r="B52" s="18" t="e">
        <f>VLOOKUP(A52,'[3]W20-2026'!$A:$AL,8,0)</f>
        <v>#N/A</v>
      </c>
      <c r="C52" s="18" t="e">
        <f>VLOOKUP(A52,'[3]W20-2026'!$A:$AL,9,0)</f>
        <v>#N/A</v>
      </c>
      <c r="D52" t="e">
        <f>VLOOKUP(A52,'[2]master plan '!$A:$W,9,0)</f>
        <v>#N/A</v>
      </c>
      <c r="E52" t="e">
        <f>VLOOKUP(A52,'[2]master plan '!$A:$W,22,0)</f>
        <v>#N/A</v>
      </c>
      <c r="F52" s="18" t="e">
        <f t="shared" si="5"/>
        <v>#N/A</v>
      </c>
      <c r="G52" s="18" t="e">
        <f t="shared" si="6"/>
        <v>#N/A</v>
      </c>
      <c r="H52" t="e">
        <f>VLOOKUP(A52,'[1]master plan '!$A:$M,13,0)</f>
        <v>#N/A</v>
      </c>
      <c r="I52" t="e">
        <f>VLOOKUP(A52,'[2]master plan '!$A:$L,12,0)</f>
        <v>#N/A</v>
      </c>
      <c r="J52" t="e">
        <f>VLOOKUP(A52,'[2]master plan '!$A:$V,20,0)</f>
        <v>#N/A</v>
      </c>
    </row>
    <row r="53" spans="1:10" ht="20.5" x14ac:dyDescent="0.35">
      <c r="A53" s="19"/>
      <c r="B53" s="18" t="e">
        <f>VLOOKUP(A53,'[3]W20-2026'!$A:$AL,8,0)</f>
        <v>#N/A</v>
      </c>
      <c r="C53" s="18" t="e">
        <f>VLOOKUP(A53,'[3]W20-2026'!$A:$AL,9,0)</f>
        <v>#N/A</v>
      </c>
      <c r="D53" t="e">
        <f>VLOOKUP(A53,'[2]master plan '!$A:$W,9,0)</f>
        <v>#N/A</v>
      </c>
      <c r="E53" t="e">
        <f>VLOOKUP(A53,'[2]master plan '!$A:$W,22,0)</f>
        <v>#N/A</v>
      </c>
      <c r="F53" s="18" t="e">
        <f t="shared" si="5"/>
        <v>#N/A</v>
      </c>
      <c r="G53" s="18" t="e">
        <f t="shared" si="6"/>
        <v>#N/A</v>
      </c>
      <c r="H53" t="e">
        <f>VLOOKUP(A53,'[1]master plan '!$A:$M,13,0)</f>
        <v>#N/A</v>
      </c>
      <c r="I53" t="e">
        <f>VLOOKUP(A53,'[2]master plan '!$A:$L,12,0)</f>
        <v>#N/A</v>
      </c>
      <c r="J53" t="e">
        <f>VLOOKUP(A53,'[2]master plan '!$A:$V,20,0)</f>
        <v>#N/A</v>
      </c>
    </row>
    <row r="54" spans="1:10" ht="20.5" x14ac:dyDescent="0.35">
      <c r="A54" s="19"/>
      <c r="B54" s="18" t="e">
        <f>VLOOKUP(A54,'[3]W20-2026'!$A:$AL,8,0)</f>
        <v>#N/A</v>
      </c>
      <c r="C54" s="18" t="e">
        <f>VLOOKUP(A54,'[3]W20-2026'!$A:$AL,9,0)</f>
        <v>#N/A</v>
      </c>
      <c r="D54" t="e">
        <f>VLOOKUP(A54,'[2]master plan '!$A:$W,9,0)</f>
        <v>#N/A</v>
      </c>
      <c r="E54" t="e">
        <f>VLOOKUP(A54,'[2]master plan '!$A:$W,22,0)</f>
        <v>#N/A</v>
      </c>
      <c r="F54" s="18" t="e">
        <f t="shared" si="5"/>
        <v>#N/A</v>
      </c>
      <c r="G54" s="18" t="e">
        <f t="shared" si="6"/>
        <v>#N/A</v>
      </c>
      <c r="H54" t="e">
        <f>VLOOKUP(A54,'[1]master plan '!$A:$M,13,0)</f>
        <v>#N/A</v>
      </c>
      <c r="I54" t="e">
        <f>VLOOKUP(A54,'[2]master plan '!$A:$L,12,0)</f>
        <v>#N/A</v>
      </c>
      <c r="J54" t="e">
        <f>VLOOKUP(A54,'[2]master plan '!$A:$V,20,0)</f>
        <v>#N/A</v>
      </c>
    </row>
    <row r="55" spans="1:10" ht="20.5" x14ac:dyDescent="0.35">
      <c r="A55" s="19"/>
      <c r="B55" s="18" t="e">
        <f>VLOOKUP(A55,'[3]W20-2026'!$A:$AL,8,0)</f>
        <v>#N/A</v>
      </c>
      <c r="C55" s="18" t="e">
        <f>VLOOKUP(A55,'[3]W20-2026'!$A:$AL,9,0)</f>
        <v>#N/A</v>
      </c>
      <c r="D55" t="e">
        <f>VLOOKUP(A55,'[2]master plan '!$A:$W,9,0)</f>
        <v>#N/A</v>
      </c>
      <c r="E55" t="e">
        <f>VLOOKUP(A55,'[2]master plan '!$A:$W,22,0)</f>
        <v>#N/A</v>
      </c>
      <c r="F55" s="18" t="e">
        <f t="shared" si="5"/>
        <v>#N/A</v>
      </c>
      <c r="G55" s="18" t="e">
        <f t="shared" si="6"/>
        <v>#N/A</v>
      </c>
      <c r="H55" t="e">
        <f>VLOOKUP(A55,'[1]master plan '!$A:$M,13,0)</f>
        <v>#N/A</v>
      </c>
      <c r="I55" t="e">
        <f>VLOOKUP(A55,'[2]master plan '!$A:$L,12,0)</f>
        <v>#N/A</v>
      </c>
      <c r="J55" t="e">
        <f>VLOOKUP(A55,'[2]master plan '!$A:$V,20,0)</f>
        <v>#N/A</v>
      </c>
    </row>
    <row r="56" spans="1:10" ht="20.5" x14ac:dyDescent="0.35">
      <c r="A56" s="19"/>
      <c r="B56" s="18" t="e">
        <f>VLOOKUP(A56,'[3]W20-2026'!$A:$AL,8,0)</f>
        <v>#N/A</v>
      </c>
      <c r="C56" s="18" t="e">
        <f>VLOOKUP(A56,'[3]W20-2026'!$A:$AL,9,0)</f>
        <v>#N/A</v>
      </c>
      <c r="D56" t="e">
        <f>VLOOKUP(A56,'[2]master plan '!$A:$W,9,0)</f>
        <v>#N/A</v>
      </c>
      <c r="E56" t="e">
        <f>VLOOKUP(A56,'[2]master plan '!$A:$W,22,0)</f>
        <v>#N/A</v>
      </c>
      <c r="F56" s="18" t="e">
        <f t="shared" si="5"/>
        <v>#N/A</v>
      </c>
      <c r="G56" s="18" t="e">
        <f t="shared" si="6"/>
        <v>#N/A</v>
      </c>
      <c r="H56" t="e">
        <f>VLOOKUP(A56,'[1]master plan '!$A:$M,13,0)</f>
        <v>#N/A</v>
      </c>
      <c r="I56" t="e">
        <f>VLOOKUP(A56,'[2]master plan '!$A:$L,12,0)</f>
        <v>#N/A</v>
      </c>
      <c r="J56" t="e">
        <f>VLOOKUP(A56,'[2]master plan '!$A:$V,20,0)</f>
        <v>#N/A</v>
      </c>
    </row>
    <row r="57" spans="1:10" ht="20.5" x14ac:dyDescent="0.35">
      <c r="A57" s="19"/>
      <c r="B57" s="18" t="e">
        <f>VLOOKUP(A57,'[3]W20-2026'!$A:$AL,8,0)</f>
        <v>#N/A</v>
      </c>
      <c r="C57" s="18" t="e">
        <f>VLOOKUP(A57,'[3]W20-2026'!$A:$AL,9,0)</f>
        <v>#N/A</v>
      </c>
      <c r="D57" t="e">
        <f>VLOOKUP(A57,'[2]master plan '!$A:$W,9,0)</f>
        <v>#N/A</v>
      </c>
      <c r="E57" t="e">
        <f>VLOOKUP(A57,'[2]master plan '!$A:$W,22,0)</f>
        <v>#N/A</v>
      </c>
      <c r="F57" s="18" t="e">
        <f t="shared" si="5"/>
        <v>#N/A</v>
      </c>
      <c r="G57" s="18" t="e">
        <f t="shared" si="6"/>
        <v>#N/A</v>
      </c>
      <c r="H57" t="e">
        <f>VLOOKUP(A57,'[1]master plan '!$A:$M,13,0)</f>
        <v>#N/A</v>
      </c>
      <c r="I57" t="e">
        <f>VLOOKUP(A57,'[2]master plan '!$A:$L,12,0)</f>
        <v>#N/A</v>
      </c>
      <c r="J57" t="e">
        <f>VLOOKUP(A57,'[2]master plan '!$A:$V,20,0)</f>
        <v>#N/A</v>
      </c>
    </row>
    <row r="58" spans="1:10" ht="20.5" x14ac:dyDescent="0.35">
      <c r="A58" s="19"/>
      <c r="B58" s="18" t="e">
        <f>VLOOKUP(A58,'[3]W20-2026'!$A:$AL,8,0)</f>
        <v>#N/A</v>
      </c>
      <c r="C58" s="18" t="e">
        <f>VLOOKUP(A58,'[3]W20-2026'!$A:$AL,9,0)</f>
        <v>#N/A</v>
      </c>
      <c r="D58" t="e">
        <f>VLOOKUP(A58,'[2]master plan '!$A:$W,9,0)</f>
        <v>#N/A</v>
      </c>
      <c r="E58" t="e">
        <f>VLOOKUP(A58,'[2]master plan '!$A:$W,22,0)</f>
        <v>#N/A</v>
      </c>
      <c r="F58" s="18" t="e">
        <f t="shared" si="5"/>
        <v>#N/A</v>
      </c>
      <c r="G58" s="18" t="e">
        <f t="shared" si="6"/>
        <v>#N/A</v>
      </c>
      <c r="H58" t="e">
        <f>VLOOKUP(A58,'[1]master plan '!$A:$M,13,0)</f>
        <v>#N/A</v>
      </c>
      <c r="I58" t="e">
        <f>VLOOKUP(A58,'[2]master plan '!$A:$L,12,0)</f>
        <v>#N/A</v>
      </c>
      <c r="J58" t="e">
        <f>VLOOKUP(A58,'[2]master plan '!$A:$V,20,0)</f>
        <v>#N/A</v>
      </c>
    </row>
    <row r="59" spans="1:10" ht="20.5" x14ac:dyDescent="0.35">
      <c r="A59" s="19"/>
      <c r="B59" s="18" t="e">
        <f>VLOOKUP(A59,'[3]W20-2026'!$A:$AL,8,0)</f>
        <v>#N/A</v>
      </c>
      <c r="C59" s="18" t="e">
        <f>VLOOKUP(A59,'[3]W20-2026'!$A:$AL,9,0)</f>
        <v>#N/A</v>
      </c>
      <c r="D59" t="e">
        <f>VLOOKUP(A59,'[2]master plan '!$A:$W,9,0)</f>
        <v>#N/A</v>
      </c>
      <c r="E59" t="e">
        <f>VLOOKUP(A59,'[2]master plan '!$A:$W,22,0)</f>
        <v>#N/A</v>
      </c>
      <c r="F59" s="18" t="e">
        <f t="shared" si="5"/>
        <v>#N/A</v>
      </c>
      <c r="G59" s="18" t="e">
        <f t="shared" si="6"/>
        <v>#N/A</v>
      </c>
      <c r="H59" t="e">
        <f>VLOOKUP(A59,'[1]master plan '!$A:$M,13,0)</f>
        <v>#N/A</v>
      </c>
      <c r="I59" t="e">
        <f>VLOOKUP(A59,'[2]master plan '!$A:$L,12,0)</f>
        <v>#N/A</v>
      </c>
      <c r="J59" t="e">
        <f>VLOOKUP(A59,'[2]master plan '!$A:$V,20,0)</f>
        <v>#N/A</v>
      </c>
    </row>
    <row r="60" spans="1:10" ht="20.5" x14ac:dyDescent="0.35">
      <c r="A60" s="19"/>
      <c r="B60" s="18" t="e">
        <f>VLOOKUP(A60,'[3]W20-2026'!$A:$AL,8,0)</f>
        <v>#N/A</v>
      </c>
      <c r="C60" s="18" t="e">
        <f>VLOOKUP(A60,'[3]W20-2026'!$A:$AL,9,0)</f>
        <v>#N/A</v>
      </c>
      <c r="D60" t="e">
        <f>VLOOKUP(A60,'[2]master plan '!$A:$W,9,0)</f>
        <v>#N/A</v>
      </c>
      <c r="E60" t="e">
        <f>VLOOKUP(A60,'[2]master plan '!$A:$W,22,0)</f>
        <v>#N/A</v>
      </c>
      <c r="F60" s="18" t="e">
        <f t="shared" si="5"/>
        <v>#N/A</v>
      </c>
      <c r="G60" s="18" t="e">
        <f t="shared" si="6"/>
        <v>#N/A</v>
      </c>
      <c r="H60" t="e">
        <f>VLOOKUP(A60,'[1]master plan '!$A:$M,13,0)</f>
        <v>#N/A</v>
      </c>
      <c r="I60" t="e">
        <f>VLOOKUP(A60,'[2]master plan '!$A:$L,12,0)</f>
        <v>#N/A</v>
      </c>
      <c r="J60" t="e">
        <f>VLOOKUP(A60,'[2]master plan '!$A:$V,20,0)</f>
        <v>#N/A</v>
      </c>
    </row>
    <row r="61" spans="1:10" ht="20.5" x14ac:dyDescent="0.35">
      <c r="A61" s="19"/>
      <c r="B61" s="18" t="e">
        <f>VLOOKUP(A61,'[3]W20-2026'!$A:$AL,8,0)</f>
        <v>#N/A</v>
      </c>
      <c r="C61" s="18" t="e">
        <f>VLOOKUP(A61,'[3]W20-2026'!$A:$AL,9,0)</f>
        <v>#N/A</v>
      </c>
      <c r="D61" t="e">
        <f>VLOOKUP(A61,'[2]master plan '!$A:$W,9,0)</f>
        <v>#N/A</v>
      </c>
      <c r="E61" t="e">
        <f>VLOOKUP(A61,'[2]master plan '!$A:$W,22,0)</f>
        <v>#N/A</v>
      </c>
      <c r="F61" s="18" t="e">
        <f t="shared" si="5"/>
        <v>#N/A</v>
      </c>
      <c r="G61" s="18" t="e">
        <f t="shared" si="6"/>
        <v>#N/A</v>
      </c>
      <c r="H61" t="e">
        <f>VLOOKUP(A61,'[1]master plan '!$A:$M,13,0)</f>
        <v>#N/A</v>
      </c>
      <c r="I61" t="e">
        <f>VLOOKUP(A61,'[2]master plan '!$A:$L,12,0)</f>
        <v>#N/A</v>
      </c>
      <c r="J61" t="e">
        <f>VLOOKUP(A61,'[2]master plan '!$A:$V,20,0)</f>
        <v>#N/A</v>
      </c>
    </row>
    <row r="62" spans="1:10" ht="20.5" x14ac:dyDescent="0.35">
      <c r="A62" s="19"/>
      <c r="B62" s="18" t="e">
        <f>VLOOKUP(A62,'[3]W20-2026'!$A:$AL,8,0)</f>
        <v>#N/A</v>
      </c>
      <c r="C62" s="18" t="e">
        <f>VLOOKUP(A62,'[3]W20-2026'!$A:$AL,9,0)</f>
        <v>#N/A</v>
      </c>
      <c r="D62" t="e">
        <f>VLOOKUP(A62,'[2]master plan '!$A:$W,9,0)</f>
        <v>#N/A</v>
      </c>
      <c r="E62" t="e">
        <f>VLOOKUP(A62,'[2]master plan '!$A:$W,22,0)</f>
        <v>#N/A</v>
      </c>
      <c r="F62" s="18" t="e">
        <f t="shared" si="5"/>
        <v>#N/A</v>
      </c>
      <c r="G62" s="18" t="e">
        <f t="shared" si="6"/>
        <v>#N/A</v>
      </c>
      <c r="H62" t="e">
        <f>VLOOKUP(A62,'[1]master plan '!$A:$M,13,0)</f>
        <v>#N/A</v>
      </c>
      <c r="I62" t="e">
        <f>VLOOKUP(A62,'[2]master plan '!$A:$L,12,0)</f>
        <v>#N/A</v>
      </c>
      <c r="J62" t="e">
        <f>VLOOKUP(A62,'[2]master plan '!$A:$V,20,0)</f>
        <v>#N/A</v>
      </c>
    </row>
    <row r="63" spans="1:10" ht="20.5" x14ac:dyDescent="0.35">
      <c r="A63" s="19"/>
      <c r="B63" s="18" t="e">
        <f>VLOOKUP(A63,'[3]W20-2026'!$A:$AL,8,0)</f>
        <v>#N/A</v>
      </c>
      <c r="C63" s="18" t="e">
        <f>VLOOKUP(A63,'[3]W20-2026'!$A:$AL,9,0)</f>
        <v>#N/A</v>
      </c>
      <c r="D63" t="e">
        <f>VLOOKUP(A63,'[2]master plan '!$A:$W,9,0)</f>
        <v>#N/A</v>
      </c>
      <c r="E63" t="e">
        <f>VLOOKUP(A63,'[2]master plan '!$A:$W,22,0)</f>
        <v>#N/A</v>
      </c>
      <c r="F63" s="18" t="e">
        <f t="shared" si="5"/>
        <v>#N/A</v>
      </c>
      <c r="G63" s="18" t="e">
        <f t="shared" si="6"/>
        <v>#N/A</v>
      </c>
      <c r="H63" t="e">
        <f>VLOOKUP(A63,'[1]master plan '!$A:$M,13,0)</f>
        <v>#N/A</v>
      </c>
      <c r="I63" t="e">
        <f>VLOOKUP(A63,'[2]master plan '!$A:$L,12,0)</f>
        <v>#N/A</v>
      </c>
      <c r="J63" t="e">
        <f>VLOOKUP(A63,'[2]master plan '!$A:$V,20,0)</f>
        <v>#N/A</v>
      </c>
    </row>
    <row r="64" spans="1:10" ht="20.5" x14ac:dyDescent="0.35">
      <c r="A64" s="19"/>
      <c r="B64" s="18" t="e">
        <f>VLOOKUP(A64,'[3]W20-2026'!$A:$AL,8,0)</f>
        <v>#N/A</v>
      </c>
      <c r="C64" s="18" t="e">
        <f>VLOOKUP(A64,'[3]W20-2026'!$A:$AL,9,0)</f>
        <v>#N/A</v>
      </c>
      <c r="D64" t="e">
        <f>VLOOKUP(A64,'[2]master plan '!$A:$W,9,0)</f>
        <v>#N/A</v>
      </c>
      <c r="E64" t="e">
        <f>VLOOKUP(A64,'[2]master plan '!$A:$W,22,0)</f>
        <v>#N/A</v>
      </c>
      <c r="F64" s="18" t="e">
        <f t="shared" si="5"/>
        <v>#N/A</v>
      </c>
      <c r="G64" s="18" t="e">
        <f t="shared" si="6"/>
        <v>#N/A</v>
      </c>
      <c r="H64" t="e">
        <f>VLOOKUP(A64,'[1]master plan '!$A:$M,13,0)</f>
        <v>#N/A</v>
      </c>
      <c r="I64" t="e">
        <f>VLOOKUP(A64,'[2]master plan '!$A:$L,12,0)</f>
        <v>#N/A</v>
      </c>
      <c r="J64" t="e">
        <f>VLOOKUP(A64,'[2]master plan '!$A:$V,20,0)</f>
        <v>#N/A</v>
      </c>
    </row>
    <row r="65" spans="1:10" ht="20.5" x14ac:dyDescent="0.35">
      <c r="A65" s="19"/>
      <c r="B65" s="18" t="e">
        <f>VLOOKUP(A65,'[3]W20-2026'!$A:$AL,8,0)</f>
        <v>#N/A</v>
      </c>
      <c r="C65" s="18" t="e">
        <f>VLOOKUP(A65,'[3]W20-2026'!$A:$AL,9,0)</f>
        <v>#N/A</v>
      </c>
      <c r="D65" t="e">
        <f>VLOOKUP(A65,'[2]master plan '!$A:$W,9,0)</f>
        <v>#N/A</v>
      </c>
      <c r="E65" t="e">
        <f>VLOOKUP(A65,'[2]master plan '!$A:$W,22,0)</f>
        <v>#N/A</v>
      </c>
      <c r="F65" s="18" t="e">
        <f t="shared" si="5"/>
        <v>#N/A</v>
      </c>
      <c r="G65" s="18" t="e">
        <f t="shared" si="6"/>
        <v>#N/A</v>
      </c>
      <c r="H65" t="e">
        <f>VLOOKUP(A65,'[1]master plan '!$A:$M,13,0)</f>
        <v>#N/A</v>
      </c>
      <c r="I65" t="e">
        <f>VLOOKUP(A65,'[2]master plan '!$A:$L,12,0)</f>
        <v>#N/A</v>
      </c>
      <c r="J65" t="e">
        <f>VLOOKUP(A65,'[2]master plan '!$A:$V,20,0)</f>
        <v>#N/A</v>
      </c>
    </row>
    <row r="66" spans="1:10" ht="20.5" x14ac:dyDescent="0.35">
      <c r="A66" s="19"/>
      <c r="B66" s="18" t="e">
        <f>VLOOKUP(A66,'[3]W20-2026'!$A:$AL,8,0)</f>
        <v>#N/A</v>
      </c>
      <c r="C66" s="18" t="e">
        <f>VLOOKUP(A66,'[3]W20-2026'!$A:$AL,9,0)</f>
        <v>#N/A</v>
      </c>
      <c r="D66" t="e">
        <f>VLOOKUP(A66,'[2]master plan '!$A:$W,9,0)</f>
        <v>#N/A</v>
      </c>
      <c r="E66" t="e">
        <f>VLOOKUP(A66,'[2]master plan '!$A:$W,22,0)</f>
        <v>#N/A</v>
      </c>
      <c r="F66" s="18" t="e">
        <f t="shared" si="5"/>
        <v>#N/A</v>
      </c>
      <c r="G66" s="18" t="e">
        <f t="shared" si="6"/>
        <v>#N/A</v>
      </c>
      <c r="H66" t="e">
        <f>VLOOKUP(A66,'[1]master plan '!$A:$M,13,0)</f>
        <v>#N/A</v>
      </c>
      <c r="I66" t="e">
        <f>VLOOKUP(A66,'[2]master plan '!$A:$L,12,0)</f>
        <v>#N/A</v>
      </c>
      <c r="J66" t="e">
        <f>VLOOKUP(A66,'[2]master plan '!$A:$V,20,0)</f>
        <v>#N/A</v>
      </c>
    </row>
    <row r="67" spans="1:10" ht="20.5" x14ac:dyDescent="0.35">
      <c r="A67" s="19"/>
      <c r="B67" s="18" t="e">
        <f>VLOOKUP(A67,'[3]W20-2026'!$A:$AL,8,0)</f>
        <v>#N/A</v>
      </c>
      <c r="C67" s="18" t="e">
        <f>VLOOKUP(A67,'[3]W20-2026'!$A:$AL,9,0)</f>
        <v>#N/A</v>
      </c>
      <c r="D67" t="e">
        <f>VLOOKUP(A67,'[2]master plan '!$A:$W,9,0)</f>
        <v>#N/A</v>
      </c>
      <c r="E67" t="e">
        <f>VLOOKUP(A67,'[2]master plan '!$A:$W,22,0)</f>
        <v>#N/A</v>
      </c>
      <c r="F67" s="18" t="e">
        <f t="shared" si="5"/>
        <v>#N/A</v>
      </c>
      <c r="G67" s="18" t="e">
        <f t="shared" si="6"/>
        <v>#N/A</v>
      </c>
      <c r="H67" t="e">
        <f>VLOOKUP(A67,'[1]master plan '!$A:$M,13,0)</f>
        <v>#N/A</v>
      </c>
      <c r="I67" t="e">
        <f>VLOOKUP(A67,'[2]master plan '!$A:$L,12,0)</f>
        <v>#N/A</v>
      </c>
      <c r="J67" t="e">
        <f>VLOOKUP(A67,'[2]master plan '!$A:$V,20,0)</f>
        <v>#N/A</v>
      </c>
    </row>
    <row r="68" spans="1:10" ht="20.5" x14ac:dyDescent="0.35">
      <c r="A68" s="19"/>
      <c r="B68" s="18" t="e">
        <f>VLOOKUP(A68,'[3]W20-2026'!$A:$AL,8,0)</f>
        <v>#N/A</v>
      </c>
      <c r="C68" s="18" t="e">
        <f>VLOOKUP(A68,'[3]W20-2026'!$A:$AL,9,0)</f>
        <v>#N/A</v>
      </c>
      <c r="D68" t="e">
        <f>VLOOKUP(A68,'[2]master plan '!$A:$W,9,0)</f>
        <v>#N/A</v>
      </c>
      <c r="E68" t="e">
        <f>VLOOKUP(A68,'[2]master plan '!$A:$W,22,0)</f>
        <v>#N/A</v>
      </c>
      <c r="F68" s="18" t="e">
        <f t="shared" si="5"/>
        <v>#N/A</v>
      </c>
      <c r="G68" s="18" t="e">
        <f t="shared" si="6"/>
        <v>#N/A</v>
      </c>
      <c r="H68" t="e">
        <f>VLOOKUP(A68,'[1]master plan '!$A:$M,13,0)</f>
        <v>#N/A</v>
      </c>
      <c r="I68" t="e">
        <f>VLOOKUP(A68,'[2]master plan '!$A:$L,12,0)</f>
        <v>#N/A</v>
      </c>
      <c r="J68" t="e">
        <f>VLOOKUP(A68,'[2]master plan '!$A:$V,20,0)</f>
        <v>#N/A</v>
      </c>
    </row>
    <row r="69" spans="1:10" ht="20.5" x14ac:dyDescent="0.35">
      <c r="A69" s="19"/>
      <c r="B69" s="18" t="e">
        <f>VLOOKUP(A69,'[3]W20-2026'!$A:$AL,8,0)</f>
        <v>#N/A</v>
      </c>
      <c r="C69" s="18" t="e">
        <f>VLOOKUP(A69,'[3]W20-2026'!$A:$AL,9,0)</f>
        <v>#N/A</v>
      </c>
      <c r="D69" t="e">
        <f>VLOOKUP(A69,'[2]master plan '!$A:$W,9,0)</f>
        <v>#N/A</v>
      </c>
      <c r="E69" t="e">
        <f>VLOOKUP(A69,'[2]master plan '!$A:$W,22,0)</f>
        <v>#N/A</v>
      </c>
      <c r="F69" s="18" t="e">
        <f t="shared" si="5"/>
        <v>#N/A</v>
      </c>
      <c r="G69" s="18" t="e">
        <f t="shared" si="6"/>
        <v>#N/A</v>
      </c>
      <c r="H69" t="e">
        <f>VLOOKUP(A69,'[1]master plan '!$A:$M,13,0)</f>
        <v>#N/A</v>
      </c>
      <c r="I69" t="e">
        <f>VLOOKUP(A69,'[2]master plan '!$A:$L,12,0)</f>
        <v>#N/A</v>
      </c>
      <c r="J69" t="e">
        <f>VLOOKUP(A69,'[2]master plan '!$A:$V,20,0)</f>
        <v>#N/A</v>
      </c>
    </row>
    <row r="70" spans="1:10" ht="20.5" x14ac:dyDescent="0.35">
      <c r="A70" s="19"/>
      <c r="B70" s="18" t="e">
        <f>VLOOKUP(A70,'[3]W20-2026'!$A:$AL,8,0)</f>
        <v>#N/A</v>
      </c>
      <c r="C70" s="18" t="e">
        <f>VLOOKUP(A70,'[3]W20-2026'!$A:$AL,9,0)</f>
        <v>#N/A</v>
      </c>
      <c r="D70" t="e">
        <f>VLOOKUP(A70,'[2]master plan '!$A:$W,9,0)</f>
        <v>#N/A</v>
      </c>
      <c r="E70" t="e">
        <f>VLOOKUP(A70,'[2]master plan '!$A:$W,22,0)</f>
        <v>#N/A</v>
      </c>
      <c r="F70" s="18" t="e">
        <f t="shared" si="5"/>
        <v>#N/A</v>
      </c>
      <c r="G70" s="18" t="e">
        <f t="shared" si="6"/>
        <v>#N/A</v>
      </c>
      <c r="H70" t="e">
        <f>VLOOKUP(A70,'[1]master plan '!$A:$M,13,0)</f>
        <v>#N/A</v>
      </c>
      <c r="I70" t="e">
        <f>VLOOKUP(A70,'[2]master plan '!$A:$L,12,0)</f>
        <v>#N/A</v>
      </c>
      <c r="J70" t="e">
        <f>VLOOKUP(A70,'[2]master plan '!$A:$V,20,0)</f>
        <v>#N/A</v>
      </c>
    </row>
    <row r="71" spans="1:10" ht="20.5" x14ac:dyDescent="0.35">
      <c r="A71" s="19"/>
      <c r="B71" s="18" t="e">
        <f>VLOOKUP(A71,'[3]W20-2026'!$A:$AL,8,0)</f>
        <v>#N/A</v>
      </c>
      <c r="C71" s="18" t="e">
        <f>VLOOKUP(A71,'[3]W20-2026'!$A:$AL,9,0)</f>
        <v>#N/A</v>
      </c>
      <c r="D71" t="e">
        <f>VLOOKUP(A71,'[2]master plan '!$A:$W,9,0)</f>
        <v>#N/A</v>
      </c>
      <c r="E71" t="e">
        <f>VLOOKUP(A71,'[2]master plan '!$A:$W,22,0)</f>
        <v>#N/A</v>
      </c>
      <c r="F71" s="18" t="e">
        <f t="shared" si="5"/>
        <v>#N/A</v>
      </c>
      <c r="G71" s="18" t="e">
        <f t="shared" si="6"/>
        <v>#N/A</v>
      </c>
      <c r="H71" t="e">
        <f>VLOOKUP(A71,'[1]master plan '!$A:$M,13,0)</f>
        <v>#N/A</v>
      </c>
      <c r="I71" t="e">
        <f>VLOOKUP(A71,'[2]master plan '!$A:$L,12,0)</f>
        <v>#N/A</v>
      </c>
      <c r="J71" t="e">
        <f>VLOOKUP(A71,'[2]master plan '!$A:$V,20,0)</f>
        <v>#N/A</v>
      </c>
    </row>
    <row r="72" spans="1:10" ht="20.5" x14ac:dyDescent="0.35">
      <c r="A72" s="19"/>
      <c r="B72" s="18" t="e">
        <f>VLOOKUP(A72,'[3]W20-2026'!$A:$AL,8,0)</f>
        <v>#N/A</v>
      </c>
      <c r="C72" s="18" t="e">
        <f>VLOOKUP(A72,'[3]W20-2026'!$A:$AL,9,0)</f>
        <v>#N/A</v>
      </c>
      <c r="D72" t="e">
        <f>VLOOKUP(A72,'[2]master plan '!$A:$W,9,0)</f>
        <v>#N/A</v>
      </c>
      <c r="E72" t="e">
        <f>VLOOKUP(A72,'[2]master plan '!$A:$W,22,0)</f>
        <v>#N/A</v>
      </c>
      <c r="F72" s="18" t="e">
        <f t="shared" si="5"/>
        <v>#N/A</v>
      </c>
      <c r="G72" s="18" t="e">
        <f t="shared" si="6"/>
        <v>#N/A</v>
      </c>
      <c r="H72" t="e">
        <f>VLOOKUP(A72,'[1]master plan '!$A:$M,13,0)</f>
        <v>#N/A</v>
      </c>
      <c r="I72" t="e">
        <f>VLOOKUP(A72,'[2]master plan '!$A:$L,12,0)</f>
        <v>#N/A</v>
      </c>
      <c r="J72" t="e">
        <f>VLOOKUP(A72,'[2]master plan '!$A:$V,20,0)</f>
        <v>#N/A</v>
      </c>
    </row>
    <row r="73" spans="1:10" ht="20.5" x14ac:dyDescent="0.35">
      <c r="A73" s="19"/>
      <c r="B73" s="18" t="e">
        <f>VLOOKUP(A73,'[3]W20-2026'!$A:$AL,8,0)</f>
        <v>#N/A</v>
      </c>
      <c r="C73" s="18" t="e">
        <f>VLOOKUP(A73,'[3]W20-2026'!$A:$AL,9,0)</f>
        <v>#N/A</v>
      </c>
      <c r="D73" t="e">
        <f>VLOOKUP(A73,'[2]master plan '!$A:$W,9,0)</f>
        <v>#N/A</v>
      </c>
      <c r="E73" t="e">
        <f>VLOOKUP(A73,'[2]master plan '!$A:$W,22,0)</f>
        <v>#N/A</v>
      </c>
      <c r="F73" s="18" t="e">
        <f t="shared" si="5"/>
        <v>#N/A</v>
      </c>
      <c r="G73" s="18" t="e">
        <f t="shared" si="6"/>
        <v>#N/A</v>
      </c>
      <c r="H73" t="e">
        <f>VLOOKUP(A73,'[1]master plan '!$A:$M,13,0)</f>
        <v>#N/A</v>
      </c>
      <c r="I73" t="e">
        <f>VLOOKUP(A73,'[2]master plan '!$A:$L,12,0)</f>
        <v>#N/A</v>
      </c>
      <c r="J73" t="e">
        <f>VLOOKUP(A73,'[2]master plan '!$A:$V,20,0)</f>
        <v>#N/A</v>
      </c>
    </row>
    <row r="74" spans="1:10" ht="20.5" x14ac:dyDescent="0.35">
      <c r="A74" s="19"/>
      <c r="B74" s="18" t="e">
        <f>VLOOKUP(A74,'[3]W20-2026'!$A:$AL,8,0)</f>
        <v>#N/A</v>
      </c>
      <c r="C74" s="18" t="e">
        <f>VLOOKUP(A74,'[3]W20-2026'!$A:$AL,9,0)</f>
        <v>#N/A</v>
      </c>
      <c r="D74" t="e">
        <f>VLOOKUP(A74,'[2]master plan '!$A:$W,9,0)</f>
        <v>#N/A</v>
      </c>
      <c r="E74" t="e">
        <f>VLOOKUP(A74,'[2]master plan '!$A:$W,22,0)</f>
        <v>#N/A</v>
      </c>
      <c r="F74" s="18" t="e">
        <f t="shared" si="5"/>
        <v>#N/A</v>
      </c>
      <c r="G74" s="18" t="e">
        <f t="shared" si="6"/>
        <v>#N/A</v>
      </c>
      <c r="H74" t="e">
        <f>VLOOKUP(A74,'[1]master plan '!$A:$M,13,0)</f>
        <v>#N/A</v>
      </c>
      <c r="I74" t="e">
        <f>VLOOKUP(A74,'[2]master plan '!$A:$L,12,0)</f>
        <v>#N/A</v>
      </c>
      <c r="J74" t="e">
        <f>VLOOKUP(A74,'[2]master plan '!$A:$V,20,0)</f>
        <v>#N/A</v>
      </c>
    </row>
    <row r="75" spans="1:10" ht="20.5" x14ac:dyDescent="0.35">
      <c r="A75" s="19"/>
      <c r="B75" s="18" t="e">
        <f>VLOOKUP(A75,'[3]W20-2026'!$A:$AL,8,0)</f>
        <v>#N/A</v>
      </c>
      <c r="C75" s="18" t="e">
        <f>VLOOKUP(A75,'[3]W20-2026'!$A:$AL,9,0)</f>
        <v>#N/A</v>
      </c>
      <c r="D75" t="e">
        <f>VLOOKUP(A75,'[2]master plan '!$A:$W,9,0)</f>
        <v>#N/A</v>
      </c>
      <c r="E75" t="e">
        <f>VLOOKUP(A75,'[2]master plan '!$A:$W,22,0)</f>
        <v>#N/A</v>
      </c>
      <c r="F75" s="18" t="e">
        <f t="shared" si="5"/>
        <v>#N/A</v>
      </c>
      <c r="G75" s="18" t="e">
        <f t="shared" si="6"/>
        <v>#N/A</v>
      </c>
      <c r="H75" t="e">
        <f>VLOOKUP(A75,'[1]master plan '!$A:$M,13,0)</f>
        <v>#N/A</v>
      </c>
      <c r="I75" t="e">
        <f>VLOOKUP(A75,'[2]master plan '!$A:$L,12,0)</f>
        <v>#N/A</v>
      </c>
      <c r="J75" t="e">
        <f>VLOOKUP(A75,'[2]master plan '!$A:$V,20,0)</f>
        <v>#N/A</v>
      </c>
    </row>
    <row r="76" spans="1:10" ht="20.5" x14ac:dyDescent="0.35">
      <c r="A76" s="19"/>
      <c r="B76" s="18" t="e">
        <f>VLOOKUP(A76,'[3]W20-2026'!$A:$AL,8,0)</f>
        <v>#N/A</v>
      </c>
      <c r="C76" s="18" t="e">
        <f>VLOOKUP(A76,'[3]W20-2026'!$A:$AL,9,0)</f>
        <v>#N/A</v>
      </c>
      <c r="D76" t="e">
        <f>VLOOKUP(A76,'[2]master plan '!$A:$W,9,0)</f>
        <v>#N/A</v>
      </c>
      <c r="E76" t="e">
        <f>VLOOKUP(A76,'[2]master plan '!$A:$W,22,0)</f>
        <v>#N/A</v>
      </c>
      <c r="F76" s="18" t="e">
        <f t="shared" si="5"/>
        <v>#N/A</v>
      </c>
      <c r="G76" s="18" t="e">
        <f t="shared" si="6"/>
        <v>#N/A</v>
      </c>
      <c r="H76" t="e">
        <f>VLOOKUP(A76,'[1]master plan '!$A:$M,13,0)</f>
        <v>#N/A</v>
      </c>
      <c r="I76" t="e">
        <f>VLOOKUP(A76,'[2]master plan '!$A:$L,12,0)</f>
        <v>#N/A</v>
      </c>
      <c r="J76" t="e">
        <f>VLOOKUP(A76,'[2]master plan '!$A:$V,20,0)</f>
        <v>#N/A</v>
      </c>
    </row>
    <row r="77" spans="1:10" ht="20.5" x14ac:dyDescent="0.35">
      <c r="A77" s="19"/>
      <c r="B77" s="18" t="e">
        <f>VLOOKUP(A77,'[3]W20-2026'!$A:$AL,8,0)</f>
        <v>#N/A</v>
      </c>
      <c r="C77" s="18" t="e">
        <f>VLOOKUP(A77,'[3]W20-2026'!$A:$AL,9,0)</f>
        <v>#N/A</v>
      </c>
      <c r="D77" t="e">
        <f>VLOOKUP(A77,'[2]master plan '!$A:$W,9,0)</f>
        <v>#N/A</v>
      </c>
      <c r="E77" t="e">
        <f>VLOOKUP(A77,'[2]master plan '!$A:$W,22,0)</f>
        <v>#N/A</v>
      </c>
      <c r="F77" s="18" t="e">
        <f t="shared" si="5"/>
        <v>#N/A</v>
      </c>
      <c r="G77" s="18" t="e">
        <f t="shared" si="6"/>
        <v>#N/A</v>
      </c>
      <c r="H77" t="e">
        <f>VLOOKUP(A77,'[1]master plan '!$A:$M,13,0)</f>
        <v>#N/A</v>
      </c>
      <c r="I77" t="e">
        <f>VLOOKUP(A77,'[2]master plan '!$A:$L,12,0)</f>
        <v>#N/A</v>
      </c>
      <c r="J77" t="e">
        <f>VLOOKUP(A77,'[2]master plan '!$A:$V,20,0)</f>
        <v>#N/A</v>
      </c>
    </row>
    <row r="78" spans="1:10" ht="20.5" x14ac:dyDescent="0.35">
      <c r="A78" s="19"/>
      <c r="B78" s="18" t="e">
        <f>VLOOKUP(A78,'[3]W20-2026'!$A:$AL,8,0)</f>
        <v>#N/A</v>
      </c>
      <c r="C78" s="18" t="e">
        <f>VLOOKUP(A78,'[3]W20-2026'!$A:$AL,9,0)</f>
        <v>#N/A</v>
      </c>
      <c r="D78" t="e">
        <f>VLOOKUP(A78,'[2]master plan '!$A:$W,9,0)</f>
        <v>#N/A</v>
      </c>
      <c r="E78" t="e">
        <f>VLOOKUP(A78,'[2]master plan '!$A:$W,22,0)</f>
        <v>#N/A</v>
      </c>
      <c r="F78" s="18" t="e">
        <f t="shared" si="5"/>
        <v>#N/A</v>
      </c>
      <c r="G78" s="18" t="e">
        <f t="shared" si="6"/>
        <v>#N/A</v>
      </c>
      <c r="H78" t="e">
        <f>VLOOKUP(A78,'[1]master plan '!$A:$M,13,0)</f>
        <v>#N/A</v>
      </c>
      <c r="I78" t="e">
        <f>VLOOKUP(A78,'[2]master plan '!$A:$L,12,0)</f>
        <v>#N/A</v>
      </c>
      <c r="J78" t="e">
        <f>VLOOKUP(A78,'[2]master plan '!$A:$V,20,0)</f>
        <v>#N/A</v>
      </c>
    </row>
    <row r="79" spans="1:10" ht="20.5" x14ac:dyDescent="0.35">
      <c r="A79" s="19"/>
      <c r="B79" s="18" t="e">
        <f>VLOOKUP(A79,'[3]W20-2026'!$A:$AL,8,0)</f>
        <v>#N/A</v>
      </c>
      <c r="C79" s="18" t="e">
        <f>VLOOKUP(A79,'[3]W20-2026'!$A:$AL,9,0)</f>
        <v>#N/A</v>
      </c>
      <c r="D79" t="e">
        <f>VLOOKUP(A79,'[2]master plan '!$A:$W,9,0)</f>
        <v>#N/A</v>
      </c>
      <c r="E79" t="e">
        <f>VLOOKUP(A79,'[2]master plan '!$A:$W,22,0)</f>
        <v>#N/A</v>
      </c>
      <c r="F79" s="18" t="e">
        <f t="shared" si="5"/>
        <v>#N/A</v>
      </c>
      <c r="G79" s="18" t="e">
        <f t="shared" si="6"/>
        <v>#N/A</v>
      </c>
      <c r="H79" t="e">
        <f>VLOOKUP(A79,'[1]master plan '!$A:$M,13,0)</f>
        <v>#N/A</v>
      </c>
      <c r="I79" t="e">
        <f>VLOOKUP(A79,'[2]master plan '!$A:$L,12,0)</f>
        <v>#N/A</v>
      </c>
      <c r="J79" t="e">
        <f>VLOOKUP(A79,'[2]master plan '!$A:$V,20,0)</f>
        <v>#N/A</v>
      </c>
    </row>
    <row r="80" spans="1:10" ht="20.5" x14ac:dyDescent="0.35">
      <c r="A80" s="19"/>
      <c r="B80" s="18" t="e">
        <f>VLOOKUP(A80,'[3]W20-2026'!$A:$AL,8,0)</f>
        <v>#N/A</v>
      </c>
      <c r="C80" s="18" t="e">
        <f>VLOOKUP(A80,'[3]W20-2026'!$A:$AL,9,0)</f>
        <v>#N/A</v>
      </c>
      <c r="D80" t="e">
        <f>VLOOKUP(A80,'[2]master plan '!$A:$W,9,0)</f>
        <v>#N/A</v>
      </c>
      <c r="E80" t="e">
        <f>VLOOKUP(A80,'[2]master plan '!$A:$W,22,0)</f>
        <v>#N/A</v>
      </c>
      <c r="F80" s="18" t="e">
        <f t="shared" si="5"/>
        <v>#N/A</v>
      </c>
      <c r="G80" s="18" t="e">
        <f t="shared" si="6"/>
        <v>#N/A</v>
      </c>
      <c r="H80" t="e">
        <f>VLOOKUP(A80,'[1]master plan '!$A:$M,13,0)</f>
        <v>#N/A</v>
      </c>
      <c r="I80" t="e">
        <f>VLOOKUP(A80,'[2]master plan '!$A:$L,12,0)</f>
        <v>#N/A</v>
      </c>
      <c r="J80" t="e">
        <f>VLOOKUP(A80,'[2]master plan '!$A:$V,20,0)</f>
        <v>#N/A</v>
      </c>
    </row>
    <row r="81" spans="1:10" ht="20.5" x14ac:dyDescent="0.35">
      <c r="A81" s="19"/>
      <c r="B81" s="18" t="e">
        <f>VLOOKUP(A81,'[3]W20-2026'!$A:$AL,8,0)</f>
        <v>#N/A</v>
      </c>
      <c r="C81" s="18" t="e">
        <f>VLOOKUP(A81,'[3]W20-2026'!$A:$AL,9,0)</f>
        <v>#N/A</v>
      </c>
      <c r="D81" t="e">
        <f>VLOOKUP(A81,'[2]master plan '!$A:$W,9,0)</f>
        <v>#N/A</v>
      </c>
      <c r="E81" t="e">
        <f>VLOOKUP(A81,'[2]master plan '!$A:$W,22,0)</f>
        <v>#N/A</v>
      </c>
      <c r="F81" s="18" t="e">
        <f t="shared" si="5"/>
        <v>#N/A</v>
      </c>
      <c r="G81" s="18" t="e">
        <f t="shared" si="6"/>
        <v>#N/A</v>
      </c>
      <c r="H81" t="e">
        <f>VLOOKUP(A81,'[1]master plan '!$A:$M,13,0)</f>
        <v>#N/A</v>
      </c>
      <c r="I81" t="e">
        <f>VLOOKUP(A81,'[2]master plan '!$A:$L,12,0)</f>
        <v>#N/A</v>
      </c>
      <c r="J81" t="e">
        <f>VLOOKUP(A81,'[2]master plan '!$A:$V,20,0)</f>
        <v>#N/A</v>
      </c>
    </row>
    <row r="82" spans="1:10" ht="20.5" x14ac:dyDescent="0.35">
      <c r="A82" s="19"/>
      <c r="B82" s="18" t="e">
        <f>VLOOKUP(A82,'[3]W20-2026'!$A:$AL,8,0)</f>
        <v>#N/A</v>
      </c>
      <c r="C82" s="18" t="e">
        <f>VLOOKUP(A82,'[3]W20-2026'!$A:$AL,9,0)</f>
        <v>#N/A</v>
      </c>
      <c r="D82" t="e">
        <f>VLOOKUP(A82,'[2]master plan '!$A:$W,9,0)</f>
        <v>#N/A</v>
      </c>
      <c r="E82" t="e">
        <f>VLOOKUP(A82,'[2]master plan '!$A:$W,22,0)</f>
        <v>#N/A</v>
      </c>
      <c r="F82" s="18" t="e">
        <f t="shared" si="5"/>
        <v>#N/A</v>
      </c>
      <c r="G82" s="18" t="e">
        <f t="shared" si="6"/>
        <v>#N/A</v>
      </c>
      <c r="H82" t="e">
        <f>VLOOKUP(A82,'[1]master plan '!$A:$M,13,0)</f>
        <v>#N/A</v>
      </c>
      <c r="I82" t="e">
        <f>VLOOKUP(A82,'[2]master plan '!$A:$L,12,0)</f>
        <v>#N/A</v>
      </c>
      <c r="J82" t="e">
        <f>VLOOKUP(A82,'[2]master plan '!$A:$V,20,0)</f>
        <v>#N/A</v>
      </c>
    </row>
    <row r="83" spans="1:10" ht="20.5" x14ac:dyDescent="0.35">
      <c r="A83" s="19"/>
      <c r="B83" s="18" t="e">
        <f>VLOOKUP(A83,'[3]W20-2026'!$A:$AL,8,0)</f>
        <v>#N/A</v>
      </c>
      <c r="C83" s="18" t="e">
        <f>VLOOKUP(A83,'[3]W20-2026'!$A:$AL,9,0)</f>
        <v>#N/A</v>
      </c>
      <c r="D83" t="e">
        <f>VLOOKUP(A83,'[2]master plan '!$A:$W,9,0)</f>
        <v>#N/A</v>
      </c>
      <c r="E83" t="e">
        <f>VLOOKUP(A83,'[2]master plan '!$A:$W,22,0)</f>
        <v>#N/A</v>
      </c>
      <c r="F83" s="18" t="e">
        <f t="shared" si="5"/>
        <v>#N/A</v>
      </c>
      <c r="G83" s="18" t="e">
        <f t="shared" si="6"/>
        <v>#N/A</v>
      </c>
      <c r="H83" t="e">
        <f>VLOOKUP(A83,'[1]master plan '!$A:$M,13,0)</f>
        <v>#N/A</v>
      </c>
      <c r="I83" t="e">
        <f>VLOOKUP(A83,'[2]master plan '!$A:$L,12,0)</f>
        <v>#N/A</v>
      </c>
      <c r="J83" t="e">
        <f>VLOOKUP(A83,'[2]master plan '!$A:$V,20,0)</f>
        <v>#N/A</v>
      </c>
    </row>
    <row r="84" spans="1:10" ht="20.5" x14ac:dyDescent="0.35">
      <c r="A84" s="19"/>
      <c r="B84" s="18" t="e">
        <f>VLOOKUP(A84,'[3]W20-2026'!$A:$AL,8,0)</f>
        <v>#N/A</v>
      </c>
      <c r="C84" s="18" t="e">
        <f>VLOOKUP(A84,'[3]W20-2026'!$A:$AL,9,0)</f>
        <v>#N/A</v>
      </c>
      <c r="D84" t="e">
        <f>VLOOKUP(A84,'[2]master plan '!$A:$W,9,0)</f>
        <v>#N/A</v>
      </c>
      <c r="E84" t="e">
        <f>VLOOKUP(A84,'[2]master plan '!$A:$W,22,0)</f>
        <v>#N/A</v>
      </c>
      <c r="F84" s="18" t="e">
        <f t="shared" si="5"/>
        <v>#N/A</v>
      </c>
      <c r="G84" s="18" t="e">
        <f t="shared" si="6"/>
        <v>#N/A</v>
      </c>
      <c r="H84" t="e">
        <f>VLOOKUP(A84,'[1]master plan '!$A:$M,13,0)</f>
        <v>#N/A</v>
      </c>
      <c r="I84" t="e">
        <f>VLOOKUP(A84,'[2]master plan '!$A:$L,12,0)</f>
        <v>#N/A</v>
      </c>
      <c r="J84" t="e">
        <f>VLOOKUP(A84,'[2]master plan '!$A:$V,20,0)</f>
        <v>#N/A</v>
      </c>
    </row>
    <row r="85" spans="1:10" ht="20.5" x14ac:dyDescent="0.35">
      <c r="A85" s="19"/>
      <c r="B85" s="18" t="e">
        <f>VLOOKUP(A85,'[3]W20-2026'!$A:$AL,8,0)</f>
        <v>#N/A</v>
      </c>
      <c r="C85" s="18" t="e">
        <f>VLOOKUP(A85,'[3]W20-2026'!$A:$AL,9,0)</f>
        <v>#N/A</v>
      </c>
      <c r="D85" t="e">
        <f>VLOOKUP(A85,'[2]master plan '!$A:$W,9,0)</f>
        <v>#N/A</v>
      </c>
      <c r="E85" t="e">
        <f>VLOOKUP(A85,'[2]master plan '!$A:$W,22,0)</f>
        <v>#N/A</v>
      </c>
      <c r="F85" s="18" t="e">
        <f t="shared" si="5"/>
        <v>#N/A</v>
      </c>
      <c r="G85" s="18" t="e">
        <f t="shared" si="6"/>
        <v>#N/A</v>
      </c>
      <c r="H85" t="e">
        <f>VLOOKUP(A85,'[1]master plan '!$A:$M,13,0)</f>
        <v>#N/A</v>
      </c>
      <c r="I85" t="e">
        <f>VLOOKUP(A85,'[2]master plan '!$A:$L,12,0)</f>
        <v>#N/A</v>
      </c>
      <c r="J85" t="e">
        <f>VLOOKUP(A85,'[2]master plan '!$A:$V,20,0)</f>
        <v>#N/A</v>
      </c>
    </row>
    <row r="86" spans="1:10" ht="20.5" x14ac:dyDescent="0.35">
      <c r="A86" s="19"/>
      <c r="B86" s="18" t="e">
        <f>VLOOKUP(A86,'[3]W20-2026'!$A:$AL,8,0)</f>
        <v>#N/A</v>
      </c>
      <c r="C86" s="18" t="e">
        <f>VLOOKUP(A86,'[3]W20-2026'!$A:$AL,9,0)</f>
        <v>#N/A</v>
      </c>
      <c r="D86" t="e">
        <f>VLOOKUP(A86,'[2]master plan '!$A:$W,9,0)</f>
        <v>#N/A</v>
      </c>
      <c r="E86" t="e">
        <f>VLOOKUP(A86,'[2]master plan '!$A:$W,22,0)</f>
        <v>#N/A</v>
      </c>
      <c r="F86" s="18" t="e">
        <f t="shared" si="5"/>
        <v>#N/A</v>
      </c>
      <c r="G86" s="18" t="e">
        <f t="shared" si="6"/>
        <v>#N/A</v>
      </c>
      <c r="H86" t="e">
        <f>VLOOKUP(A86,'[1]master plan '!$A:$M,13,0)</f>
        <v>#N/A</v>
      </c>
      <c r="I86" t="e">
        <f>VLOOKUP(A86,'[2]master plan '!$A:$L,12,0)</f>
        <v>#N/A</v>
      </c>
      <c r="J86" t="e">
        <f>VLOOKUP(A86,'[2]master plan '!$A:$V,20,0)</f>
        <v>#N/A</v>
      </c>
    </row>
    <row r="87" spans="1:10" ht="20.5" x14ac:dyDescent="0.35">
      <c r="A87" s="19"/>
      <c r="B87" s="18" t="e">
        <f>VLOOKUP(A87,'[3]W20-2026'!$A:$AL,8,0)</f>
        <v>#N/A</v>
      </c>
      <c r="C87" s="18" t="e">
        <f>VLOOKUP(A87,'[3]W20-2026'!$A:$AL,9,0)</f>
        <v>#N/A</v>
      </c>
      <c r="D87" t="e">
        <f>VLOOKUP(A87,'[2]master plan '!$A:$W,9,0)</f>
        <v>#N/A</v>
      </c>
      <c r="E87" t="e">
        <f>VLOOKUP(A87,'[2]master plan '!$A:$W,22,0)</f>
        <v>#N/A</v>
      </c>
      <c r="F87" s="18" t="e">
        <f t="shared" si="5"/>
        <v>#N/A</v>
      </c>
      <c r="G87" s="18" t="e">
        <f t="shared" si="6"/>
        <v>#N/A</v>
      </c>
      <c r="H87" t="e">
        <f>VLOOKUP(A87,'[1]master plan '!$A:$M,13,0)</f>
        <v>#N/A</v>
      </c>
      <c r="I87" t="e">
        <f>VLOOKUP(A87,'[2]master plan '!$A:$L,12,0)</f>
        <v>#N/A</v>
      </c>
      <c r="J87" t="e">
        <f>VLOOKUP(A87,'[2]master plan '!$A:$V,20,0)</f>
        <v>#N/A</v>
      </c>
    </row>
    <row r="88" spans="1:10" ht="20.5" x14ac:dyDescent="0.35">
      <c r="A88" s="19"/>
      <c r="B88" s="18" t="e">
        <f>VLOOKUP(A88,'[3]W20-2026'!$A:$AL,8,0)</f>
        <v>#N/A</v>
      </c>
      <c r="C88" s="18" t="e">
        <f>VLOOKUP(A88,'[3]W20-2026'!$A:$AL,9,0)</f>
        <v>#N/A</v>
      </c>
      <c r="D88" t="e">
        <f>VLOOKUP(A88,'[2]master plan '!$A:$W,9,0)</f>
        <v>#N/A</v>
      </c>
      <c r="E88" t="e">
        <f>VLOOKUP(A88,'[2]master plan '!$A:$W,22,0)</f>
        <v>#N/A</v>
      </c>
      <c r="F88" s="18" t="e">
        <f t="shared" si="5"/>
        <v>#N/A</v>
      </c>
      <c r="G88" s="18" t="e">
        <f t="shared" si="6"/>
        <v>#N/A</v>
      </c>
      <c r="H88" t="e">
        <f>VLOOKUP(A88,'[1]master plan '!$A:$M,13,0)</f>
        <v>#N/A</v>
      </c>
      <c r="I88" t="e">
        <f>VLOOKUP(A88,'[2]master plan '!$A:$L,12,0)</f>
        <v>#N/A</v>
      </c>
      <c r="J88" t="e">
        <f>VLOOKUP(A88,'[2]master plan '!$A:$V,20,0)</f>
        <v>#N/A</v>
      </c>
    </row>
    <row r="89" spans="1:10" ht="20.5" x14ac:dyDescent="0.35">
      <c r="A89" s="19"/>
      <c r="B89" s="18" t="e">
        <f>VLOOKUP(A89,'[3]W20-2026'!$A:$AL,8,0)</f>
        <v>#N/A</v>
      </c>
      <c r="C89" s="18" t="e">
        <f>VLOOKUP(A89,'[3]W20-2026'!$A:$AL,9,0)</f>
        <v>#N/A</v>
      </c>
      <c r="D89" t="e">
        <f>VLOOKUP(A89,'[2]master plan '!$A:$W,9,0)</f>
        <v>#N/A</v>
      </c>
      <c r="E89" t="e">
        <f>VLOOKUP(A89,'[2]master plan '!$A:$W,22,0)</f>
        <v>#N/A</v>
      </c>
      <c r="F89" s="18" t="e">
        <f t="shared" si="5"/>
        <v>#N/A</v>
      </c>
      <c r="G89" s="18" t="e">
        <f t="shared" si="6"/>
        <v>#N/A</v>
      </c>
      <c r="H89" t="e">
        <f>VLOOKUP(A89,'[1]master plan '!$A:$M,13,0)</f>
        <v>#N/A</v>
      </c>
      <c r="I89" t="e">
        <f>VLOOKUP(A89,'[2]master plan '!$A:$L,12,0)</f>
        <v>#N/A</v>
      </c>
      <c r="J89" t="e">
        <f>VLOOKUP(A89,'[2]master plan '!$A:$V,20,0)</f>
        <v>#N/A</v>
      </c>
    </row>
    <row r="90" spans="1:10" ht="20.5" x14ac:dyDescent="0.35">
      <c r="A90" s="19"/>
      <c r="B90" s="18" t="e">
        <f>VLOOKUP(A90,'[3]W20-2026'!$A:$AL,8,0)</f>
        <v>#N/A</v>
      </c>
      <c r="C90" s="18" t="e">
        <f>VLOOKUP(A90,'[3]W20-2026'!$A:$AL,9,0)</f>
        <v>#N/A</v>
      </c>
      <c r="D90" t="e">
        <f>VLOOKUP(A90,'[2]master plan '!$A:$W,9,0)</f>
        <v>#N/A</v>
      </c>
      <c r="E90" t="e">
        <f>VLOOKUP(A90,'[2]master plan '!$A:$W,22,0)</f>
        <v>#N/A</v>
      </c>
      <c r="F90" s="18" t="e">
        <f t="shared" si="5"/>
        <v>#N/A</v>
      </c>
      <c r="G90" s="18" t="e">
        <f t="shared" si="6"/>
        <v>#N/A</v>
      </c>
      <c r="H90" t="e">
        <f>VLOOKUP(A90,'[1]master plan '!$A:$M,13,0)</f>
        <v>#N/A</v>
      </c>
      <c r="I90" t="e">
        <f>VLOOKUP(A90,'[2]master plan '!$A:$L,12,0)</f>
        <v>#N/A</v>
      </c>
      <c r="J90" t="e">
        <f>VLOOKUP(A90,'[2]master plan '!$A:$V,20,0)</f>
        <v>#N/A</v>
      </c>
    </row>
    <row r="91" spans="1:10" ht="20.5" x14ac:dyDescent="0.35">
      <c r="A91" s="19"/>
      <c r="B91" s="18" t="e">
        <f>VLOOKUP(A91,'[3]W20-2026'!$A:$AL,8,0)</f>
        <v>#N/A</v>
      </c>
      <c r="C91" s="18" t="e">
        <f>VLOOKUP(A91,'[3]W20-2026'!$A:$AL,9,0)</f>
        <v>#N/A</v>
      </c>
      <c r="D91" t="e">
        <f>VLOOKUP(A91,'[2]master plan '!$A:$W,9,0)</f>
        <v>#N/A</v>
      </c>
      <c r="E91" t="e">
        <f>VLOOKUP(A91,'[2]master plan '!$A:$W,22,0)</f>
        <v>#N/A</v>
      </c>
      <c r="F91" s="18" t="e">
        <f t="shared" si="5"/>
        <v>#N/A</v>
      </c>
      <c r="G91" s="18" t="e">
        <f t="shared" si="6"/>
        <v>#N/A</v>
      </c>
      <c r="H91" t="e">
        <f>VLOOKUP(A91,'[1]master plan '!$A:$M,13,0)</f>
        <v>#N/A</v>
      </c>
      <c r="I91" t="e">
        <f>VLOOKUP(A91,'[2]master plan '!$A:$L,12,0)</f>
        <v>#N/A</v>
      </c>
      <c r="J91" t="e">
        <f>VLOOKUP(A91,'[2]master plan '!$A:$V,20,0)</f>
        <v>#N/A</v>
      </c>
    </row>
    <row r="92" spans="1:10" ht="20.5" x14ac:dyDescent="0.35">
      <c r="A92" s="19"/>
      <c r="B92" s="18" t="e">
        <f>VLOOKUP(A92,'[3]W20-2026'!$A:$AL,8,0)</f>
        <v>#N/A</v>
      </c>
      <c r="C92" s="18" t="e">
        <f>VLOOKUP(A92,'[3]W20-2026'!$A:$AL,9,0)</f>
        <v>#N/A</v>
      </c>
      <c r="D92" t="e">
        <f>VLOOKUP(A92,'[2]master plan '!$A:$W,9,0)</f>
        <v>#N/A</v>
      </c>
      <c r="E92" t="e">
        <f>VLOOKUP(A92,'[2]master plan '!$A:$W,22,0)</f>
        <v>#N/A</v>
      </c>
      <c r="F92" s="18" t="e">
        <f t="shared" si="5"/>
        <v>#N/A</v>
      </c>
      <c r="G92" s="18" t="e">
        <f t="shared" si="6"/>
        <v>#N/A</v>
      </c>
      <c r="H92" t="e">
        <f>VLOOKUP(A92,'[1]master plan '!$A:$M,13,0)</f>
        <v>#N/A</v>
      </c>
      <c r="I92" t="e">
        <f>VLOOKUP(A92,'[2]master plan '!$A:$L,12,0)</f>
        <v>#N/A</v>
      </c>
      <c r="J92" t="e">
        <f>VLOOKUP(A92,'[2]master plan '!$A:$V,20,0)</f>
        <v>#N/A</v>
      </c>
    </row>
    <row r="93" spans="1:10" ht="20.5" x14ac:dyDescent="0.35">
      <c r="A93" s="19"/>
      <c r="B93" s="18" t="e">
        <f>VLOOKUP(A93,'[3]W20-2026'!$A:$AL,8,0)</f>
        <v>#N/A</v>
      </c>
      <c r="C93" s="18" t="e">
        <f>VLOOKUP(A93,'[3]W20-2026'!$A:$AL,9,0)</f>
        <v>#N/A</v>
      </c>
      <c r="D93" t="e">
        <f>VLOOKUP(A93,'[2]master plan '!$A:$W,9,0)</f>
        <v>#N/A</v>
      </c>
      <c r="E93" t="e">
        <f>VLOOKUP(A93,'[2]master plan '!$A:$W,22,0)</f>
        <v>#N/A</v>
      </c>
      <c r="F93" s="18" t="e">
        <f t="shared" si="5"/>
        <v>#N/A</v>
      </c>
      <c r="G93" s="18" t="e">
        <f t="shared" si="6"/>
        <v>#N/A</v>
      </c>
      <c r="H93" t="e">
        <f>VLOOKUP(A93,'[1]master plan '!$A:$M,13,0)</f>
        <v>#N/A</v>
      </c>
      <c r="I93" t="e">
        <f>VLOOKUP(A93,'[2]master plan '!$A:$L,12,0)</f>
        <v>#N/A</v>
      </c>
      <c r="J93" t="e">
        <f>VLOOKUP(A93,'[2]master plan '!$A:$V,20,0)</f>
        <v>#N/A</v>
      </c>
    </row>
    <row r="94" spans="1:10" ht="20.5" x14ac:dyDescent="0.35">
      <c r="A94" s="19"/>
      <c r="B94" s="18" t="e">
        <f>VLOOKUP(A94,'[3]W20-2026'!$A:$AL,8,0)</f>
        <v>#N/A</v>
      </c>
      <c r="C94" s="18" t="e">
        <f>VLOOKUP(A94,'[3]W20-2026'!$A:$AL,9,0)</f>
        <v>#N/A</v>
      </c>
      <c r="D94" t="e">
        <f>VLOOKUP(A94,'[2]master plan '!$A:$W,9,0)</f>
        <v>#N/A</v>
      </c>
      <c r="E94" t="e">
        <f>VLOOKUP(A94,'[2]master plan '!$A:$W,22,0)</f>
        <v>#N/A</v>
      </c>
      <c r="F94" s="18" t="e">
        <f t="shared" ref="F94:F125" si="7">B94=D94</f>
        <v>#N/A</v>
      </c>
      <c r="G94" s="18" t="e">
        <f t="shared" ref="G94:G125" si="8">C94=E94</f>
        <v>#N/A</v>
      </c>
      <c r="H94" t="e">
        <f>VLOOKUP(A94,'[1]master plan '!$A:$M,13,0)</f>
        <v>#N/A</v>
      </c>
      <c r="I94" t="e">
        <f>VLOOKUP(A94,'[2]master plan '!$A:$L,12,0)</f>
        <v>#N/A</v>
      </c>
      <c r="J94" t="e">
        <f>VLOOKUP(A94,'[2]master plan '!$A:$V,20,0)</f>
        <v>#N/A</v>
      </c>
    </row>
    <row r="95" spans="1:10" ht="20.5" x14ac:dyDescent="0.35">
      <c r="A95" s="19"/>
      <c r="B95" s="18" t="e">
        <f>VLOOKUP(A95,'[3]W20-2026'!$A:$AL,8,0)</f>
        <v>#N/A</v>
      </c>
      <c r="C95" s="18" t="e">
        <f>VLOOKUP(A95,'[3]W20-2026'!$A:$AL,9,0)</f>
        <v>#N/A</v>
      </c>
      <c r="D95" t="e">
        <f>VLOOKUP(A95,'[2]master plan '!$A:$W,9,0)</f>
        <v>#N/A</v>
      </c>
      <c r="E95" t="e">
        <f>VLOOKUP(A95,'[2]master plan '!$A:$W,22,0)</f>
        <v>#N/A</v>
      </c>
      <c r="F95" s="18" t="e">
        <f t="shared" si="7"/>
        <v>#N/A</v>
      </c>
      <c r="G95" s="18" t="e">
        <f t="shared" si="8"/>
        <v>#N/A</v>
      </c>
      <c r="H95" t="e">
        <f>VLOOKUP(A95,'[1]master plan '!$A:$M,13,0)</f>
        <v>#N/A</v>
      </c>
      <c r="I95" t="e">
        <f>VLOOKUP(A95,'[2]master plan '!$A:$L,12,0)</f>
        <v>#N/A</v>
      </c>
      <c r="J95" t="e">
        <f>VLOOKUP(A95,'[2]master plan '!$A:$V,20,0)</f>
        <v>#N/A</v>
      </c>
    </row>
    <row r="96" spans="1:10" ht="20.5" x14ac:dyDescent="0.35">
      <c r="A96" s="19"/>
      <c r="B96" s="18" t="e">
        <f>VLOOKUP(A96,'[3]W20-2026'!$A:$AL,8,0)</f>
        <v>#N/A</v>
      </c>
      <c r="C96" s="18" t="e">
        <f>VLOOKUP(A96,'[3]W20-2026'!$A:$AL,9,0)</f>
        <v>#N/A</v>
      </c>
      <c r="D96" t="e">
        <f>VLOOKUP(A96,'[2]master plan '!$A:$W,9,0)</f>
        <v>#N/A</v>
      </c>
      <c r="E96" t="e">
        <f>VLOOKUP(A96,'[2]master plan '!$A:$W,22,0)</f>
        <v>#N/A</v>
      </c>
      <c r="F96" s="18" t="e">
        <f t="shared" si="7"/>
        <v>#N/A</v>
      </c>
      <c r="G96" s="18" t="e">
        <f t="shared" si="8"/>
        <v>#N/A</v>
      </c>
      <c r="H96" t="e">
        <f>VLOOKUP(A96,'[1]master plan '!$A:$M,13,0)</f>
        <v>#N/A</v>
      </c>
      <c r="I96" t="e">
        <f>VLOOKUP(A96,'[2]master plan '!$A:$L,12,0)</f>
        <v>#N/A</v>
      </c>
      <c r="J96" t="e">
        <f>VLOOKUP(A96,'[2]master plan '!$A:$V,20,0)</f>
        <v>#N/A</v>
      </c>
    </row>
    <row r="97" spans="1:10" ht="20.5" x14ac:dyDescent="0.35">
      <c r="A97" s="19"/>
      <c r="B97" s="18" t="e">
        <f>VLOOKUP(A97,'[3]W20-2026'!$A:$AL,8,0)</f>
        <v>#N/A</v>
      </c>
      <c r="C97" s="18" t="e">
        <f>VLOOKUP(A97,'[3]W20-2026'!$A:$AL,9,0)</f>
        <v>#N/A</v>
      </c>
      <c r="D97" t="e">
        <f>VLOOKUP(A97,'[2]master plan '!$A:$W,9,0)</f>
        <v>#N/A</v>
      </c>
      <c r="E97" t="e">
        <f>VLOOKUP(A97,'[2]master plan '!$A:$W,22,0)</f>
        <v>#N/A</v>
      </c>
      <c r="F97" s="18" t="e">
        <f t="shared" si="7"/>
        <v>#N/A</v>
      </c>
      <c r="G97" s="18" t="e">
        <f t="shared" si="8"/>
        <v>#N/A</v>
      </c>
      <c r="H97" t="e">
        <f>VLOOKUP(A97,'[1]master plan '!$A:$M,13,0)</f>
        <v>#N/A</v>
      </c>
      <c r="I97" t="e">
        <f>VLOOKUP(A97,'[2]master plan '!$A:$L,12,0)</f>
        <v>#N/A</v>
      </c>
      <c r="J97" t="e">
        <f>VLOOKUP(A97,'[2]master plan '!$A:$V,20,0)</f>
        <v>#N/A</v>
      </c>
    </row>
    <row r="98" spans="1:10" ht="20.5" x14ac:dyDescent="0.35">
      <c r="A98" s="19"/>
      <c r="B98" s="18" t="e">
        <f>VLOOKUP(A98,'[3]W20-2026'!$A:$AL,8,0)</f>
        <v>#N/A</v>
      </c>
      <c r="C98" s="18" t="e">
        <f>VLOOKUP(A98,'[3]W20-2026'!$A:$AL,9,0)</f>
        <v>#N/A</v>
      </c>
      <c r="D98" t="e">
        <f>VLOOKUP(A98,'[2]master plan '!$A:$W,9,0)</f>
        <v>#N/A</v>
      </c>
      <c r="E98" t="e">
        <f>VLOOKUP(A98,'[2]master plan '!$A:$W,22,0)</f>
        <v>#N/A</v>
      </c>
      <c r="F98" s="18" t="e">
        <f t="shared" si="7"/>
        <v>#N/A</v>
      </c>
      <c r="G98" s="18" t="e">
        <f t="shared" si="8"/>
        <v>#N/A</v>
      </c>
      <c r="H98" t="e">
        <f>VLOOKUP(A98,'[1]master plan '!$A:$M,13,0)</f>
        <v>#N/A</v>
      </c>
      <c r="I98" t="e">
        <f>VLOOKUP(A98,'[2]master plan '!$A:$L,12,0)</f>
        <v>#N/A</v>
      </c>
      <c r="J98" t="e">
        <f>VLOOKUP(A98,'[2]master plan '!$A:$V,20,0)</f>
        <v>#N/A</v>
      </c>
    </row>
    <row r="99" spans="1:10" ht="20.5" x14ac:dyDescent="0.35">
      <c r="A99" s="19"/>
      <c r="B99" s="18" t="e">
        <f>VLOOKUP(A99,'[3]W20-2026'!$A:$AL,8,0)</f>
        <v>#N/A</v>
      </c>
      <c r="C99" s="18" t="e">
        <f>VLOOKUP(A99,'[3]W20-2026'!$A:$AL,9,0)</f>
        <v>#N/A</v>
      </c>
      <c r="D99" t="e">
        <f>VLOOKUP(A99,'[2]master plan '!$A:$W,9,0)</f>
        <v>#N/A</v>
      </c>
      <c r="E99" t="e">
        <f>VLOOKUP(A99,'[2]master plan '!$A:$W,22,0)</f>
        <v>#N/A</v>
      </c>
      <c r="F99" s="18" t="e">
        <f t="shared" si="7"/>
        <v>#N/A</v>
      </c>
      <c r="G99" s="18" t="e">
        <f t="shared" si="8"/>
        <v>#N/A</v>
      </c>
      <c r="H99" t="e">
        <f>VLOOKUP(A99,'[1]master plan '!$A:$M,13,0)</f>
        <v>#N/A</v>
      </c>
      <c r="I99" t="e">
        <f>VLOOKUP(A99,'[2]master plan '!$A:$L,12,0)</f>
        <v>#N/A</v>
      </c>
      <c r="J99" t="e">
        <f>VLOOKUP(A99,'[2]master plan '!$A:$V,20,0)</f>
        <v>#N/A</v>
      </c>
    </row>
    <row r="100" spans="1:10" ht="20.5" x14ac:dyDescent="0.35">
      <c r="A100" s="19"/>
      <c r="B100" s="18" t="e">
        <f>VLOOKUP(A100,'[3]W20-2026'!$A:$AL,8,0)</f>
        <v>#N/A</v>
      </c>
      <c r="C100" s="18" t="e">
        <f>VLOOKUP(A100,'[3]W20-2026'!$A:$AL,9,0)</f>
        <v>#N/A</v>
      </c>
      <c r="D100" t="e">
        <f>VLOOKUP(A100,'[2]master plan '!$A:$W,9,0)</f>
        <v>#N/A</v>
      </c>
      <c r="E100" t="e">
        <f>VLOOKUP(A100,'[2]master plan '!$A:$W,22,0)</f>
        <v>#N/A</v>
      </c>
      <c r="F100" s="18" t="e">
        <f t="shared" si="7"/>
        <v>#N/A</v>
      </c>
      <c r="G100" s="18" t="e">
        <f t="shared" si="8"/>
        <v>#N/A</v>
      </c>
      <c r="H100" t="e">
        <f>VLOOKUP(A100,'[1]master plan '!$A:$M,13,0)</f>
        <v>#N/A</v>
      </c>
      <c r="I100" t="e">
        <f>VLOOKUP(A100,'[2]master plan '!$A:$L,12,0)</f>
        <v>#N/A</v>
      </c>
      <c r="J100" t="e">
        <f>VLOOKUP(A100,'[2]master plan '!$A:$V,20,0)</f>
        <v>#N/A</v>
      </c>
    </row>
    <row r="101" spans="1:10" ht="20.5" x14ac:dyDescent="0.35">
      <c r="A101" s="19"/>
      <c r="B101" s="18" t="e">
        <f>VLOOKUP(A101,'[3]W20-2026'!$A:$AL,8,0)</f>
        <v>#N/A</v>
      </c>
      <c r="C101" s="18" t="e">
        <f>VLOOKUP(A101,'[3]W20-2026'!$A:$AL,9,0)</f>
        <v>#N/A</v>
      </c>
      <c r="D101" t="e">
        <f>VLOOKUP(A101,'[2]master plan '!$A:$W,9,0)</f>
        <v>#N/A</v>
      </c>
      <c r="E101" t="e">
        <f>VLOOKUP(A101,'[2]master plan '!$A:$W,22,0)</f>
        <v>#N/A</v>
      </c>
      <c r="F101" s="18" t="e">
        <f t="shared" si="7"/>
        <v>#N/A</v>
      </c>
      <c r="G101" s="18" t="e">
        <f t="shared" si="8"/>
        <v>#N/A</v>
      </c>
      <c r="H101" t="e">
        <f>VLOOKUP(A101,'[1]master plan '!$A:$M,13,0)</f>
        <v>#N/A</v>
      </c>
      <c r="I101" t="e">
        <f>VLOOKUP(A101,'[2]master plan '!$A:$L,12,0)</f>
        <v>#N/A</v>
      </c>
      <c r="J101" t="e">
        <f>VLOOKUP(A101,'[2]master plan '!$A:$V,20,0)</f>
        <v>#N/A</v>
      </c>
    </row>
    <row r="102" spans="1:10" ht="20.5" x14ac:dyDescent="0.35">
      <c r="A102" s="19"/>
      <c r="B102" s="18" t="e">
        <f>VLOOKUP(A102,'[3]W20-2026'!$A:$AL,8,0)</f>
        <v>#N/A</v>
      </c>
      <c r="C102" s="18" t="e">
        <f>VLOOKUP(A102,'[3]W20-2026'!$A:$AL,9,0)</f>
        <v>#N/A</v>
      </c>
      <c r="D102" t="e">
        <f>VLOOKUP(A102,'[2]master plan '!$A:$W,9,0)</f>
        <v>#N/A</v>
      </c>
      <c r="E102" t="e">
        <f>VLOOKUP(A102,'[2]master plan '!$A:$W,22,0)</f>
        <v>#N/A</v>
      </c>
      <c r="F102" s="18" t="e">
        <f t="shared" si="7"/>
        <v>#N/A</v>
      </c>
      <c r="G102" s="18" t="e">
        <f t="shared" si="8"/>
        <v>#N/A</v>
      </c>
      <c r="H102" t="e">
        <f>VLOOKUP(A102,'[1]master plan '!$A:$M,13,0)</f>
        <v>#N/A</v>
      </c>
      <c r="I102" t="e">
        <f>VLOOKUP(A102,'[2]master plan '!$A:$L,12,0)</f>
        <v>#N/A</v>
      </c>
      <c r="J102" t="e">
        <f>VLOOKUP(A102,'[2]master plan '!$A:$V,20,0)</f>
        <v>#N/A</v>
      </c>
    </row>
    <row r="103" spans="1:10" ht="20.5" x14ac:dyDescent="0.35">
      <c r="A103" s="19"/>
      <c r="B103" s="18" t="e">
        <f>VLOOKUP(A103,'[3]W20-2026'!$A:$AL,8,0)</f>
        <v>#N/A</v>
      </c>
      <c r="C103" s="18" t="e">
        <f>VLOOKUP(A103,'[3]W20-2026'!$A:$AL,9,0)</f>
        <v>#N/A</v>
      </c>
      <c r="D103" t="e">
        <f>VLOOKUP(A103,'[2]master plan '!$A:$W,9,0)</f>
        <v>#N/A</v>
      </c>
      <c r="E103" t="e">
        <f>VLOOKUP(A103,'[2]master plan '!$A:$W,22,0)</f>
        <v>#N/A</v>
      </c>
      <c r="F103" s="18" t="e">
        <f t="shared" si="7"/>
        <v>#N/A</v>
      </c>
      <c r="G103" s="18" t="e">
        <f t="shared" si="8"/>
        <v>#N/A</v>
      </c>
      <c r="H103" t="e">
        <f>VLOOKUP(A103,'[1]master plan '!$A:$M,13,0)</f>
        <v>#N/A</v>
      </c>
      <c r="I103" t="e">
        <f>VLOOKUP(A103,'[2]master plan '!$A:$L,12,0)</f>
        <v>#N/A</v>
      </c>
      <c r="J103" t="e">
        <f>VLOOKUP(A103,'[2]master plan '!$A:$V,20,0)</f>
        <v>#N/A</v>
      </c>
    </row>
    <row r="104" spans="1:10" ht="20.5" x14ac:dyDescent="0.35">
      <c r="A104" s="19"/>
      <c r="B104" s="18" t="e">
        <f>VLOOKUP(A104,'[3]W20-2026'!$A:$AL,8,0)</f>
        <v>#N/A</v>
      </c>
      <c r="C104" s="18" t="e">
        <f>VLOOKUP(A104,'[3]W20-2026'!$A:$AL,9,0)</f>
        <v>#N/A</v>
      </c>
      <c r="D104" t="e">
        <f>VLOOKUP(A104,'[2]master plan '!$A:$W,9,0)</f>
        <v>#N/A</v>
      </c>
      <c r="E104" t="e">
        <f>VLOOKUP(A104,'[2]master plan '!$A:$W,22,0)</f>
        <v>#N/A</v>
      </c>
      <c r="F104" s="18" t="e">
        <f t="shared" si="7"/>
        <v>#N/A</v>
      </c>
      <c r="G104" s="18" t="e">
        <f t="shared" si="8"/>
        <v>#N/A</v>
      </c>
      <c r="H104" t="e">
        <f>VLOOKUP(A104,'[1]master plan '!$A:$M,13,0)</f>
        <v>#N/A</v>
      </c>
      <c r="I104" t="e">
        <f>VLOOKUP(A104,'[2]master plan '!$A:$L,12,0)</f>
        <v>#N/A</v>
      </c>
      <c r="J104" t="e">
        <f>VLOOKUP(A104,'[2]master plan '!$A:$V,20,0)</f>
        <v>#N/A</v>
      </c>
    </row>
    <row r="105" spans="1:10" ht="20.5" x14ac:dyDescent="0.35">
      <c r="A105" s="19"/>
      <c r="B105" s="18" t="e">
        <f>VLOOKUP(A105,'[3]W20-2026'!$A:$AL,8,0)</f>
        <v>#N/A</v>
      </c>
      <c r="C105" s="18" t="e">
        <f>VLOOKUP(A105,'[3]W20-2026'!$A:$AL,9,0)</f>
        <v>#N/A</v>
      </c>
      <c r="D105" t="e">
        <f>VLOOKUP(A105,'[2]master plan '!$A:$W,9,0)</f>
        <v>#N/A</v>
      </c>
      <c r="E105" t="e">
        <f>VLOOKUP(A105,'[2]master plan '!$A:$W,22,0)</f>
        <v>#N/A</v>
      </c>
      <c r="F105" s="18" t="e">
        <f t="shared" si="7"/>
        <v>#N/A</v>
      </c>
      <c r="G105" s="18" t="e">
        <f t="shared" si="8"/>
        <v>#N/A</v>
      </c>
      <c r="H105" t="e">
        <f>VLOOKUP(A105,'[1]master plan '!$A:$M,13,0)</f>
        <v>#N/A</v>
      </c>
      <c r="I105" t="e">
        <f>VLOOKUP(A105,'[2]master plan '!$A:$L,12,0)</f>
        <v>#N/A</v>
      </c>
      <c r="J105" t="e">
        <f>VLOOKUP(A105,'[2]master plan '!$A:$V,20,0)</f>
        <v>#N/A</v>
      </c>
    </row>
    <row r="106" spans="1:10" ht="20.5" x14ac:dyDescent="0.35">
      <c r="A106" s="19"/>
      <c r="B106" s="18" t="e">
        <f>VLOOKUP(A106,'[3]W20-2026'!$A:$AL,8,0)</f>
        <v>#N/A</v>
      </c>
      <c r="C106" s="18" t="e">
        <f>VLOOKUP(A106,'[3]W20-2026'!$A:$AL,9,0)</f>
        <v>#N/A</v>
      </c>
      <c r="D106" t="e">
        <f>VLOOKUP(A106,'[2]master plan '!$A:$W,9,0)</f>
        <v>#N/A</v>
      </c>
      <c r="E106" t="e">
        <f>VLOOKUP(A106,'[2]master plan '!$A:$W,22,0)</f>
        <v>#N/A</v>
      </c>
      <c r="F106" s="18" t="e">
        <f t="shared" si="7"/>
        <v>#N/A</v>
      </c>
      <c r="G106" s="18" t="e">
        <f t="shared" si="8"/>
        <v>#N/A</v>
      </c>
      <c r="H106" t="e">
        <f>VLOOKUP(A106,'[1]master plan '!$A:$M,13,0)</f>
        <v>#N/A</v>
      </c>
      <c r="I106" t="e">
        <f>VLOOKUP(A106,'[2]master plan '!$A:$L,12,0)</f>
        <v>#N/A</v>
      </c>
      <c r="J106" t="e">
        <f>VLOOKUP(A106,'[2]master plan '!$A:$V,20,0)</f>
        <v>#N/A</v>
      </c>
    </row>
    <row r="107" spans="1:10" ht="20.5" x14ac:dyDescent="0.35">
      <c r="A107" s="19"/>
      <c r="B107" s="18" t="e">
        <f>VLOOKUP(A107,'[3]W20-2026'!$A:$AL,8,0)</f>
        <v>#N/A</v>
      </c>
      <c r="C107" s="18" t="e">
        <f>VLOOKUP(A107,'[3]W20-2026'!$A:$AL,9,0)</f>
        <v>#N/A</v>
      </c>
      <c r="D107" t="e">
        <f>VLOOKUP(A107,'[2]master plan '!$A:$W,9,0)</f>
        <v>#N/A</v>
      </c>
      <c r="E107" t="e">
        <f>VLOOKUP(A107,'[2]master plan '!$A:$W,22,0)</f>
        <v>#N/A</v>
      </c>
      <c r="F107" s="18" t="e">
        <f t="shared" si="7"/>
        <v>#N/A</v>
      </c>
      <c r="G107" s="18" t="e">
        <f t="shared" si="8"/>
        <v>#N/A</v>
      </c>
      <c r="H107" t="e">
        <f>VLOOKUP(A107,'[1]master plan '!$A:$M,13,0)</f>
        <v>#N/A</v>
      </c>
      <c r="I107" t="e">
        <f>VLOOKUP(A107,'[2]master plan '!$A:$L,12,0)</f>
        <v>#N/A</v>
      </c>
      <c r="J107" t="e">
        <f>VLOOKUP(A107,'[2]master plan '!$A:$V,20,0)</f>
        <v>#N/A</v>
      </c>
    </row>
    <row r="108" spans="1:10" ht="20.5" x14ac:dyDescent="0.35">
      <c r="A108" s="19"/>
      <c r="B108" s="18" t="e">
        <f>VLOOKUP(A108,'[3]W20-2026'!$A:$AL,8,0)</f>
        <v>#N/A</v>
      </c>
      <c r="C108" s="18" t="e">
        <f>VLOOKUP(A108,'[3]W20-2026'!$A:$AL,9,0)</f>
        <v>#N/A</v>
      </c>
      <c r="D108" t="e">
        <f>VLOOKUP(A108,'[2]master plan '!$A:$W,9,0)</f>
        <v>#N/A</v>
      </c>
      <c r="E108" t="e">
        <f>VLOOKUP(A108,'[2]master plan '!$A:$W,22,0)</f>
        <v>#N/A</v>
      </c>
      <c r="F108" s="18" t="e">
        <f t="shared" si="7"/>
        <v>#N/A</v>
      </c>
      <c r="G108" s="18" t="e">
        <f t="shared" si="8"/>
        <v>#N/A</v>
      </c>
      <c r="H108" t="e">
        <f>VLOOKUP(A108,'[1]master plan '!$A:$M,13,0)</f>
        <v>#N/A</v>
      </c>
      <c r="I108" t="e">
        <f>VLOOKUP(A108,'[2]master plan '!$A:$L,12,0)</f>
        <v>#N/A</v>
      </c>
      <c r="J108" t="e">
        <f>VLOOKUP(A108,'[2]master plan '!$A:$V,20,0)</f>
        <v>#N/A</v>
      </c>
    </row>
    <row r="109" spans="1:10" ht="20.5" x14ac:dyDescent="0.35">
      <c r="A109" s="19"/>
      <c r="B109" s="18" t="e">
        <f>VLOOKUP(A109,'[3]W20-2026'!$A:$AL,8,0)</f>
        <v>#N/A</v>
      </c>
      <c r="C109" s="18" t="e">
        <f>VLOOKUP(A109,'[3]W20-2026'!$A:$AL,9,0)</f>
        <v>#N/A</v>
      </c>
      <c r="D109" t="e">
        <f>VLOOKUP(A109,'[2]master plan '!$A:$W,9,0)</f>
        <v>#N/A</v>
      </c>
      <c r="E109" t="e">
        <f>VLOOKUP(A109,'[2]master plan '!$A:$W,22,0)</f>
        <v>#N/A</v>
      </c>
      <c r="F109" s="18" t="e">
        <f t="shared" si="7"/>
        <v>#N/A</v>
      </c>
      <c r="G109" s="18" t="e">
        <f t="shared" si="8"/>
        <v>#N/A</v>
      </c>
      <c r="H109" t="e">
        <f>VLOOKUP(A109,'[1]master plan '!$A:$M,13,0)</f>
        <v>#N/A</v>
      </c>
      <c r="I109" t="e">
        <f>VLOOKUP(A109,'[2]master plan '!$A:$L,12,0)</f>
        <v>#N/A</v>
      </c>
      <c r="J109" t="e">
        <f>VLOOKUP(A109,'[2]master plan '!$A:$V,20,0)</f>
        <v>#N/A</v>
      </c>
    </row>
    <row r="110" spans="1:10" ht="20.5" x14ac:dyDescent="0.35">
      <c r="A110" s="19"/>
      <c r="B110" s="18" t="e">
        <f>VLOOKUP(A110,'[3]W20-2026'!$A:$AL,8,0)</f>
        <v>#N/A</v>
      </c>
      <c r="C110" s="18" t="e">
        <f>VLOOKUP(A110,'[3]W20-2026'!$A:$AL,9,0)</f>
        <v>#N/A</v>
      </c>
      <c r="D110" t="e">
        <f>VLOOKUP(A110,'[2]master plan '!$A:$W,9,0)</f>
        <v>#N/A</v>
      </c>
      <c r="E110" t="e">
        <f>VLOOKUP(A110,'[2]master plan '!$A:$W,22,0)</f>
        <v>#N/A</v>
      </c>
      <c r="F110" s="18" t="e">
        <f t="shared" si="7"/>
        <v>#N/A</v>
      </c>
      <c r="G110" s="18" t="e">
        <f t="shared" si="8"/>
        <v>#N/A</v>
      </c>
      <c r="H110" t="e">
        <f>VLOOKUP(A110,'[1]master plan '!$A:$M,13,0)</f>
        <v>#N/A</v>
      </c>
      <c r="I110" t="e">
        <f>VLOOKUP(A110,'[2]master plan '!$A:$L,12,0)</f>
        <v>#N/A</v>
      </c>
      <c r="J110" t="e">
        <f>VLOOKUP(A110,'[2]master plan '!$A:$V,20,0)</f>
        <v>#N/A</v>
      </c>
    </row>
    <row r="111" spans="1:10" ht="20.5" x14ac:dyDescent="0.35">
      <c r="A111" s="19"/>
      <c r="B111" s="18" t="e">
        <f>VLOOKUP(A111,'[3]W20-2026'!$A:$AL,8,0)</f>
        <v>#N/A</v>
      </c>
      <c r="C111" s="18" t="e">
        <f>VLOOKUP(A111,'[3]W20-2026'!$A:$AL,9,0)</f>
        <v>#N/A</v>
      </c>
      <c r="D111" t="e">
        <f>VLOOKUP(A111,'[2]master plan '!$A:$W,9,0)</f>
        <v>#N/A</v>
      </c>
      <c r="E111" t="e">
        <f>VLOOKUP(A111,'[2]master plan '!$A:$W,22,0)</f>
        <v>#N/A</v>
      </c>
      <c r="F111" s="18" t="e">
        <f t="shared" si="7"/>
        <v>#N/A</v>
      </c>
      <c r="G111" s="18" t="e">
        <f t="shared" si="8"/>
        <v>#N/A</v>
      </c>
      <c r="H111" t="e">
        <f>VLOOKUP(A111,'[1]master plan '!$A:$M,13,0)</f>
        <v>#N/A</v>
      </c>
      <c r="I111" t="e">
        <f>VLOOKUP(A111,'[2]master plan '!$A:$L,12,0)</f>
        <v>#N/A</v>
      </c>
      <c r="J111" t="e">
        <f>VLOOKUP(A111,'[2]master plan '!$A:$V,20,0)</f>
        <v>#N/A</v>
      </c>
    </row>
    <row r="112" spans="1:10" ht="20.5" x14ac:dyDescent="0.35">
      <c r="A112" s="19"/>
      <c r="B112" s="18" t="e">
        <f>VLOOKUP(A112,'[3]W20-2026'!$A:$AL,8,0)</f>
        <v>#N/A</v>
      </c>
      <c r="C112" s="18" t="e">
        <f>VLOOKUP(A112,'[3]W20-2026'!$A:$AL,9,0)</f>
        <v>#N/A</v>
      </c>
      <c r="D112" t="e">
        <f>VLOOKUP(A112,'[2]master plan '!$A:$W,9,0)</f>
        <v>#N/A</v>
      </c>
      <c r="E112" t="e">
        <f>VLOOKUP(A112,'[2]master plan '!$A:$W,22,0)</f>
        <v>#N/A</v>
      </c>
      <c r="F112" s="18" t="e">
        <f t="shared" si="7"/>
        <v>#N/A</v>
      </c>
      <c r="G112" s="18" t="e">
        <f t="shared" si="8"/>
        <v>#N/A</v>
      </c>
      <c r="H112" t="e">
        <f>VLOOKUP(A112,'[1]master plan '!$A:$M,13,0)</f>
        <v>#N/A</v>
      </c>
      <c r="I112" t="e">
        <f>VLOOKUP(A112,'[2]master plan '!$A:$L,12,0)</f>
        <v>#N/A</v>
      </c>
      <c r="J112" t="e">
        <f>VLOOKUP(A112,'[2]master plan '!$A:$V,20,0)</f>
        <v>#N/A</v>
      </c>
    </row>
    <row r="113" spans="1:10" ht="20.5" x14ac:dyDescent="0.35">
      <c r="A113" s="19"/>
      <c r="B113" s="18" t="e">
        <f>VLOOKUP(A113,'[3]W20-2026'!$A:$AL,8,0)</f>
        <v>#N/A</v>
      </c>
      <c r="C113" s="18" t="e">
        <f>VLOOKUP(A113,'[3]W20-2026'!$A:$AL,9,0)</f>
        <v>#N/A</v>
      </c>
      <c r="D113" t="e">
        <f>VLOOKUP(A113,'[2]master plan '!$A:$W,9,0)</f>
        <v>#N/A</v>
      </c>
      <c r="E113" t="e">
        <f>VLOOKUP(A113,'[2]master plan '!$A:$W,22,0)</f>
        <v>#N/A</v>
      </c>
      <c r="F113" s="18" t="e">
        <f t="shared" si="7"/>
        <v>#N/A</v>
      </c>
      <c r="G113" s="18" t="e">
        <f t="shared" si="8"/>
        <v>#N/A</v>
      </c>
      <c r="H113" t="e">
        <f>VLOOKUP(A113,'[1]master plan '!$A:$M,13,0)</f>
        <v>#N/A</v>
      </c>
      <c r="I113" t="e">
        <f>VLOOKUP(A113,'[2]master plan '!$A:$L,12,0)</f>
        <v>#N/A</v>
      </c>
      <c r="J113" t="e">
        <f>VLOOKUP(A113,'[2]master plan '!$A:$V,20,0)</f>
        <v>#N/A</v>
      </c>
    </row>
    <row r="114" spans="1:10" ht="20.5" x14ac:dyDescent="0.35">
      <c r="A114" s="19"/>
      <c r="B114" s="18" t="e">
        <f>VLOOKUP(A114,'[3]W20-2026'!$A:$AL,8,0)</f>
        <v>#N/A</v>
      </c>
      <c r="C114" s="18" t="e">
        <f>VLOOKUP(A114,'[3]W20-2026'!$A:$AL,9,0)</f>
        <v>#N/A</v>
      </c>
      <c r="D114" t="e">
        <f>VLOOKUP(A114,'[2]master plan '!$A:$W,9,0)</f>
        <v>#N/A</v>
      </c>
      <c r="E114" t="e">
        <f>VLOOKUP(A114,'[2]master plan '!$A:$W,22,0)</f>
        <v>#N/A</v>
      </c>
      <c r="F114" s="18" t="e">
        <f t="shared" si="7"/>
        <v>#N/A</v>
      </c>
      <c r="G114" s="18" t="e">
        <f t="shared" si="8"/>
        <v>#N/A</v>
      </c>
      <c r="H114" t="e">
        <f>VLOOKUP(A114,'[1]master plan '!$A:$M,13,0)</f>
        <v>#N/A</v>
      </c>
      <c r="I114" t="e">
        <f>VLOOKUP(A114,'[2]master plan '!$A:$L,12,0)</f>
        <v>#N/A</v>
      </c>
      <c r="J114" t="e">
        <f>VLOOKUP(A114,'[2]master plan '!$A:$V,20,0)</f>
        <v>#N/A</v>
      </c>
    </row>
    <row r="115" spans="1:10" ht="20.5" x14ac:dyDescent="0.35">
      <c r="A115" s="19"/>
      <c r="B115" s="18" t="e">
        <f>VLOOKUP(A115,'[3]W20-2026'!$A:$AL,8,0)</f>
        <v>#N/A</v>
      </c>
      <c r="C115" s="18" t="e">
        <f>VLOOKUP(A115,'[3]W20-2026'!$A:$AL,9,0)</f>
        <v>#N/A</v>
      </c>
      <c r="D115" t="e">
        <f>VLOOKUP(A115,'[2]master plan '!$A:$W,9,0)</f>
        <v>#N/A</v>
      </c>
      <c r="E115" t="e">
        <f>VLOOKUP(A115,'[2]master plan '!$A:$W,22,0)</f>
        <v>#N/A</v>
      </c>
      <c r="F115" s="18" t="e">
        <f t="shared" si="7"/>
        <v>#N/A</v>
      </c>
      <c r="G115" s="18" t="e">
        <f t="shared" si="8"/>
        <v>#N/A</v>
      </c>
      <c r="H115" t="e">
        <f>VLOOKUP(A115,'[1]master plan '!$A:$M,13,0)</f>
        <v>#N/A</v>
      </c>
      <c r="I115" t="e">
        <f>VLOOKUP(A115,'[2]master plan '!$A:$L,12,0)</f>
        <v>#N/A</v>
      </c>
      <c r="J115" t="e">
        <f>VLOOKUP(A115,'[2]master plan '!$A:$V,20,0)</f>
        <v>#N/A</v>
      </c>
    </row>
    <row r="116" spans="1:10" ht="20.5" x14ac:dyDescent="0.35">
      <c r="A116" s="19"/>
      <c r="B116" s="18" t="e">
        <f>VLOOKUP(A116,'[3]W20-2026'!$A:$AL,8,0)</f>
        <v>#N/A</v>
      </c>
      <c r="C116" s="18" t="e">
        <f>VLOOKUP(A116,'[3]W20-2026'!$A:$AL,9,0)</f>
        <v>#N/A</v>
      </c>
      <c r="D116" t="e">
        <f>VLOOKUP(A116,'[2]master plan '!$A:$W,9,0)</f>
        <v>#N/A</v>
      </c>
      <c r="E116" t="e">
        <f>VLOOKUP(A116,'[2]master plan '!$A:$W,22,0)</f>
        <v>#N/A</v>
      </c>
      <c r="F116" s="18" t="e">
        <f t="shared" si="7"/>
        <v>#N/A</v>
      </c>
      <c r="G116" s="18" t="e">
        <f t="shared" si="8"/>
        <v>#N/A</v>
      </c>
      <c r="H116" t="e">
        <f>VLOOKUP(A116,'[1]master plan '!$A:$M,13,0)</f>
        <v>#N/A</v>
      </c>
      <c r="I116" t="e">
        <f>VLOOKUP(A116,'[2]master plan '!$A:$L,12,0)</f>
        <v>#N/A</v>
      </c>
      <c r="J116" t="e">
        <f>VLOOKUP(A116,'[2]master plan '!$A:$V,20,0)</f>
        <v>#N/A</v>
      </c>
    </row>
    <row r="117" spans="1:10" ht="20.5" x14ac:dyDescent="0.35">
      <c r="A117" s="19"/>
      <c r="B117" s="18" t="e">
        <f>VLOOKUP(A117,'[3]W20-2026'!$A:$AL,8,0)</f>
        <v>#N/A</v>
      </c>
      <c r="C117" s="18" t="e">
        <f>VLOOKUP(A117,'[3]W20-2026'!$A:$AL,9,0)</f>
        <v>#N/A</v>
      </c>
      <c r="D117" t="e">
        <f>VLOOKUP(A117,'[2]master plan '!$A:$W,9,0)</f>
        <v>#N/A</v>
      </c>
      <c r="E117" t="e">
        <f>VLOOKUP(A117,'[2]master plan '!$A:$W,22,0)</f>
        <v>#N/A</v>
      </c>
      <c r="F117" s="18" t="e">
        <f t="shared" si="7"/>
        <v>#N/A</v>
      </c>
      <c r="G117" s="18" t="e">
        <f t="shared" si="8"/>
        <v>#N/A</v>
      </c>
      <c r="H117" t="e">
        <f>VLOOKUP(A117,'[1]master plan '!$A:$M,13,0)</f>
        <v>#N/A</v>
      </c>
      <c r="I117" t="e">
        <f>VLOOKUP(A117,'[2]master plan '!$A:$L,12,0)</f>
        <v>#N/A</v>
      </c>
      <c r="J117" t="e">
        <f>VLOOKUP(A117,'[2]master plan '!$A:$V,20,0)</f>
        <v>#N/A</v>
      </c>
    </row>
    <row r="118" spans="1:10" ht="20.5" x14ac:dyDescent="0.35">
      <c r="A118" s="19"/>
      <c r="B118" s="18" t="e">
        <f>VLOOKUP(A118,'[3]W20-2026'!$A:$AL,8,0)</f>
        <v>#N/A</v>
      </c>
      <c r="C118" s="18" t="e">
        <f>VLOOKUP(A118,'[3]W20-2026'!$A:$AL,9,0)</f>
        <v>#N/A</v>
      </c>
      <c r="D118" t="e">
        <f>VLOOKUP(A118,'[2]master plan '!$A:$W,9,0)</f>
        <v>#N/A</v>
      </c>
      <c r="E118" t="e">
        <f>VLOOKUP(A118,'[2]master plan '!$A:$W,22,0)</f>
        <v>#N/A</v>
      </c>
      <c r="F118" s="18" t="e">
        <f t="shared" si="7"/>
        <v>#N/A</v>
      </c>
      <c r="G118" s="18" t="e">
        <f t="shared" si="8"/>
        <v>#N/A</v>
      </c>
      <c r="H118" t="e">
        <f>VLOOKUP(A118,'[1]master plan '!$A:$M,13,0)</f>
        <v>#N/A</v>
      </c>
      <c r="I118" t="e">
        <f>VLOOKUP(A118,'[2]master plan '!$A:$L,12,0)</f>
        <v>#N/A</v>
      </c>
      <c r="J118" t="e">
        <f>VLOOKUP(A118,'[2]master plan '!$A:$V,20,0)</f>
        <v>#N/A</v>
      </c>
    </row>
    <row r="119" spans="1:10" ht="20.5" x14ac:dyDescent="0.35">
      <c r="A119" s="19"/>
      <c r="B119" s="18" t="e">
        <f>VLOOKUP(A119,'[3]W20-2026'!$A:$AL,8,0)</f>
        <v>#N/A</v>
      </c>
      <c r="C119" s="18" t="e">
        <f>VLOOKUP(A119,'[3]W20-2026'!$A:$AL,9,0)</f>
        <v>#N/A</v>
      </c>
      <c r="D119" t="e">
        <f>VLOOKUP(A119,'[2]master plan '!$A:$W,9,0)</f>
        <v>#N/A</v>
      </c>
      <c r="E119" t="e">
        <f>VLOOKUP(A119,'[2]master plan '!$A:$W,22,0)</f>
        <v>#N/A</v>
      </c>
      <c r="F119" s="18" t="e">
        <f t="shared" si="7"/>
        <v>#N/A</v>
      </c>
      <c r="G119" s="18" t="e">
        <f t="shared" si="8"/>
        <v>#N/A</v>
      </c>
      <c r="H119" t="e">
        <f>VLOOKUP(A119,'[1]master plan '!$A:$M,13,0)</f>
        <v>#N/A</v>
      </c>
      <c r="I119" t="e">
        <f>VLOOKUP(A119,'[2]master plan '!$A:$L,12,0)</f>
        <v>#N/A</v>
      </c>
      <c r="J119" t="e">
        <f>VLOOKUP(A119,'[2]master plan '!$A:$V,20,0)</f>
        <v>#N/A</v>
      </c>
    </row>
    <row r="120" spans="1:10" ht="20.5" x14ac:dyDescent="0.35">
      <c r="A120" s="19"/>
      <c r="B120" s="18" t="e">
        <f>VLOOKUP(A120,'[3]W20-2026'!$A:$AL,8,0)</f>
        <v>#N/A</v>
      </c>
      <c r="C120" s="18" t="e">
        <f>VLOOKUP(A120,'[3]W20-2026'!$A:$AL,9,0)</f>
        <v>#N/A</v>
      </c>
      <c r="D120" t="e">
        <f>VLOOKUP(A120,'[2]master plan '!$A:$W,9,0)</f>
        <v>#N/A</v>
      </c>
      <c r="E120" t="e">
        <f>VLOOKUP(A120,'[2]master plan '!$A:$W,22,0)</f>
        <v>#N/A</v>
      </c>
      <c r="F120" s="18" t="e">
        <f t="shared" si="7"/>
        <v>#N/A</v>
      </c>
      <c r="G120" s="18" t="e">
        <f t="shared" si="8"/>
        <v>#N/A</v>
      </c>
      <c r="H120" t="e">
        <f>VLOOKUP(A120,'[1]master plan '!$A:$M,13,0)</f>
        <v>#N/A</v>
      </c>
      <c r="I120" t="e">
        <f>VLOOKUP(A120,'[2]master plan '!$A:$L,12,0)</f>
        <v>#N/A</v>
      </c>
      <c r="J120" t="e">
        <f>VLOOKUP(A120,'[2]master plan '!$A:$V,20,0)</f>
        <v>#N/A</v>
      </c>
    </row>
    <row r="121" spans="1:10" ht="20.5" x14ac:dyDescent="0.35">
      <c r="A121" s="19"/>
      <c r="B121" s="18" t="e">
        <f>VLOOKUP(A121,'[3]W20-2026'!$A:$AL,8,0)</f>
        <v>#N/A</v>
      </c>
      <c r="C121" s="18" t="e">
        <f>VLOOKUP(A121,'[3]W20-2026'!$A:$AL,9,0)</f>
        <v>#N/A</v>
      </c>
      <c r="D121" t="e">
        <f>VLOOKUP(A121,'[2]master plan '!$A:$W,9,0)</f>
        <v>#N/A</v>
      </c>
      <c r="E121" t="e">
        <f>VLOOKUP(A121,'[2]master plan '!$A:$W,22,0)</f>
        <v>#N/A</v>
      </c>
      <c r="F121" s="18" t="e">
        <f t="shared" si="7"/>
        <v>#N/A</v>
      </c>
      <c r="G121" s="18" t="e">
        <f t="shared" si="8"/>
        <v>#N/A</v>
      </c>
      <c r="H121" t="e">
        <f>VLOOKUP(A121,'[1]master plan '!$A:$M,13,0)</f>
        <v>#N/A</v>
      </c>
      <c r="I121" t="e">
        <f>VLOOKUP(A121,'[2]master plan '!$A:$L,12,0)</f>
        <v>#N/A</v>
      </c>
      <c r="J121" t="e">
        <f>VLOOKUP(A121,'[2]master plan '!$A:$V,20,0)</f>
        <v>#N/A</v>
      </c>
    </row>
    <row r="122" spans="1:10" ht="20.5" x14ac:dyDescent="0.35">
      <c r="A122" s="19"/>
      <c r="B122" s="18" t="e">
        <f>VLOOKUP(A122,'[3]W20-2026'!$A:$AL,8,0)</f>
        <v>#N/A</v>
      </c>
      <c r="C122" s="18" t="e">
        <f>VLOOKUP(A122,'[3]W20-2026'!$A:$AL,9,0)</f>
        <v>#N/A</v>
      </c>
      <c r="D122" t="e">
        <f>VLOOKUP(A122,'[2]master plan '!$A:$W,9,0)</f>
        <v>#N/A</v>
      </c>
      <c r="E122" t="e">
        <f>VLOOKUP(A122,'[2]master plan '!$A:$W,22,0)</f>
        <v>#N/A</v>
      </c>
      <c r="F122" s="18" t="e">
        <f t="shared" si="7"/>
        <v>#N/A</v>
      </c>
      <c r="G122" s="18" t="e">
        <f t="shared" si="8"/>
        <v>#N/A</v>
      </c>
      <c r="H122" t="e">
        <f>VLOOKUP(A122,'[1]master plan '!$A:$M,13,0)</f>
        <v>#N/A</v>
      </c>
      <c r="I122" t="e">
        <f>VLOOKUP(A122,'[2]master plan '!$A:$L,12,0)</f>
        <v>#N/A</v>
      </c>
      <c r="J122" t="e">
        <f>VLOOKUP(A122,'[2]master plan '!$A:$V,20,0)</f>
        <v>#N/A</v>
      </c>
    </row>
    <row r="123" spans="1:10" ht="20.5" x14ac:dyDescent="0.35">
      <c r="A123" s="19"/>
      <c r="B123" s="18" t="e">
        <f>VLOOKUP(A123,'[3]W20-2026'!$A:$AL,8,0)</f>
        <v>#N/A</v>
      </c>
      <c r="C123" s="18" t="e">
        <f>VLOOKUP(A123,'[3]W20-2026'!$A:$AL,9,0)</f>
        <v>#N/A</v>
      </c>
      <c r="D123" t="e">
        <f>VLOOKUP(A123,'[2]master plan '!$A:$W,9,0)</f>
        <v>#N/A</v>
      </c>
      <c r="E123" t="e">
        <f>VLOOKUP(A123,'[2]master plan '!$A:$W,22,0)</f>
        <v>#N/A</v>
      </c>
      <c r="F123" s="18" t="e">
        <f t="shared" si="7"/>
        <v>#N/A</v>
      </c>
      <c r="G123" s="18" t="e">
        <f t="shared" si="8"/>
        <v>#N/A</v>
      </c>
      <c r="H123" t="e">
        <f>VLOOKUP(A123,'[1]master plan '!$A:$M,13,0)</f>
        <v>#N/A</v>
      </c>
      <c r="I123" t="e">
        <f>VLOOKUP(A123,'[2]master plan '!$A:$L,12,0)</f>
        <v>#N/A</v>
      </c>
      <c r="J123" t="e">
        <f>VLOOKUP(A123,'[2]master plan '!$A:$V,20,0)</f>
        <v>#N/A</v>
      </c>
    </row>
    <row r="124" spans="1:10" ht="20.5" x14ac:dyDescent="0.35">
      <c r="A124" s="19"/>
      <c r="B124" s="18" t="e">
        <f>VLOOKUP(A124,'[3]W20-2026'!$A:$AL,8,0)</f>
        <v>#N/A</v>
      </c>
      <c r="C124" s="18" t="e">
        <f>VLOOKUP(A124,'[3]W20-2026'!$A:$AL,9,0)</f>
        <v>#N/A</v>
      </c>
      <c r="D124" t="e">
        <f>VLOOKUP(A124,'[2]master plan '!$A:$W,9,0)</f>
        <v>#N/A</v>
      </c>
      <c r="E124" t="e">
        <f>VLOOKUP(A124,'[2]master plan '!$A:$W,22,0)</f>
        <v>#N/A</v>
      </c>
      <c r="F124" s="18" t="e">
        <f t="shared" si="7"/>
        <v>#N/A</v>
      </c>
      <c r="G124" s="18" t="e">
        <f t="shared" si="8"/>
        <v>#N/A</v>
      </c>
      <c r="H124" t="e">
        <f>VLOOKUP(A124,'[1]master plan '!$A:$M,13,0)</f>
        <v>#N/A</v>
      </c>
      <c r="I124" t="e">
        <f>VLOOKUP(A124,'[2]master plan '!$A:$L,12,0)</f>
        <v>#N/A</v>
      </c>
      <c r="J124" t="e">
        <f>VLOOKUP(A124,'[2]master plan '!$A:$V,20,0)</f>
        <v>#N/A</v>
      </c>
    </row>
    <row r="125" spans="1:10" ht="20.5" x14ac:dyDescent="0.35">
      <c r="A125" s="19"/>
      <c r="B125" s="18" t="e">
        <f>VLOOKUP(A125,'[3]W20-2026'!$A:$AL,8,0)</f>
        <v>#N/A</v>
      </c>
      <c r="C125" s="18" t="e">
        <f>VLOOKUP(A125,'[3]W20-2026'!$A:$AL,9,0)</f>
        <v>#N/A</v>
      </c>
      <c r="D125" t="e">
        <f>VLOOKUP(A125,'[2]master plan '!$A:$W,9,0)</f>
        <v>#N/A</v>
      </c>
      <c r="E125" t="e">
        <f>VLOOKUP(A125,'[2]master plan '!$A:$W,22,0)</f>
        <v>#N/A</v>
      </c>
      <c r="F125" s="18" t="e">
        <f t="shared" si="7"/>
        <v>#N/A</v>
      </c>
      <c r="G125" s="18" t="e">
        <f t="shared" si="8"/>
        <v>#N/A</v>
      </c>
      <c r="H125" t="e">
        <f>VLOOKUP(A125,'[1]master plan '!$A:$M,13,0)</f>
        <v>#N/A</v>
      </c>
      <c r="I125" t="e">
        <f>VLOOKUP(A125,'[2]master plan '!$A:$L,12,0)</f>
        <v>#N/A</v>
      </c>
      <c r="J125" t="e">
        <f>VLOOKUP(A125,'[2]master plan '!$A:$V,20,0)</f>
        <v>#N/A</v>
      </c>
    </row>
    <row r="126" spans="1:10" ht="20.5" x14ac:dyDescent="0.35">
      <c r="A126" s="19"/>
      <c r="B126" s="18" t="e">
        <f>VLOOKUP(A126,'[3]W20-2026'!$A:$AL,8,0)</f>
        <v>#N/A</v>
      </c>
      <c r="C126" s="18" t="e">
        <f>VLOOKUP(A126,'[3]W20-2026'!$A:$AL,9,0)</f>
        <v>#N/A</v>
      </c>
      <c r="D126" t="e">
        <f>VLOOKUP(A126,'[2]master plan '!$A:$W,9,0)</f>
        <v>#N/A</v>
      </c>
      <c r="E126" t="e">
        <f>VLOOKUP(A126,'[2]master plan '!$A:$W,22,0)</f>
        <v>#N/A</v>
      </c>
      <c r="F126" s="18" t="e">
        <f t="shared" ref="F126:F150" si="9">B126=D126</f>
        <v>#N/A</v>
      </c>
      <c r="G126" s="18" t="e">
        <f t="shared" ref="G126:G150" si="10">C126=E126</f>
        <v>#N/A</v>
      </c>
      <c r="H126" t="e">
        <f>VLOOKUP(A126,'[1]master plan '!$A:$M,13,0)</f>
        <v>#N/A</v>
      </c>
      <c r="I126" t="e">
        <f>VLOOKUP(A126,'[2]master plan '!$A:$L,12,0)</f>
        <v>#N/A</v>
      </c>
      <c r="J126" t="e">
        <f>VLOOKUP(A126,'[2]master plan '!$A:$V,20,0)</f>
        <v>#N/A</v>
      </c>
    </row>
    <row r="127" spans="1:10" ht="20.5" x14ac:dyDescent="0.35">
      <c r="A127" s="19"/>
      <c r="B127" s="18" t="e">
        <f>VLOOKUP(A127,'[3]W20-2026'!$A:$AL,8,0)</f>
        <v>#N/A</v>
      </c>
      <c r="C127" s="18" t="e">
        <f>VLOOKUP(A127,'[3]W20-2026'!$A:$AL,9,0)</f>
        <v>#N/A</v>
      </c>
      <c r="D127" t="e">
        <f>VLOOKUP(A127,'[2]master plan '!$A:$W,9,0)</f>
        <v>#N/A</v>
      </c>
      <c r="E127" t="e">
        <f>VLOOKUP(A127,'[2]master plan '!$A:$W,22,0)</f>
        <v>#N/A</v>
      </c>
      <c r="F127" s="18" t="e">
        <f t="shared" si="9"/>
        <v>#N/A</v>
      </c>
      <c r="G127" s="18" t="e">
        <f t="shared" si="10"/>
        <v>#N/A</v>
      </c>
      <c r="H127" t="e">
        <f>VLOOKUP(A127,'[1]master plan '!$A:$M,13,0)</f>
        <v>#N/A</v>
      </c>
      <c r="I127" t="e">
        <f>VLOOKUP(A127,'[2]master plan '!$A:$L,12,0)</f>
        <v>#N/A</v>
      </c>
      <c r="J127" t="e">
        <f>VLOOKUP(A127,'[2]master plan '!$A:$V,20,0)</f>
        <v>#N/A</v>
      </c>
    </row>
    <row r="128" spans="1:10" ht="20.5" x14ac:dyDescent="0.35">
      <c r="A128" s="19"/>
      <c r="B128" s="18" t="e">
        <f>VLOOKUP(A128,'[3]W20-2026'!$A:$AL,8,0)</f>
        <v>#N/A</v>
      </c>
      <c r="C128" s="18" t="e">
        <f>VLOOKUP(A128,'[3]W20-2026'!$A:$AL,9,0)</f>
        <v>#N/A</v>
      </c>
      <c r="D128" t="e">
        <f>VLOOKUP(A128,'[2]master plan '!$A:$W,9,0)</f>
        <v>#N/A</v>
      </c>
      <c r="E128" t="e">
        <f>VLOOKUP(A128,'[2]master plan '!$A:$W,22,0)</f>
        <v>#N/A</v>
      </c>
      <c r="F128" s="18" t="e">
        <f t="shared" si="9"/>
        <v>#N/A</v>
      </c>
      <c r="G128" s="18" t="e">
        <f t="shared" si="10"/>
        <v>#N/A</v>
      </c>
      <c r="H128" t="e">
        <f>VLOOKUP(A128,'[1]master plan '!$A:$M,13,0)</f>
        <v>#N/A</v>
      </c>
      <c r="I128" t="e">
        <f>VLOOKUP(A128,'[2]master plan '!$A:$L,12,0)</f>
        <v>#N/A</v>
      </c>
      <c r="J128" t="e">
        <f>VLOOKUP(A128,'[2]master plan '!$A:$V,20,0)</f>
        <v>#N/A</v>
      </c>
    </row>
    <row r="129" spans="1:10" ht="20.5" x14ac:dyDescent="0.35">
      <c r="A129" s="19"/>
      <c r="B129" s="18" t="e">
        <f>VLOOKUP(A129,'[3]W20-2026'!$A:$AL,8,0)</f>
        <v>#N/A</v>
      </c>
      <c r="C129" s="18" t="e">
        <f>VLOOKUP(A129,'[3]W20-2026'!$A:$AL,9,0)</f>
        <v>#N/A</v>
      </c>
      <c r="D129" t="e">
        <f>VLOOKUP(A129,'[2]master plan '!$A:$W,9,0)</f>
        <v>#N/A</v>
      </c>
      <c r="E129" t="e">
        <f>VLOOKUP(A129,'[2]master plan '!$A:$W,22,0)</f>
        <v>#N/A</v>
      </c>
      <c r="F129" s="18" t="e">
        <f t="shared" si="9"/>
        <v>#N/A</v>
      </c>
      <c r="G129" s="18" t="e">
        <f t="shared" si="10"/>
        <v>#N/A</v>
      </c>
      <c r="H129" t="e">
        <f>VLOOKUP(A129,'[1]master plan '!$A:$M,13,0)</f>
        <v>#N/A</v>
      </c>
      <c r="I129" t="e">
        <f>VLOOKUP(A129,'[2]master plan '!$A:$L,12,0)</f>
        <v>#N/A</v>
      </c>
      <c r="J129" t="e">
        <f>VLOOKUP(A129,'[2]master plan '!$A:$V,20,0)</f>
        <v>#N/A</v>
      </c>
    </row>
    <row r="130" spans="1:10" ht="20.5" x14ac:dyDescent="0.35">
      <c r="A130" s="19"/>
      <c r="B130" s="18" t="e">
        <f>VLOOKUP(A130,'[3]W20-2026'!$A:$AL,8,0)</f>
        <v>#N/A</v>
      </c>
      <c r="C130" s="18" t="e">
        <f>VLOOKUP(A130,'[3]W20-2026'!$A:$AL,9,0)</f>
        <v>#N/A</v>
      </c>
      <c r="D130" t="e">
        <f>VLOOKUP(A130,'[2]master plan '!$A:$W,9,0)</f>
        <v>#N/A</v>
      </c>
      <c r="E130" t="e">
        <f>VLOOKUP(A130,'[2]master plan '!$A:$W,22,0)</f>
        <v>#N/A</v>
      </c>
      <c r="F130" s="18" t="e">
        <f t="shared" si="9"/>
        <v>#N/A</v>
      </c>
      <c r="G130" s="18" t="e">
        <f t="shared" si="10"/>
        <v>#N/A</v>
      </c>
      <c r="H130" t="e">
        <f>VLOOKUP(A130,'[1]master plan '!$A:$M,13,0)</f>
        <v>#N/A</v>
      </c>
      <c r="I130" t="e">
        <f>VLOOKUP(A130,'[2]master plan '!$A:$L,12,0)</f>
        <v>#N/A</v>
      </c>
      <c r="J130" t="e">
        <f>VLOOKUP(A130,'[2]master plan '!$A:$V,20,0)</f>
        <v>#N/A</v>
      </c>
    </row>
    <row r="131" spans="1:10" ht="20.5" x14ac:dyDescent="0.35">
      <c r="A131" s="19"/>
      <c r="B131" s="18" t="e">
        <f>VLOOKUP(A131,'[3]W20-2026'!$A:$AL,8,0)</f>
        <v>#N/A</v>
      </c>
      <c r="C131" s="18" t="e">
        <f>VLOOKUP(A131,'[3]W20-2026'!$A:$AL,9,0)</f>
        <v>#N/A</v>
      </c>
      <c r="D131" t="e">
        <f>VLOOKUP(A131,'[2]master plan '!$A:$W,9,0)</f>
        <v>#N/A</v>
      </c>
      <c r="E131" t="e">
        <f>VLOOKUP(A131,'[2]master plan '!$A:$W,22,0)</f>
        <v>#N/A</v>
      </c>
      <c r="F131" s="18" t="e">
        <f t="shared" si="9"/>
        <v>#N/A</v>
      </c>
      <c r="G131" s="18" t="e">
        <f t="shared" si="10"/>
        <v>#N/A</v>
      </c>
      <c r="H131" t="e">
        <f>VLOOKUP(A131,'[1]master plan '!$A:$M,13,0)</f>
        <v>#N/A</v>
      </c>
      <c r="I131" t="e">
        <f>VLOOKUP(A131,'[2]master plan '!$A:$L,12,0)</f>
        <v>#N/A</v>
      </c>
      <c r="J131" t="e">
        <f>VLOOKUP(A131,'[2]master plan '!$A:$V,20,0)</f>
        <v>#N/A</v>
      </c>
    </row>
    <row r="132" spans="1:10" ht="20.5" x14ac:dyDescent="0.35">
      <c r="A132" s="19"/>
      <c r="B132" s="18" t="e">
        <f>VLOOKUP(A132,'[3]W20-2026'!$A:$AL,8,0)</f>
        <v>#N/A</v>
      </c>
      <c r="C132" s="18" t="e">
        <f>VLOOKUP(A132,'[3]W20-2026'!$A:$AL,9,0)</f>
        <v>#N/A</v>
      </c>
      <c r="D132" t="e">
        <f>VLOOKUP(A132,'[2]master plan '!$A:$W,9,0)</f>
        <v>#N/A</v>
      </c>
      <c r="E132" t="e">
        <f>VLOOKUP(A132,'[2]master plan '!$A:$W,22,0)</f>
        <v>#N/A</v>
      </c>
      <c r="F132" s="18" t="e">
        <f t="shared" si="9"/>
        <v>#N/A</v>
      </c>
      <c r="G132" s="18" t="e">
        <f t="shared" si="10"/>
        <v>#N/A</v>
      </c>
      <c r="H132" t="e">
        <f>VLOOKUP(A132,'[1]master plan '!$A:$M,13,0)</f>
        <v>#N/A</v>
      </c>
      <c r="I132" t="e">
        <f>VLOOKUP(A132,'[2]master plan '!$A:$L,12,0)</f>
        <v>#N/A</v>
      </c>
      <c r="J132" t="e">
        <f>VLOOKUP(A132,'[2]master plan '!$A:$V,20,0)</f>
        <v>#N/A</v>
      </c>
    </row>
    <row r="133" spans="1:10" ht="20.5" x14ac:dyDescent="0.35">
      <c r="A133" s="19"/>
      <c r="B133" s="18" t="e">
        <f>VLOOKUP(A133,'[3]W20-2026'!$A:$AL,8,0)</f>
        <v>#N/A</v>
      </c>
      <c r="C133" s="18" t="e">
        <f>VLOOKUP(A133,'[3]W20-2026'!$A:$AL,9,0)</f>
        <v>#N/A</v>
      </c>
      <c r="D133" t="e">
        <f>VLOOKUP(A133,'[2]master plan '!$A:$W,9,0)</f>
        <v>#N/A</v>
      </c>
      <c r="E133" t="e">
        <f>VLOOKUP(A133,'[2]master plan '!$A:$W,22,0)</f>
        <v>#N/A</v>
      </c>
      <c r="F133" s="18" t="e">
        <f t="shared" si="9"/>
        <v>#N/A</v>
      </c>
      <c r="G133" s="18" t="e">
        <f t="shared" si="10"/>
        <v>#N/A</v>
      </c>
      <c r="H133" t="e">
        <f>VLOOKUP(A133,'[1]master plan '!$A:$M,13,0)</f>
        <v>#N/A</v>
      </c>
      <c r="I133" t="e">
        <f>VLOOKUP(A133,'[2]master plan '!$A:$L,12,0)</f>
        <v>#N/A</v>
      </c>
      <c r="J133" t="e">
        <f>VLOOKUP(A133,'[2]master plan '!$A:$V,20,0)</f>
        <v>#N/A</v>
      </c>
    </row>
    <row r="134" spans="1:10" ht="20.5" x14ac:dyDescent="0.35">
      <c r="A134" s="19"/>
      <c r="B134" s="18" t="e">
        <f>VLOOKUP(A134,'[3]W52-2025 '!$A:$AL,8,0)</f>
        <v>#N/A</v>
      </c>
      <c r="C134" s="18" t="e">
        <f>VLOOKUP(A134,'[3]W52-2025 '!$A:$AL,9,0)</f>
        <v>#N/A</v>
      </c>
      <c r="D134" t="e">
        <f>VLOOKUP(A134,'[2]master plan '!$A:$W,9,0)</f>
        <v>#N/A</v>
      </c>
      <c r="E134" t="e">
        <f>VLOOKUP(A134,'[2]master plan '!$A:$W,22,0)</f>
        <v>#N/A</v>
      </c>
      <c r="F134" s="18" t="e">
        <f t="shared" si="9"/>
        <v>#N/A</v>
      </c>
      <c r="G134" s="18" t="e">
        <f t="shared" si="10"/>
        <v>#N/A</v>
      </c>
      <c r="H134" t="e">
        <f>VLOOKUP(A134,'[1]master plan '!$A:$M,13,0)</f>
        <v>#N/A</v>
      </c>
      <c r="I134" t="e">
        <f>VLOOKUP(A134,'[2]master plan '!$A:$L,12,0)</f>
        <v>#N/A</v>
      </c>
      <c r="J134" t="e">
        <f>VLOOKUP(A134,'[2]master plan '!$A:$V,20,0)</f>
        <v>#N/A</v>
      </c>
    </row>
    <row r="135" spans="1:10" ht="20.5" x14ac:dyDescent="0.35">
      <c r="A135" s="19"/>
      <c r="B135" s="18" t="e">
        <f>VLOOKUP(A135,'[3]W52-2025 '!$A:$AL,8,0)</f>
        <v>#N/A</v>
      </c>
      <c r="C135" s="18" t="e">
        <f>VLOOKUP(A135,'[3]W52-2025 '!$A:$AL,9,0)</f>
        <v>#N/A</v>
      </c>
      <c r="D135" t="e">
        <f>VLOOKUP(A135,'[2]master plan '!$A:$W,9,0)</f>
        <v>#N/A</v>
      </c>
      <c r="E135" t="e">
        <f>VLOOKUP(A135,'[2]master plan '!$A:$W,22,0)</f>
        <v>#N/A</v>
      </c>
      <c r="F135" s="18" t="e">
        <f t="shared" si="9"/>
        <v>#N/A</v>
      </c>
      <c r="G135" s="18" t="e">
        <f t="shared" si="10"/>
        <v>#N/A</v>
      </c>
      <c r="H135" t="e">
        <f>VLOOKUP(A135,'[1]master plan '!$A:$M,13,0)</f>
        <v>#N/A</v>
      </c>
      <c r="I135" t="e">
        <f>VLOOKUP(A135,'[2]master plan '!$A:$L,12,0)</f>
        <v>#N/A</v>
      </c>
      <c r="J135" t="e">
        <f>VLOOKUP(A135,'[2]master plan '!$A:$V,20,0)</f>
        <v>#N/A</v>
      </c>
    </row>
    <row r="136" spans="1:10" ht="20.5" x14ac:dyDescent="0.35">
      <c r="A136" s="19"/>
      <c r="B136" s="18" t="e">
        <f>VLOOKUP(A136,'[3]W52-2025 '!$A:$AL,8,0)</f>
        <v>#N/A</v>
      </c>
      <c r="C136" s="18" t="e">
        <f>VLOOKUP(A136,'[3]W52-2025 '!$A:$AL,9,0)</f>
        <v>#N/A</v>
      </c>
      <c r="D136" t="e">
        <f>VLOOKUP(A136,'[2]master plan '!$A:$W,9,0)</f>
        <v>#N/A</v>
      </c>
      <c r="E136" t="e">
        <f>VLOOKUP(A136,'[2]master plan '!$A:$W,22,0)</f>
        <v>#N/A</v>
      </c>
      <c r="F136" s="18" t="e">
        <f t="shared" si="9"/>
        <v>#N/A</v>
      </c>
      <c r="G136" s="18" t="e">
        <f t="shared" si="10"/>
        <v>#N/A</v>
      </c>
      <c r="H136" t="e">
        <f>VLOOKUP(A136,'[1]master plan '!$A:$M,13,0)</f>
        <v>#N/A</v>
      </c>
      <c r="I136" t="e">
        <f>VLOOKUP(A136,'[2]master plan '!$A:$L,12,0)</f>
        <v>#N/A</v>
      </c>
      <c r="J136" t="e">
        <f>VLOOKUP(A136,'[2]master plan '!$A:$V,20,0)</f>
        <v>#N/A</v>
      </c>
    </row>
    <row r="137" spans="1:10" ht="20.5" x14ac:dyDescent="0.35">
      <c r="A137" s="19"/>
      <c r="B137" s="18" t="e">
        <f>VLOOKUP(A137,'[3]W52-2025 '!$A:$AL,8,0)</f>
        <v>#N/A</v>
      </c>
      <c r="C137" s="18" t="e">
        <f>VLOOKUP(A137,'[3]W52-2025 '!$A:$AL,9,0)</f>
        <v>#N/A</v>
      </c>
      <c r="D137" t="e">
        <f>VLOOKUP(A137,'[2]master plan '!$A:$W,9,0)</f>
        <v>#N/A</v>
      </c>
      <c r="E137" t="e">
        <f>VLOOKUP(A137,'[2]master plan '!$A:$W,22,0)</f>
        <v>#N/A</v>
      </c>
      <c r="F137" s="18" t="e">
        <f t="shared" si="9"/>
        <v>#N/A</v>
      </c>
      <c r="G137" s="18" t="e">
        <f t="shared" si="10"/>
        <v>#N/A</v>
      </c>
      <c r="H137" t="e">
        <f>VLOOKUP(A137,'[1]master plan '!$A:$M,13,0)</f>
        <v>#N/A</v>
      </c>
      <c r="I137" t="e">
        <f>VLOOKUP(A137,'[2]master plan '!$A:$L,12,0)</f>
        <v>#N/A</v>
      </c>
      <c r="J137" t="e">
        <f>VLOOKUP(A137,'[2]master plan '!$A:$V,20,0)</f>
        <v>#N/A</v>
      </c>
    </row>
    <row r="138" spans="1:10" ht="20.5" x14ac:dyDescent="0.35">
      <c r="A138" s="19"/>
      <c r="B138" s="18" t="e">
        <f>VLOOKUP(A138,#REF!,8,0)</f>
        <v>#REF!</v>
      </c>
      <c r="C138" s="18" t="e">
        <f>VLOOKUP(A138,#REF!,9,0)</f>
        <v>#REF!</v>
      </c>
      <c r="D138" t="e">
        <f>VLOOKUP(A138,'[2]master plan '!$A:$W,9,0)</f>
        <v>#N/A</v>
      </c>
      <c r="E138" t="e">
        <f>VLOOKUP(A138,'[2]master plan '!$A:$W,22,0)</f>
        <v>#N/A</v>
      </c>
      <c r="F138" s="18" t="e">
        <f t="shared" si="9"/>
        <v>#REF!</v>
      </c>
      <c r="G138" s="18" t="e">
        <f t="shared" si="10"/>
        <v>#REF!</v>
      </c>
      <c r="H138" t="e">
        <f>VLOOKUP(A138,'[1]master plan '!$A:$M,13,0)</f>
        <v>#N/A</v>
      </c>
      <c r="I138" t="e">
        <f>VLOOKUP(A138,'[2]master plan '!$A:$L,12,0)</f>
        <v>#N/A</v>
      </c>
      <c r="J138" t="e">
        <f>VLOOKUP(A138,'[2]master plan '!$A:$V,20,0)</f>
        <v>#N/A</v>
      </c>
    </row>
    <row r="139" spans="1:10" ht="20.5" x14ac:dyDescent="0.35">
      <c r="A139" s="19"/>
      <c r="B139" s="18" t="e">
        <f>VLOOKUP(A139,#REF!,8,0)</f>
        <v>#REF!</v>
      </c>
      <c r="C139" s="18" t="e">
        <f>VLOOKUP(A139,#REF!,9,0)</f>
        <v>#REF!</v>
      </c>
      <c r="D139" t="e">
        <f>VLOOKUP(A139,'[2]master plan '!$A:$W,9,0)</f>
        <v>#N/A</v>
      </c>
      <c r="E139" t="e">
        <f>VLOOKUP(A139,'[2]master plan '!$A:$W,22,0)</f>
        <v>#N/A</v>
      </c>
      <c r="F139" s="18" t="e">
        <f t="shared" si="9"/>
        <v>#REF!</v>
      </c>
      <c r="G139" s="18" t="e">
        <f t="shared" si="10"/>
        <v>#REF!</v>
      </c>
      <c r="H139" t="e">
        <f>VLOOKUP(A139,'[4]master plan '!$A:$M,13,0)</f>
        <v>#N/A</v>
      </c>
      <c r="I139" t="e">
        <f>VLOOKUP(A139,'[2]master plan '!$A:$L,12,0)</f>
        <v>#N/A</v>
      </c>
      <c r="J139" t="e">
        <f>VLOOKUP(A139,'[2]master plan '!$A:$V,20,0)</f>
        <v>#N/A</v>
      </c>
    </row>
    <row r="140" spans="1:10" ht="20.5" x14ac:dyDescent="0.35">
      <c r="A140" s="19"/>
      <c r="B140" s="18" t="e">
        <f>VLOOKUP(A140,#REF!,8,0)</f>
        <v>#REF!</v>
      </c>
      <c r="C140" s="18" t="e">
        <f>VLOOKUP(A140,#REF!,9,0)</f>
        <v>#REF!</v>
      </c>
      <c r="D140" t="e">
        <f>VLOOKUP(A140,'[2]master plan '!$A:$W,9,0)</f>
        <v>#N/A</v>
      </c>
      <c r="E140" t="e">
        <f>VLOOKUP(A140,'[2]master plan '!$A:$W,22,0)</f>
        <v>#N/A</v>
      </c>
      <c r="F140" s="18" t="e">
        <f t="shared" si="9"/>
        <v>#REF!</v>
      </c>
      <c r="G140" s="18" t="e">
        <f t="shared" si="10"/>
        <v>#REF!</v>
      </c>
      <c r="H140" t="e">
        <f>VLOOKUP(A140,'[4]master plan '!$A:$M,13,0)</f>
        <v>#N/A</v>
      </c>
      <c r="I140" t="e">
        <f>VLOOKUP(A140,'[2]master plan '!$A:$L,12,0)</f>
        <v>#N/A</v>
      </c>
      <c r="J140" t="e">
        <f>VLOOKUP(A140,'[2]master plan '!$A:$V,20,0)</f>
        <v>#N/A</v>
      </c>
    </row>
    <row r="141" spans="1:10" ht="20.5" x14ac:dyDescent="0.35">
      <c r="A141" s="19"/>
      <c r="B141" s="18" t="e">
        <f>VLOOKUP(A141,#REF!,8,0)</f>
        <v>#REF!</v>
      </c>
      <c r="C141" s="18" t="e">
        <f>VLOOKUP(A141,#REF!,9,0)</f>
        <v>#REF!</v>
      </c>
      <c r="D141" t="e">
        <f>VLOOKUP(A141,'[2]master plan '!$A:$W,9,0)</f>
        <v>#N/A</v>
      </c>
      <c r="E141" t="e">
        <f>VLOOKUP(A141,'[2]master plan '!$A:$W,22,0)</f>
        <v>#N/A</v>
      </c>
      <c r="F141" s="18" t="e">
        <f t="shared" si="9"/>
        <v>#REF!</v>
      </c>
      <c r="G141" s="18" t="e">
        <f t="shared" si="10"/>
        <v>#REF!</v>
      </c>
      <c r="H141" t="e">
        <f>VLOOKUP(A141,'[4]master plan '!$A:$M,13,0)</f>
        <v>#N/A</v>
      </c>
      <c r="I141" t="e">
        <f>VLOOKUP(A141,'[2]master plan '!$A:$L,12,0)</f>
        <v>#N/A</v>
      </c>
      <c r="J141" t="e">
        <f>VLOOKUP(A141,'[2]master plan '!$A:$V,20,0)</f>
        <v>#N/A</v>
      </c>
    </row>
    <row r="142" spans="1:10" ht="20.5" x14ac:dyDescent="0.35">
      <c r="A142" s="19"/>
      <c r="B142" s="18" t="e">
        <f>VLOOKUP(A142,#REF!,8,0)</f>
        <v>#REF!</v>
      </c>
      <c r="C142" s="18" t="e">
        <f>VLOOKUP(A142,#REF!,9,0)</f>
        <v>#REF!</v>
      </c>
      <c r="D142" t="e">
        <f>VLOOKUP(A142,'[2]master plan '!$A:$W,9,0)</f>
        <v>#N/A</v>
      </c>
      <c r="E142" t="e">
        <f>VLOOKUP(A142,'[2]master plan '!$A:$W,22,0)</f>
        <v>#N/A</v>
      </c>
      <c r="F142" s="18" t="e">
        <f t="shared" si="9"/>
        <v>#REF!</v>
      </c>
      <c r="G142" s="18" t="e">
        <f t="shared" si="10"/>
        <v>#REF!</v>
      </c>
      <c r="H142" t="e">
        <f>VLOOKUP(A142,'[4]master plan '!$A:$M,13,0)</f>
        <v>#N/A</v>
      </c>
      <c r="I142" t="e">
        <f>VLOOKUP(A142,'[2]master plan '!$A:$L,12,0)</f>
        <v>#N/A</v>
      </c>
      <c r="J142" t="e">
        <f>VLOOKUP(A142,'[2]master plan '!$A:$V,20,0)</f>
        <v>#N/A</v>
      </c>
    </row>
    <row r="143" spans="1:10" ht="20.5" x14ac:dyDescent="0.35">
      <c r="A143" s="19"/>
      <c r="B143" s="18" t="e">
        <f>VLOOKUP(A143,#REF!,8,0)</f>
        <v>#REF!</v>
      </c>
      <c r="C143" s="18" t="e">
        <f>VLOOKUP(A143,#REF!,9,0)</f>
        <v>#REF!</v>
      </c>
      <c r="D143" t="e">
        <f>VLOOKUP(A143,'[2]master plan '!$A:$W,9,0)</f>
        <v>#N/A</v>
      </c>
      <c r="E143" t="e">
        <f>VLOOKUP(A143,'[2]master plan '!$A:$W,22,0)</f>
        <v>#N/A</v>
      </c>
      <c r="F143" s="18" t="e">
        <f t="shared" si="9"/>
        <v>#REF!</v>
      </c>
      <c r="G143" s="18" t="e">
        <f t="shared" si="10"/>
        <v>#REF!</v>
      </c>
      <c r="H143" t="e">
        <f>VLOOKUP(A143,'[4]master plan '!$A:$M,13,0)</f>
        <v>#N/A</v>
      </c>
      <c r="I143" t="e">
        <f>VLOOKUP(A143,'[2]master plan '!$A:$L,12,0)</f>
        <v>#N/A</v>
      </c>
      <c r="J143" t="e">
        <f>VLOOKUP(A143,'[2]master plan '!$A:$V,20,0)</f>
        <v>#N/A</v>
      </c>
    </row>
    <row r="144" spans="1:10" ht="20.5" x14ac:dyDescent="0.35">
      <c r="A144" s="19"/>
      <c r="B144" s="18" t="e">
        <f>VLOOKUP(A144,#REF!,8,0)</f>
        <v>#REF!</v>
      </c>
      <c r="C144" s="18" t="e">
        <f>VLOOKUP(A144,#REF!,9,0)</f>
        <v>#REF!</v>
      </c>
      <c r="D144" t="e">
        <f>VLOOKUP(A144,'[2]master plan '!$A:$W,9,0)</f>
        <v>#N/A</v>
      </c>
      <c r="E144" t="e">
        <f>VLOOKUP(A144,'[2]master plan '!$A:$W,22,0)</f>
        <v>#N/A</v>
      </c>
      <c r="F144" s="18" t="e">
        <f t="shared" si="9"/>
        <v>#REF!</v>
      </c>
      <c r="G144" s="18" t="e">
        <f t="shared" si="10"/>
        <v>#REF!</v>
      </c>
      <c r="H144" t="e">
        <f>VLOOKUP(A144,'[4]master plan '!$A:$M,13,0)</f>
        <v>#N/A</v>
      </c>
      <c r="I144" t="e">
        <f>VLOOKUP(A144,'[2]master plan '!$A:$L,12,0)</f>
        <v>#N/A</v>
      </c>
      <c r="J144" t="e">
        <f>VLOOKUP(A144,'[2]master plan '!$A:$V,20,0)</f>
        <v>#N/A</v>
      </c>
    </row>
    <row r="145" spans="1:10" ht="20.5" x14ac:dyDescent="0.35">
      <c r="A145" s="19"/>
      <c r="B145" s="18" t="e">
        <f>VLOOKUP(A145,#REF!,8,0)</f>
        <v>#REF!</v>
      </c>
      <c r="C145" s="18" t="e">
        <f>VLOOKUP(A145,#REF!,9,0)</f>
        <v>#REF!</v>
      </c>
      <c r="D145" t="e">
        <f>VLOOKUP(A145,'[2]master plan '!$A:$W,9,0)</f>
        <v>#N/A</v>
      </c>
      <c r="E145" t="e">
        <f>VLOOKUP(A145,'[2]master plan '!$A:$W,22,0)</f>
        <v>#N/A</v>
      </c>
      <c r="F145" s="18" t="e">
        <f t="shared" si="9"/>
        <v>#REF!</v>
      </c>
      <c r="G145" s="18" t="e">
        <f t="shared" si="10"/>
        <v>#REF!</v>
      </c>
      <c r="H145" t="e">
        <f>VLOOKUP(A145,'[4]master plan '!$A:$M,13,0)</f>
        <v>#N/A</v>
      </c>
      <c r="I145" t="e">
        <f>VLOOKUP(A145,'[2]master plan '!$A:$L,12,0)</f>
        <v>#N/A</v>
      </c>
      <c r="J145" t="e">
        <f>VLOOKUP(A145,'[2]master plan '!$A:$V,20,0)</f>
        <v>#N/A</v>
      </c>
    </row>
    <row r="146" spans="1:10" ht="20.5" x14ac:dyDescent="0.35">
      <c r="A146" s="19"/>
      <c r="B146" s="18" t="e">
        <f>VLOOKUP(A146,#REF!,8,0)</f>
        <v>#REF!</v>
      </c>
      <c r="C146" s="18" t="e">
        <f>VLOOKUP(A146,#REF!,9,0)</f>
        <v>#REF!</v>
      </c>
      <c r="D146" t="e">
        <f>VLOOKUP(A146,'[2]master plan '!$A:$W,9,0)</f>
        <v>#N/A</v>
      </c>
      <c r="E146" t="e">
        <f>VLOOKUP(A146,'[2]master plan '!$A:$W,22,0)</f>
        <v>#N/A</v>
      </c>
      <c r="F146" s="18" t="e">
        <f t="shared" si="9"/>
        <v>#REF!</v>
      </c>
      <c r="G146" s="18" t="e">
        <f t="shared" si="10"/>
        <v>#REF!</v>
      </c>
      <c r="H146" t="e">
        <f>VLOOKUP(A146,'[4]master plan '!$A:$M,13,0)</f>
        <v>#N/A</v>
      </c>
      <c r="I146" t="e">
        <f>VLOOKUP(A146,'[2]master plan '!$A:$L,12,0)</f>
        <v>#N/A</v>
      </c>
      <c r="J146" t="e">
        <f>VLOOKUP(A146,'[2]master plan '!$A:$V,20,0)</f>
        <v>#N/A</v>
      </c>
    </row>
    <row r="147" spans="1:10" ht="20.5" x14ac:dyDescent="0.35">
      <c r="A147" s="19"/>
      <c r="B147" s="18" t="e">
        <f>VLOOKUP(A147,#REF!,8,0)</f>
        <v>#REF!</v>
      </c>
      <c r="C147" s="18" t="e">
        <f>VLOOKUP(A147,#REF!,9,0)</f>
        <v>#REF!</v>
      </c>
      <c r="D147" t="e">
        <f>VLOOKUP(A147,'[2]master plan '!$A:$W,9,0)</f>
        <v>#N/A</v>
      </c>
      <c r="E147" t="e">
        <f>VLOOKUP(A147,'[2]master plan '!$A:$W,22,0)</f>
        <v>#N/A</v>
      </c>
      <c r="F147" s="18" t="e">
        <f t="shared" si="9"/>
        <v>#REF!</v>
      </c>
      <c r="G147" s="18" t="e">
        <f t="shared" si="10"/>
        <v>#REF!</v>
      </c>
      <c r="H147" t="e">
        <f>VLOOKUP(A147,'[4]master plan '!$A:$M,13,0)</f>
        <v>#N/A</v>
      </c>
      <c r="I147" t="e">
        <f>VLOOKUP(A147,'[2]master plan '!$A:$L,12,0)</f>
        <v>#N/A</v>
      </c>
      <c r="J147" t="e">
        <f>VLOOKUP(A147,'[2]master plan '!$A:$V,20,0)</f>
        <v>#N/A</v>
      </c>
    </row>
    <row r="148" spans="1:10" ht="20.5" x14ac:dyDescent="0.35">
      <c r="A148" s="19"/>
      <c r="B148" s="18" t="e">
        <f>VLOOKUP(A148,#REF!,8,0)</f>
        <v>#REF!</v>
      </c>
      <c r="C148" s="18" t="e">
        <f>VLOOKUP(A148,#REF!,9,0)</f>
        <v>#REF!</v>
      </c>
      <c r="D148" t="e">
        <f>VLOOKUP(A148,'[2]master plan '!$A:$W,9,0)</f>
        <v>#N/A</v>
      </c>
      <c r="E148" t="e">
        <f>VLOOKUP(A148,'[2]master plan '!$A:$W,22,0)</f>
        <v>#N/A</v>
      </c>
      <c r="F148" s="18" t="e">
        <f t="shared" si="9"/>
        <v>#REF!</v>
      </c>
      <c r="G148" s="18" t="e">
        <f t="shared" si="10"/>
        <v>#REF!</v>
      </c>
      <c r="H148" t="e">
        <f>VLOOKUP(A148,'[4]master plan '!$A:$M,13,0)</f>
        <v>#N/A</v>
      </c>
      <c r="I148" t="e">
        <f>VLOOKUP(A148,'[2]master plan '!$A:$L,12,0)</f>
        <v>#N/A</v>
      </c>
      <c r="J148" t="e">
        <f>VLOOKUP(A148,'[2]master plan '!$A:$V,20,0)</f>
        <v>#N/A</v>
      </c>
    </row>
    <row r="149" spans="1:10" ht="20.5" x14ac:dyDescent="0.35">
      <c r="A149" s="19"/>
      <c r="B149" s="18" t="e">
        <f>VLOOKUP(A149,#REF!,8,0)</f>
        <v>#REF!</v>
      </c>
      <c r="C149" s="18" t="e">
        <f>VLOOKUP(A149,#REF!,9,0)</f>
        <v>#REF!</v>
      </c>
      <c r="D149" t="e">
        <f>VLOOKUP(A149,'[2]master plan '!$A:$W,9,0)</f>
        <v>#N/A</v>
      </c>
      <c r="E149" t="e">
        <f>VLOOKUP(A149,'[2]master plan '!$A:$W,22,0)</f>
        <v>#N/A</v>
      </c>
      <c r="F149" s="18" t="e">
        <f t="shared" si="9"/>
        <v>#REF!</v>
      </c>
      <c r="G149" s="18" t="e">
        <f t="shared" si="10"/>
        <v>#REF!</v>
      </c>
      <c r="H149" t="e">
        <f>VLOOKUP(A149,'[4]master plan '!$A:$M,13,0)</f>
        <v>#N/A</v>
      </c>
      <c r="I149" t="e">
        <f>VLOOKUP(A149,'[2]master plan '!$A:$L,12,0)</f>
        <v>#N/A</v>
      </c>
      <c r="J149" t="e">
        <f>VLOOKUP(A149,'[2]master plan '!$A:$V,20,0)</f>
        <v>#N/A</v>
      </c>
    </row>
    <row r="150" spans="1:10" ht="20.5" x14ac:dyDescent="0.35">
      <c r="A150" s="19"/>
      <c r="B150" s="18" t="e">
        <f>VLOOKUP(A150,#REF!,8,0)</f>
        <v>#REF!</v>
      </c>
      <c r="C150" s="18" t="e">
        <f>VLOOKUP(A150,#REF!,9,0)</f>
        <v>#REF!</v>
      </c>
      <c r="D150" t="e">
        <f>VLOOKUP(A150,'[2]master plan '!$A:$W,9,0)</f>
        <v>#N/A</v>
      </c>
      <c r="E150" t="e">
        <f>VLOOKUP(A150,'[2]master plan '!$A:$W,22,0)</f>
        <v>#N/A</v>
      </c>
      <c r="F150" s="18" t="e">
        <f t="shared" si="9"/>
        <v>#REF!</v>
      </c>
      <c r="G150" s="18" t="e">
        <f t="shared" si="10"/>
        <v>#REF!</v>
      </c>
      <c r="H150" t="e">
        <f>VLOOKUP(A150,'[4]master plan '!$A:$M,13,0)</f>
        <v>#N/A</v>
      </c>
      <c r="I150" t="e">
        <f>VLOOKUP(A150,'[2]master plan '!$A:$L,12,0)</f>
        <v>#N/A</v>
      </c>
      <c r="J150" t="e">
        <f>VLOOKUP(A150,'[2]master plan '!$A:$V,20,0)</f>
        <v>#N/A</v>
      </c>
    </row>
  </sheetData>
  <protectedRanges>
    <protectedRange algorithmName="SHA-512" hashValue="e1FOu1UlwA7reaiyQlEGzbU6dAFPyHPlKfgo6VzFBBobawyOfUsh2c/+wjC8bICpcXVPmRerMGA9+qKsw5p7Iw==" saltValue="UD2tVZrxqZTGI3vDzMBrHw==" spinCount="100000" sqref="A10:A11" name="Range1_3_1_1_1_1"/>
  </protectedRanges>
  <autoFilter ref="A1:J150" xr:uid="{E4F6A24E-EE2C-4B7D-BC01-1C6D0D61F97B}"/>
  <conditionalFormatting sqref="A1">
    <cfRule type="duplicateValues" dxfId="5" priority="5"/>
  </conditionalFormatting>
  <conditionalFormatting sqref="F1:G1048576">
    <cfRule type="containsText" dxfId="4" priority="2" operator="containsText" text="false">
      <formula>NOT(ISERROR(SEARCH("false",F1)))</formula>
    </cfRule>
    <cfRule type="containsText" dxfId="3" priority="4" operator="containsText" text="F">
      <formula>NOT(ISERROR(SEARCH("F",F1)))</formula>
    </cfRule>
  </conditionalFormatting>
  <conditionalFormatting sqref="A2:A150">
    <cfRule type="duplicateValues" dxfId="2" priority="13"/>
  </conditionalFormatting>
  <conditionalFormatting sqref="A1:A1048576">
    <cfRule type="duplicateValues" dxfId="1" priority="1"/>
    <cfRule type="duplicateValues" dxfId="0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250E43EE1F6849B530143246D94486" ma:contentTypeVersion="18" ma:contentTypeDescription="Create a new document." ma:contentTypeScope="" ma:versionID="40f0de907c6d90cd5c3dacb71963c37a">
  <xsd:schema xmlns:xsd="http://www.w3.org/2001/XMLSchema" xmlns:xs="http://www.w3.org/2001/XMLSchema" xmlns:p="http://schemas.microsoft.com/office/2006/metadata/properties" xmlns:ns2="a1379d0e-7366-4eb4-bbe2-4dfda7616253" xmlns:ns3="e119e4f4-44cf-4fce-b030-0284b9b876e4" targetNamespace="http://schemas.microsoft.com/office/2006/metadata/properties" ma:root="true" ma:fieldsID="b64251ca8e631e767c8e97efb1fe1099" ns2:_="" ns3:_="">
    <xsd:import namespace="a1379d0e-7366-4eb4-bbe2-4dfda7616253"/>
    <xsd:import namespace="e119e4f4-44cf-4fce-b030-0284b9b876e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79d0e-7366-4eb4-bbe2-4dfda76162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9e4f4-44cf-4fce-b030-0284b9b876e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8edb63bf-066c-4d7a-94ad-e653e637b4f9}" ma:internalName="TaxCatchAll" ma:showField="CatchAllData" ma:web="e119e4f4-44cf-4fce-b030-0284b9b876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119e4f4-44cf-4fce-b030-0284b9b876e4" xsi:nil="true"/>
    <lcf76f155ced4ddcb4097134ff3c332f xmlns="a1379d0e-7366-4eb4-bbe2-4dfda761625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8F6CCA6-36CE-4F84-93EE-A8FBCD3CF0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79d0e-7366-4eb4-bbe2-4dfda7616253"/>
    <ds:schemaRef ds:uri="e119e4f4-44cf-4fce-b030-0284b9b876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0B52FF-A68B-41BC-BF44-9CFA9C0254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BE6AA6-B358-4D09-ACA4-93B142DB9B31}">
  <ds:schemaRefs>
    <ds:schemaRef ds:uri="http://schemas.microsoft.com/office/2006/metadata/properties"/>
    <ds:schemaRef ds:uri="http://schemas.microsoft.com/office/infopath/2007/PartnerControls"/>
    <ds:schemaRef ds:uri="e119e4f4-44cf-4fce-b030-0284b9b876e4"/>
    <ds:schemaRef ds:uri="a1379d0e-7366-4eb4-bbe2-4dfda761625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 đơn</vt:lpstr>
      <vt:lpstr>Data</vt:lpstr>
      <vt:lpstr>'In đơn'!Print_Area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Hoai Pham - OVN Foaming Staff</dc:creator>
  <cp:keywords/>
  <dc:description/>
  <cp:lastModifiedBy>Lam Duong - Foaming</cp:lastModifiedBy>
  <cp:revision/>
  <cp:lastPrinted>2026-05-18T02:00:50Z</cp:lastPrinted>
  <dcterms:created xsi:type="dcterms:W3CDTF">2024-12-25T06:06:32Z</dcterms:created>
  <dcterms:modified xsi:type="dcterms:W3CDTF">2026-05-18T03:51:59Z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0x010100A7250E43EE1F6849B530143246D94486</vt:lpwstr>
  </property>
  <property fmtid="{D5CDD505-2E9C-101B-9397-08002B2CF9AE}" pid="3" name="MediaServiceImageTags">
    <vt:lpwstr/>
  </property>
</Properties>
</file>