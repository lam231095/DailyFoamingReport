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W16-2026" sheetId="1" r:id="rId1"/>
    <sheet name="W17-2026" sheetId="2" r:id="rId2"/>
    <sheet name="W19-2026 - L2" sheetId="3" r:id="rId3"/>
    <sheet name="W20-2026 - L1" sheetId="4" r:id="rId4"/>
    <sheet name="W20-2026 -L2" sheetId="5" r:id="rId5"/>
    <sheet name="W20-2026 - L2 phat sinh " sheetId="6" r:id="rId6"/>
    <sheet name="W21-2026 - L1" sheetId="7" r:id="rId7"/>
    <sheet name="W21-2026 - L2" sheetId="8" r:id="rId8"/>
    <sheet name="W22-2026 - L1" sheetId="9" r:id="rId9"/>
    <sheet name="W22-2026 - L2" sheetId="10" r:id="rId10"/>
    <sheet name="W23-2026 - L1" sheetId="11" r:id="rId11"/>
    <sheet name="W23-2026 - L2" sheetId="12" r:id="rId12"/>
    <sheet name="W23-2026- L2 phát sinh" sheetId="13" r:id="rId13"/>
    <sheet name="List pha liệu đầu tuần 24" sheetId="14" r:id="rId14"/>
    <sheet name=" W24-2026- L1" sheetId="15" r:id="rId15"/>
    <sheet name=" W24-2026 - L2" sheetId="16" r:id="rId16"/>
    <sheet name="W27-2026- L1 phát sinh" sheetId="17" r:id="rId17"/>
  </sheets>
  <definedNames>
    <definedName name="_xlnm._FilterDatabase" localSheetId="15" hidden="1">' W24-2026 - L2'!A2:Q282</definedName>
    <definedName name="_xlnm._FilterDatabase" localSheetId="14" hidden="1">' W24-2026- L1'!A2:Q248</definedName>
    <definedName name="_xlnm._FilterDatabase" localSheetId="13" hidden="1">'List pha liệu đầu tuần 24'!A2:Q142</definedName>
    <definedName name="_xlnm._FilterDatabase" localSheetId="0" hidden="1">'W16-2026'!A10:AG289</definedName>
    <definedName name="_xlnm._FilterDatabase" localSheetId="1" hidden="1">'W17-2026'!A10:AG220</definedName>
    <definedName name="_xlnm._FilterDatabase" localSheetId="2" hidden="1">'W19-2026 - L2'!A2:Q101</definedName>
    <definedName name="_xlnm._FilterDatabase" localSheetId="3" hidden="1">'W20-2026 - L1'!A2:Q273</definedName>
    <definedName name="_xlnm._FilterDatabase" localSheetId="5" hidden="1">'W20-2026 - L2 phat sinh '!A2:Q36</definedName>
    <definedName name="_xlnm._FilterDatabase" localSheetId="4" hidden="1">'W20-2026 -L2'!A2:Q56</definedName>
    <definedName name="_xlnm._FilterDatabase" localSheetId="6" hidden="1">'W21-2026 - L1'!A2:Q309</definedName>
    <definedName name="_xlnm._FilterDatabase" localSheetId="7" hidden="1">'W21-2026 - L2'!A2:Q67</definedName>
    <definedName name="_xlnm._FilterDatabase" localSheetId="8" hidden="1">'W22-2026 - L1'!A2:Q238</definedName>
    <definedName name="_xlnm._FilterDatabase" localSheetId="9" hidden="1">'W22-2026 - L2'!A2:Q104</definedName>
    <definedName name="_xlnm._FilterDatabase" localSheetId="10" hidden="1">'W23-2026 - L1'!A2:Q216</definedName>
    <definedName name="_xlnm._FilterDatabase" localSheetId="11" hidden="1">'W23-2026 - L2'!A2:Q138</definedName>
    <definedName name="_xlnm._FilterDatabase" localSheetId="12" hidden="1">'W23-2026- L2 phát sinh'!A2:Q88</definedName>
    <definedName name="Caption.AboutTheReportLabel" comment="Use this function to get the AboutTheReportLabel from the CaptionData table in the CaptionData worksheet">_xlfn.XLOOKUP("AboutTheReportLabel",[1]!CaptionData[[#All],[Caption]],[1]!CaptionData[[#All],[Value]],"none",)</definedName>
    <definedName name="Caption.BomCompLevelDesc" comment="Use this function to get the BomCompLevelDesc from the CaptionData table in the CaptionData worksheet">_xlfn.XLOOKUP("BomCompLevelDesc",[1]!CaptionData[[#All],[Caption]],[1]!CaptionData[[#All],[Value]],"none",)</definedName>
    <definedName name="Caption.BomCompLevelNo" comment="Use this function to get the BomCompLevelNo from the CaptionData table in the CaptionData worksheet">_xlfn.XLOOKUP("BomCompLevelNo",[1]!CaptionData[[#All],[Caption]],[1]!CaptionData[[#All],[Value]],"none",)</definedName>
    <definedName name="Caption.BomCompLevelQty" comment="Use this function to get the BomCompLevelQty from the CaptionData table in the CaptionData worksheet">_xlfn.XLOOKUP("BomCompLevelQty",[1]!CaptionData[[#All],[Caption]],[1]!CaptionData[[#All],[Value]],"none",)</definedName>
    <definedName name="Caption.BomCompLevelUOMCode" comment="Use this function to get the BomCompLevelUOMCode from the CaptionData table in the CaptionData worksheet">_xlfn.XLOOKUP("BomCompLevelUOMCode",[1]!CaptionData[[#All],[Caption]],[1]!CaptionData[[#All],[Value]],"none",)</definedName>
    <definedName name="Caption.BOMQtyCapt" comment="Use this function to get the BOMQtyCapt from the CaptionData table in the CaptionData worksheet">_xlfn.XLOOKUP("BOMQtyCapt",[1]!CaptionData[[#All],[Caption]],[1]!CaptionData[[#All],[Value]],"none",)</definedName>
    <definedName name="Caption.BOMTopLvlPrint" comment="Use this function to get the BOMTopLvlPrint from the CaptionData table in the CaptionData worksheet">_xlfn.XLOOKUP("BOMTopLvlPrint",[1]!CaptionData[[#All],[Caption]],[1]!CaptionData[[#All],[Value]],"none",)</definedName>
    <definedName name="Caption.CalculationDateLabel" comment="Use this function to get the CalculationDateLabel from the CaptionData table in the CaptionData worksheet">_xlfn.XLOOKUP("CalculationDateLabel",[1]!CaptionData[[#All],[Caption]],[1]!CaptionData[[#All],[Value]],"none",)</definedName>
    <definedName name="Caption.CompanyLabel" comment="Use this function to get the CompanyLabel from the CaptionData table in the CaptionData worksheet">_xlfn.XLOOKUP("CompanyLabel",[1]!CaptionData[[#All],[Caption]],[1]!CaptionData[[#All],[Value]],"none",)</definedName>
    <definedName name="Caption.DataRetrieved" comment="Use this function to get the DataRetrieved from the CaptionData table in the CaptionData worksheet">_xlfn.XLOOKUP("DataRetrieved",[1]!CaptionData[[#All],[Caption]],[1]!CaptionData[[#All],[Value]],"none",)</definedName>
    <definedName name="Caption.Desc_Item" comment="Use this function to get the Desc_Item from the CaptionData table in the CaptionData worksheet">_xlfn.XLOOKUP("Desc_Item",[1]!CaptionData[[#All],[Caption]],[1]!CaptionData[[#All],[Value]],"none",)</definedName>
    <definedName name="Caption.DocumentationLabel" comment="Use this function to get the DocumentationLabel from the CaptionData table in the CaptionData worksheet">_xlfn.XLOOKUP("DocumentationLabel",[1]!CaptionData[[#All],[Caption]],[1]!CaptionData[[#All],[Value]],"none",)</definedName>
    <definedName name="Caption.EnvironmentLabel" comment="Use this function to get the EnvironmentLabel from the CaptionData table in the CaptionData worksheet">_xlfn.XLOOKUP("EnvironmentLabel",[1]!CaptionData[[#All],[Caption]],[1]!CaptionData[[#All],[Value]],"none",)</definedName>
    <definedName name="Caption.ItemDesc" comment="Use this function to get the ItemDesc from the CaptionData table in the CaptionData worksheet">_xlfn.XLOOKUP("ItemDesc",[1]!CaptionData[[#All],[Caption]],[1]!CaptionData[[#All],[Value]],"none",)</definedName>
    <definedName name="Caption.ItemNo" comment="Use this function to get the ItemNo from the CaptionData table in the CaptionData worksheet">_xlfn.XLOOKUP("ItemNo",[1]!CaptionData[[#All],[Caption]],[1]!CaptionData[[#All],[Value]],"none",)</definedName>
    <definedName name="Caption.Level" comment="Use this function to get the Level from the CaptionData table in the CaptionData worksheet">_xlfn.XLOOKUP("Level",[1]!CaptionData[[#All],[Caption]],[1]!CaptionData[[#All],[Value]],"none",)</definedName>
    <definedName name="Caption.No_Item" comment="Use this function to get the No_Item from the CaptionData table in the CaptionData worksheet">_xlfn.XLOOKUP("No_Item",[1]!CaptionData[[#All],[Caption]],[1]!CaptionData[[#All],[Value]],"none",)</definedName>
    <definedName name="Caption.QtyExplosionOfBOMAnalysis" comment="Use this function to get the QtyExplosionOfBOMAnalysis from the CaptionData table in the CaptionData worksheet">_xlfn.XLOOKUP("QtyExplosionOfBOMAnalysis",[1]!CaptionData[[#All],[Caption]],[1]!CaptionData[[#All],[Value]],"none",)</definedName>
    <definedName name="Caption.QtyExplosionOfBOMAnalysisL1" comment="Use this function to get the QtyExplosionOfBOMAnalysisL1 from the CaptionData table in the CaptionData worksheet">_xlfn.XLOOKUP("QtyExplosionOfBOMAnalysisL1",[1]!CaptionData[[#All],[Caption]],[1]!CaptionData[[#All],[Value]],"none",)</definedName>
    <definedName name="Caption.QtyExplosionOfBOMPrint" comment="Use this function to get the QtyExplosionOfBOMPrint from the CaptionData table in the CaptionData worksheet">_xlfn.XLOOKUP("QtyExplosionOfBOMPrint",[1]!CaptionData[[#All],[Caption]],[1]!CaptionData[[#All],[Value]],"none",)</definedName>
    <definedName name="Caption.QuantityExplosionOfBOM" comment="Use this function to get the QuantityExplosionOfBOM from the CaptionData table in the CaptionData worksheet">_xlfn.XLOOKUP("QuantityExplosionOfBOM",[1]!CaptionData[[#All],[Caption]],[1]!CaptionData[[#All],[Value]],"none",)</definedName>
    <definedName name="Caption.ReportNameLabel" comment="Use this function to get the ReportNameLabel from the CaptionData table in the CaptionData worksheet">_xlfn.XLOOKUP("ReportNameLabel",[1]!CaptionData[[#All],[Caption]],[1]!CaptionData[[#All],[Value]],"none",)</definedName>
    <definedName name="Caption.RunOnLabel" comment="Use this function to get the RunOnLabel from the CaptionData table in the CaptionData worksheet">_xlfn.XLOOKUP("RunOnLabel",[1]!CaptionData[[#All],[Caption]],[1]!CaptionData[[#All],[Value]],"none",)</definedName>
    <definedName name="Caption.UserLabel" comment="Use this function to get the UserLabel from the CaptionData table in the CaptionData worksheet">_xlfn.XLOOKUP("UserLabel",[1]!CaptionData[[#All],[Caption]],[1]!CaptionData[[#All],[Value]],"none",)</definedName>
    <definedName name="_xlnm.Print_Titles" localSheetId="15">' W24-2026 - L2'!$1:$2</definedName>
    <definedName name="_xlnm.Print_Titles" localSheetId="14">' W24-2026- L1'!$1:$2</definedName>
    <definedName name="_xlnm.Print_Titles" localSheetId="13">'List pha liệu đầu tuần 24'!$1:$2</definedName>
    <definedName name="_xlnm.Print_Titles" localSheetId="0">'W16-2026'!$4:$33</definedName>
    <definedName name="_xlnm.Print_Titles" localSheetId="1">'W17-2026'!$4:$65</definedName>
    <definedName name="_xlnm.Print_Titles" localSheetId="2">'W19-2026 - L2'!$1:$2</definedName>
    <definedName name="_xlnm.Print_Titles" localSheetId="3">'W20-2026 - L1'!$1:$38</definedName>
    <definedName name="_xlnm.Print_Titles" localSheetId="5">'W20-2026 - L2 phat sinh '!$1:$2</definedName>
    <definedName name="_xlnm.Print_Titles" localSheetId="4">'W20-2026 -L2'!$1:$2</definedName>
    <definedName name="_xlnm.Print_Titles" localSheetId="6">'W21-2026 - L1'!$1:$46</definedName>
    <definedName name="_xlnm.Print_Titles" localSheetId="7">'W21-2026 - L2'!$1:$3</definedName>
    <definedName name="_xlnm.Print_Titles" localSheetId="8">'W22-2026 - L1'!$1:$2</definedName>
    <definedName name="_xlnm.Print_Titles" localSheetId="9">'W22-2026 - L2'!$1:$2</definedName>
    <definedName name="_xlnm.Print_Titles" localSheetId="10">'W23-2026 - L1'!$1:$2</definedName>
    <definedName name="_xlnm.Print_Titles" localSheetId="11">'W23-2026 - L2'!$1:$2</definedName>
    <definedName name="_xlnm.Print_Titles" localSheetId="12">'W23-2026- L2 phát sinh'!$1:$2</definedName>
    <definedName name="ReportMetadata.AboutThisReportText" comment="Use this function to get the About This Report Text from the ReportMetadataValues table in the Aggregated Metadata worksheet" localSheetId="3">_xlfn.XLOOKUP("About This Report Text",[2]!ReportMetadataValues[[#All],[Report Property]],[2]!ReportMetadataValues[[#All],[Report Property Value]],"none",)</definedName>
    <definedName name="ReportMetadata.AboutThisReportText" comment="Use this function to get the About This Report Text from the ReportMetadataValues table in the Aggregated Metadata worksheet">_xlfn.XLOOKUP("About This Report Text",[3]!ReportMetadataValues[[#All],[Report Property]],[3]!ReportMetadataValues[[#All],[Report Property Value]],"none",)</definedName>
    <definedName name="ReportMetadata.AboutThisReportTitle" comment="Use this function to get the About This Report Title from the ReportMetadataValues table in the Aggregated Metadata worksheet" localSheetId="3">_xlfn.XLOOKUP("About This Report Title",[2]!ReportMetadataValues[[#All],[Report Property]],[2]!ReportMetadataValues[[#All],[Report Property Value]],"none",)</definedName>
    <definedName name="ReportMetadata.AboutThisReportTitle" comment="Use this function to get the About This Report Title from the ReportMetadataValues table in the Aggregated Metadata worksheet">_xlfn.XLOOKUP("About This Report Title",[3]!ReportMetadataValues[[#All],[Report Property]],[3]!ReportMetadataValues[[#All],[Report Property Value]],"none",)</definedName>
    <definedName name="ReportMetadata.ExtensionID" comment="Use this function to get the Extension ID from the ReportMetadataValues table in the Aggregated Metadata worksheet" localSheetId="3">_xlfn.XLOOKUP("Extension ID",[2]!ReportMetadataValues[[#All],[Report Property]],[2]!ReportMetadataValues[[#All],[Report Property Value]],"none",)</definedName>
    <definedName name="ReportMetadata.ExtensionID" comment="Use this function to get the Extension ID from the ReportMetadataValues table in the Aggregated Metadata worksheet">_xlfn.XLOOKUP("Extension ID",[3]!ReportMetadataValues[[#All],[Report Property]],[3]!ReportMetadataValues[[#All],[Report Property Value]],"none",)</definedName>
    <definedName name="ReportMetadata.ExtensionName" comment="Use this function to get the Extension Name from the ReportMetadataValues table in the Aggregated Metadata worksheet" localSheetId="3">_xlfn.XLOOKUP("Extension Name",[2]!ReportMetadataValues[[#All],[Report Property]],[2]!ReportMetadataValues[[#All],[Report Property Value]],"none",)</definedName>
    <definedName name="ReportMetadata.ExtensionName" comment="Use this function to get the Extension Name from the ReportMetadataValues table in the Aggregated Metadata worksheet">_xlfn.XLOOKUP("Extension Name",[3]!ReportMetadataValues[[#All],[Report Property]],[3]!ReportMetadataValues[[#All],[Report Property Value]],"none",)</definedName>
    <definedName name="ReportMetadata.ExtensionPublisher" comment="Use this function to get the Extension Publisher from the ReportMetadataValues table in the Aggregated Metadata worksheet" localSheetId="3">_xlfn.XLOOKUP("Extension Publisher",[2]!ReportMetadataValues[[#All],[Report Property]],[2]!ReportMetadataValues[[#All],[Report Property Value]],"none",)</definedName>
    <definedName name="ReportMetadata.ExtensionPublisher" comment="Use this function to get the Extension Publisher from the ReportMetadataValues table in the Aggregated Metadata worksheet">_xlfn.XLOOKUP("Extension Publisher",[3]!ReportMetadataValues[[#All],[Report Property]],[3]!ReportMetadataValues[[#All],[Report Property Value]],"none",)</definedName>
    <definedName name="ReportMetadata.ExtensionVersion" comment="Use this function to get the Extension Version from the ReportMetadataValues table in the Aggregated Metadata worksheet" localSheetId="3">_xlfn.XLOOKUP("Extension Version",[2]!ReportMetadataValues[[#All],[Report Property]],[2]!ReportMetadataValues[[#All],[Report Property Value]],"none",)</definedName>
    <definedName name="ReportMetadata.ExtensionVersion" comment="Use this function to get the Extension Version from the ReportMetadataValues table in the Aggregated Metadata worksheet">_xlfn.XLOOKUP("Extension Version",[3]!ReportMetadataValues[[#All],[Report Property]],[3]!ReportMetadataValues[[#All],[Report Property Value]],"none",)</definedName>
    <definedName name="ReportMetadata.ObjectCaption" comment="Use this function to get the Object Caption from the ReportMetadataValues table in the Aggregated Metadata worksheet" localSheetId="3">_xlfn.XLOOKUP("Object Caption",[2]!ReportMetadataValues[[#All],[Report Property]],[2]!ReportMetadataValues[[#All],[Report Property Value]],"none",)</definedName>
    <definedName name="ReportMetadata.ObjectCaption" comment="Use this function to get the Object Caption from the ReportMetadataValues table in the Aggregated Metadata worksheet">_xlfn.XLOOKUP("Object Caption",[3]!ReportMetadataValues[[#All],[Report Property]],[3]!ReportMetadataValues[[#All],[Report Property Value]],"none",)</definedName>
    <definedName name="ReportMetadata.ObjectID" comment="Use this function to get the Object ID from the ReportMetadataValues table in the Aggregated Metadata worksheet" localSheetId="3">_xlfn.XLOOKUP("Object ID",[2]!ReportMetadataValues[[#All],[Report Property]],[2]!ReportMetadataValues[[#All],[Report Property Value]],"none",)</definedName>
    <definedName name="ReportMetadata.ObjectID" comment="Use this function to get the Object ID from the ReportMetadataValues table in the Aggregated Metadata worksheet">_xlfn.XLOOKUP("Object ID",[3]!ReportMetadataValues[[#All],[Report Property]],[3]!ReportMetadataValues[[#All],[Report Property Value]],"none",)</definedName>
    <definedName name="ReportMetadata.ObjectName" comment="Use this function to get the Object Name from the ReportMetadataValues table in the Aggregated Metadata worksheet" localSheetId="3">_xlfn.XLOOKUP("Object Name",[2]!ReportMetadataValues[[#All],[Report Property]],[2]!ReportMetadataValues[[#All],[Report Property Value]],"none",)</definedName>
    <definedName name="ReportMetadata.ObjectName" comment="Use this function to get the Object Name from the ReportMetadataValues table in the Aggregated Metadata worksheet">_xlfn.XLOOKUP("Object Name",[3]!ReportMetadataValues[[#All],[Report Property]],[3]!ReportMetadataValues[[#All],[Report Property Value]],"none",)</definedName>
    <definedName name="ReportMetadata.ReportHelpLink" comment="Use this function to get the Report help link from the ReportMetadataValues table in the Aggregated Metadata worksheet" localSheetId="3">_xlfn.XLOOKUP("Report help link",[2]!ReportMetadataValues[[#All],[Report Property]],[2]!ReportMetadataValues[[#All],[Report Property Value]],"none",)</definedName>
    <definedName name="ReportMetadata.ReportHelpLink" comment="Use this function to get the Report help link from the ReportMetadataValues table in the Aggregated Metadata worksheet">_xlfn.XLOOKUP("Report help link",[3]!ReportMetadataValues[[#All],[Report Property]],[3]!ReportMetadataValues[[#All],[Report Property Value]],"none",)</definedName>
    <definedName name="ReportRequest.CompanyDisplayName" comment="Use this function to get the Company display name from the ReportRequestValues table in the Aggregated Metadata worksheet" localSheetId="3">_xlfn.XLOOKUP("Company display name",[2]!ReportRequestValues[[#All],[Request Property]],[2]!ReportRequestValues[[#All],[Request Property Value]],"none",)</definedName>
    <definedName name="ReportRequest.CompanyDisplayName" comment="Use this function to get the Company display name from the ReportRequestValues table in the Aggregated Metadata worksheet">_xlfn.XLOOKUP("Company display name",[3]!ReportRequestValues[[#All],[Request Property]],[3]!ReportRequestValues[[#All],[Request Property Value]],"none",)</definedName>
    <definedName name="ReportRequest.CompanyId" comment="Use this function to get the Company Id from the ReportRequestValues table in the Aggregated Metadata worksheet" localSheetId="3">_xlfn.XLOOKUP("Company Id",[2]!ReportRequestValues[[#All],[Request Property]],[2]!ReportRequestValues[[#All],[Request Property Value]],"none",)</definedName>
    <definedName name="ReportRequest.CompanyId" comment="Use this function to get the Company Id from the ReportRequestValues table in the Aggregated Metadata worksheet">_xlfn.XLOOKUP("Company Id",[3]!ReportRequestValues[[#All],[Request Property]],[3]!ReportRequestValues[[#All],[Request Property Value]],"none",)</definedName>
    <definedName name="ReportRequest.CompanyName" comment="Use this function to get the Company name from the ReportRequestValues table in the Aggregated Metadata worksheet" localSheetId="3">_xlfn.XLOOKUP("Company name",[2]!ReportRequestValues[[#All],[Request Property]],[2]!ReportRequestValues[[#All],[Request Property Value]],"none",)</definedName>
    <definedName name="ReportRequest.CompanyName" comment="Use this function to get the Company name from the ReportRequestValues table in the Aggregated Metadata worksheet">_xlfn.XLOOKUP("Company name",[3]!ReportRequestValues[[#All],[Request Property]],[3]!ReportRequestValues[[#All],[Request Property Value]],"none",)</definedName>
    <definedName name="ReportRequest.Date" comment="Use this function to get the Date from the ReportRequestValues table in the Aggregated Metadata worksheet" localSheetId="3">_xlfn.XLOOKUP("Date",[2]!ReportRequestValues[[#All],[Request Property]],[2]!ReportRequestValues[[#All],[Request Property Value]],"none",)</definedName>
    <definedName name="ReportRequest.Date" comment="Use this function to get the Date from the ReportRequestValues table in the Aggregated Metadata worksheet">_xlfn.XLOOKUP("Date",[3]!ReportRequestValues[[#All],[Request Property]],[3]!ReportRequestValues[[#All],[Request Property Value]],"none",)</definedName>
    <definedName name="ReportRequest.DateLocal" comment="Use this function to get the Date (Local) from the ReportRequestValues table in the Aggregated Metadata worksheet" localSheetId="3">_xlfn.XLOOKUP("Date (Local)",[2]!ReportRequestValues[[#All],[Request Property]],[2]!ReportRequestValues[[#All],[Request Property Value]],"none",)</definedName>
    <definedName name="ReportRequest.DateLocal" comment="Use this function to get the Date (Local) from the ReportRequestValues table in the Aggregated Metadata worksheet">_xlfn.XLOOKUP("Date (Local)",[3]!ReportRequestValues[[#All],[Request Property]],[3]!ReportRequestValues[[#All],[Request Property Value]],"none",)</definedName>
    <definedName name="ReportRequest.EnvironmentName" comment="Use this function to get the Environment name from the ReportRequestValues table in the Aggregated Metadata worksheet" localSheetId="3">_xlfn.XLOOKUP("Environment name",[2]!ReportRequestValues[[#All],[Request Property]],[2]!ReportRequestValues[[#All],[Request Property Value]],"none",)</definedName>
    <definedName name="ReportRequest.EnvironmentName" comment="Use this function to get the Environment name from the ReportRequestValues table in the Aggregated Metadata worksheet">_xlfn.XLOOKUP("Environment name",[3]!ReportRequestValues[[#All],[Request Property]],[3]!ReportRequestValues[[#All],[Request Property Value]],"none",)</definedName>
    <definedName name="ReportRequest.EnvironmentType" comment="Use this function to get the Environment type from the ReportRequestValues table in the Aggregated Metadata worksheet" localSheetId="3">_xlfn.XLOOKUP("Environment type",[2]!ReportRequestValues[[#All],[Request Property]],[2]!ReportRequestValues[[#All],[Request Property Value]],"none",)</definedName>
    <definedName name="ReportRequest.EnvironmentType" comment="Use this function to get the Environment type from the ReportRequestValues table in the Aggregated Metadata worksheet">_xlfn.XLOOKUP("Environment type",[3]!ReportRequestValues[[#All],[Request Property]],[3]!ReportRequestValues[[#All],[Request Property Value]],"none",)</definedName>
    <definedName name="ReportRequest.FormatRegion" comment="Use this function to get the Format Region from the ReportRequestValues table in the Aggregated Metadata worksheet" localSheetId="3">_xlfn.XLOOKUP("Format Region",[2]!ReportRequestValues[[#All],[Request Property]],[2]!ReportRequestValues[[#All],[Request Property Value]],"none",)</definedName>
    <definedName name="ReportRequest.FormatRegion" comment="Use this function to get the Format Region from the ReportRequestValues table in the Aggregated Metadata worksheet">_xlfn.XLOOKUP("Format Region",[3]!ReportRequestValues[[#All],[Request Property]],[3]!ReportRequestValues[[#All],[Request Property Value]],"none",)</definedName>
    <definedName name="ReportRequest.Language" comment="Use this function to get the Language from the ReportRequestValues table in the Aggregated Metadata worksheet" localSheetId="3">_xlfn.XLOOKUP("Language",[2]!ReportRequestValues[[#All],[Request Property]],[2]!ReportRequestValues[[#All],[Request Property Value]],"none",)</definedName>
    <definedName name="ReportRequest.Language" comment="Use this function to get the Language from the ReportRequestValues table in the Aggregated Metadata worksheet">_xlfn.XLOOKUP("Language",[3]!ReportRequestValues[[#All],[Request Property]],[3]!ReportRequestValues[[#All],[Request Property Value]],"none",)</definedName>
    <definedName name="ReportRequest.LayoutCaption" comment="Use this function to get the Layout caption from the ReportRequestValues table in the Aggregated Metadata worksheet" localSheetId="3">_xlfn.XLOOKUP("Layout caption",[2]!ReportRequestValues[[#All],[Request Property]],[2]!ReportRequestValues[[#All],[Request Property Value]],"none",)</definedName>
    <definedName name="ReportRequest.LayoutCaption" comment="Use this function to get the Layout caption from the ReportRequestValues table in the Aggregated Metadata worksheet">_xlfn.XLOOKUP("Layout caption",[3]!ReportRequestValues[[#All],[Request Property]],[3]!ReportRequestValues[[#All],[Request Property Value]],"none",)</definedName>
    <definedName name="ReportRequest.LayoutId" comment="Use this function to get the Layout id from the ReportRequestValues table in the Aggregated Metadata worksheet" localSheetId="3">_xlfn.XLOOKUP("Layout id",[2]!ReportRequestValues[[#All],[Request Property]],[2]!ReportRequestValues[[#All],[Request Property Value]],"none",)</definedName>
    <definedName name="ReportRequest.LayoutId" comment="Use this function to get the Layout id from the ReportRequestValues table in the Aggregated Metadata worksheet">_xlfn.XLOOKUP("Layout id",[3]!ReportRequestValues[[#All],[Request Property]],[3]!ReportRequestValues[[#All],[Request Property Value]],"none",)</definedName>
    <definedName name="ReportRequest.LayoutName" comment="Use this function to get the Layout name from the ReportRequestValues table in the Aggregated Metadata worksheet" localSheetId="3">_xlfn.XLOOKUP("Layout name",[2]!ReportRequestValues[[#All],[Request Property]],[2]!ReportRequestValues[[#All],[Request Property Value]],"none",)</definedName>
    <definedName name="ReportRequest.LayoutName" comment="Use this function to get the Layout name from the ReportRequestValues table in the Aggregated Metadata worksheet">_xlfn.XLOOKUP("Layout name",[3]!ReportRequestValues[[#All],[Request Property]],[3]!ReportRequestValues[[#All],[Request Property Value]],"none",)</definedName>
    <definedName name="ReportRequest.TenantEntraId" comment="Use this function to get the Tenant Entra Id from the ReportRequestValues table in the Aggregated Metadata worksheet" localSheetId="3">_xlfn.XLOOKUP("Tenant Entra Id",[2]!ReportRequestValues[[#All],[Request Property]],[2]!ReportRequestValues[[#All],[Request Property Value]],"none",)</definedName>
    <definedName name="ReportRequest.TenantEntraId" comment="Use this function to get the Tenant Entra Id from the ReportRequestValues table in the Aggregated Metadata worksheet">_xlfn.XLOOKUP("Tenant Entra Id",[3]!ReportRequestValues[[#All],[Request Property]],[3]!ReportRequestValues[[#All],[Request Property Value]],"none",)</definedName>
    <definedName name="ReportRequest.TenantId" comment="Use this function to get the Tenant Id from the ReportRequestValues table in the Aggregated Metadata worksheet" localSheetId="3">_xlfn.XLOOKUP("Tenant Id",[2]!ReportRequestValues[[#All],[Request Property]],[2]!ReportRequestValues[[#All],[Request Property Value]],"none",)</definedName>
    <definedName name="ReportRequest.TenantId" comment="Use this function to get the Tenant Id from the ReportRequestValues table in the Aggregated Metadata worksheet">_xlfn.XLOOKUP("Tenant Id",[3]!ReportRequestValues[[#All],[Request Property]],[3]!ReportRequestValues[[#All],[Request Property Value]],"none",)</definedName>
    <definedName name="ReportRequest.UserName" comment="Use this function to get the User name from the ReportRequestValues table in the Aggregated Metadata worksheet" localSheetId="3">_xlfn.XLOOKUP("User name",[2]!ReportRequestValues[[#All],[Request Property]],[2]!ReportRequestValues[[#All],[Request Property Value]],"none",)</definedName>
    <definedName name="ReportRequest.UserName" comment="Use this function to get the User name from the ReportRequestValues table in the Aggregated Metadata worksheet">_xlfn.XLOOKUP("User name",[3]!ReportRequestValues[[#All],[Request Property]],[3]!ReportRequestValues[[#All],[Request Property Value]],"none",)</definedName>
    <definedName name="ReportRequest.UTCOffset" comment="Use this function to get the UTC Offset from the ReportRequestValues table in the Aggregated Metadata worksheet" localSheetId="3">_xlfn.XLOOKUP("UTC Offset",[2]!ReportRequestValues[[#All],[Request Property]],[2]!ReportRequestValues[[#All],[Request Property Value]],"none",)</definedName>
    <definedName name="ReportRequest.UTCOffset" comment="Use this function to get the UTC Offset from the ReportRequestValues table in the Aggregated Metadata worksheet">_xlfn.XLOOKUP("UTC Offset",[3]!ReportRequestValues[[#All],[Request Property]],[3]!ReportRequestValues[[#All],[Request Property Value]],"none",)</definedName>
    <definedName name="Z_1811EAD5_BD80_4EFF_9596_8EF0EFF4AD2A_.wvu.FilterData" localSheetId="15" hidden="1">' W24-2026 - L2'!$A$2:$Q$2</definedName>
    <definedName name="Z_1811EAD5_BD80_4EFF_9596_8EF0EFF4AD2A_.wvu.FilterData" localSheetId="14" hidden="1">' W24-2026- L1'!$A$2:$Q$2</definedName>
    <definedName name="Z_1811EAD5_BD80_4EFF_9596_8EF0EFF4AD2A_.wvu.FilterData" localSheetId="13" hidden="1">'List pha liệu đầu tuần 24'!$A$2:$Q$2</definedName>
    <definedName name="Z_1811EAD5_BD80_4EFF_9596_8EF0EFF4AD2A_.wvu.FilterData" localSheetId="0" hidden="1">'W16-2026'!$A$10:$W$10</definedName>
    <definedName name="Z_1811EAD5_BD80_4EFF_9596_8EF0EFF4AD2A_.wvu.FilterData" localSheetId="1" hidden="1">'W17-2026'!$A$10:$W$10</definedName>
    <definedName name="Z_1811EAD5_BD80_4EFF_9596_8EF0EFF4AD2A_.wvu.FilterData" localSheetId="2" hidden="1">'W19-2026 - L2'!$A$2:$Q$2</definedName>
    <definedName name="Z_1811EAD5_BD80_4EFF_9596_8EF0EFF4AD2A_.wvu.FilterData" localSheetId="3" hidden="1">'W20-2026 - L1'!$A$2:$Q$2</definedName>
    <definedName name="Z_1811EAD5_BD80_4EFF_9596_8EF0EFF4AD2A_.wvu.FilterData" localSheetId="5" hidden="1">'W20-2026 - L2 phat sinh '!$A$2:$Q$2</definedName>
    <definedName name="Z_1811EAD5_BD80_4EFF_9596_8EF0EFF4AD2A_.wvu.FilterData" localSheetId="4" hidden="1">'W20-2026 -L2'!$A$2:$Q$2</definedName>
    <definedName name="Z_1811EAD5_BD80_4EFF_9596_8EF0EFF4AD2A_.wvu.FilterData" localSheetId="6" hidden="1">'W21-2026 - L1'!$A$2:$Q$2</definedName>
    <definedName name="Z_1811EAD5_BD80_4EFF_9596_8EF0EFF4AD2A_.wvu.FilterData" localSheetId="7" hidden="1">'W21-2026 - L2'!$A$2:$Q$2</definedName>
    <definedName name="Z_1811EAD5_BD80_4EFF_9596_8EF0EFF4AD2A_.wvu.FilterData" localSheetId="8" hidden="1">'W22-2026 - L1'!$A$2:$Q$2</definedName>
    <definedName name="Z_1811EAD5_BD80_4EFF_9596_8EF0EFF4AD2A_.wvu.FilterData" localSheetId="9" hidden="1">'W22-2026 - L2'!$A$2:$Q$2</definedName>
    <definedName name="Z_1811EAD5_BD80_4EFF_9596_8EF0EFF4AD2A_.wvu.FilterData" localSheetId="10" hidden="1">'W23-2026 - L1'!$A$2:$Q$2</definedName>
    <definedName name="Z_1811EAD5_BD80_4EFF_9596_8EF0EFF4AD2A_.wvu.FilterData" localSheetId="11" hidden="1">'W23-2026 - L2'!$A$2:$Q$2</definedName>
    <definedName name="Z_1811EAD5_BD80_4EFF_9596_8EF0EFF4AD2A_.wvu.FilterData" localSheetId="12" hidden="1">'W23-2026- L2 phát sinh'!$A$2:$Q$2</definedName>
    <definedName name="Z_1811EAD5_BD80_4EFF_9596_8EF0EFF4AD2A_.wvu.PrintTitles" localSheetId="15" hidden="1">' W24-2026 - L2'!$1:$2</definedName>
    <definedName name="Z_1811EAD5_BD80_4EFF_9596_8EF0EFF4AD2A_.wvu.PrintTitles" localSheetId="14" hidden="1">' W24-2026- L1'!$1:$2</definedName>
    <definedName name="Z_1811EAD5_BD80_4EFF_9596_8EF0EFF4AD2A_.wvu.PrintTitles" localSheetId="13" hidden="1">'List pha liệu đầu tuần 24'!$1:$2</definedName>
    <definedName name="Z_1811EAD5_BD80_4EFF_9596_8EF0EFF4AD2A_.wvu.PrintTitles" localSheetId="0" hidden="1">'W16-2026'!$4:$10</definedName>
    <definedName name="Z_1811EAD5_BD80_4EFF_9596_8EF0EFF4AD2A_.wvu.PrintTitles" localSheetId="1" hidden="1">'W17-2026'!$4:$10</definedName>
    <definedName name="Z_1811EAD5_BD80_4EFF_9596_8EF0EFF4AD2A_.wvu.PrintTitles" localSheetId="2" hidden="1">'W19-2026 - L2'!$1:$2</definedName>
    <definedName name="Z_1811EAD5_BD80_4EFF_9596_8EF0EFF4AD2A_.wvu.PrintTitles" localSheetId="3" hidden="1">'W20-2026 - L1'!$1:$2</definedName>
    <definedName name="Z_1811EAD5_BD80_4EFF_9596_8EF0EFF4AD2A_.wvu.PrintTitles" localSheetId="5" hidden="1">'W20-2026 - L2 phat sinh '!$1:$2</definedName>
    <definedName name="Z_1811EAD5_BD80_4EFF_9596_8EF0EFF4AD2A_.wvu.PrintTitles" localSheetId="4" hidden="1">'W20-2026 -L2'!$1:$2</definedName>
    <definedName name="Z_1811EAD5_BD80_4EFF_9596_8EF0EFF4AD2A_.wvu.PrintTitles" localSheetId="6" hidden="1">'W21-2026 - L1'!$1:$2</definedName>
    <definedName name="Z_1811EAD5_BD80_4EFF_9596_8EF0EFF4AD2A_.wvu.PrintTitles" localSheetId="7" hidden="1">'W21-2026 - L2'!$1:$2</definedName>
    <definedName name="Z_1811EAD5_BD80_4EFF_9596_8EF0EFF4AD2A_.wvu.PrintTitles" localSheetId="8" hidden="1">'W22-2026 - L1'!$1:$2</definedName>
    <definedName name="Z_1811EAD5_BD80_4EFF_9596_8EF0EFF4AD2A_.wvu.PrintTitles" localSheetId="9" hidden="1">'W22-2026 - L2'!$1:$2</definedName>
    <definedName name="Z_1811EAD5_BD80_4EFF_9596_8EF0EFF4AD2A_.wvu.PrintTitles" localSheetId="10" hidden="1">'W23-2026 - L1'!$1:$2</definedName>
    <definedName name="Z_1811EAD5_BD80_4EFF_9596_8EF0EFF4AD2A_.wvu.PrintTitles" localSheetId="11" hidden="1">'W23-2026 - L2'!$1:$2</definedName>
    <definedName name="Z_1811EAD5_BD80_4EFF_9596_8EF0EFF4AD2A_.wvu.PrintTitles" localSheetId="12" hidden="1">'W23-2026- L2 phát sinh'!$1:$2</definedName>
    <definedName name="Z_18A7E0A3_1642_489C_8130_3CC9FF80B04E_.wvu.FilterData" localSheetId="15" hidden="1">' W24-2026 - L2'!$C$2:$O$2</definedName>
    <definedName name="Z_18A7E0A3_1642_489C_8130_3CC9FF80B04E_.wvu.FilterData" localSheetId="14" hidden="1">' W24-2026- L1'!$C$2:$O$2</definedName>
    <definedName name="Z_18A7E0A3_1642_489C_8130_3CC9FF80B04E_.wvu.FilterData" localSheetId="13" hidden="1">'List pha liệu đầu tuần 24'!$C$2:$O$2</definedName>
    <definedName name="Z_18A7E0A3_1642_489C_8130_3CC9FF80B04E_.wvu.FilterData" localSheetId="0" hidden="1">'W16-2026'!$C$10:$O$10</definedName>
    <definedName name="Z_18A7E0A3_1642_489C_8130_3CC9FF80B04E_.wvu.FilterData" localSheetId="1" hidden="1">'W17-2026'!$C$10:$O$10</definedName>
    <definedName name="Z_18A7E0A3_1642_489C_8130_3CC9FF80B04E_.wvu.FilterData" localSheetId="2" hidden="1">'W19-2026 - L2'!$C$2:$O$2</definedName>
    <definedName name="Z_18A7E0A3_1642_489C_8130_3CC9FF80B04E_.wvu.FilterData" localSheetId="3" hidden="1">'W20-2026 - L1'!$C$2:$O$2</definedName>
    <definedName name="Z_18A7E0A3_1642_489C_8130_3CC9FF80B04E_.wvu.FilterData" localSheetId="5" hidden="1">'W20-2026 - L2 phat sinh '!$C$2:$O$2</definedName>
    <definedName name="Z_18A7E0A3_1642_489C_8130_3CC9FF80B04E_.wvu.FilterData" localSheetId="4" hidden="1">'W20-2026 -L2'!$C$2:$O$2</definedName>
    <definedName name="Z_18A7E0A3_1642_489C_8130_3CC9FF80B04E_.wvu.FilterData" localSheetId="6" hidden="1">'W21-2026 - L1'!$C$2:$O$2</definedName>
    <definedName name="Z_18A7E0A3_1642_489C_8130_3CC9FF80B04E_.wvu.FilterData" localSheetId="7" hidden="1">'W21-2026 - L2'!$C$2:$O$2</definedName>
    <definedName name="Z_18A7E0A3_1642_489C_8130_3CC9FF80B04E_.wvu.FilterData" localSheetId="8" hidden="1">'W22-2026 - L1'!$C$2:$O$2</definedName>
    <definedName name="Z_18A7E0A3_1642_489C_8130_3CC9FF80B04E_.wvu.FilterData" localSheetId="9" hidden="1">'W22-2026 - L2'!$C$2:$O$2</definedName>
    <definedName name="Z_18A7E0A3_1642_489C_8130_3CC9FF80B04E_.wvu.FilterData" localSheetId="10" hidden="1">'W23-2026 - L1'!$C$2:$O$2</definedName>
    <definedName name="Z_18A7E0A3_1642_489C_8130_3CC9FF80B04E_.wvu.FilterData" localSheetId="11" hidden="1">'W23-2026 - L2'!$C$2:$O$2</definedName>
    <definedName name="Z_18A7E0A3_1642_489C_8130_3CC9FF80B04E_.wvu.FilterData" localSheetId="12" hidden="1">'W23-2026- L2 phát sinh'!$C$2:$O$2</definedName>
    <definedName name="Z_2653C0F9_59B0_4DB3_BD8D_CACC833527F0_.wvu.FilterData" localSheetId="15" hidden="1">' W24-2026 - L2'!$A$2:$Q$2</definedName>
    <definedName name="Z_2653C0F9_59B0_4DB3_BD8D_CACC833527F0_.wvu.FilterData" localSheetId="14" hidden="1">' W24-2026- L1'!$A$2:$Q$2</definedName>
    <definedName name="Z_2653C0F9_59B0_4DB3_BD8D_CACC833527F0_.wvu.FilterData" localSheetId="13" hidden="1">'List pha liệu đầu tuần 24'!$A$2:$Q$2</definedName>
    <definedName name="Z_2653C0F9_59B0_4DB3_BD8D_CACC833527F0_.wvu.FilterData" localSheetId="0" hidden="1">'W16-2026'!$A$10:$W$10</definedName>
    <definedName name="Z_2653C0F9_59B0_4DB3_BD8D_CACC833527F0_.wvu.FilterData" localSheetId="1" hidden="1">'W17-2026'!$A$10:$W$10</definedName>
    <definedName name="Z_2653C0F9_59B0_4DB3_BD8D_CACC833527F0_.wvu.FilterData" localSheetId="2" hidden="1">'W19-2026 - L2'!$A$2:$Q$2</definedName>
    <definedName name="Z_2653C0F9_59B0_4DB3_BD8D_CACC833527F0_.wvu.FilterData" localSheetId="3" hidden="1">'W20-2026 - L1'!$A$2:$Q$2</definedName>
    <definedName name="Z_2653C0F9_59B0_4DB3_BD8D_CACC833527F0_.wvu.FilterData" localSheetId="5" hidden="1">'W20-2026 - L2 phat sinh '!$A$2:$Q$2</definedName>
    <definedName name="Z_2653C0F9_59B0_4DB3_BD8D_CACC833527F0_.wvu.FilterData" localSheetId="4" hidden="1">'W20-2026 -L2'!$A$2:$Q$2</definedName>
    <definedName name="Z_2653C0F9_59B0_4DB3_BD8D_CACC833527F0_.wvu.FilterData" localSheetId="6" hidden="1">'W21-2026 - L1'!$A$2:$Q$2</definedName>
    <definedName name="Z_2653C0F9_59B0_4DB3_BD8D_CACC833527F0_.wvu.FilterData" localSheetId="7" hidden="1">'W21-2026 - L2'!$A$2:$Q$2</definedName>
    <definedName name="Z_2653C0F9_59B0_4DB3_BD8D_CACC833527F0_.wvu.FilterData" localSheetId="8" hidden="1">'W22-2026 - L1'!$A$2:$Q$2</definedName>
    <definedName name="Z_2653C0F9_59B0_4DB3_BD8D_CACC833527F0_.wvu.FilterData" localSheetId="9" hidden="1">'W22-2026 - L2'!$A$2:$Q$2</definedName>
    <definedName name="Z_2653C0F9_59B0_4DB3_BD8D_CACC833527F0_.wvu.FilterData" localSheetId="10" hidden="1">'W23-2026 - L1'!$A$2:$Q$2</definedName>
    <definedName name="Z_2653C0F9_59B0_4DB3_BD8D_CACC833527F0_.wvu.FilterData" localSheetId="11" hidden="1">'W23-2026 - L2'!$A$2:$Q$2</definedName>
    <definedName name="Z_2653C0F9_59B0_4DB3_BD8D_CACC833527F0_.wvu.FilterData" localSheetId="12" hidden="1">'W23-2026- L2 phát sinh'!$A$2:$Q$2</definedName>
    <definedName name="Z_289C1146_6484_4C42_9E78_5D7EBC42FBCC_.wvu.FilterData" localSheetId="15" hidden="1">' W24-2026 - L2'!$A$2:$Q$2</definedName>
    <definedName name="Z_289C1146_6484_4C42_9E78_5D7EBC42FBCC_.wvu.FilterData" localSheetId="14" hidden="1">' W24-2026- L1'!$A$2:$Q$2</definedName>
    <definedName name="Z_289C1146_6484_4C42_9E78_5D7EBC42FBCC_.wvu.FilterData" localSheetId="13" hidden="1">'List pha liệu đầu tuần 24'!$A$2:$Q$2</definedName>
    <definedName name="Z_289C1146_6484_4C42_9E78_5D7EBC42FBCC_.wvu.FilterData" localSheetId="0" hidden="1">'W16-2026'!$A$10:$W$10</definedName>
    <definedName name="Z_289C1146_6484_4C42_9E78_5D7EBC42FBCC_.wvu.FilterData" localSheetId="1" hidden="1">'W17-2026'!$A$10:$W$10</definedName>
    <definedName name="Z_289C1146_6484_4C42_9E78_5D7EBC42FBCC_.wvu.FilterData" localSheetId="2" hidden="1">'W19-2026 - L2'!$A$2:$Q$2</definedName>
    <definedName name="Z_289C1146_6484_4C42_9E78_5D7EBC42FBCC_.wvu.FilterData" localSheetId="3" hidden="1">'W20-2026 - L1'!$A$2:$Q$2</definedName>
    <definedName name="Z_289C1146_6484_4C42_9E78_5D7EBC42FBCC_.wvu.FilterData" localSheetId="5" hidden="1">'W20-2026 - L2 phat sinh '!$A$2:$Q$2</definedName>
    <definedName name="Z_289C1146_6484_4C42_9E78_5D7EBC42FBCC_.wvu.FilterData" localSheetId="4" hidden="1">'W20-2026 -L2'!$A$2:$Q$2</definedName>
    <definedName name="Z_289C1146_6484_4C42_9E78_5D7EBC42FBCC_.wvu.FilterData" localSheetId="6" hidden="1">'W21-2026 - L1'!$A$2:$Q$2</definedName>
    <definedName name="Z_289C1146_6484_4C42_9E78_5D7EBC42FBCC_.wvu.FilterData" localSheetId="7" hidden="1">'W21-2026 - L2'!$A$2:$Q$2</definedName>
    <definedName name="Z_289C1146_6484_4C42_9E78_5D7EBC42FBCC_.wvu.FilterData" localSheetId="8" hidden="1">'W22-2026 - L1'!$A$2:$Q$2</definedName>
    <definedName name="Z_289C1146_6484_4C42_9E78_5D7EBC42FBCC_.wvu.FilterData" localSheetId="9" hidden="1">'W22-2026 - L2'!$A$2:$Q$2</definedName>
    <definedName name="Z_289C1146_6484_4C42_9E78_5D7EBC42FBCC_.wvu.FilterData" localSheetId="10" hidden="1">'W23-2026 - L1'!$A$2:$Q$2</definedName>
    <definedName name="Z_289C1146_6484_4C42_9E78_5D7EBC42FBCC_.wvu.FilterData" localSheetId="11" hidden="1">'W23-2026 - L2'!$A$2:$Q$2</definedName>
    <definedName name="Z_289C1146_6484_4C42_9E78_5D7EBC42FBCC_.wvu.FilterData" localSheetId="12" hidden="1">'W23-2026- L2 phát sinh'!$A$2:$Q$2</definedName>
    <definedName name="Z_289C1146_6484_4C42_9E78_5D7EBC42FBCC_.wvu.PrintTitles" localSheetId="15" hidden="1">' W24-2026 - L2'!$1:$2</definedName>
    <definedName name="Z_289C1146_6484_4C42_9E78_5D7EBC42FBCC_.wvu.PrintTitles" localSheetId="14" hidden="1">' W24-2026- L1'!$1:$2</definedName>
    <definedName name="Z_289C1146_6484_4C42_9E78_5D7EBC42FBCC_.wvu.PrintTitles" localSheetId="13" hidden="1">'List pha liệu đầu tuần 24'!$1:$2</definedName>
    <definedName name="Z_289C1146_6484_4C42_9E78_5D7EBC42FBCC_.wvu.PrintTitles" localSheetId="0" hidden="1">'W16-2026'!$4:$10</definedName>
    <definedName name="Z_289C1146_6484_4C42_9E78_5D7EBC42FBCC_.wvu.PrintTitles" localSheetId="1" hidden="1">'W17-2026'!$4:$10</definedName>
    <definedName name="Z_289C1146_6484_4C42_9E78_5D7EBC42FBCC_.wvu.PrintTitles" localSheetId="2" hidden="1">'W19-2026 - L2'!$1:$2</definedName>
    <definedName name="Z_289C1146_6484_4C42_9E78_5D7EBC42FBCC_.wvu.PrintTitles" localSheetId="3" hidden="1">'W20-2026 - L1'!$1:$2</definedName>
    <definedName name="Z_289C1146_6484_4C42_9E78_5D7EBC42FBCC_.wvu.PrintTitles" localSheetId="5" hidden="1">'W20-2026 - L2 phat sinh '!$1:$2</definedName>
    <definedName name="Z_289C1146_6484_4C42_9E78_5D7EBC42FBCC_.wvu.PrintTitles" localSheetId="4" hidden="1">'W20-2026 -L2'!$1:$2</definedName>
    <definedName name="Z_289C1146_6484_4C42_9E78_5D7EBC42FBCC_.wvu.PrintTitles" localSheetId="6" hidden="1">'W21-2026 - L1'!$1:$2</definedName>
    <definedName name="Z_289C1146_6484_4C42_9E78_5D7EBC42FBCC_.wvu.PrintTitles" localSheetId="7" hidden="1">'W21-2026 - L2'!$1:$2</definedName>
    <definedName name="Z_289C1146_6484_4C42_9E78_5D7EBC42FBCC_.wvu.PrintTitles" localSheetId="8" hidden="1">'W22-2026 - L1'!$1:$2</definedName>
    <definedName name="Z_289C1146_6484_4C42_9E78_5D7EBC42FBCC_.wvu.PrintTitles" localSheetId="9" hidden="1">'W22-2026 - L2'!$1:$2</definedName>
    <definedName name="Z_289C1146_6484_4C42_9E78_5D7EBC42FBCC_.wvu.PrintTitles" localSheetId="10" hidden="1">'W23-2026 - L1'!$1:$2</definedName>
    <definedName name="Z_289C1146_6484_4C42_9E78_5D7EBC42FBCC_.wvu.PrintTitles" localSheetId="11" hidden="1">'W23-2026 - L2'!$1:$2</definedName>
    <definedName name="Z_289C1146_6484_4C42_9E78_5D7EBC42FBCC_.wvu.PrintTitles" localSheetId="12" hidden="1">'W23-2026- L2 phát sinh'!$1:$2</definedName>
    <definedName name="Z_289C1146_6484_4C42_9E78_5D7EBC42FBCC_.wvu.Rows" localSheetId="15" hidden="1">' W24-2026 - L2'!#REF!</definedName>
    <definedName name="Z_289C1146_6484_4C42_9E78_5D7EBC42FBCC_.wvu.Rows" localSheetId="14" hidden="1">' W24-2026- L1'!#REF!</definedName>
    <definedName name="Z_289C1146_6484_4C42_9E78_5D7EBC42FBCC_.wvu.Rows" localSheetId="13" hidden="1">'List pha liệu đầu tuần 24'!#REF!</definedName>
    <definedName name="Z_289C1146_6484_4C42_9E78_5D7EBC42FBCC_.wvu.Rows" localSheetId="0" hidden="1">'W16-2026'!#REF!</definedName>
    <definedName name="Z_289C1146_6484_4C42_9E78_5D7EBC42FBCC_.wvu.Rows" localSheetId="1" hidden="1">'W17-2026'!#REF!</definedName>
    <definedName name="Z_289C1146_6484_4C42_9E78_5D7EBC42FBCC_.wvu.Rows" localSheetId="2" hidden="1">'W19-2026 - L2'!#REF!</definedName>
    <definedName name="Z_289C1146_6484_4C42_9E78_5D7EBC42FBCC_.wvu.Rows" localSheetId="3" hidden="1">'W20-2026 - L1'!#REF!</definedName>
    <definedName name="Z_289C1146_6484_4C42_9E78_5D7EBC42FBCC_.wvu.Rows" localSheetId="5" hidden="1">'W20-2026 - L2 phat sinh '!#REF!</definedName>
    <definedName name="Z_289C1146_6484_4C42_9E78_5D7EBC42FBCC_.wvu.Rows" localSheetId="4" hidden="1">'W20-2026 -L2'!#REF!</definedName>
    <definedName name="Z_289C1146_6484_4C42_9E78_5D7EBC42FBCC_.wvu.Rows" localSheetId="6" hidden="1">'W21-2026 - L1'!#REF!</definedName>
    <definedName name="Z_289C1146_6484_4C42_9E78_5D7EBC42FBCC_.wvu.Rows" localSheetId="7" hidden="1">'W21-2026 - L2'!#REF!</definedName>
    <definedName name="Z_289C1146_6484_4C42_9E78_5D7EBC42FBCC_.wvu.Rows" localSheetId="8" hidden="1">'W22-2026 - L1'!#REF!</definedName>
    <definedName name="Z_289C1146_6484_4C42_9E78_5D7EBC42FBCC_.wvu.Rows" localSheetId="9" hidden="1">'W22-2026 - L2'!#REF!</definedName>
    <definedName name="Z_289C1146_6484_4C42_9E78_5D7EBC42FBCC_.wvu.Rows" localSheetId="10" hidden="1">'W23-2026 - L1'!#REF!</definedName>
    <definedName name="Z_289C1146_6484_4C42_9E78_5D7EBC42FBCC_.wvu.Rows" localSheetId="11" hidden="1">'W23-2026 - L2'!#REF!</definedName>
    <definedName name="Z_289C1146_6484_4C42_9E78_5D7EBC42FBCC_.wvu.Rows" localSheetId="12" hidden="1">'W23-2026- L2 phát sinh'!#REF!</definedName>
    <definedName name="Z_314949E3_0D3B_4560_AE70_4D3C4970782A_.wvu.FilterData" localSheetId="15" hidden="1">' W24-2026 - L2'!$C$2:$O$2</definedName>
    <definedName name="Z_314949E3_0D3B_4560_AE70_4D3C4970782A_.wvu.FilterData" localSheetId="14" hidden="1">' W24-2026- L1'!$C$2:$O$2</definedName>
    <definedName name="Z_314949E3_0D3B_4560_AE70_4D3C4970782A_.wvu.FilterData" localSheetId="13" hidden="1">'List pha liệu đầu tuần 24'!$C$2:$O$2</definedName>
    <definedName name="Z_314949E3_0D3B_4560_AE70_4D3C4970782A_.wvu.FilterData" localSheetId="0" hidden="1">'W16-2026'!$C$10:$O$10</definedName>
    <definedName name="Z_314949E3_0D3B_4560_AE70_4D3C4970782A_.wvu.FilterData" localSheetId="1" hidden="1">'W17-2026'!$C$10:$O$10</definedName>
    <definedName name="Z_314949E3_0D3B_4560_AE70_4D3C4970782A_.wvu.FilterData" localSheetId="2" hidden="1">'W19-2026 - L2'!$C$2:$O$2</definedName>
    <definedName name="Z_314949E3_0D3B_4560_AE70_4D3C4970782A_.wvu.FilterData" localSheetId="3" hidden="1">'W20-2026 - L1'!$C$2:$O$2</definedName>
    <definedName name="Z_314949E3_0D3B_4560_AE70_4D3C4970782A_.wvu.FilterData" localSheetId="5" hidden="1">'W20-2026 - L2 phat sinh '!$C$2:$O$2</definedName>
    <definedName name="Z_314949E3_0D3B_4560_AE70_4D3C4970782A_.wvu.FilterData" localSheetId="4" hidden="1">'W20-2026 -L2'!$C$2:$O$2</definedName>
    <definedName name="Z_314949E3_0D3B_4560_AE70_4D3C4970782A_.wvu.FilterData" localSheetId="6" hidden="1">'W21-2026 - L1'!$C$2:$O$2</definedName>
    <definedName name="Z_314949E3_0D3B_4560_AE70_4D3C4970782A_.wvu.FilterData" localSheetId="7" hidden="1">'W21-2026 - L2'!$C$2:$O$2</definedName>
    <definedName name="Z_314949E3_0D3B_4560_AE70_4D3C4970782A_.wvu.FilterData" localSheetId="8" hidden="1">'W22-2026 - L1'!$C$2:$O$2</definedName>
    <definedName name="Z_314949E3_0D3B_4560_AE70_4D3C4970782A_.wvu.FilterData" localSheetId="9" hidden="1">'W22-2026 - L2'!$C$2:$O$2</definedName>
    <definedName name="Z_314949E3_0D3B_4560_AE70_4D3C4970782A_.wvu.FilterData" localSheetId="10" hidden="1">'W23-2026 - L1'!$C$2:$O$2</definedName>
    <definedName name="Z_314949E3_0D3B_4560_AE70_4D3C4970782A_.wvu.FilterData" localSheetId="11" hidden="1">'W23-2026 - L2'!$C$2:$O$2</definedName>
    <definedName name="Z_314949E3_0D3B_4560_AE70_4D3C4970782A_.wvu.FilterData" localSheetId="12" hidden="1">'W23-2026- L2 phát sinh'!$C$2:$O$2</definedName>
    <definedName name="Z_318C8B1E_0627_4DC9_8089_60901FDA475B_.wvu.FilterData" localSheetId="15" hidden="1">' W24-2026 - L2'!$C$2:$Q$2</definedName>
    <definedName name="Z_318C8B1E_0627_4DC9_8089_60901FDA475B_.wvu.FilterData" localSheetId="14" hidden="1">' W24-2026- L1'!$C$2:$Q$2</definedName>
    <definedName name="Z_318C8B1E_0627_4DC9_8089_60901FDA475B_.wvu.FilterData" localSheetId="13" hidden="1">'List pha liệu đầu tuần 24'!$C$2:$Q$2</definedName>
    <definedName name="Z_318C8B1E_0627_4DC9_8089_60901FDA475B_.wvu.FilterData" localSheetId="0" hidden="1">'W16-2026'!$C$10:$V$10</definedName>
    <definedName name="Z_318C8B1E_0627_4DC9_8089_60901FDA475B_.wvu.FilterData" localSheetId="1" hidden="1">'W17-2026'!$C$10:$V$10</definedName>
    <definedName name="Z_318C8B1E_0627_4DC9_8089_60901FDA475B_.wvu.FilterData" localSheetId="2" hidden="1">'W19-2026 - L2'!$C$2:$Q$2</definedName>
    <definedName name="Z_318C8B1E_0627_4DC9_8089_60901FDA475B_.wvu.FilterData" localSheetId="3" hidden="1">'W20-2026 - L1'!$C$2:$Q$2</definedName>
    <definedName name="Z_318C8B1E_0627_4DC9_8089_60901FDA475B_.wvu.FilterData" localSheetId="5" hidden="1">'W20-2026 - L2 phat sinh '!$C$2:$Q$2</definedName>
    <definedName name="Z_318C8B1E_0627_4DC9_8089_60901FDA475B_.wvu.FilterData" localSheetId="4" hidden="1">'W20-2026 -L2'!$C$2:$Q$2</definedName>
    <definedName name="Z_318C8B1E_0627_4DC9_8089_60901FDA475B_.wvu.FilterData" localSheetId="6" hidden="1">'W21-2026 - L1'!$C$2:$Q$2</definedName>
    <definedName name="Z_318C8B1E_0627_4DC9_8089_60901FDA475B_.wvu.FilterData" localSheetId="7" hidden="1">'W21-2026 - L2'!$C$2:$Q$2</definedName>
    <definedName name="Z_318C8B1E_0627_4DC9_8089_60901FDA475B_.wvu.FilterData" localSheetId="8" hidden="1">'W22-2026 - L1'!$C$2:$Q$2</definedName>
    <definedName name="Z_318C8B1E_0627_4DC9_8089_60901FDA475B_.wvu.FilterData" localSheetId="9" hidden="1">'W22-2026 - L2'!$C$2:$Q$2</definedName>
    <definedName name="Z_318C8B1E_0627_4DC9_8089_60901FDA475B_.wvu.FilterData" localSheetId="10" hidden="1">'W23-2026 - L1'!$C$2:$Q$2</definedName>
    <definedName name="Z_318C8B1E_0627_4DC9_8089_60901FDA475B_.wvu.FilterData" localSheetId="11" hidden="1">'W23-2026 - L2'!$C$2:$Q$2</definedName>
    <definedName name="Z_318C8B1E_0627_4DC9_8089_60901FDA475B_.wvu.FilterData" localSheetId="12" hidden="1">'W23-2026- L2 phát sinh'!$C$2:$Q$2</definedName>
    <definedName name="Z_318C8B1E_0627_4DC9_8089_60901FDA475B_.wvu.PrintTitles" localSheetId="15" hidden="1">' W24-2026 - L2'!$1:$2</definedName>
    <definedName name="Z_318C8B1E_0627_4DC9_8089_60901FDA475B_.wvu.PrintTitles" localSheetId="14" hidden="1">' W24-2026- L1'!$1:$2</definedName>
    <definedName name="Z_318C8B1E_0627_4DC9_8089_60901FDA475B_.wvu.PrintTitles" localSheetId="13" hidden="1">'List pha liệu đầu tuần 24'!$1:$2</definedName>
    <definedName name="Z_318C8B1E_0627_4DC9_8089_60901FDA475B_.wvu.PrintTitles" localSheetId="0" hidden="1">'W16-2026'!$4:$10</definedName>
    <definedName name="Z_318C8B1E_0627_4DC9_8089_60901FDA475B_.wvu.PrintTitles" localSheetId="1" hidden="1">'W17-2026'!$4:$10</definedName>
    <definedName name="Z_318C8B1E_0627_4DC9_8089_60901FDA475B_.wvu.PrintTitles" localSheetId="2" hidden="1">'W19-2026 - L2'!$1:$2</definedName>
    <definedName name="Z_318C8B1E_0627_4DC9_8089_60901FDA475B_.wvu.PrintTitles" localSheetId="3" hidden="1">'W20-2026 - L1'!$1:$2</definedName>
    <definedName name="Z_318C8B1E_0627_4DC9_8089_60901FDA475B_.wvu.PrintTitles" localSheetId="5" hidden="1">'W20-2026 - L2 phat sinh '!$1:$2</definedName>
    <definedName name="Z_318C8B1E_0627_4DC9_8089_60901FDA475B_.wvu.PrintTitles" localSheetId="4" hidden="1">'W20-2026 -L2'!$1:$2</definedName>
    <definedName name="Z_318C8B1E_0627_4DC9_8089_60901FDA475B_.wvu.PrintTitles" localSheetId="6" hidden="1">'W21-2026 - L1'!$1:$2</definedName>
    <definedName name="Z_318C8B1E_0627_4DC9_8089_60901FDA475B_.wvu.PrintTitles" localSheetId="7" hidden="1">'W21-2026 - L2'!$1:$2</definedName>
    <definedName name="Z_318C8B1E_0627_4DC9_8089_60901FDA475B_.wvu.PrintTitles" localSheetId="8" hidden="1">'W22-2026 - L1'!$1:$2</definedName>
    <definedName name="Z_318C8B1E_0627_4DC9_8089_60901FDA475B_.wvu.PrintTitles" localSheetId="9" hidden="1">'W22-2026 - L2'!$1:$2</definedName>
    <definedName name="Z_318C8B1E_0627_4DC9_8089_60901FDA475B_.wvu.PrintTitles" localSheetId="10" hidden="1">'W23-2026 - L1'!$1:$2</definedName>
    <definedName name="Z_318C8B1E_0627_4DC9_8089_60901FDA475B_.wvu.PrintTitles" localSheetId="11" hidden="1">'W23-2026 - L2'!$1:$2</definedName>
    <definedName name="Z_318C8B1E_0627_4DC9_8089_60901FDA475B_.wvu.PrintTitles" localSheetId="12" hidden="1">'W23-2026- L2 phát sinh'!$1:$2</definedName>
    <definedName name="Z_323B6797_06D8_47A1_B001_797373BE57F2_.wvu.FilterData" localSheetId="15" hidden="1">' W24-2026 - L2'!$C$2:$O$2</definedName>
    <definedName name="Z_323B6797_06D8_47A1_B001_797373BE57F2_.wvu.FilterData" localSheetId="14" hidden="1">' W24-2026- L1'!$C$2:$O$2</definedName>
    <definedName name="Z_323B6797_06D8_47A1_B001_797373BE57F2_.wvu.FilterData" localSheetId="13" hidden="1">'List pha liệu đầu tuần 24'!$C$2:$O$2</definedName>
    <definedName name="Z_323B6797_06D8_47A1_B001_797373BE57F2_.wvu.FilterData" localSheetId="0" hidden="1">'W16-2026'!$C$10:$O$10</definedName>
    <definedName name="Z_323B6797_06D8_47A1_B001_797373BE57F2_.wvu.FilterData" localSheetId="1" hidden="1">'W17-2026'!$C$10:$O$10</definedName>
    <definedName name="Z_323B6797_06D8_47A1_B001_797373BE57F2_.wvu.FilterData" localSheetId="2" hidden="1">'W19-2026 - L2'!$C$2:$O$2</definedName>
    <definedName name="Z_323B6797_06D8_47A1_B001_797373BE57F2_.wvu.FilterData" localSheetId="3" hidden="1">'W20-2026 - L1'!$C$2:$O$2</definedName>
    <definedName name="Z_323B6797_06D8_47A1_B001_797373BE57F2_.wvu.FilterData" localSheetId="5" hidden="1">'W20-2026 - L2 phat sinh '!$C$2:$O$2</definedName>
    <definedName name="Z_323B6797_06D8_47A1_B001_797373BE57F2_.wvu.FilterData" localSheetId="4" hidden="1">'W20-2026 -L2'!$C$2:$O$2</definedName>
    <definedName name="Z_323B6797_06D8_47A1_B001_797373BE57F2_.wvu.FilterData" localSheetId="6" hidden="1">'W21-2026 - L1'!$C$2:$O$2</definedName>
    <definedName name="Z_323B6797_06D8_47A1_B001_797373BE57F2_.wvu.FilterData" localSheetId="7" hidden="1">'W21-2026 - L2'!$C$2:$O$2</definedName>
    <definedName name="Z_323B6797_06D8_47A1_B001_797373BE57F2_.wvu.FilterData" localSheetId="8" hidden="1">'W22-2026 - L1'!$C$2:$O$2</definedName>
    <definedName name="Z_323B6797_06D8_47A1_B001_797373BE57F2_.wvu.FilterData" localSheetId="9" hidden="1">'W22-2026 - L2'!$C$2:$O$2</definedName>
    <definedName name="Z_323B6797_06D8_47A1_B001_797373BE57F2_.wvu.FilterData" localSheetId="10" hidden="1">'W23-2026 - L1'!$C$2:$O$2</definedName>
    <definedName name="Z_323B6797_06D8_47A1_B001_797373BE57F2_.wvu.FilterData" localSheetId="11" hidden="1">'W23-2026 - L2'!$C$2:$O$2</definedName>
    <definedName name="Z_323B6797_06D8_47A1_B001_797373BE57F2_.wvu.FilterData" localSheetId="12" hidden="1">'W23-2026- L2 phát sinh'!$C$2:$O$2</definedName>
    <definedName name="Z_6A9DC2EA_1959_4EB9_A839_907E58591C36_.wvu.FilterData" localSheetId="15" hidden="1">' W24-2026 - L2'!$C$2:$O$2</definedName>
    <definedName name="Z_6A9DC2EA_1959_4EB9_A839_907E58591C36_.wvu.FilterData" localSheetId="14" hidden="1">' W24-2026- L1'!$C$2:$O$2</definedName>
    <definedName name="Z_6A9DC2EA_1959_4EB9_A839_907E58591C36_.wvu.FilterData" localSheetId="13" hidden="1">'List pha liệu đầu tuần 24'!$C$2:$O$2</definedName>
    <definedName name="Z_6A9DC2EA_1959_4EB9_A839_907E58591C36_.wvu.FilterData" localSheetId="0" hidden="1">'W16-2026'!$C$10:$O$10</definedName>
    <definedName name="Z_6A9DC2EA_1959_4EB9_A839_907E58591C36_.wvu.FilterData" localSheetId="1" hidden="1">'W17-2026'!$C$10:$O$10</definedName>
    <definedName name="Z_6A9DC2EA_1959_4EB9_A839_907E58591C36_.wvu.FilterData" localSheetId="2" hidden="1">'W19-2026 - L2'!$C$2:$O$2</definedName>
    <definedName name="Z_6A9DC2EA_1959_4EB9_A839_907E58591C36_.wvu.FilterData" localSheetId="3" hidden="1">'W20-2026 - L1'!$C$2:$O$2</definedName>
    <definedName name="Z_6A9DC2EA_1959_4EB9_A839_907E58591C36_.wvu.FilterData" localSheetId="5" hidden="1">'W20-2026 - L2 phat sinh '!$C$2:$O$2</definedName>
    <definedName name="Z_6A9DC2EA_1959_4EB9_A839_907E58591C36_.wvu.FilterData" localSheetId="4" hidden="1">'W20-2026 -L2'!$C$2:$O$2</definedName>
    <definedName name="Z_6A9DC2EA_1959_4EB9_A839_907E58591C36_.wvu.FilterData" localSheetId="6" hidden="1">'W21-2026 - L1'!$C$2:$O$2</definedName>
    <definedName name="Z_6A9DC2EA_1959_4EB9_A839_907E58591C36_.wvu.FilterData" localSheetId="7" hidden="1">'W21-2026 - L2'!$C$2:$O$2</definedName>
    <definedName name="Z_6A9DC2EA_1959_4EB9_A839_907E58591C36_.wvu.FilterData" localSheetId="8" hidden="1">'W22-2026 - L1'!$C$2:$O$2</definedName>
    <definedName name="Z_6A9DC2EA_1959_4EB9_A839_907E58591C36_.wvu.FilterData" localSheetId="9" hidden="1">'W22-2026 - L2'!$C$2:$O$2</definedName>
    <definedName name="Z_6A9DC2EA_1959_4EB9_A839_907E58591C36_.wvu.FilterData" localSheetId="10" hidden="1">'W23-2026 - L1'!$C$2:$O$2</definedName>
    <definedName name="Z_6A9DC2EA_1959_4EB9_A839_907E58591C36_.wvu.FilterData" localSheetId="11" hidden="1">'W23-2026 - L2'!$C$2:$O$2</definedName>
    <definedName name="Z_6A9DC2EA_1959_4EB9_A839_907E58591C36_.wvu.FilterData" localSheetId="12" hidden="1">'W23-2026- L2 phát sinh'!$C$2:$O$2</definedName>
    <definedName name="Z_866BE165_7CE2_41D4_AD4C_D79698D432B1_.wvu.FilterData" localSheetId="15" hidden="1">' W24-2026 - L2'!$C$2:$O$2</definedName>
    <definedName name="Z_866BE165_7CE2_41D4_AD4C_D79698D432B1_.wvu.FilterData" localSheetId="14" hidden="1">' W24-2026- L1'!$C$2:$O$2</definedName>
    <definedName name="Z_866BE165_7CE2_41D4_AD4C_D79698D432B1_.wvu.FilterData" localSheetId="13" hidden="1">'List pha liệu đầu tuần 24'!$C$2:$O$2</definedName>
    <definedName name="Z_866BE165_7CE2_41D4_AD4C_D79698D432B1_.wvu.FilterData" localSheetId="0" hidden="1">'W16-2026'!$C$10:$O$10</definedName>
    <definedName name="Z_866BE165_7CE2_41D4_AD4C_D79698D432B1_.wvu.FilterData" localSheetId="1" hidden="1">'W17-2026'!$C$10:$O$10</definedName>
    <definedName name="Z_866BE165_7CE2_41D4_AD4C_D79698D432B1_.wvu.FilterData" localSheetId="2" hidden="1">'W19-2026 - L2'!$C$2:$O$2</definedName>
    <definedName name="Z_866BE165_7CE2_41D4_AD4C_D79698D432B1_.wvu.FilterData" localSheetId="3" hidden="1">'W20-2026 - L1'!$C$2:$O$2</definedName>
    <definedName name="Z_866BE165_7CE2_41D4_AD4C_D79698D432B1_.wvu.FilterData" localSheetId="5" hidden="1">'W20-2026 - L2 phat sinh '!$C$2:$O$2</definedName>
    <definedName name="Z_866BE165_7CE2_41D4_AD4C_D79698D432B1_.wvu.FilterData" localSheetId="4" hidden="1">'W20-2026 -L2'!$C$2:$O$2</definedName>
    <definedName name="Z_866BE165_7CE2_41D4_AD4C_D79698D432B1_.wvu.FilterData" localSheetId="6" hidden="1">'W21-2026 - L1'!$C$2:$O$2</definedName>
    <definedName name="Z_866BE165_7CE2_41D4_AD4C_D79698D432B1_.wvu.FilterData" localSheetId="7" hidden="1">'W21-2026 - L2'!$C$2:$O$2</definedName>
    <definedName name="Z_866BE165_7CE2_41D4_AD4C_D79698D432B1_.wvu.FilterData" localSheetId="8" hidden="1">'W22-2026 - L1'!$C$2:$O$2</definedName>
    <definedName name="Z_866BE165_7CE2_41D4_AD4C_D79698D432B1_.wvu.FilterData" localSheetId="9" hidden="1">'W22-2026 - L2'!$C$2:$O$2</definedName>
    <definedName name="Z_866BE165_7CE2_41D4_AD4C_D79698D432B1_.wvu.FilterData" localSheetId="10" hidden="1">'W23-2026 - L1'!$C$2:$O$2</definedName>
    <definedName name="Z_866BE165_7CE2_41D4_AD4C_D79698D432B1_.wvu.FilterData" localSheetId="11" hidden="1">'W23-2026 - L2'!$C$2:$O$2</definedName>
    <definedName name="Z_866BE165_7CE2_41D4_AD4C_D79698D432B1_.wvu.FilterData" localSheetId="12" hidden="1">'W23-2026- L2 phát sinh'!$C$2:$O$2</definedName>
    <definedName name="Z_866CB300_9BE2_4E49_BCB4_72634A7939D7_.wvu.FilterData" localSheetId="15" hidden="1">' W24-2026 - L2'!$C$2:$Q$2</definedName>
    <definedName name="Z_866CB300_9BE2_4E49_BCB4_72634A7939D7_.wvu.FilterData" localSheetId="14" hidden="1">' W24-2026- L1'!$C$2:$Q$2</definedName>
    <definedName name="Z_866CB300_9BE2_4E49_BCB4_72634A7939D7_.wvu.FilterData" localSheetId="13" hidden="1">'List pha liệu đầu tuần 24'!$C$2:$Q$2</definedName>
    <definedName name="Z_866CB300_9BE2_4E49_BCB4_72634A7939D7_.wvu.FilterData" localSheetId="0" hidden="1">'W16-2026'!$C$10:$V$10</definedName>
    <definedName name="Z_866CB300_9BE2_4E49_BCB4_72634A7939D7_.wvu.FilterData" localSheetId="1" hidden="1">'W17-2026'!$C$10:$V$10</definedName>
    <definedName name="Z_866CB300_9BE2_4E49_BCB4_72634A7939D7_.wvu.FilterData" localSheetId="2" hidden="1">'W19-2026 - L2'!$C$2:$Q$2</definedName>
    <definedName name="Z_866CB300_9BE2_4E49_BCB4_72634A7939D7_.wvu.FilterData" localSheetId="3" hidden="1">'W20-2026 - L1'!$C$2:$Q$2</definedName>
    <definedName name="Z_866CB300_9BE2_4E49_BCB4_72634A7939D7_.wvu.FilterData" localSheetId="5" hidden="1">'W20-2026 - L2 phat sinh '!$C$2:$Q$2</definedName>
    <definedName name="Z_866CB300_9BE2_4E49_BCB4_72634A7939D7_.wvu.FilterData" localSheetId="4" hidden="1">'W20-2026 -L2'!$C$2:$Q$2</definedName>
    <definedName name="Z_866CB300_9BE2_4E49_BCB4_72634A7939D7_.wvu.FilterData" localSheetId="6" hidden="1">'W21-2026 - L1'!$C$2:$Q$2</definedName>
    <definedName name="Z_866CB300_9BE2_4E49_BCB4_72634A7939D7_.wvu.FilterData" localSheetId="7" hidden="1">'W21-2026 - L2'!$C$2:$Q$2</definedName>
    <definedName name="Z_866CB300_9BE2_4E49_BCB4_72634A7939D7_.wvu.FilterData" localSheetId="8" hidden="1">'W22-2026 - L1'!$C$2:$Q$2</definedName>
    <definedName name="Z_866CB300_9BE2_4E49_BCB4_72634A7939D7_.wvu.FilterData" localSheetId="9" hidden="1">'W22-2026 - L2'!$C$2:$Q$2</definedName>
    <definedName name="Z_866CB300_9BE2_4E49_BCB4_72634A7939D7_.wvu.FilterData" localSheetId="10" hidden="1">'W23-2026 - L1'!$C$2:$Q$2</definedName>
    <definedName name="Z_866CB300_9BE2_4E49_BCB4_72634A7939D7_.wvu.FilterData" localSheetId="11" hidden="1">'W23-2026 - L2'!$C$2:$Q$2</definedName>
    <definedName name="Z_866CB300_9BE2_4E49_BCB4_72634A7939D7_.wvu.FilterData" localSheetId="12" hidden="1">'W23-2026- L2 phát sinh'!$C$2:$Q$2</definedName>
    <definedName name="Z_8CF255E0_B8BB_4016_A366_4FCF106965CF_.wvu.FilterData" localSheetId="15" hidden="1">' W24-2026 - L2'!$A$2:$Q$2</definedName>
    <definedName name="Z_8CF255E0_B8BB_4016_A366_4FCF106965CF_.wvu.FilterData" localSheetId="14" hidden="1">' W24-2026- L1'!$A$2:$Q$2</definedName>
    <definedName name="Z_8CF255E0_B8BB_4016_A366_4FCF106965CF_.wvu.FilterData" localSheetId="13" hidden="1">'List pha liệu đầu tuần 24'!$A$2:$Q$2</definedName>
    <definedName name="Z_8CF255E0_B8BB_4016_A366_4FCF106965CF_.wvu.FilterData" localSheetId="0" hidden="1">'W16-2026'!$A$10:$W$10</definedName>
    <definedName name="Z_8CF255E0_B8BB_4016_A366_4FCF106965CF_.wvu.FilterData" localSheetId="1" hidden="1">'W17-2026'!$A$10:$W$10</definedName>
    <definedName name="Z_8CF255E0_B8BB_4016_A366_4FCF106965CF_.wvu.FilterData" localSheetId="2" hidden="1">'W19-2026 - L2'!$A$2:$Q$2</definedName>
    <definedName name="Z_8CF255E0_B8BB_4016_A366_4FCF106965CF_.wvu.FilterData" localSheetId="3" hidden="1">'W20-2026 - L1'!$A$2:$Q$2</definedName>
    <definedName name="Z_8CF255E0_B8BB_4016_A366_4FCF106965CF_.wvu.FilterData" localSheetId="5" hidden="1">'W20-2026 - L2 phat sinh '!$A$2:$Q$2</definedName>
    <definedName name="Z_8CF255E0_B8BB_4016_A366_4FCF106965CF_.wvu.FilterData" localSheetId="4" hidden="1">'W20-2026 -L2'!$A$2:$Q$2</definedName>
    <definedName name="Z_8CF255E0_B8BB_4016_A366_4FCF106965CF_.wvu.FilterData" localSheetId="6" hidden="1">'W21-2026 - L1'!$A$2:$Q$2</definedName>
    <definedName name="Z_8CF255E0_B8BB_4016_A366_4FCF106965CF_.wvu.FilterData" localSheetId="7" hidden="1">'W21-2026 - L2'!$A$2:$Q$2</definedName>
    <definedName name="Z_8CF255E0_B8BB_4016_A366_4FCF106965CF_.wvu.FilterData" localSheetId="8" hidden="1">'W22-2026 - L1'!$A$2:$Q$2</definedName>
    <definedName name="Z_8CF255E0_B8BB_4016_A366_4FCF106965CF_.wvu.FilterData" localSheetId="9" hidden="1">'W22-2026 - L2'!$A$2:$Q$2</definedName>
    <definedName name="Z_8CF255E0_B8BB_4016_A366_4FCF106965CF_.wvu.FilterData" localSheetId="10" hidden="1">'W23-2026 - L1'!$A$2:$Q$2</definedName>
    <definedName name="Z_8CF255E0_B8BB_4016_A366_4FCF106965CF_.wvu.FilterData" localSheetId="11" hidden="1">'W23-2026 - L2'!$A$2:$Q$2</definedName>
    <definedName name="Z_8CF255E0_B8BB_4016_A366_4FCF106965CF_.wvu.FilterData" localSheetId="12" hidden="1">'W23-2026- L2 phát sinh'!$A$2:$Q$2</definedName>
    <definedName name="Z_A4A1FC39_A54C_43AC_9912_8824EB6833F5_.wvu.FilterData" localSheetId="15" hidden="1">' W24-2026 - L2'!$A$2:$Q$2</definedName>
    <definedName name="Z_A4A1FC39_A54C_43AC_9912_8824EB6833F5_.wvu.FilterData" localSheetId="14" hidden="1">' W24-2026- L1'!$A$2:$Q$2</definedName>
    <definedName name="Z_A4A1FC39_A54C_43AC_9912_8824EB6833F5_.wvu.FilterData" localSheetId="13" hidden="1">'List pha liệu đầu tuần 24'!$A$2:$Q$2</definedName>
    <definedName name="Z_A4A1FC39_A54C_43AC_9912_8824EB6833F5_.wvu.FilterData" localSheetId="0" hidden="1">'W16-2026'!$A$10:$W$10</definedName>
    <definedName name="Z_A4A1FC39_A54C_43AC_9912_8824EB6833F5_.wvu.FilterData" localSheetId="1" hidden="1">'W17-2026'!$A$10:$W$10</definedName>
    <definedName name="Z_A4A1FC39_A54C_43AC_9912_8824EB6833F5_.wvu.FilterData" localSheetId="2" hidden="1">'W19-2026 - L2'!$A$2:$Q$2</definedName>
    <definedName name="Z_A4A1FC39_A54C_43AC_9912_8824EB6833F5_.wvu.FilterData" localSheetId="3" hidden="1">'W20-2026 - L1'!$A$2:$Q$2</definedName>
    <definedName name="Z_A4A1FC39_A54C_43AC_9912_8824EB6833F5_.wvu.FilterData" localSheetId="5" hidden="1">'W20-2026 - L2 phat sinh '!$A$2:$Q$2</definedName>
    <definedName name="Z_A4A1FC39_A54C_43AC_9912_8824EB6833F5_.wvu.FilterData" localSheetId="4" hidden="1">'W20-2026 -L2'!$A$2:$Q$2</definedName>
    <definedName name="Z_A4A1FC39_A54C_43AC_9912_8824EB6833F5_.wvu.FilterData" localSheetId="6" hidden="1">'W21-2026 - L1'!$A$2:$Q$2</definedName>
    <definedName name="Z_A4A1FC39_A54C_43AC_9912_8824EB6833F5_.wvu.FilterData" localSheetId="7" hidden="1">'W21-2026 - L2'!$A$2:$Q$2</definedName>
    <definedName name="Z_A4A1FC39_A54C_43AC_9912_8824EB6833F5_.wvu.FilterData" localSheetId="8" hidden="1">'W22-2026 - L1'!$A$2:$Q$2</definedName>
    <definedName name="Z_A4A1FC39_A54C_43AC_9912_8824EB6833F5_.wvu.FilterData" localSheetId="9" hidden="1">'W22-2026 - L2'!$A$2:$Q$2</definedName>
    <definedName name="Z_A4A1FC39_A54C_43AC_9912_8824EB6833F5_.wvu.FilterData" localSheetId="10" hidden="1">'W23-2026 - L1'!$A$2:$Q$2</definedName>
    <definedName name="Z_A4A1FC39_A54C_43AC_9912_8824EB6833F5_.wvu.FilterData" localSheetId="11" hidden="1">'W23-2026 - L2'!$A$2:$Q$2</definedName>
    <definedName name="Z_A4A1FC39_A54C_43AC_9912_8824EB6833F5_.wvu.FilterData" localSheetId="12" hidden="1">'W23-2026- L2 phát sinh'!$A$2:$Q$2</definedName>
    <definedName name="Z_AF6B2EAC_2950_4809_A605_2107D254FC8D_.wvu.FilterData" localSheetId="15" hidden="1">' W24-2026 - L2'!$C$2:$Q$2</definedName>
    <definedName name="Z_AF6B2EAC_2950_4809_A605_2107D254FC8D_.wvu.FilterData" localSheetId="14" hidden="1">' W24-2026- L1'!$C$2:$Q$2</definedName>
    <definedName name="Z_AF6B2EAC_2950_4809_A605_2107D254FC8D_.wvu.FilterData" localSheetId="13" hidden="1">'List pha liệu đầu tuần 24'!$C$2:$Q$2</definedName>
    <definedName name="Z_AF6B2EAC_2950_4809_A605_2107D254FC8D_.wvu.FilterData" localSheetId="0" hidden="1">'W16-2026'!$C$10:$V$10</definedName>
    <definedName name="Z_AF6B2EAC_2950_4809_A605_2107D254FC8D_.wvu.FilterData" localSheetId="1" hidden="1">'W17-2026'!$C$10:$V$10</definedName>
    <definedName name="Z_AF6B2EAC_2950_4809_A605_2107D254FC8D_.wvu.FilterData" localSheetId="2" hidden="1">'W19-2026 - L2'!$C$2:$Q$2</definedName>
    <definedName name="Z_AF6B2EAC_2950_4809_A605_2107D254FC8D_.wvu.FilterData" localSheetId="3" hidden="1">'W20-2026 - L1'!$C$2:$Q$2</definedName>
    <definedName name="Z_AF6B2EAC_2950_4809_A605_2107D254FC8D_.wvu.FilterData" localSheetId="5" hidden="1">'W20-2026 - L2 phat sinh '!$C$2:$Q$2</definedName>
    <definedName name="Z_AF6B2EAC_2950_4809_A605_2107D254FC8D_.wvu.FilterData" localSheetId="4" hidden="1">'W20-2026 -L2'!$C$2:$Q$2</definedName>
    <definedName name="Z_AF6B2EAC_2950_4809_A605_2107D254FC8D_.wvu.FilterData" localSheetId="6" hidden="1">'W21-2026 - L1'!$C$2:$Q$2</definedName>
    <definedName name="Z_AF6B2EAC_2950_4809_A605_2107D254FC8D_.wvu.FilterData" localSheetId="7" hidden="1">'W21-2026 - L2'!$C$2:$Q$2</definedName>
    <definedName name="Z_AF6B2EAC_2950_4809_A605_2107D254FC8D_.wvu.FilterData" localSheetId="8" hidden="1">'W22-2026 - L1'!$C$2:$Q$2</definedName>
    <definedName name="Z_AF6B2EAC_2950_4809_A605_2107D254FC8D_.wvu.FilterData" localSheetId="9" hidden="1">'W22-2026 - L2'!$C$2:$Q$2</definedName>
    <definedName name="Z_AF6B2EAC_2950_4809_A605_2107D254FC8D_.wvu.FilterData" localSheetId="10" hidden="1">'W23-2026 - L1'!$C$2:$Q$2</definedName>
    <definedName name="Z_AF6B2EAC_2950_4809_A605_2107D254FC8D_.wvu.FilterData" localSheetId="11" hidden="1">'W23-2026 - L2'!$C$2:$Q$2</definedName>
    <definedName name="Z_AF6B2EAC_2950_4809_A605_2107D254FC8D_.wvu.FilterData" localSheetId="12" hidden="1">'W23-2026- L2 phát sinh'!$C$2:$Q$2</definedName>
    <definedName name="Z_AF6B2EAC_2950_4809_A605_2107D254FC8D_.wvu.PrintTitles" localSheetId="15" hidden="1">' W24-2026 - L2'!$1:$2</definedName>
    <definedName name="Z_AF6B2EAC_2950_4809_A605_2107D254FC8D_.wvu.PrintTitles" localSheetId="14" hidden="1">' W24-2026- L1'!$1:$2</definedName>
    <definedName name="Z_AF6B2EAC_2950_4809_A605_2107D254FC8D_.wvu.PrintTitles" localSheetId="13" hidden="1">'List pha liệu đầu tuần 24'!$1:$2</definedName>
    <definedName name="Z_AF6B2EAC_2950_4809_A605_2107D254FC8D_.wvu.PrintTitles" localSheetId="0" hidden="1">'W16-2026'!$4:$10</definedName>
    <definedName name="Z_AF6B2EAC_2950_4809_A605_2107D254FC8D_.wvu.PrintTitles" localSheetId="1" hidden="1">'W17-2026'!$4:$10</definedName>
    <definedName name="Z_AF6B2EAC_2950_4809_A605_2107D254FC8D_.wvu.PrintTitles" localSheetId="2" hidden="1">'W19-2026 - L2'!$1:$2</definedName>
    <definedName name="Z_AF6B2EAC_2950_4809_A605_2107D254FC8D_.wvu.PrintTitles" localSheetId="3" hidden="1">'W20-2026 - L1'!$1:$2</definedName>
    <definedName name="Z_AF6B2EAC_2950_4809_A605_2107D254FC8D_.wvu.PrintTitles" localSheetId="5" hidden="1">'W20-2026 - L2 phat sinh '!$1:$2</definedName>
    <definedName name="Z_AF6B2EAC_2950_4809_A605_2107D254FC8D_.wvu.PrintTitles" localSheetId="4" hidden="1">'W20-2026 -L2'!$1:$2</definedName>
    <definedName name="Z_AF6B2EAC_2950_4809_A605_2107D254FC8D_.wvu.PrintTitles" localSheetId="6" hidden="1">'W21-2026 - L1'!$1:$2</definedName>
    <definedName name="Z_AF6B2EAC_2950_4809_A605_2107D254FC8D_.wvu.PrintTitles" localSheetId="7" hidden="1">'W21-2026 - L2'!$1:$2</definedName>
    <definedName name="Z_AF6B2EAC_2950_4809_A605_2107D254FC8D_.wvu.PrintTitles" localSheetId="8" hidden="1">'W22-2026 - L1'!$1:$2</definedName>
    <definedName name="Z_AF6B2EAC_2950_4809_A605_2107D254FC8D_.wvu.PrintTitles" localSheetId="9" hidden="1">'W22-2026 - L2'!$1:$2</definedName>
    <definedName name="Z_AF6B2EAC_2950_4809_A605_2107D254FC8D_.wvu.PrintTitles" localSheetId="10" hidden="1">'W23-2026 - L1'!$1:$2</definedName>
    <definedName name="Z_AF6B2EAC_2950_4809_A605_2107D254FC8D_.wvu.PrintTitles" localSheetId="11" hidden="1">'W23-2026 - L2'!$1:$2</definedName>
    <definedName name="Z_AF6B2EAC_2950_4809_A605_2107D254FC8D_.wvu.PrintTitles" localSheetId="12" hidden="1">'W23-2026- L2 phát sinh'!$1:$2</definedName>
    <definedName name="Z_CA92E8A2_92C9_4575_A139_6FE5DA69269F_.wvu.FilterData" localSheetId="15" hidden="1">' W24-2026 - L2'!$C$2:$O$2</definedName>
    <definedName name="Z_CA92E8A2_92C9_4575_A139_6FE5DA69269F_.wvu.FilterData" localSheetId="14" hidden="1">' W24-2026- L1'!$C$2:$O$2</definedName>
    <definedName name="Z_CA92E8A2_92C9_4575_A139_6FE5DA69269F_.wvu.FilterData" localSheetId="13" hidden="1">'List pha liệu đầu tuần 24'!$C$2:$O$2</definedName>
    <definedName name="Z_CA92E8A2_92C9_4575_A139_6FE5DA69269F_.wvu.FilterData" localSheetId="0" hidden="1">'W16-2026'!$C$10:$O$10</definedName>
    <definedName name="Z_CA92E8A2_92C9_4575_A139_6FE5DA69269F_.wvu.FilterData" localSheetId="1" hidden="1">'W17-2026'!$C$10:$O$10</definedName>
    <definedName name="Z_CA92E8A2_92C9_4575_A139_6FE5DA69269F_.wvu.FilterData" localSheetId="2" hidden="1">'W19-2026 - L2'!$C$2:$O$2</definedName>
    <definedName name="Z_CA92E8A2_92C9_4575_A139_6FE5DA69269F_.wvu.FilterData" localSheetId="3" hidden="1">'W20-2026 - L1'!$C$2:$O$2</definedName>
    <definedName name="Z_CA92E8A2_92C9_4575_A139_6FE5DA69269F_.wvu.FilterData" localSheetId="5" hidden="1">'W20-2026 - L2 phat sinh '!$C$2:$O$2</definedName>
    <definedName name="Z_CA92E8A2_92C9_4575_A139_6FE5DA69269F_.wvu.FilterData" localSheetId="4" hidden="1">'W20-2026 -L2'!$C$2:$O$2</definedName>
    <definedName name="Z_CA92E8A2_92C9_4575_A139_6FE5DA69269F_.wvu.FilterData" localSheetId="6" hidden="1">'W21-2026 - L1'!$C$2:$O$2</definedName>
    <definedName name="Z_CA92E8A2_92C9_4575_A139_6FE5DA69269F_.wvu.FilterData" localSheetId="7" hidden="1">'W21-2026 - L2'!$C$2:$O$2</definedName>
    <definedName name="Z_CA92E8A2_92C9_4575_A139_6FE5DA69269F_.wvu.FilterData" localSheetId="8" hidden="1">'W22-2026 - L1'!$C$2:$O$2</definedName>
    <definedName name="Z_CA92E8A2_92C9_4575_A139_6FE5DA69269F_.wvu.FilterData" localSheetId="9" hidden="1">'W22-2026 - L2'!$C$2:$O$2</definedName>
    <definedName name="Z_CA92E8A2_92C9_4575_A139_6FE5DA69269F_.wvu.FilterData" localSheetId="10" hidden="1">'W23-2026 - L1'!$C$2:$O$2</definedName>
    <definedName name="Z_CA92E8A2_92C9_4575_A139_6FE5DA69269F_.wvu.FilterData" localSheetId="11" hidden="1">'W23-2026 - L2'!$C$2:$O$2</definedName>
    <definedName name="Z_CA92E8A2_92C9_4575_A139_6FE5DA69269F_.wvu.FilterData" localSheetId="12" hidden="1">'W23-2026- L2 phát sinh'!$C$2:$O$2</definedName>
    <definedName name="Z_DF644A2B_B913_48D6_B430_E57F3B482B79_.wvu.FilterData" localSheetId="15" hidden="1">' W24-2026 - L2'!$A$2:$Q$2</definedName>
    <definedName name="Z_DF644A2B_B913_48D6_B430_E57F3B482B79_.wvu.FilterData" localSheetId="14" hidden="1">' W24-2026- L1'!$A$2:$Q$2</definedName>
    <definedName name="Z_DF644A2B_B913_48D6_B430_E57F3B482B79_.wvu.FilterData" localSheetId="13" hidden="1">'List pha liệu đầu tuần 24'!$A$2:$Q$2</definedName>
    <definedName name="Z_DF644A2B_B913_48D6_B430_E57F3B482B79_.wvu.FilterData" localSheetId="0" hidden="1">'W16-2026'!$A$10:$W$10</definedName>
    <definedName name="Z_DF644A2B_B913_48D6_B430_E57F3B482B79_.wvu.FilterData" localSheetId="1" hidden="1">'W17-2026'!$A$10:$W$10</definedName>
    <definedName name="Z_DF644A2B_B913_48D6_B430_E57F3B482B79_.wvu.FilterData" localSheetId="2" hidden="1">'W19-2026 - L2'!$A$2:$Q$2</definedName>
    <definedName name="Z_DF644A2B_B913_48D6_B430_E57F3B482B79_.wvu.FilterData" localSheetId="3" hidden="1">'W20-2026 - L1'!$A$2:$Q$2</definedName>
    <definedName name="Z_DF644A2B_B913_48D6_B430_E57F3B482B79_.wvu.FilterData" localSheetId="5" hidden="1">'W20-2026 - L2 phat sinh '!$A$2:$Q$2</definedName>
    <definedName name="Z_DF644A2B_B913_48D6_B430_E57F3B482B79_.wvu.FilterData" localSheetId="4" hidden="1">'W20-2026 -L2'!$A$2:$Q$2</definedName>
    <definedName name="Z_DF644A2B_B913_48D6_B430_E57F3B482B79_.wvu.FilterData" localSheetId="6" hidden="1">'W21-2026 - L1'!$A$2:$Q$2</definedName>
    <definedName name="Z_DF644A2B_B913_48D6_B430_E57F3B482B79_.wvu.FilterData" localSheetId="7" hidden="1">'W21-2026 - L2'!$A$2:$Q$2</definedName>
    <definedName name="Z_DF644A2B_B913_48D6_B430_E57F3B482B79_.wvu.FilterData" localSheetId="8" hidden="1">'W22-2026 - L1'!$A$2:$Q$2</definedName>
    <definedName name="Z_DF644A2B_B913_48D6_B430_E57F3B482B79_.wvu.FilterData" localSheetId="9" hidden="1">'W22-2026 - L2'!$A$2:$Q$2</definedName>
    <definedName name="Z_DF644A2B_B913_48D6_B430_E57F3B482B79_.wvu.FilterData" localSheetId="10" hidden="1">'W23-2026 - L1'!$A$2:$Q$2</definedName>
    <definedName name="Z_DF644A2B_B913_48D6_B430_E57F3B482B79_.wvu.FilterData" localSheetId="11" hidden="1">'W23-2026 - L2'!$A$2:$Q$2</definedName>
    <definedName name="Z_DF644A2B_B913_48D6_B430_E57F3B482B79_.wvu.FilterData" localSheetId="12" hidden="1">'W23-2026- L2 phát sinh'!$A$2:$Q$2</definedName>
    <definedName name="Z_DF644A2B_B913_48D6_B430_E57F3B482B79_.wvu.PrintTitles" localSheetId="15" hidden="1">' W24-2026 - L2'!$1:$2</definedName>
    <definedName name="Z_DF644A2B_B913_48D6_B430_E57F3B482B79_.wvu.PrintTitles" localSheetId="14" hidden="1">' W24-2026- L1'!$1:$2</definedName>
    <definedName name="Z_DF644A2B_B913_48D6_B430_E57F3B482B79_.wvu.PrintTitles" localSheetId="13" hidden="1">'List pha liệu đầu tuần 24'!$1:$2</definedName>
    <definedName name="Z_DF644A2B_B913_48D6_B430_E57F3B482B79_.wvu.PrintTitles" localSheetId="0" hidden="1">'W16-2026'!$4:$10</definedName>
    <definedName name="Z_DF644A2B_B913_48D6_B430_E57F3B482B79_.wvu.PrintTitles" localSheetId="1" hidden="1">'W17-2026'!$4:$10</definedName>
    <definedName name="Z_DF644A2B_B913_48D6_B430_E57F3B482B79_.wvu.PrintTitles" localSheetId="2" hidden="1">'W19-2026 - L2'!$1:$2</definedName>
    <definedName name="Z_DF644A2B_B913_48D6_B430_E57F3B482B79_.wvu.PrintTitles" localSheetId="3" hidden="1">'W20-2026 - L1'!$1:$2</definedName>
    <definedName name="Z_DF644A2B_B913_48D6_B430_E57F3B482B79_.wvu.PrintTitles" localSheetId="5" hidden="1">'W20-2026 - L2 phat sinh '!$1:$2</definedName>
    <definedName name="Z_DF644A2B_B913_48D6_B430_E57F3B482B79_.wvu.PrintTitles" localSheetId="4" hidden="1">'W20-2026 -L2'!$1:$2</definedName>
    <definedName name="Z_DF644A2B_B913_48D6_B430_E57F3B482B79_.wvu.PrintTitles" localSheetId="6" hidden="1">'W21-2026 - L1'!$1:$2</definedName>
    <definedName name="Z_DF644A2B_B913_48D6_B430_E57F3B482B79_.wvu.PrintTitles" localSheetId="7" hidden="1">'W21-2026 - L2'!$1:$2</definedName>
    <definedName name="Z_DF644A2B_B913_48D6_B430_E57F3B482B79_.wvu.PrintTitles" localSheetId="8" hidden="1">'W22-2026 - L1'!$1:$2</definedName>
    <definedName name="Z_DF644A2B_B913_48D6_B430_E57F3B482B79_.wvu.PrintTitles" localSheetId="9" hidden="1">'W22-2026 - L2'!$1:$2</definedName>
    <definedName name="Z_DF644A2B_B913_48D6_B430_E57F3B482B79_.wvu.PrintTitles" localSheetId="10" hidden="1">'W23-2026 - L1'!$1:$2</definedName>
    <definedName name="Z_DF644A2B_B913_48D6_B430_E57F3B482B79_.wvu.PrintTitles" localSheetId="11" hidden="1">'W23-2026 - L2'!$1:$2</definedName>
    <definedName name="Z_DF644A2B_B913_48D6_B430_E57F3B482B79_.wvu.PrintTitles" localSheetId="12" hidden="1">'W23-2026- L2 phát sinh'!$1:$2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1">
    <numFmt numFmtId="43" formatCode="_(* #,##0.00_);_(* \(#,##0.00\);_(* &quot;-&quot;??_);_(@_)"/>
    <numFmt numFmtId="44" formatCode="_(&quot;$&quot;* #,##0.00_);_(&quot;$&quot;* \(#,##0.00\);_(&quot;$&quot;* &quot;-&quot;??_);_(@_)"/>
    <numFmt numFmtId="56" formatCode="&quot;上午/下午 &quot;hh&quot;時&quot;mm&quot;分&quot;ss&quot;秒 &quot;"/>
    <numFmt numFmtId="164" formatCode="_ * #,##0_ ;_ * \-#,##0_ ;_ * &quot;-&quot;_ ;_ @_ "/>
    <numFmt numFmtId="165" formatCode="_-* #,##0.00_-;\-* #,##0.00_-;_-* &quot;-&quot;??_-;_-@_-"/>
    <numFmt numFmtId="166" formatCode="_ * #,##0.00_ ;_ * \-#,##0.00_ ;_ * &quot;-&quot;??_ ;_ @_ "/>
    <numFmt numFmtId="167" formatCode="_-* #,##0.00\ _₫_-;\-* #,##0.00\ _₫_-;_-* &quot;-&quot;??\ _₫_-;_-@_-"/>
    <numFmt numFmtId="168" formatCode="0.000_);[Red]\(0.000\)"/>
    <numFmt numFmtId="169" formatCode="_(* #,##0_);_(* \(#,##0\);_(* &quot;-&quot;??_);_(@_)"/>
    <numFmt numFmtId="170" formatCode="[$-409]d/mmm;@"/>
    <numFmt numFmtId="171" formatCode="#,##0.#####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P8689"/>
  <sheetViews>
    <sheetView workbookViewId="0" rightToLeft="0"/>
  </sheetViews>
  <sheetData>
    <row r="1">
      <c r="A1">
        <f>900*5.5</f>
        <v>4950</v>
      </c>
      <c r="C1">
        <f>A1*0.9</f>
        <v>4455</v>
      </c>
      <c r="D1">
        <f>SUM($J$10:$J$3106)+200</f>
        <v>10160</v>
      </c>
      <c r="E1">
        <f>A1-D1</f>
        <v>-5210</v>
      </c>
      <c r="F1">
        <f>C1-D1</f>
        <v>-5705</v>
      </c>
      <c r="G1" t="str">
        <v>13/4-18/4</v>
      </c>
      <c r="V1" t="str">
        <v>OK</v>
      </c>
      <c r="X1" t="str">
        <v>done</v>
      </c>
    </row>
    <row r="2">
      <c r="A2">
        <v>46125</v>
      </c>
      <c r="C2" t="str">
        <v>thu 2</v>
      </c>
      <c r="D2">
        <f>13*10*2*90%</f>
        <v>234</v>
      </c>
      <c r="F2">
        <f>13*9*2+15</f>
        <v>249</v>
      </c>
      <c r="H2">
        <v>46125</v>
      </c>
      <c r="I2" t="str">
        <v>thu 2</v>
      </c>
      <c r="J2">
        <f>11*10*2*90%</f>
        <v>198</v>
      </c>
      <c r="L2">
        <f>11*10*2+15</f>
        <v>235</v>
      </c>
      <c r="N2">
        <v>46125</v>
      </c>
      <c r="O2" t="str">
        <v>thu 2</v>
      </c>
      <c r="P2">
        <f>8*8*90%</f>
        <v>57.6</v>
      </c>
      <c r="R2">
        <f>10*10*1+16</f>
        <v>116</v>
      </c>
      <c r="T2">
        <f>F2+L2+R2</f>
        <v>600</v>
      </c>
      <c r="V2">
        <v>46125</v>
      </c>
      <c r="W2">
        <f>900/2</f>
        <v>450</v>
      </c>
      <c r="Z2" t="str">
        <v>BUN</v>
      </c>
      <c r="AA2" t="str">
        <v>RỚT</v>
      </c>
    </row>
    <row r="3">
      <c r="A3">
        <v>46126</v>
      </c>
      <c r="C3" t="str">
        <v>thu 3</v>
      </c>
      <c r="D3">
        <f>13*10*2*90%</f>
        <v>234</v>
      </c>
      <c r="E3">
        <f>D2+D3</f>
        <v>468</v>
      </c>
      <c r="F3">
        <f>13*9*3+6</f>
        <v>357</v>
      </c>
      <c r="G3">
        <f>F2+F3</f>
        <v>606</v>
      </c>
      <c r="H3">
        <v>46126</v>
      </c>
      <c r="I3" t="str">
        <v>thu 3</v>
      </c>
      <c r="J3">
        <f>11*10*2*90%</f>
        <v>198</v>
      </c>
      <c r="K3">
        <f>J2+J3</f>
        <v>396</v>
      </c>
      <c r="L3">
        <f>11*10*3+6</f>
        <v>336</v>
      </c>
      <c r="M3">
        <f>L2+L3</f>
        <v>571</v>
      </c>
      <c r="N3">
        <v>46126</v>
      </c>
      <c r="O3" t="str">
        <v>thu 3</v>
      </c>
      <c r="P3">
        <f>8*8*90%</f>
        <v>57.6</v>
      </c>
      <c r="Q3">
        <f>P2+P3</f>
        <v>115.2</v>
      </c>
      <c r="R3">
        <f>10*10*2+7</f>
        <v>207</v>
      </c>
      <c r="S3">
        <f>R2+R3</f>
        <v>323</v>
      </c>
      <c r="T3">
        <f>F3+L3+R3</f>
        <v>900</v>
      </c>
      <c r="U3">
        <f>T2+T3</f>
        <v>1500</v>
      </c>
      <c r="V3">
        <v>46126</v>
      </c>
      <c r="W3">
        <v>900</v>
      </c>
      <c r="X3">
        <f>W2+W3</f>
        <v>1350</v>
      </c>
      <c r="Y3" t="str">
        <v>máy 1</v>
      </c>
      <c r="Z3">
        <f>SUMIF($AB:$AB,$Y3,$N:$N)</f>
        <v>0</v>
      </c>
      <c r="AA3">
        <f>$M$8-Z3</f>
        <v>1915</v>
      </c>
      <c r="AC3" t="e">
        <f>AA3/$AA$6*$O$9</f>
        <v>#VALUE!</v>
      </c>
    </row>
    <row r="4">
      <c r="A4">
        <v>46127</v>
      </c>
      <c r="C4" t="str">
        <v>thu 4</v>
      </c>
      <c r="D4">
        <f>13*10*2*90%</f>
        <v>234</v>
      </c>
      <c r="E4">
        <f>E3+D4</f>
        <v>702</v>
      </c>
      <c r="F4">
        <f>13*9*3+6</f>
        <v>357</v>
      </c>
      <c r="G4">
        <f>G3+F4</f>
        <v>963</v>
      </c>
      <c r="H4">
        <v>46127</v>
      </c>
      <c r="I4" t="str">
        <v>thu 4</v>
      </c>
      <c r="J4">
        <f>11*10*2*90%</f>
        <v>198</v>
      </c>
      <c r="K4">
        <v>0</v>
      </c>
      <c r="L4">
        <f>11*10*3+6</f>
        <v>336</v>
      </c>
      <c r="M4">
        <f>M3+L4</f>
        <v>907</v>
      </c>
      <c r="N4">
        <v>46127</v>
      </c>
      <c r="O4" t="str">
        <v>thu 4</v>
      </c>
      <c r="P4">
        <f>8*8*90%</f>
        <v>57.6</v>
      </c>
      <c r="Q4">
        <v>0</v>
      </c>
      <c r="R4">
        <f>10*10*2+7</f>
        <v>207</v>
      </c>
      <c r="S4">
        <f>S3+R4</f>
        <v>530</v>
      </c>
      <c r="T4">
        <f>F4+L4+R4</f>
        <v>900</v>
      </c>
      <c r="U4">
        <f>U3+T4</f>
        <v>2400</v>
      </c>
      <c r="V4">
        <v>46127</v>
      </c>
      <c r="W4">
        <v>900</v>
      </c>
      <c r="X4">
        <f>W4+X3</f>
        <v>2250</v>
      </c>
      <c r="Y4" t="str">
        <v>máy 2</v>
      </c>
      <c r="Z4">
        <f>SUMIF($AB:$AB,$Y4,$N:$N)</f>
        <v>0</v>
      </c>
      <c r="AA4">
        <f>$G$8-Z4</f>
        <v>1834</v>
      </c>
      <c r="AC4" t="e">
        <f>AA4/$AA$6*$O$9</f>
        <v>#VALUE!</v>
      </c>
    </row>
    <row r="5">
      <c r="A5">
        <v>46128</v>
      </c>
      <c r="C5" t="str">
        <v>thu 5</v>
      </c>
      <c r="D5">
        <f>13*10*2*90%</f>
        <v>234</v>
      </c>
      <c r="E5">
        <f>E4+D5</f>
        <v>936</v>
      </c>
      <c r="F5">
        <f>13*9*3+6-200</f>
        <v>157</v>
      </c>
      <c r="G5">
        <f>G4+F5</f>
        <v>1120</v>
      </c>
      <c r="H5">
        <v>46128</v>
      </c>
      <c r="I5" t="str">
        <v>thu 5</v>
      </c>
      <c r="J5">
        <f>11*10*2*90%</f>
        <v>198</v>
      </c>
      <c r="K5">
        <v>0</v>
      </c>
      <c r="L5">
        <f>11*10*3+6</f>
        <v>336</v>
      </c>
      <c r="M5">
        <f>M4+L5</f>
        <v>1243</v>
      </c>
      <c r="N5">
        <v>46128</v>
      </c>
      <c r="O5" t="str">
        <v>thu 5</v>
      </c>
      <c r="P5">
        <f>8*8*90%</f>
        <v>57.6</v>
      </c>
      <c r="Q5">
        <v>0</v>
      </c>
      <c r="R5">
        <f>10*10*2+7-100</f>
        <v>107</v>
      </c>
      <c r="S5">
        <f>S4+R5</f>
        <v>637</v>
      </c>
      <c r="T5">
        <f>F5+L5+R5</f>
        <v>600</v>
      </c>
      <c r="U5">
        <f>U4+T5</f>
        <v>3000</v>
      </c>
      <c r="V5">
        <v>46128</v>
      </c>
      <c r="W5">
        <v>900</v>
      </c>
      <c r="X5">
        <f>W5+X4</f>
        <v>3150</v>
      </c>
      <c r="Y5" t="str">
        <v>máy 3</v>
      </c>
      <c r="Z5">
        <f>SUMIF($AB:$AB,$Y5,$N:$N)</f>
        <v>0</v>
      </c>
      <c r="AA5">
        <f>$S$8-Z5</f>
        <v>0</v>
      </c>
      <c r="AC5" t="e">
        <f>AA5/$AA$6*$O$9</f>
        <v>#VALUE!</v>
      </c>
    </row>
    <row r="6">
      <c r="A6">
        <v>46129</v>
      </c>
      <c r="C6" t="str">
        <v>thu 6</v>
      </c>
      <c r="D6">
        <f>13*10*1*90%</f>
        <v>117</v>
      </c>
      <c r="E6">
        <f>E5+D6</f>
        <v>1053</v>
      </c>
      <c r="F6">
        <f>13*9*3+6</f>
        <v>357</v>
      </c>
      <c r="G6">
        <f>G5+F6</f>
        <v>1477</v>
      </c>
      <c r="H6">
        <v>46129</v>
      </c>
      <c r="I6" t="str">
        <v>thu 6</v>
      </c>
      <c r="J6">
        <f>11*10*2*90%</f>
        <v>198</v>
      </c>
      <c r="K6">
        <v>0</v>
      </c>
      <c r="L6">
        <f>11*10*3+6</f>
        <v>336</v>
      </c>
      <c r="M6">
        <f>M5+L6</f>
        <v>1579</v>
      </c>
      <c r="N6">
        <v>46129</v>
      </c>
      <c r="O6" t="str">
        <v>thu 6</v>
      </c>
      <c r="P6">
        <f>8*8*90%</f>
        <v>57.6</v>
      </c>
      <c r="Q6">
        <v>0</v>
      </c>
      <c r="R6">
        <f>10*10*2+7</f>
        <v>207</v>
      </c>
      <c r="S6">
        <f>S5+R6</f>
        <v>844</v>
      </c>
      <c r="T6">
        <f>F6+L6+R6</f>
        <v>900</v>
      </c>
      <c r="U6">
        <f>U5+T6</f>
        <v>3900</v>
      </c>
      <c r="V6">
        <v>46129</v>
      </c>
      <c r="W6">
        <v>900</v>
      </c>
      <c r="X6">
        <f>W6+X5</f>
        <v>4050</v>
      </c>
      <c r="AA6">
        <f>SUM(AA3:AA5)</f>
        <v>3749</v>
      </c>
      <c r="AC6" t="e">
        <f>SUM(AC3:AC5)</f>
        <v>#VALUE!</v>
      </c>
    </row>
    <row r="7">
      <c r="A7">
        <v>46130</v>
      </c>
      <c r="C7" t="str">
        <v>thu 7</v>
      </c>
      <c r="D7">
        <f>13*10*2*90%</f>
        <v>234</v>
      </c>
      <c r="E7">
        <f>E6+D7</f>
        <v>1287</v>
      </c>
      <c r="F7">
        <f>13*9*3+6</f>
        <v>357</v>
      </c>
      <c r="G7">
        <f>G6+F7</f>
        <v>1834</v>
      </c>
      <c r="H7">
        <v>46130</v>
      </c>
      <c r="I7" t="str">
        <v>thu 7</v>
      </c>
      <c r="J7">
        <f>11*10*1*90%</f>
        <v>99</v>
      </c>
      <c r="K7">
        <v>0</v>
      </c>
      <c r="L7">
        <f>11*10*3+6</f>
        <v>336</v>
      </c>
      <c r="M7">
        <f>M6+L7</f>
        <v>1915</v>
      </c>
      <c r="N7">
        <v>46130</v>
      </c>
      <c r="O7" t="str">
        <v>thu 7</v>
      </c>
      <c r="P7">
        <v>0</v>
      </c>
      <c r="Q7">
        <v>0</v>
      </c>
      <c r="R7">
        <f>10*10*2+7</f>
        <v>207</v>
      </c>
      <c r="S7">
        <f>S6+R7</f>
        <v>1051</v>
      </c>
      <c r="T7">
        <f>F7+L7+R7</f>
        <v>900</v>
      </c>
      <c r="U7">
        <f>U6+T7</f>
        <v>4800</v>
      </c>
      <c r="V7">
        <v>46130</v>
      </c>
      <c r="W7">
        <v>900</v>
      </c>
      <c r="X7">
        <f>W7+X6</f>
        <v>4950</v>
      </c>
    </row>
    <row r="8">
      <c r="A8">
        <v>46131</v>
      </c>
      <c r="C8" t="str">
        <v>CN</v>
      </c>
      <c r="G8">
        <f>G7+F8</f>
        <v>1834</v>
      </c>
      <c r="H8">
        <v>46131</v>
      </c>
      <c r="I8" t="str">
        <v>CN</v>
      </c>
      <c r="M8">
        <f>M7+L8</f>
        <v>1915</v>
      </c>
      <c r="N8">
        <v>46131</v>
      </c>
      <c r="O8" t="str">
        <v>CN</v>
      </c>
      <c r="U8">
        <f>U7+T8</f>
        <v>4800</v>
      </c>
      <c r="V8">
        <v>46131</v>
      </c>
      <c r="W8">
        <v>900</v>
      </c>
      <c r="X8">
        <f>W8+X7</f>
        <v>5850</v>
      </c>
    </row>
    <row r="9" xml:space="preserve">
      <c r="A9">
        <f>900*6.5</f>
        <v>5850</v>
      </c>
      <c r="C9">
        <f>A9+J9</f>
        <v>5832</v>
      </c>
      <c r="E9">
        <f>I9/3.5</f>
        <v>5.14285714285714</v>
      </c>
      <c r="F9">
        <f>J9/6.5</f>
        <v>-2.76923076923077</v>
      </c>
      <c r="G9" t="str" xml:space="preserve">
        <v xml:space="preserve">Kế Hoạch Sản Xuất _x000d_
Production Planning_x000d_
HANG ASSIC TACH 6MM, LAY 144MM</v>
      </c>
      <c r="H9">
        <f>-SUBTOTAL(9,H10:H3353)</f>
        <v>-357</v>
      </c>
      <c r="I9">
        <f>SUBTOTAL(9,I10:I3353)</f>
        <v>18</v>
      </c>
      <c r="J9">
        <f>-SUBTOTAL(9,J10:J3353)</f>
        <v>-18</v>
      </c>
      <c r="K9">
        <f>16700/850</f>
        <v>19.6470588235294</v>
      </c>
      <c r="M9">
        <f>J9/3</f>
        <v>-6</v>
      </c>
      <c r="O9" t="str">
        <v>ppc/pur imp-chưa nhắc sx</v>
      </c>
      <c r="Q9">
        <v>45258</v>
      </c>
    </row>
    <row r="10" xml:space="preserve">
      <c r="A10" t="str">
        <v>NO.ORDER</v>
      </c>
      <c r="B10" t="str">
        <v>Firm plan</v>
      </c>
      <c r="C10" t="str" xml:space="preserve">
        <v xml:space="preserve">NGÀY SX_x000d_
Date of Producing</v>
      </c>
      <c r="D10" t="str">
        <v>PUR.NO</v>
      </c>
      <c r="E10" t="str">
        <v>Bun Code</v>
      </c>
      <c r="F10" t="str">
        <v>PU code</v>
      </c>
      <c r="G10" t="str" xml:space="preserve">
        <v xml:space="preserve">TÊN SẢN PHẨM_x000d_
Material Name;_x000d_
code BUN 255- tạm thời đổ theo công thức X40-16D-35C(đổ tay)._x000d_
màu red của footjoy chạy  (CHẠY 16D, 35C)-PVN-003797</v>
      </c>
      <c r="H10" t="str" xml:space="preserve">
        <v xml:space="preserve">SL _x000d_
Sheet</v>
      </c>
      <c r="I10" t="str">
        <v>SL bun cần Tách</v>
      </c>
      <c r="J10" t="str">
        <v>Sl bun cần Đổ</v>
      </c>
      <c r="K10" t="str">
        <v>Brand</v>
      </c>
      <c r="L10" t="str">
        <v>POV</v>
      </c>
      <c r="M10" t="str">
        <v>TYPE</v>
      </c>
      <c r="N10" t="str" xml:space="preserve">
        <v xml:space="preserve">SL cần đổ_x000d_
Qty need to pour_x000d_
(bun)</v>
      </c>
      <c r="O10" t="str" xml:space="preserve">
        <v xml:space="preserve">Ghi chú_x000d_
Note</v>
      </c>
      <c r="P10" t="str">
        <v>Status</v>
      </c>
      <c r="Q10" t="str">
        <v>Ngày Sản xuất hoàn thành</v>
      </c>
      <c r="R10" t="str" xml:space="preserve">
        <v xml:space="preserve">Ngày giao hàng_x000d_
ETD</v>
      </c>
      <c r="S10" t="str">
        <v>ETD hệ thống</v>
      </c>
      <c r="T10" t="str">
        <v xml:space="preserve">LOAD </v>
      </c>
      <c r="U10" t="str" xml:space="preserve">
        <v xml:space="preserve">Out put_x000d_
Thực Đổ</v>
      </c>
      <c r="V10" t="str">
        <v>Còn lại</v>
      </c>
      <c r="W10" t="str">
        <v>Sl QC check</v>
      </c>
      <c r="X10" t="str">
        <v>Sl đã giao</v>
      </c>
      <c r="Y10" t="str">
        <v>Sl chưa giao</v>
      </c>
      <c r="Z10" t="str">
        <v>g</v>
      </c>
      <c r="AA10" t="str">
        <v>note 1</v>
      </c>
      <c r="AB10" t="str">
        <v>note 2</v>
      </c>
      <c r="AC10" t="str">
        <v>note 3</v>
      </c>
      <c r="AD10" t="str">
        <v>note 4</v>
      </c>
      <c r="AE10" t="str">
        <v>note 5</v>
      </c>
    </row>
    <row r="11">
      <c r="G11" t="str">
        <v>13/4-18/4</v>
      </c>
      <c r="Z11" t="b">
        <f>R11=S11</f>
        <v>1</v>
      </c>
    </row>
    <row r="12">
      <c r="A12" t="str">
        <v>F-2026-04-52</v>
      </c>
      <c r="B12" t="str">
        <v>RPRO-260403-0440</v>
      </c>
      <c r="C12" t="str">
        <v>13/4</v>
      </c>
      <c r="D12" t="str">
        <v>Pro.sche.report 02.04</v>
      </c>
      <c r="E12" t="str">
        <v>BDB-000076</v>
      </c>
      <c r="F12" t="str">
        <v>PVN-004119</v>
      </c>
      <c r="G12" t="str">
        <v>OrthoLite X-25 BILLIARD/16-5427TPX Flat Sheet 0.12D 20+/-4 Asker C 1.1M 2M 6.5mm</v>
      </c>
      <c r="H12">
        <v>42</v>
      </c>
      <c r="I12">
        <v>3</v>
      </c>
      <c r="J12">
        <v>3</v>
      </c>
      <c r="K12" t="str">
        <v>ONE8</v>
      </c>
      <c r="L12" t="str">
        <v>Pr.Sch.R</v>
      </c>
      <c r="M12" t="str">
        <v>MOLDED</v>
      </c>
      <c r="N12">
        <v>2</v>
      </c>
      <c r="O12" t="str">
        <v>Đơn cũ w15</v>
      </c>
      <c r="P12" t="str">
        <v>ok</v>
      </c>
      <c r="Q12">
        <v>46123</v>
      </c>
      <c r="R12">
        <f>S12-1</f>
        <v>46125</v>
      </c>
      <c r="S12">
        <v>46126</v>
      </c>
      <c r="T12" t="str">
        <v>l1</v>
      </c>
      <c r="V12">
        <f>U12-N12</f>
        <v>-2</v>
      </c>
      <c r="W12">
        <v>0</v>
      </c>
      <c r="X12">
        <v>0</v>
      </c>
      <c r="Y12">
        <v>42</v>
      </c>
      <c r="Z12" t="b">
        <v>1</v>
      </c>
      <c r="AE12" t="e">
        <f>SUMIF('[4]TONG XUAT BUN 2026'!$B:$F,A12,'[4]TONG XUAT BUN 2026'!$F:$F)</f>
        <v>#VALUE!</v>
      </c>
      <c r="AF12" t="str">
        <v>m1</v>
      </c>
    </row>
    <row r="13">
      <c r="V13">
        <f>U13-N13</f>
        <v>0</v>
      </c>
      <c r="AF13" t="str">
        <v>m1</v>
      </c>
    </row>
    <row r="14">
      <c r="A14" t="str">
        <v>F-2026-04-74</v>
      </c>
      <c r="B14" t="str">
        <v>RPRO-260406-1112</v>
      </c>
      <c r="C14" t="str">
        <v>13/4</v>
      </c>
      <c r="D14" t="str">
        <v>Pro.sche.report 3.4+4.4</v>
      </c>
      <c r="E14" t="str">
        <v>BDB-000313</v>
      </c>
      <c r="F14" t="str">
        <v>PVN-004061</v>
      </c>
      <c r="G14" t="str">
        <v>OrthoLite X-55 RED/19-1764TPX Flat Sheet 0.16D 25+/-4 Asker C 1.1M 1.47M 18mm</v>
      </c>
      <c r="H14">
        <v>14</v>
      </c>
      <c r="I14">
        <v>3</v>
      </c>
      <c r="J14">
        <v>3</v>
      </c>
      <c r="K14" t="str">
        <v>WILSON</v>
      </c>
      <c r="L14" t="str">
        <v>Pr.Sch.R</v>
      </c>
      <c r="M14" t="str">
        <v>MOLDED</v>
      </c>
      <c r="N14">
        <v>3</v>
      </c>
      <c r="O14" t="str">
        <v>Đơn cũ w15</v>
      </c>
      <c r="P14" t="str">
        <v>ok</v>
      </c>
      <c r="Q14">
        <v>46123</v>
      </c>
      <c r="R14">
        <f>S14-1</f>
        <v>46126</v>
      </c>
      <c r="S14">
        <v>46127</v>
      </c>
      <c r="T14" t="str">
        <v>l2</v>
      </c>
      <c r="U14">
        <v>3</v>
      </c>
      <c r="V14">
        <f>U14-N14</f>
        <v>0</v>
      </c>
      <c r="W14">
        <v>0</v>
      </c>
      <c r="X14">
        <v>0</v>
      </c>
      <c r="Y14">
        <v>14</v>
      </c>
      <c r="Z14" t="b">
        <v>0</v>
      </c>
      <c r="AE14" t="e">
        <f>SUMIF('[4]TONG XUAT BUN 2026'!$B:$F,A14,'[4]TONG XUAT BUN 2026'!$F:$F)</f>
        <v>#VALUE!</v>
      </c>
      <c r="AF14" t="str">
        <v>m1</v>
      </c>
    </row>
    <row r="15">
      <c r="V15">
        <f>U15-N15</f>
        <v>0</v>
      </c>
      <c r="AF15" t="str">
        <v>m1</v>
      </c>
    </row>
    <row r="16">
      <c r="A16" t="str">
        <v>F-2026-03-390</v>
      </c>
      <c r="B16" t="str">
        <v>FPRO-260318-0034</v>
      </c>
      <c r="C16" t="str">
        <v>13/4</v>
      </c>
      <c r="D16" t="str">
        <v>Firm plan 18.3</v>
      </c>
      <c r="E16" t="str">
        <v>BDB-000052</v>
      </c>
      <c r="F16" t="str">
        <v>PVN-003603</v>
      </c>
      <c r="G16" t="str">
        <v>OrthoLite X-40 TRUE BLUE/19-4057TPX Flat Sheet 0.16D 25+/-4 Asker C 1.1M 1.47M 12mm</v>
      </c>
      <c r="H16">
        <v>400</v>
      </c>
      <c r="I16">
        <v>35</v>
      </c>
      <c r="J16">
        <v>35</v>
      </c>
      <c r="K16" t="str">
        <v>ASICS</v>
      </c>
      <c r="L16" t="str">
        <v>Forecast</v>
      </c>
      <c r="M16" t="str">
        <v>MOLDED</v>
      </c>
      <c r="N16">
        <v>5</v>
      </c>
      <c r="O16" t="str">
        <v>Đơn cũ w15</v>
      </c>
      <c r="P16" t="str">
        <v>ok</v>
      </c>
      <c r="Q16">
        <v>46123</v>
      </c>
      <c r="R16">
        <f>S16-1</f>
        <v>46126</v>
      </c>
      <c r="S16">
        <v>46127</v>
      </c>
      <c r="T16" t="str">
        <v>l2</v>
      </c>
      <c r="U16">
        <v>5</v>
      </c>
      <c r="V16">
        <f>U16-N16</f>
        <v>0</v>
      </c>
      <c r="W16">
        <v>0</v>
      </c>
      <c r="X16">
        <v>0</v>
      </c>
      <c r="Y16">
        <v>400</v>
      </c>
      <c r="Z16" t="b">
        <v>0</v>
      </c>
      <c r="AE16" t="e">
        <f>SUMIF('[4]TONG XUAT BUN 2026'!$B:$F,A16,'[4]TONG XUAT BUN 2026'!$F:$F)</f>
        <v>#VALUE!</v>
      </c>
      <c r="AF16" t="str">
        <v>m1</v>
      </c>
    </row>
    <row r="17">
      <c r="V17">
        <f>U17-N17</f>
        <v>0</v>
      </c>
      <c r="AF17" t="str">
        <v>m1</v>
      </c>
    </row>
    <row r="18">
      <c r="A18" t="str">
        <v>F-2026-03-597</v>
      </c>
      <c r="B18" t="str">
        <v>FPRO-260330-0019</v>
      </c>
      <c r="C18" t="str">
        <v>13/4</v>
      </c>
      <c r="D18" t="str">
        <v>Firm plan 30.3</v>
      </c>
      <c r="E18" t="str">
        <v>BDB-000273</v>
      </c>
      <c r="F18" t="str">
        <v>PVN-004138</v>
      </c>
      <c r="G18" t="str">
        <v>OrthoLite X-40-Hybrid SEEDPEARL/12-0703TPX Hybrid Flat Sheet 0.16D 25+/-4 Asker C 1.1M 2M 5.5mm</v>
      </c>
      <c r="H18">
        <v>1000</v>
      </c>
      <c r="I18">
        <v>40</v>
      </c>
      <c r="J18">
        <v>40</v>
      </c>
      <c r="K18" t="str">
        <v>ON RUNNING</v>
      </c>
      <c r="L18" t="str">
        <v>Forecast</v>
      </c>
      <c r="M18" t="str">
        <v>MOLDED</v>
      </c>
      <c r="N18">
        <v>40</v>
      </c>
      <c r="O18" t="str">
        <v>Đơn cũ w15</v>
      </c>
      <c r="P18" t="str">
        <v>ok</v>
      </c>
      <c r="Q18">
        <v>46125</v>
      </c>
      <c r="R18">
        <f>S18-1</f>
        <v>46127</v>
      </c>
      <c r="S18">
        <v>46128</v>
      </c>
      <c r="T18" t="str">
        <v>l2</v>
      </c>
      <c r="U18">
        <f>40</f>
        <v>40</v>
      </c>
      <c r="V18">
        <f>U18-N18</f>
        <v>0</v>
      </c>
      <c r="W18">
        <v>0</v>
      </c>
      <c r="X18">
        <v>0</v>
      </c>
      <c r="Y18">
        <v>1000</v>
      </c>
      <c r="Z18" t="b">
        <v>0</v>
      </c>
      <c r="AE18" t="e">
        <f>SUMIF('[4]TONG XUAT BUN 2026'!$B:$F,A18,'[4]TONG XUAT BUN 2026'!$F:$F)</f>
        <v>#VALUE!</v>
      </c>
      <c r="AF18" t="str">
        <v>m1</v>
      </c>
    </row>
    <row r="19">
      <c r="V19">
        <f>U19-N19</f>
        <v>0</v>
      </c>
      <c r="AF19" t="str">
        <v>m1</v>
      </c>
    </row>
    <row r="20">
      <c r="A20" t="str">
        <v>F-2026-04-68</v>
      </c>
      <c r="B20" t="str">
        <v>RPRO-260406-1106</v>
      </c>
      <c r="C20" t="str">
        <v>13/4</v>
      </c>
      <c r="D20" t="str">
        <v>Pro.sche.report 3.4+4.4</v>
      </c>
      <c r="E20" t="str">
        <v>BDB-000077</v>
      </c>
      <c r="F20" t="str">
        <v>PVN-004147</v>
      </c>
      <c r="G20" t="str">
        <v>OrthoLite X-25 SEEDPEARL/12-0703TPX Flat Sheet 0.12D 20+/-4 Asker C 1.1M 2M 5.5mm</v>
      </c>
      <c r="H20">
        <v>1025</v>
      </c>
      <c r="I20">
        <v>41</v>
      </c>
      <c r="J20">
        <v>41</v>
      </c>
      <c r="K20" t="str">
        <v>ON RUNNING</v>
      </c>
      <c r="L20" t="str">
        <v>Pr.Sch.R</v>
      </c>
      <c r="M20" t="str">
        <v>MOLDED</v>
      </c>
      <c r="N20">
        <v>41</v>
      </c>
      <c r="O20" t="str">
        <v>Đơn cũ w15</v>
      </c>
      <c r="P20" t="str">
        <v>ok</v>
      </c>
      <c r="Q20">
        <v>46126</v>
      </c>
      <c r="R20">
        <f>S20-1</f>
        <v>46128</v>
      </c>
      <c r="S20">
        <v>46129</v>
      </c>
      <c r="T20" t="str">
        <v>l2</v>
      </c>
      <c r="U20">
        <v>41</v>
      </c>
      <c r="V20">
        <f>U20-N20</f>
        <v>0</v>
      </c>
      <c r="W20">
        <v>0</v>
      </c>
      <c r="X20">
        <v>0</v>
      </c>
      <c r="Y20">
        <v>1025</v>
      </c>
      <c r="Z20" t="b">
        <v>0</v>
      </c>
      <c r="AE20" t="e">
        <f>SUMIF('[4]TONG XUAT BUN 2026'!$B:$F,A20,'[4]TONG XUAT BUN 2026'!$F:$F)</f>
        <v>#VALUE!</v>
      </c>
      <c r="AF20" t="str">
        <v>m1</v>
      </c>
    </row>
    <row r="21">
      <c r="V21">
        <f>U21-N21</f>
        <v>0</v>
      </c>
      <c r="AF21" t="str">
        <v>m1</v>
      </c>
    </row>
    <row r="22">
      <c r="A22" t="str">
        <v>F-2026-03-366</v>
      </c>
      <c r="B22" t="str">
        <v>FPRO-260318-0010</v>
      </c>
      <c r="C22" t="str">
        <v>13/4</v>
      </c>
      <c r="D22" t="str">
        <v>Firm plan 18.3</v>
      </c>
      <c r="E22" t="str">
        <v>BDB-000113</v>
      </c>
      <c r="F22" t="str">
        <v>PVN-002465</v>
      </c>
      <c r="G22" t="str">
        <v>OrthoLite Regular-Hybrid SEEDPEARL/12-0703TPX Hybrid Flat Sheet 0.11D 25+/-4 Asker C 1.1M 2M 5mm</v>
      </c>
      <c r="H22">
        <v>2500</v>
      </c>
      <c r="I22">
        <v>90</v>
      </c>
      <c r="J22">
        <v>90</v>
      </c>
      <c r="K22" t="str">
        <v>ASICS</v>
      </c>
      <c r="L22" t="str">
        <v>Forecast</v>
      </c>
      <c r="M22" t="str">
        <v>DIE CUT</v>
      </c>
      <c r="N22">
        <v>282</v>
      </c>
      <c r="O22" t="str">
        <v>Đơn cũ w15</v>
      </c>
      <c r="P22" t="str">
        <v>ok</v>
      </c>
      <c r="Q22">
        <v>46126</v>
      </c>
      <c r="R22">
        <f>S22-1</f>
        <v>46128</v>
      </c>
      <c r="S22">
        <v>46129</v>
      </c>
      <c r="T22" t="str">
        <v>l2</v>
      </c>
      <c r="U22">
        <f>62+85+58+77</f>
        <v>282</v>
      </c>
      <c r="V22">
        <f>U22-N22</f>
        <v>0</v>
      </c>
      <c r="W22">
        <v>0</v>
      </c>
      <c r="X22">
        <v>0</v>
      </c>
      <c r="Y22">
        <v>2500</v>
      </c>
      <c r="Z22" t="b">
        <v>0</v>
      </c>
      <c r="AE22" t="e">
        <f>SUMIF('[4]TONG XUAT BUN 2026'!$B:$F,A22,'[4]TONG XUAT BUN 2026'!$F:$F)</f>
        <v>#VALUE!</v>
      </c>
      <c r="AF22" t="str">
        <v>m1</v>
      </c>
    </row>
    <row r="23">
      <c r="A23" t="str">
        <v>F-2026-03-377</v>
      </c>
      <c r="B23" t="str">
        <v>FPRO-260318-0021</v>
      </c>
      <c r="C23" t="str">
        <v>13/4-'14/4</v>
      </c>
      <c r="D23" t="str">
        <v>Firm plan 18.3</v>
      </c>
      <c r="E23" t="str">
        <v>BDB-000113</v>
      </c>
      <c r="F23" t="str">
        <v>PVN-003414</v>
      </c>
      <c r="G23" t="str">
        <v>OrthoLite Regular-Hybrid SEEDPEARL/12-0703TPX Hybrid Flat Sheet 0.11D 25+/-4 Asker C 1.1M 2M 12mm</v>
      </c>
      <c r="H23">
        <v>2500</v>
      </c>
      <c r="I23">
        <v>218</v>
      </c>
      <c r="J23">
        <v>218</v>
      </c>
      <c r="K23" t="str">
        <v>ASICS</v>
      </c>
      <c r="L23" t="str">
        <v>Forecast</v>
      </c>
      <c r="M23" t="str">
        <v>MOLDED</v>
      </c>
      <c r="N23" t="str">
        <v>Đơn cũ w15</v>
      </c>
      <c r="P23" t="str">
        <v>ok</v>
      </c>
      <c r="Q23">
        <v>46126</v>
      </c>
      <c r="R23">
        <f>S23-1</f>
        <v>46128</v>
      </c>
      <c r="S23">
        <v>46129</v>
      </c>
      <c r="T23" t="str">
        <v>l2</v>
      </c>
      <c r="V23" t="e">
        <f>U23-N23</f>
        <v>#VALUE!</v>
      </c>
      <c r="W23">
        <v>0</v>
      </c>
      <c r="X23">
        <v>0</v>
      </c>
      <c r="Y23">
        <v>2500</v>
      </c>
      <c r="Z23" t="b">
        <v>0</v>
      </c>
      <c r="AE23" t="e">
        <f>SUMIF('[4]TONG XUAT BUN 2026'!$B:$F,A23,'[4]TONG XUAT BUN 2026'!$F:$F)</f>
        <v>#VALUE!</v>
      </c>
      <c r="AF23" t="str">
        <v>m1</v>
      </c>
    </row>
    <row r="24">
      <c r="V24">
        <f>U24-N24</f>
        <v>0</v>
      </c>
      <c r="AF24" t="str">
        <v>m1</v>
      </c>
    </row>
    <row r="25">
      <c r="A25" t="str">
        <v>F-2026-04-142</v>
      </c>
      <c r="B25" t="str">
        <v>FPRO-260410-0002</v>
      </c>
      <c r="C25" t="str">
        <v>14/4</v>
      </c>
      <c r="D25" t="str">
        <v>Firm plan 10.4</v>
      </c>
      <c r="E25" t="str">
        <v>BDB-000386</v>
      </c>
      <c r="F25" t="str">
        <v>PVN-004384</v>
      </c>
      <c r="G25" t="str">
        <v>OrthoLite Impressions TAWNY PORT/19-1725TPX 0.15D 70-80 Asker F 1.1M 1.7M 3mm</v>
      </c>
      <c r="H25">
        <v>30</v>
      </c>
      <c r="I25">
        <v>1</v>
      </c>
      <c r="J25">
        <v>1</v>
      </c>
      <c r="K25" t="str">
        <v>FOOTJOY</v>
      </c>
      <c r="L25" t="str">
        <v>Forecast</v>
      </c>
      <c r="M25" t="str">
        <v>MOLDED</v>
      </c>
      <c r="N25">
        <v>1</v>
      </c>
      <c r="O25" t="str">
        <v>c Nha</v>
      </c>
      <c r="P25" t="str">
        <v>ok</v>
      </c>
      <c r="Q25">
        <v>46126</v>
      </c>
      <c r="R25">
        <f>S25-1</f>
        <v>46127</v>
      </c>
      <c r="S25">
        <v>46128</v>
      </c>
      <c r="T25" t="str">
        <v>list 1_add 2</v>
      </c>
      <c r="U25">
        <f>1+1</f>
        <v>2</v>
      </c>
      <c r="V25">
        <f>U25-N25</f>
        <v>1</v>
      </c>
      <c r="W25">
        <v>0</v>
      </c>
      <c r="X25">
        <v>0</v>
      </c>
      <c r="Y25">
        <v>30</v>
      </c>
      <c r="Z25" t="b">
        <v>1</v>
      </c>
      <c r="AE25" t="e">
        <f>SUMIF('[4]TONG XUAT BUN 2026'!$B:$F,A25,'[4]TONG XUAT BUN 2026'!$F:$F)</f>
        <v>#VALUE!</v>
      </c>
      <c r="AF25" t="str">
        <v>m1</v>
      </c>
    </row>
    <row r="26">
      <c r="V26">
        <f>U26-N26</f>
        <v>0</v>
      </c>
      <c r="AF26" t="str">
        <v>m1</v>
      </c>
    </row>
    <row r="27">
      <c r="A27" t="str">
        <v>F-2026-03-599</v>
      </c>
      <c r="B27" t="str">
        <v>FPRO-260330-0021</v>
      </c>
      <c r="C27" t="str">
        <v>14/4</v>
      </c>
      <c r="D27" t="str">
        <v>Firm plan 30.3</v>
      </c>
      <c r="E27" t="str">
        <v>BDB-000273</v>
      </c>
      <c r="F27" t="str">
        <v>PVN-004138</v>
      </c>
      <c r="G27" t="str">
        <v>OrthoLite X-40-Hybrid SEEDPEARL/12-0703TPX Hybrid Flat Sheet 0.16D 25+/-4 Asker C 1.1M 2M 5.5mm</v>
      </c>
      <c r="H27">
        <v>400</v>
      </c>
      <c r="I27">
        <v>16</v>
      </c>
      <c r="J27">
        <v>16</v>
      </c>
      <c r="K27" t="str">
        <v>ON RUNNING</v>
      </c>
      <c r="L27" t="str">
        <v>Forecast</v>
      </c>
      <c r="M27" t="str">
        <v>MOLDED</v>
      </c>
      <c r="N27">
        <v>16</v>
      </c>
      <c r="O27" t="str">
        <v>Gấp-uu tiên 1</v>
      </c>
      <c r="P27" t="str">
        <v>ok</v>
      </c>
      <c r="Q27">
        <v>46126</v>
      </c>
      <c r="R27">
        <f>S27-1</f>
        <v>46127</v>
      </c>
      <c r="S27">
        <v>46128</v>
      </c>
      <c r="T27" t="str">
        <v>l1</v>
      </c>
      <c r="U27">
        <f>50-40+6</f>
        <v>16</v>
      </c>
      <c r="V27">
        <f>U27-N27</f>
        <v>0</v>
      </c>
      <c r="W27">
        <v>0</v>
      </c>
      <c r="X27">
        <v>0</v>
      </c>
      <c r="Y27">
        <v>400</v>
      </c>
      <c r="Z27" t="b">
        <v>0</v>
      </c>
      <c r="AE27" t="e">
        <f>SUMIF('[4]TONG XUAT BUN 2026'!$B:$F,A27,'[4]TONG XUAT BUN 2026'!$F:$F)</f>
        <v>#VALUE!</v>
      </c>
      <c r="AF27" t="str">
        <v>m1</v>
      </c>
    </row>
    <row r="28">
      <c r="V28">
        <f>U28-N28</f>
        <v>0</v>
      </c>
      <c r="AF28" t="str">
        <v>m1</v>
      </c>
    </row>
    <row r="29">
      <c r="A29" t="str">
        <v>F-2026-04-76</v>
      </c>
      <c r="B29" t="str">
        <v>RPRO-260406-1114</v>
      </c>
      <c r="C29" t="str">
        <v>14/4</v>
      </c>
      <c r="D29" t="str">
        <v>Pro.sche.report 3.4+4.4</v>
      </c>
      <c r="E29" t="str">
        <v>BDB-000324</v>
      </c>
      <c r="F29" t="str">
        <v>PVN-004129</v>
      </c>
      <c r="G29" t="str">
        <v>OrthoLite X-40 TRUE BLUE/19-4057TPX Flat Sheet 0.16D 25+/-4 Asker C 1.1M 2M 5.5mm</v>
      </c>
      <c r="H29">
        <v>25</v>
      </c>
      <c r="I29">
        <v>1</v>
      </c>
      <c r="J29">
        <v>1</v>
      </c>
      <c r="K29" t="str">
        <v>ASICS</v>
      </c>
      <c r="L29" t="str">
        <v>Pr.Sch.R</v>
      </c>
      <c r="M29" t="str">
        <v>DIE CUT</v>
      </c>
      <c r="N29">
        <v>1</v>
      </c>
      <c r="P29" t="str">
        <v>ok</v>
      </c>
      <c r="Q29">
        <v>46130</v>
      </c>
      <c r="R29">
        <f>S29-1</f>
        <v>46132</v>
      </c>
      <c r="S29">
        <v>46133</v>
      </c>
      <c r="T29" t="str">
        <v>l1</v>
      </c>
      <c r="U29">
        <f>2-1</f>
        <v>1</v>
      </c>
      <c r="V29">
        <f>U29-N29</f>
        <v>0</v>
      </c>
      <c r="W29">
        <v>0</v>
      </c>
      <c r="X29">
        <v>0</v>
      </c>
      <c r="Y29">
        <v>25</v>
      </c>
      <c r="Z29" t="b">
        <v>1</v>
      </c>
      <c r="AE29" t="e">
        <f>SUMIF('[4]TONG XUAT BUN 2026'!$B:$F,A29,'[4]TONG XUAT BUN 2026'!$F:$F)</f>
        <v>#VALUE!</v>
      </c>
      <c r="AF29" t="str">
        <v>m1</v>
      </c>
    </row>
    <row r="30">
      <c r="V30">
        <f>U30-N30</f>
        <v>0</v>
      </c>
      <c r="AF30" t="str">
        <v>m1</v>
      </c>
    </row>
    <row r="31">
      <c r="A31" t="str">
        <v>F-2026-04-106</v>
      </c>
      <c r="B31" t="str">
        <v>RPRO-260409-0292</v>
      </c>
      <c r="C31" t="str">
        <v>14/4</v>
      </c>
      <c r="D31" t="str">
        <v>Pro.sche.report 07.4+08.4</v>
      </c>
      <c r="E31" t="str">
        <v>BDB-000325</v>
      </c>
      <c r="F31" t="str">
        <v>PVN-004115</v>
      </c>
      <c r="G31" t="str">
        <v>OrthoLite X-40 TRUE BLUE/19-4057TPX Flat Sheet 0.16D 35+/-4 Asker C 1.1M 2M 4mm</v>
      </c>
      <c r="H31">
        <v>35</v>
      </c>
      <c r="I31">
        <v>1</v>
      </c>
      <c r="J31">
        <v>1</v>
      </c>
      <c r="K31" t="str">
        <v>ASICS</v>
      </c>
      <c r="L31" t="str">
        <v>Pr.Sch.R</v>
      </c>
      <c r="M31" t="str">
        <v>MOLDED</v>
      </c>
      <c r="N31">
        <v>1</v>
      </c>
      <c r="P31" t="str">
        <v>ok</v>
      </c>
      <c r="Q31">
        <v>46133</v>
      </c>
      <c r="R31">
        <f>S31-1</f>
        <v>46135</v>
      </c>
      <c r="S31">
        <v>46136</v>
      </c>
      <c r="T31" t="str">
        <v>l1</v>
      </c>
      <c r="U31">
        <v>2</v>
      </c>
      <c r="V31">
        <f>U31-N31</f>
        <v>1</v>
      </c>
      <c r="W31">
        <v>0</v>
      </c>
      <c r="X31">
        <v>0</v>
      </c>
      <c r="Y31">
        <v>35</v>
      </c>
      <c r="Z31" t="b">
        <v>1</v>
      </c>
      <c r="AE31" t="e">
        <f>SUMIF('[4]TONG XUAT BUN 2026'!$B:$F,A31,'[4]TONG XUAT BUN 2026'!$F:$F)</f>
        <v>#VALUE!</v>
      </c>
      <c r="AF31" t="str">
        <v>m1</v>
      </c>
    </row>
    <row r="32">
      <c r="V32">
        <f>U32-N32</f>
        <v>0</v>
      </c>
      <c r="AF32" t="str">
        <v>m1</v>
      </c>
    </row>
    <row r="33">
      <c r="A33" t="str">
        <v>F-2026-03-372</v>
      </c>
      <c r="B33" t="str">
        <v>FPRO-260318-0016</v>
      </c>
      <c r="C33" t="str">
        <v>14/4</v>
      </c>
      <c r="D33" t="str">
        <v>Firm plan 18.3</v>
      </c>
      <c r="E33" t="str">
        <v>BDB-000051</v>
      </c>
      <c r="F33" t="str">
        <v>PVN-003319</v>
      </c>
      <c r="G33" t="str">
        <v>OrthoLite X-40 TRUE BLUE/19-4057TPX Flat Sheet 0.16D 25+/-4 Asker C 1.1M 1.7M 12mm</v>
      </c>
      <c r="H33">
        <v>300</v>
      </c>
      <c r="I33">
        <v>27</v>
      </c>
      <c r="J33">
        <v>27</v>
      </c>
      <c r="K33" t="str">
        <v>ASICS</v>
      </c>
      <c r="L33" t="str">
        <v>Forecast</v>
      </c>
      <c r="M33" t="str">
        <v>MOLDED</v>
      </c>
      <c r="N33">
        <v>27</v>
      </c>
      <c r="P33" t="str">
        <v>ok</v>
      </c>
      <c r="Q33">
        <v>46127</v>
      </c>
      <c r="R33">
        <f>S33-1</f>
        <v>46129</v>
      </c>
      <c r="S33">
        <v>46130</v>
      </c>
      <c r="T33" t="str">
        <v>l1</v>
      </c>
      <c r="U33">
        <f>8+19</f>
        <v>27</v>
      </c>
      <c r="V33">
        <f>U33-N33</f>
        <v>0</v>
      </c>
      <c r="W33">
        <v>0</v>
      </c>
      <c r="X33">
        <v>0</v>
      </c>
      <c r="Y33">
        <v>300</v>
      </c>
      <c r="Z33" t="b">
        <v>0</v>
      </c>
      <c r="AE33" t="e">
        <f>SUMIF('[4]TONG XUAT BUN 2026'!$B:$F,A33,'[4]TONG XUAT BUN 2026'!$F:$F)</f>
        <v>#VALUE!</v>
      </c>
      <c r="AF33" t="str">
        <v>m1</v>
      </c>
    </row>
    <row r="34">
      <c r="V34">
        <f>U34-N34</f>
        <v>0</v>
      </c>
      <c r="AF34" t="str">
        <v>m1</v>
      </c>
    </row>
    <row r="35">
      <c r="A35" t="str">
        <v>F-2026-04-103</v>
      </c>
      <c r="B35" t="str">
        <v>RPRO-260409-0289</v>
      </c>
      <c r="C35" t="str">
        <v>14/4</v>
      </c>
      <c r="D35" t="str">
        <v>Pro.sche.report 07.4+08.4</v>
      </c>
      <c r="E35" t="str">
        <v>BDB-000052</v>
      </c>
      <c r="F35" t="str">
        <v>PVN-003603</v>
      </c>
      <c r="G35" t="str">
        <v>OrthoLite X-40 TRUE BLUE/19-4057TPX Flat Sheet 0.16D 25+/-4 Asker C 1.1M 1.47M 12mm</v>
      </c>
      <c r="H35">
        <v>275</v>
      </c>
      <c r="I35">
        <v>24</v>
      </c>
      <c r="J35">
        <v>24</v>
      </c>
      <c r="K35" t="str">
        <v>ASICS</v>
      </c>
      <c r="L35" t="str">
        <v>Pr.Sch.R</v>
      </c>
      <c r="M35" t="str">
        <v>MOLDED</v>
      </c>
      <c r="N35">
        <v>24</v>
      </c>
      <c r="P35" t="str">
        <v>ok</v>
      </c>
      <c r="Q35">
        <v>46127</v>
      </c>
      <c r="R35">
        <f>S35-1</f>
        <v>46129</v>
      </c>
      <c r="S35">
        <v>46130</v>
      </c>
      <c r="T35" t="str">
        <v>l1</v>
      </c>
      <c r="U35">
        <f>12-5+17</f>
        <v>24</v>
      </c>
      <c r="V35">
        <f>U35-N35</f>
        <v>0</v>
      </c>
      <c r="W35">
        <v>0</v>
      </c>
      <c r="X35">
        <v>0</v>
      </c>
      <c r="Y35">
        <v>275</v>
      </c>
      <c r="Z35" t="b">
        <v>0</v>
      </c>
      <c r="AE35" t="e">
        <f>SUMIF('[4]TONG XUAT BUN 2026'!$B:$F,A35,'[4]TONG XUAT BUN 2026'!$F:$F)</f>
        <v>#VALUE!</v>
      </c>
      <c r="AF35" t="str">
        <v>m1</v>
      </c>
    </row>
    <row r="36">
      <c r="V36">
        <f>U36-N36</f>
        <v>0</v>
      </c>
      <c r="AF36" t="str">
        <v>m1</v>
      </c>
    </row>
    <row r="37">
      <c r="A37" t="str">
        <v>F-2026-03-497</v>
      </c>
      <c r="B37" t="str">
        <v>FPRO-260324-0069</v>
      </c>
      <c r="C37" t="str">
        <v>14/4</v>
      </c>
      <c r="D37" t="str">
        <v>Firm plan 24.3</v>
      </c>
      <c r="E37" t="str">
        <v>BDB-000157</v>
      </c>
      <c r="F37" t="str">
        <v>PVN-003573</v>
      </c>
      <c r="G37" t="str">
        <v>OrthoLite X-35-Hybrid-Nike SEEDPEARL/12-0703TPX Hybrid 0.145D 25+/-4 Asker C 1.1M 2M 4.2mm</v>
      </c>
      <c r="H37">
        <v>1900</v>
      </c>
      <c r="I37">
        <v>58</v>
      </c>
      <c r="J37">
        <v>58</v>
      </c>
      <c r="K37" t="str">
        <v>NIKE</v>
      </c>
      <c r="L37" t="str">
        <v>Forecast</v>
      </c>
      <c r="M37" t="str">
        <v>MOLDED</v>
      </c>
      <c r="N37">
        <v>58</v>
      </c>
      <c r="P37" t="str">
        <v>ok</v>
      </c>
      <c r="Q37">
        <v>46127</v>
      </c>
      <c r="R37">
        <f>S37-1</f>
        <v>46129</v>
      </c>
      <c r="S37">
        <v>46130</v>
      </c>
      <c r="T37" t="str">
        <v>l1</v>
      </c>
      <c r="U37">
        <v>58</v>
      </c>
      <c r="V37">
        <f>U37-N37</f>
        <v>0</v>
      </c>
      <c r="W37">
        <v>0</v>
      </c>
      <c r="X37">
        <v>0</v>
      </c>
      <c r="Y37">
        <v>1900</v>
      </c>
      <c r="Z37" t="b">
        <v>0</v>
      </c>
      <c r="AE37" t="e">
        <f>SUMIF('[4]TONG XUAT BUN 2026'!$B:$F,A37,'[4]TONG XUAT BUN 2026'!$F:$F)</f>
        <v>#VALUE!</v>
      </c>
      <c r="AF37" t="str">
        <v>m1</v>
      </c>
    </row>
    <row r="38">
      <c r="V38">
        <f>U38-N38</f>
        <v>0</v>
      </c>
      <c r="AF38" t="str">
        <v>m1</v>
      </c>
    </row>
    <row r="39">
      <c r="A39" t="str">
        <v>F-2026-02-253</v>
      </c>
      <c r="B39" t="str">
        <v>FPRO-260211-0073</v>
      </c>
      <c r="C39" t="str">
        <v>14/4</v>
      </c>
      <c r="D39" t="str">
        <v>Firm plan 11.2</v>
      </c>
      <c r="E39" t="str">
        <v>BDB-000348</v>
      </c>
      <c r="F39" t="str">
        <v>PVN-004195</v>
      </c>
      <c r="G39" t="str">
        <v>OrthoLite IMPERIAL SEEDPEARL/12-0703TPX Flat Sheet 0.22D 25+/-4 Asker C 1.1M 1.47M 4mm</v>
      </c>
      <c r="H39">
        <v>3000</v>
      </c>
      <c r="I39">
        <v>86</v>
      </c>
      <c r="J39">
        <v>86</v>
      </c>
      <c r="K39" t="str">
        <v>ADIDAS</v>
      </c>
      <c r="L39" t="str">
        <v>Forecast</v>
      </c>
      <c r="M39" t="str">
        <v>SPLITTING</v>
      </c>
      <c r="N39">
        <f>86-30</f>
        <v>56</v>
      </c>
      <c r="O39" t="str">
        <v xml:space="preserve">W15 đổ dư 30 bun </v>
      </c>
      <c r="P39" t="str">
        <v>ok</v>
      </c>
      <c r="Q39">
        <v>46127</v>
      </c>
      <c r="R39">
        <f>S39-1</f>
        <v>46129</v>
      </c>
      <c r="S39">
        <v>46130</v>
      </c>
      <c r="T39" t="str">
        <v>l1</v>
      </c>
      <c r="U39">
        <f>59</f>
        <v>59</v>
      </c>
      <c r="V39">
        <f>U39-N39</f>
        <v>3</v>
      </c>
      <c r="W39">
        <v>0</v>
      </c>
      <c r="X39">
        <v>0</v>
      </c>
      <c r="Y39">
        <v>3000</v>
      </c>
      <c r="Z39" t="b">
        <v>0</v>
      </c>
      <c r="AE39" t="e">
        <f>SUMIF('[4]TONG XUAT BUN 2026'!$B:$F,A39,'[4]TONG XUAT BUN 2026'!$F:$F)</f>
        <v>#VALUE!</v>
      </c>
      <c r="AF39" t="str">
        <v>m1</v>
      </c>
    </row>
    <row r="40">
      <c r="V40">
        <f>U40-N40</f>
        <v>0</v>
      </c>
      <c r="AF40" t="str">
        <v>m1</v>
      </c>
    </row>
    <row r="41">
      <c r="A41" t="str">
        <v>F-2026-03-383</v>
      </c>
      <c r="B41" t="str">
        <v>FPRO-260318-0027</v>
      </c>
      <c r="C41" t="str">
        <v>14/4-15/4</v>
      </c>
      <c r="D41" t="str">
        <v>Firm plan 18.3</v>
      </c>
      <c r="E41" t="str">
        <v>BDB-000235</v>
      </c>
      <c r="F41" t="str">
        <v>PVN-003576</v>
      </c>
      <c r="G41" t="str">
        <v>OrthoLite X-55-Hybrid FOSSIL/17-0909TPX Hybrid Flat Sheet 0.16D 25+/-4 Asker C 1.1M 1.7M 12mm</v>
      </c>
      <c r="H41">
        <v>2000</v>
      </c>
      <c r="I41">
        <v>174</v>
      </c>
      <c r="J41">
        <v>174</v>
      </c>
      <c r="K41" t="str">
        <v>ASICS</v>
      </c>
      <c r="L41" t="str">
        <v>Forecast</v>
      </c>
      <c r="M41" t="str">
        <v>MOLDED</v>
      </c>
      <c r="N41">
        <v>189</v>
      </c>
      <c r="P41" t="str">
        <v>ok</v>
      </c>
      <c r="Q41">
        <v>46128</v>
      </c>
      <c r="R41">
        <f>S41-1</f>
        <v>46129</v>
      </c>
      <c r="S41">
        <v>46130</v>
      </c>
      <c r="T41" t="str">
        <v>l1</v>
      </c>
      <c r="U41">
        <f>34+89+70</f>
        <v>193</v>
      </c>
      <c r="V41">
        <f>U41-N41</f>
        <v>4</v>
      </c>
      <c r="W41">
        <v>0</v>
      </c>
      <c r="X41">
        <v>0</v>
      </c>
      <c r="Y41">
        <v>2000</v>
      </c>
      <c r="Z41" t="b">
        <v>0</v>
      </c>
      <c r="AE41" t="e">
        <f>SUMIF('[4]TONG XUAT BUN 2026'!$B:$F,A41,'[4]TONG XUAT BUN 2026'!$F:$F)</f>
        <v>#VALUE!</v>
      </c>
      <c r="AF41" t="str">
        <v>m1</v>
      </c>
    </row>
    <row r="42">
      <c r="A42" t="str">
        <v>F-2026-04-102</v>
      </c>
      <c r="B42" t="str">
        <v>RPRO-260409-0288</v>
      </c>
      <c r="C42" t="str">
        <v>15/4</v>
      </c>
      <c r="D42" t="str">
        <v>Pro.sche.report 07.4+08.4</v>
      </c>
      <c r="E42" t="str">
        <v>BDB-000235</v>
      </c>
      <c r="F42" t="str">
        <v>PVN-003576</v>
      </c>
      <c r="G42" t="str">
        <v>OrthoLite X-55-Hybrid FOSSIL/17-0909TPX Hybrid Flat Sheet 0.16D 25+/-4 Asker C 1.1M 1.7M 12mm</v>
      </c>
      <c r="H42">
        <v>165</v>
      </c>
      <c r="I42">
        <v>15</v>
      </c>
      <c r="J42">
        <v>15</v>
      </c>
      <c r="K42" t="str">
        <v>ASICS</v>
      </c>
      <c r="L42" t="str">
        <v>Pr.Sch.R</v>
      </c>
      <c r="M42" t="str">
        <v>MOLDED</v>
      </c>
      <c r="P42" t="str">
        <v>ok</v>
      </c>
      <c r="Q42">
        <v>46133</v>
      </c>
      <c r="R42">
        <f>S42-1</f>
        <v>46135</v>
      </c>
      <c r="S42">
        <v>46136</v>
      </c>
      <c r="T42" t="str">
        <v>l1</v>
      </c>
      <c r="V42">
        <f>U42-N42</f>
        <v>0</v>
      </c>
      <c r="W42">
        <v>0</v>
      </c>
      <c r="X42">
        <v>0</v>
      </c>
      <c r="Y42">
        <v>165</v>
      </c>
      <c r="Z42" t="b">
        <v>1</v>
      </c>
      <c r="AE42" t="e">
        <f>SUMIF('[4]TONG XUAT BUN 2026'!$B:$F,A42,'[4]TONG XUAT BUN 2026'!$F:$F)</f>
        <v>#VALUE!</v>
      </c>
      <c r="AF42" t="str">
        <v>m1</v>
      </c>
    </row>
    <row r="43">
      <c r="V43">
        <f>U43-N43</f>
        <v>0</v>
      </c>
      <c r="AF43" t="str">
        <v>m1</v>
      </c>
    </row>
    <row r="44">
      <c r="A44" t="str">
        <v>F-2026-03-392</v>
      </c>
      <c r="B44" t="str">
        <v>FPRO-260319-0002</v>
      </c>
      <c r="C44" t="str">
        <v>15/4</v>
      </c>
      <c r="D44" t="str">
        <v>Firm plan 19.3</v>
      </c>
      <c r="E44" t="str">
        <v>BDB-000113</v>
      </c>
      <c r="F44" t="str">
        <v>PVN-003414</v>
      </c>
      <c r="G44" t="str">
        <v>OrthoLite Regular-Hybrid SEEDPEARL/12-0703TPX Hybrid Flat Sheet 0.11D 25+/-4 Asker C 1.1M 2M 12mm</v>
      </c>
      <c r="H44">
        <v>1750</v>
      </c>
      <c r="I44">
        <v>153</v>
      </c>
      <c r="J44">
        <v>153</v>
      </c>
      <c r="K44" t="str">
        <v>ASICS</v>
      </c>
      <c r="L44" t="str">
        <v>Forecast</v>
      </c>
      <c r="M44" t="str">
        <v>MOLDED</v>
      </c>
      <c r="N44">
        <v>258</v>
      </c>
      <c r="P44" t="str">
        <v>ok</v>
      </c>
      <c r="Q44">
        <v>46128</v>
      </c>
      <c r="R44">
        <f>S44-1</f>
        <v>46129</v>
      </c>
      <c r="S44">
        <v>46130</v>
      </c>
      <c r="T44" t="str">
        <v>l1</v>
      </c>
      <c r="U44">
        <f>120-77+61+8+89-9-8+74</f>
        <v>258</v>
      </c>
      <c r="V44">
        <f>U44-N44</f>
        <v>0</v>
      </c>
      <c r="W44">
        <v>0</v>
      </c>
      <c r="X44">
        <v>0</v>
      </c>
      <c r="Y44">
        <v>1750</v>
      </c>
      <c r="Z44" t="b">
        <v>0</v>
      </c>
      <c r="AE44" t="e">
        <f>SUMIF('[4]TONG XUAT BUN 2026'!$B:$F,A44,'[4]TONG XUAT BUN 2026'!$F:$F)</f>
        <v>#VALUE!</v>
      </c>
      <c r="AF44" t="str">
        <v>m1</v>
      </c>
    </row>
    <row r="45">
      <c r="A45" t="str">
        <v>F-2026-01-505</v>
      </c>
      <c r="B45" t="str">
        <v>FPRO-260130-0028</v>
      </c>
      <c r="C45" t="str">
        <v>15/4-16/4</v>
      </c>
      <c r="D45" t="str">
        <v>Firm plan 30.01</v>
      </c>
      <c r="E45" t="str">
        <v>BDB-000113</v>
      </c>
      <c r="F45" t="str">
        <v>PVN-002501</v>
      </c>
      <c r="G45" t="str">
        <v>OrthoLite Regular-Hybrid SEEDPEARL/12-0703TPX Hybrid Flat Sheet 0.11D 25+/-4 Asker C 1.1M 2M 2mm</v>
      </c>
      <c r="H45">
        <v>1000</v>
      </c>
      <c r="I45">
        <v>15</v>
      </c>
      <c r="J45">
        <v>15</v>
      </c>
      <c r="K45" t="str">
        <v>ASICS</v>
      </c>
      <c r="L45" t="str">
        <v>Forecast</v>
      </c>
      <c r="M45" t="str">
        <v>SPLITTING</v>
      </c>
      <c r="P45" t="str">
        <v>ok</v>
      </c>
      <c r="Q45">
        <v>46129</v>
      </c>
      <c r="R45">
        <f>S45-1-1</f>
        <v>46130</v>
      </c>
      <c r="S45">
        <v>46132</v>
      </c>
      <c r="T45" t="str">
        <v>l1</v>
      </c>
      <c r="V45">
        <f>U45-N45</f>
        <v>0</v>
      </c>
      <c r="W45">
        <v>0</v>
      </c>
      <c r="X45">
        <v>0</v>
      </c>
      <c r="Y45">
        <v>1000</v>
      </c>
      <c r="Z45" t="b">
        <v>1</v>
      </c>
      <c r="AE45" t="e">
        <f>SUMIF('[4]TONG XUAT BUN 2026'!$B:$F,A45,'[4]TONG XUAT BUN 2026'!$F:$F)</f>
        <v>#VALUE!</v>
      </c>
      <c r="AF45" t="str">
        <v>m1</v>
      </c>
    </row>
    <row r="46">
      <c r="A46" t="str">
        <v>F-2026-03-367</v>
      </c>
      <c r="B46" t="str">
        <v>FPRO-260318-0011</v>
      </c>
      <c r="C46" t="str">
        <v>16/4</v>
      </c>
      <c r="D46" t="str">
        <v>Firm plan 18.3</v>
      </c>
      <c r="E46" t="str">
        <v>BDB-000113</v>
      </c>
      <c r="F46" t="str">
        <v>PVN-002465</v>
      </c>
      <c r="G46" t="str">
        <v>OrthoLite Regular-Hybrid SEEDPEARL/12-0703TPX Hybrid Flat Sheet 0.11D 25+/-4 Asker C 1.1M 2M 5mm</v>
      </c>
      <c r="H46">
        <v>2500</v>
      </c>
      <c r="I46">
        <v>90</v>
      </c>
      <c r="J46">
        <v>90</v>
      </c>
      <c r="K46" t="str">
        <v>ASICS</v>
      </c>
      <c r="L46" t="str">
        <v>Forecast</v>
      </c>
      <c r="M46" t="str">
        <v>DIE CUT</v>
      </c>
      <c r="P46" t="str">
        <v>ok</v>
      </c>
      <c r="Q46">
        <v>46129</v>
      </c>
      <c r="R46">
        <f>S46-1-1</f>
        <v>46130</v>
      </c>
      <c r="S46">
        <v>46132</v>
      </c>
      <c r="T46" t="str">
        <v>l1</v>
      </c>
      <c r="V46">
        <f>U46-N46</f>
        <v>0</v>
      </c>
      <c r="W46">
        <v>0</v>
      </c>
      <c r="X46">
        <v>0</v>
      </c>
      <c r="Y46">
        <v>2500</v>
      </c>
      <c r="Z46" t="b">
        <v>0</v>
      </c>
      <c r="AE46" t="e">
        <f>SUMIF('[4]TONG XUAT BUN 2026'!$B:$F,A46,'[4]TONG XUAT BUN 2026'!$F:$F)</f>
        <v>#VALUE!</v>
      </c>
      <c r="AF46" t="str">
        <v>m1</v>
      </c>
    </row>
    <row r="47">
      <c r="V47">
        <f>U47-N47</f>
        <v>0</v>
      </c>
      <c r="AF47" t="str">
        <v>m1</v>
      </c>
    </row>
    <row r="48">
      <c r="A48" t="str">
        <v>F-2026-04-108</v>
      </c>
      <c r="B48" t="str">
        <v>RPRO-260409-0294</v>
      </c>
      <c r="C48" t="str">
        <v>16/4</v>
      </c>
      <c r="D48" t="str">
        <v>Pro.sche.report 07.4+08.4</v>
      </c>
      <c r="E48" t="str">
        <v>BDB-000076</v>
      </c>
      <c r="F48" t="str">
        <v>PVN-003494</v>
      </c>
      <c r="G48" t="str">
        <v>OrthoLite X-25 BILLIARD/16-5427TPX Flat Sheet 0.12D 20+/-4 Asker C 1.1M 2M 5.5mm</v>
      </c>
      <c r="H48">
        <v>25</v>
      </c>
      <c r="I48">
        <v>1</v>
      </c>
      <c r="J48">
        <v>1</v>
      </c>
      <c r="K48" t="str">
        <v>LOTTO</v>
      </c>
      <c r="L48" t="str">
        <v>Pr.Sch.R</v>
      </c>
      <c r="M48" t="str">
        <v>MOLDED</v>
      </c>
      <c r="N48">
        <v>3</v>
      </c>
      <c r="P48" t="str">
        <v>ok</v>
      </c>
      <c r="Q48">
        <v>46129</v>
      </c>
      <c r="R48">
        <f>S48-1-1</f>
        <v>46130</v>
      </c>
      <c r="S48">
        <v>46132</v>
      </c>
      <c r="T48" t="str">
        <v>l1</v>
      </c>
      <c r="U48">
        <v>3</v>
      </c>
      <c r="V48">
        <f>U48-N48</f>
        <v>0</v>
      </c>
      <c r="W48">
        <v>0</v>
      </c>
      <c r="X48">
        <v>0</v>
      </c>
      <c r="Y48">
        <v>25</v>
      </c>
      <c r="Z48" t="b">
        <v>0</v>
      </c>
      <c r="AE48" t="e">
        <f>SUMIF('[4]TONG XUAT BUN 2026'!$B:$F,A48,'[4]TONG XUAT BUN 2026'!$F:$F)</f>
        <v>#VALUE!</v>
      </c>
      <c r="AF48" t="str">
        <v>m1</v>
      </c>
    </row>
    <row r="49">
      <c r="A49" t="str">
        <v>F-2026-04-122</v>
      </c>
      <c r="B49" t="str">
        <v>RPRO-260410-0205</v>
      </c>
      <c r="C49" t="str">
        <v>16/4</v>
      </c>
      <c r="D49" t="str">
        <v>Pro.sche.report 09.4</v>
      </c>
      <c r="E49" t="str">
        <v>BDB-000076</v>
      </c>
      <c r="F49" t="str">
        <v>PVN-003494</v>
      </c>
      <c r="G49" t="str">
        <v>OrthoLite X-25 BILLIARD/16-5427TPX Flat Sheet 0.12D 20+/-4 Asker C 1.1M 2M 5.5mm</v>
      </c>
      <c r="H49">
        <v>50</v>
      </c>
      <c r="I49">
        <v>2</v>
      </c>
      <c r="J49">
        <v>2</v>
      </c>
      <c r="K49" t="str">
        <v>LOTTO</v>
      </c>
      <c r="L49" t="str">
        <v>Pr.Sch.R</v>
      </c>
      <c r="M49" t="str">
        <v>MOLDED</v>
      </c>
      <c r="O49" t="str">
        <v>ppc/pur imp-đã nhắc sx</v>
      </c>
      <c r="P49" t="str">
        <v>ok</v>
      </c>
      <c r="Q49">
        <v>46129</v>
      </c>
      <c r="R49">
        <f>S49-1-1</f>
        <v>46130</v>
      </c>
      <c r="S49">
        <v>46132</v>
      </c>
      <c r="T49" t="str">
        <v>l1</v>
      </c>
      <c r="V49">
        <f>U49-N49</f>
        <v>0</v>
      </c>
      <c r="W49">
        <v>0</v>
      </c>
      <c r="X49">
        <v>0</v>
      </c>
      <c r="Y49">
        <v>50</v>
      </c>
      <c r="Z49" t="b">
        <v>1</v>
      </c>
      <c r="AE49" t="e">
        <f>SUMIF('[4]TONG XUAT BUN 2026'!$B:$F,A49,'[4]TONG XUAT BUN 2026'!$F:$F)</f>
        <v>#VALUE!</v>
      </c>
      <c r="AF49" t="str">
        <v>m1</v>
      </c>
    </row>
    <row r="50">
      <c r="V50">
        <f>U50-N50</f>
        <v>0</v>
      </c>
      <c r="AF50" t="str">
        <v>m1</v>
      </c>
    </row>
    <row r="51">
      <c r="A51" t="str">
        <v>F-2026-04-85</v>
      </c>
      <c r="B51" t="str">
        <v>RPRO-260407-0078</v>
      </c>
      <c r="C51" t="str">
        <v>16/4</v>
      </c>
      <c r="D51" t="str">
        <v>Pro.sche.report 06.04</v>
      </c>
      <c r="E51" t="str">
        <v>BDB-000309</v>
      </c>
      <c r="F51" t="str">
        <v>PVN-004033</v>
      </c>
      <c r="G51" t="str">
        <v>OrthoLite X-40-Hybrid NEUTRAL GRAY/17-4402TPX Hybrid Flat Sheet 0.16D 35+/-4 Asker C 1.1M 2M 2mm</v>
      </c>
      <c r="H51">
        <v>210</v>
      </c>
      <c r="I51">
        <v>4</v>
      </c>
      <c r="J51">
        <v>4</v>
      </c>
      <c r="K51" t="str">
        <v>REDWING</v>
      </c>
      <c r="L51" t="str">
        <v>Pr.Sch.R</v>
      </c>
      <c r="M51" t="str">
        <v>MOLDED</v>
      </c>
      <c r="N51">
        <v>4</v>
      </c>
      <c r="P51" t="str">
        <v>ok</v>
      </c>
      <c r="Q51">
        <v>46130</v>
      </c>
      <c r="R51">
        <f>S51-1</f>
        <v>46133</v>
      </c>
      <c r="S51">
        <v>46134</v>
      </c>
      <c r="T51" t="str">
        <v>l1</v>
      </c>
      <c r="U51">
        <v>6</v>
      </c>
      <c r="V51">
        <f>U51-N51</f>
        <v>2</v>
      </c>
      <c r="W51">
        <v>0</v>
      </c>
      <c r="X51">
        <v>0</v>
      </c>
      <c r="Y51">
        <v>210</v>
      </c>
      <c r="Z51" t="b">
        <v>1</v>
      </c>
      <c r="AE51" t="e">
        <f>SUMIF('[4]TONG XUAT BUN 2026'!$B:$F,A51,'[4]TONG XUAT BUN 2026'!$F:$F)</f>
        <v>#VALUE!</v>
      </c>
      <c r="AF51" t="str">
        <v>m1</v>
      </c>
    </row>
    <row r="52">
      <c r="V52">
        <f>U52-N52</f>
        <v>0</v>
      </c>
      <c r="AF52" t="str">
        <v>m1</v>
      </c>
    </row>
    <row r="53">
      <c r="A53" t="str">
        <v>F-2026-04-89</v>
      </c>
      <c r="B53" t="str">
        <v>RPRO-260407-0082</v>
      </c>
      <c r="C53" t="str">
        <v>16/4</v>
      </c>
      <c r="D53" t="str">
        <v>Pro.sche.report 06.04</v>
      </c>
      <c r="E53" t="str">
        <v>BDB-000373</v>
      </c>
      <c r="F53" t="str">
        <v>PVN-004315</v>
      </c>
      <c r="G53" t="str">
        <v>OrthoLite X-25-Nike BILLIARD/16-5427TPX Flat Sheet 0.12D 20+/-4 Asker C 1.1M 2M 5mm</v>
      </c>
      <c r="H53">
        <v>112</v>
      </c>
      <c r="I53">
        <v>4</v>
      </c>
      <c r="J53">
        <v>4</v>
      </c>
      <c r="K53" t="str">
        <v>NIKE</v>
      </c>
      <c r="L53" t="str">
        <v>Pr.Sch.R</v>
      </c>
      <c r="M53" t="str">
        <v>DIE CUT</v>
      </c>
      <c r="N53">
        <v>4</v>
      </c>
      <c r="P53" t="str">
        <v>ok</v>
      </c>
      <c r="Q53">
        <v>46130</v>
      </c>
      <c r="R53">
        <f>S53-1</f>
        <v>46133</v>
      </c>
      <c r="S53">
        <v>46134</v>
      </c>
      <c r="T53" t="str">
        <v>l1</v>
      </c>
      <c r="U53">
        <v>4</v>
      </c>
      <c r="V53">
        <f>U53-N53</f>
        <v>0</v>
      </c>
      <c r="W53">
        <v>0</v>
      </c>
      <c r="X53">
        <v>0</v>
      </c>
      <c r="Y53">
        <v>112</v>
      </c>
      <c r="Z53" t="b">
        <v>1</v>
      </c>
      <c r="AE53" t="e">
        <f>SUMIF('[4]TONG XUAT BUN 2026'!$B:$F,A53,'[4]TONG XUAT BUN 2026'!$F:$F)</f>
        <v>#VALUE!</v>
      </c>
      <c r="AF53" t="str">
        <v>m1</v>
      </c>
    </row>
    <row r="54">
      <c r="V54">
        <f>U54-N54</f>
        <v>0</v>
      </c>
      <c r="AF54" t="str">
        <v>m1</v>
      </c>
    </row>
    <row r="55">
      <c r="A55" t="str">
        <v>F-2026-04-141</v>
      </c>
      <c r="B55" t="str">
        <v>FPRO-260410-0001</v>
      </c>
      <c r="C55" t="str">
        <v>16/4</v>
      </c>
      <c r="D55" t="str">
        <v>Firm plan 10.4</v>
      </c>
      <c r="E55" t="str">
        <v>BDB-000385</v>
      </c>
      <c r="F55" t="str">
        <v>PVN-004381</v>
      </c>
      <c r="G55" t="str">
        <v>OrthoLite Impressions-Nike TAWNY PORT/19-1725TPX 0.15D 70-80 Asker F 1.1M 1.7M 3mm</v>
      </c>
      <c r="H55">
        <v>256</v>
      </c>
      <c r="I55">
        <v>6</v>
      </c>
      <c r="J55">
        <v>6</v>
      </c>
      <c r="K55" t="str">
        <v>NIKE</v>
      </c>
      <c r="L55" t="str">
        <v>Forecast</v>
      </c>
      <c r="M55" t="str">
        <v>DIE CUT</v>
      </c>
      <c r="N55">
        <v>6</v>
      </c>
      <c r="O55" t="str">
        <v>c Nha</v>
      </c>
      <c r="P55" t="str">
        <v>ok</v>
      </c>
      <c r="Q55">
        <v>46130</v>
      </c>
      <c r="R55">
        <f>S55-1</f>
        <v>46132</v>
      </c>
      <c r="S55">
        <v>46133</v>
      </c>
      <c r="T55" t="str">
        <v>list 1_add 2</v>
      </c>
      <c r="U55">
        <v>6</v>
      </c>
      <c r="V55">
        <f>U55-N55</f>
        <v>0</v>
      </c>
      <c r="W55">
        <v>0</v>
      </c>
      <c r="X55">
        <v>0</v>
      </c>
      <c r="Y55">
        <v>256</v>
      </c>
      <c r="Z55" t="b">
        <v>1</v>
      </c>
      <c r="AE55" t="e">
        <f>SUMIF('[4]TONG XUAT BUN 2026'!$B:$F,A55,'[4]TONG XUAT BUN 2026'!$F:$F)</f>
        <v>#VALUE!</v>
      </c>
      <c r="AF55" t="str">
        <v>m1</v>
      </c>
    </row>
    <row r="56">
      <c r="V56">
        <f>U56-N56</f>
        <v>0</v>
      </c>
      <c r="AF56" t="str">
        <v>m1</v>
      </c>
    </row>
    <row r="57">
      <c r="A57" t="str">
        <v>F-2026-04-118</v>
      </c>
      <c r="B57" t="str">
        <v>RPRO-260410-0201</v>
      </c>
      <c r="C57" t="str">
        <v>16/4</v>
      </c>
      <c r="D57" t="str">
        <v>Pro.sche.report 09.4</v>
      </c>
      <c r="E57" t="str">
        <v>BDB-000319</v>
      </c>
      <c r="F57" t="str">
        <v>PVN-004247</v>
      </c>
      <c r="G57" t="str">
        <v>OrthoLite X-40-Hybrid-Nike SEEDPEARL/12-0703TPX Hybrid Flat Sheet 0.16D 25+/-4 Asker C 1.1M 2M 4.2mm</v>
      </c>
      <c r="H57">
        <v>33</v>
      </c>
      <c r="I57">
        <v>1</v>
      </c>
      <c r="J57">
        <v>1</v>
      </c>
      <c r="K57" t="str">
        <v>NIKE</v>
      </c>
      <c r="L57" t="str">
        <v>Pr.Sch.R</v>
      </c>
      <c r="M57" t="str">
        <v>MOLDED</v>
      </c>
      <c r="N57">
        <v>1</v>
      </c>
      <c r="O57" t="str">
        <v>ppc/pur imp-đã nhắc sx</v>
      </c>
      <c r="P57" t="str">
        <v>ok</v>
      </c>
      <c r="Q57">
        <v>46130</v>
      </c>
      <c r="R57">
        <f>S57-1</f>
        <v>46132</v>
      </c>
      <c r="S57">
        <v>46133</v>
      </c>
      <c r="T57" t="str">
        <v>l1</v>
      </c>
      <c r="U57">
        <v>1</v>
      </c>
      <c r="V57">
        <f>U57-N57</f>
        <v>0</v>
      </c>
      <c r="W57">
        <v>0</v>
      </c>
      <c r="X57">
        <v>0</v>
      </c>
      <c r="Y57">
        <v>33</v>
      </c>
      <c r="Z57" t="b">
        <v>1</v>
      </c>
      <c r="AE57" t="e">
        <f>SUMIF('[4]TONG XUAT BUN 2026'!$B:$F,A57,'[4]TONG XUAT BUN 2026'!$F:$F)</f>
        <v>#VALUE!</v>
      </c>
      <c r="AF57" t="str">
        <v>m1</v>
      </c>
    </row>
    <row r="58">
      <c r="V58">
        <f>U58-N58</f>
        <v>0</v>
      </c>
      <c r="AF58" t="str">
        <v>m1</v>
      </c>
    </row>
    <row r="59">
      <c r="A59" t="str">
        <v>F-2026-03-457-1</v>
      </c>
      <c r="B59" t="str">
        <v>FPRO-260330-0004</v>
      </c>
      <c r="C59" t="str">
        <v>16/4</v>
      </c>
      <c r="D59" t="str">
        <v>Firm plan 24.3</v>
      </c>
      <c r="E59" t="str">
        <v>BDB-000156</v>
      </c>
      <c r="F59" t="str">
        <v>PVN-003243</v>
      </c>
      <c r="G59" t="str">
        <v>OrthoLite X-35-Hybrid-Nike AMAZON/18-6024TPX Hybrid 0.145D 25+/-4 Asker C 1.1M 2M 5.2mm</v>
      </c>
      <c r="H59">
        <v>500</v>
      </c>
      <c r="I59">
        <v>20</v>
      </c>
      <c r="J59">
        <v>20</v>
      </c>
      <c r="K59" t="str">
        <v>NIKE</v>
      </c>
      <c r="L59" t="str">
        <v>Forecast</v>
      </c>
      <c r="M59" t="str">
        <v>MOLDED</v>
      </c>
      <c r="N59">
        <v>20</v>
      </c>
      <c r="P59" t="str">
        <v>ok</v>
      </c>
      <c r="Q59">
        <v>46129</v>
      </c>
      <c r="R59">
        <f>S59-1-1</f>
        <v>46130</v>
      </c>
      <c r="S59">
        <v>46132</v>
      </c>
      <c r="T59" t="str">
        <v>l1</v>
      </c>
      <c r="U59">
        <v>20</v>
      </c>
      <c r="V59">
        <f>U59-N59</f>
        <v>0</v>
      </c>
      <c r="W59">
        <v>0</v>
      </c>
      <c r="X59">
        <v>0</v>
      </c>
      <c r="Y59">
        <v>500</v>
      </c>
      <c r="Z59" t="b">
        <v>0</v>
      </c>
      <c r="AE59" t="e">
        <f>SUMIF('[4]TONG XUAT BUN 2026'!$B:$F,A59,'[4]TONG XUAT BUN 2026'!$F:$F)</f>
        <v>#VALUE!</v>
      </c>
      <c r="AF59" t="str">
        <v>m1</v>
      </c>
    </row>
    <row r="60">
      <c r="V60">
        <f>U60-N60</f>
        <v>0</v>
      </c>
      <c r="AF60" t="str">
        <v>m1</v>
      </c>
    </row>
    <row r="61">
      <c r="A61" t="str">
        <v>F-2026-03-463-1</v>
      </c>
      <c r="B61" t="str">
        <v>FPRO-260324-0035</v>
      </c>
      <c r="C61" t="str">
        <v>16/4</v>
      </c>
      <c r="D61" t="str">
        <v>Firm plan 24.3</v>
      </c>
      <c r="E61" t="str">
        <v>BDB-000259</v>
      </c>
      <c r="F61" t="str">
        <v>PVN-003684</v>
      </c>
      <c r="G61" t="str">
        <v>OrthoLite Nike PP002 GLACIER GRAY/14-4102TPX Flat Sheet 0.145D 25+/-4 asker C 1.1M 2M 4.2mm</v>
      </c>
      <c r="H61">
        <v>1000</v>
      </c>
      <c r="I61">
        <v>31</v>
      </c>
      <c r="J61">
        <v>31</v>
      </c>
      <c r="K61" t="str">
        <v>NIKE</v>
      </c>
      <c r="L61" t="str">
        <v>Forecast</v>
      </c>
      <c r="M61" t="str">
        <v>MOLDED</v>
      </c>
      <c r="N61">
        <v>31</v>
      </c>
      <c r="P61" t="str">
        <v>ok</v>
      </c>
      <c r="Q61">
        <v>46129</v>
      </c>
      <c r="S61">
        <v>46132</v>
      </c>
      <c r="T61" t="str">
        <v>l1</v>
      </c>
      <c r="U61">
        <v>31</v>
      </c>
      <c r="V61">
        <f>U61-N61</f>
        <v>0</v>
      </c>
      <c r="W61">
        <v>0</v>
      </c>
      <c r="X61">
        <v>0</v>
      </c>
      <c r="Y61">
        <v>1000</v>
      </c>
      <c r="Z61" t="b">
        <v>0</v>
      </c>
      <c r="AE61" t="e">
        <f>SUMIF('[4]TONG XUAT BUN 2026'!$B:$F,A61,'[4]TONG XUAT BUN 2026'!$F:$F)</f>
        <v>#VALUE!</v>
      </c>
      <c r="AF61" t="str">
        <v>m1</v>
      </c>
    </row>
    <row r="62">
      <c r="V62">
        <f>U62-N62</f>
        <v>0</v>
      </c>
      <c r="AF62" t="str">
        <v>m1</v>
      </c>
    </row>
    <row r="63">
      <c r="A63" t="str">
        <v>F-2026-03-493</v>
      </c>
      <c r="B63" t="str">
        <v>FPRO-260324-0065</v>
      </c>
      <c r="C63" t="str">
        <v>16/4</v>
      </c>
      <c r="D63" t="str">
        <v>Firm plan 24.3</v>
      </c>
      <c r="E63" t="str">
        <v>BDB-000157</v>
      </c>
      <c r="F63" t="str">
        <v>PVN-003573</v>
      </c>
      <c r="G63" t="str">
        <v>OrthoLite X-35-Hybrid-Nike SEEDPEARL/12-0703TPX Hybrid 0.145D 25+/-4 Asker C 1.1M 2M 4.2mm</v>
      </c>
      <c r="H63">
        <v>2000</v>
      </c>
      <c r="I63">
        <v>61</v>
      </c>
      <c r="J63">
        <v>61</v>
      </c>
      <c r="K63" t="str">
        <v>NIKE</v>
      </c>
      <c r="L63" t="str">
        <v>Forecast</v>
      </c>
      <c r="M63" t="str">
        <v>MOLDED</v>
      </c>
      <c r="N63">
        <v>61</v>
      </c>
      <c r="O63" t="str">
        <v>ppc/pur imp-đã nhắc sx</v>
      </c>
      <c r="P63" t="str">
        <v>ok</v>
      </c>
      <c r="Q63">
        <v>46130</v>
      </c>
      <c r="R63">
        <f>S63-1</f>
        <v>46132</v>
      </c>
      <c r="S63">
        <v>46133</v>
      </c>
      <c r="T63" t="str">
        <v>list 1_add</v>
      </c>
      <c r="U63">
        <f>23+40-2</f>
        <v>61</v>
      </c>
      <c r="V63">
        <f>U63-N63</f>
        <v>0</v>
      </c>
      <c r="W63">
        <v>0</v>
      </c>
      <c r="X63">
        <v>0</v>
      </c>
      <c r="Y63">
        <v>2000</v>
      </c>
      <c r="Z63" t="b">
        <v>0</v>
      </c>
      <c r="AA63" t="str">
        <v>keep ETD</v>
      </c>
      <c r="AE63" t="e">
        <f>SUMIF('[4]TONG XUAT BUN 2026'!$B:$F,A63,'[4]TONG XUAT BUN 2026'!$F:$F)</f>
        <v>#VALUE!</v>
      </c>
      <c r="AF63" t="str">
        <v>m1</v>
      </c>
    </row>
    <row r="64">
      <c r="V64">
        <f>U64-N64</f>
        <v>0</v>
      </c>
      <c r="AF64" t="str">
        <v>m1</v>
      </c>
    </row>
    <row r="65">
      <c r="A65" t="str">
        <v>F-2026-04-84</v>
      </c>
      <c r="B65" t="str">
        <v>RPRO-260407-0077</v>
      </c>
      <c r="C65" t="str">
        <v>16/4</v>
      </c>
      <c r="D65" t="str">
        <v>Pro.sche.report 06.04</v>
      </c>
      <c r="E65" t="str">
        <v>BDB-000248</v>
      </c>
      <c r="F65" t="str">
        <v>PVN-003931</v>
      </c>
      <c r="G65" t="str">
        <v>OrthoLite X-40-Hybrid RED/19-1764TPX Hybrid Flat Sheet 0.16D 25+/-4 Asker C 1.1M 1.7M 6.5mm</v>
      </c>
      <c r="H65">
        <v>357</v>
      </c>
      <c r="I65">
        <v>18</v>
      </c>
      <c r="J65">
        <v>18</v>
      </c>
      <c r="K65" t="str">
        <v>REDWING</v>
      </c>
      <c r="L65" t="str">
        <v>Pr.Sch.R</v>
      </c>
      <c r="M65" t="str">
        <v>MOLDED</v>
      </c>
      <c r="N65">
        <v>18</v>
      </c>
      <c r="P65" t="str">
        <v>ok</v>
      </c>
      <c r="Q65">
        <v>46130</v>
      </c>
      <c r="R65">
        <f>S65-1</f>
        <v>46133</v>
      </c>
      <c r="S65">
        <v>46134</v>
      </c>
      <c r="T65" t="str">
        <v>l1</v>
      </c>
      <c r="U65">
        <v>18</v>
      </c>
      <c r="V65">
        <f>U65-N65</f>
        <v>0</v>
      </c>
      <c r="W65">
        <v>0</v>
      </c>
      <c r="X65">
        <v>0</v>
      </c>
      <c r="Y65">
        <v>357</v>
      </c>
      <c r="Z65" t="b">
        <v>1</v>
      </c>
      <c r="AE65" t="e">
        <f>SUMIF('[4]TONG XUAT BUN 2026'!$B:$F,A65,'[4]TONG XUAT BUN 2026'!$F:$F)</f>
        <v>#VALUE!</v>
      </c>
      <c r="AF65" t="str">
        <v>m1</v>
      </c>
    </row>
    <row r="66">
      <c r="V66">
        <f>U66-N66</f>
        <v>0</v>
      </c>
      <c r="AF66" t="str">
        <v>m1</v>
      </c>
    </row>
    <row r="67">
      <c r="A67" t="str">
        <v>F-2026-04-62</v>
      </c>
      <c r="B67" t="str">
        <v>RPRO-260406-1100</v>
      </c>
      <c r="C67" t="str">
        <v>16/4</v>
      </c>
      <c r="D67" t="str">
        <v>Pro.sche.report 3.4+4.4</v>
      </c>
      <c r="E67" t="str">
        <v>BDB-000346</v>
      </c>
      <c r="F67" t="str">
        <v>PVN-004188</v>
      </c>
      <c r="G67" t="str">
        <v>OrthoLite Float NEUTRAL GRAY/17-4402TPX Flat Sheet 0.12D 21+/-4 Asker C 1.1M 1.47M 5.5mm</v>
      </c>
      <c r="H67">
        <v>250</v>
      </c>
      <c r="I67">
        <v>10</v>
      </c>
      <c r="J67">
        <v>10</v>
      </c>
      <c r="K67" t="str">
        <v>PUMA</v>
      </c>
      <c r="L67" t="str">
        <v>Pr.Sch.R</v>
      </c>
      <c r="M67" t="str">
        <v>MOLDED</v>
      </c>
      <c r="N67">
        <v>10</v>
      </c>
      <c r="P67" t="str">
        <v>ok</v>
      </c>
      <c r="Q67">
        <v>46130</v>
      </c>
      <c r="R67">
        <f>S67-1</f>
        <v>46132</v>
      </c>
      <c r="S67">
        <v>46133</v>
      </c>
      <c r="T67" t="str">
        <v>l1</v>
      </c>
      <c r="U67">
        <f>6+4</f>
        <v>10</v>
      </c>
      <c r="V67">
        <f>U67-N67</f>
        <v>0</v>
      </c>
      <c r="W67">
        <v>0</v>
      </c>
      <c r="X67">
        <v>0</v>
      </c>
      <c r="Y67">
        <v>250</v>
      </c>
      <c r="Z67" t="b">
        <v>1</v>
      </c>
      <c r="AE67" t="e">
        <f>SUMIF('[4]TONG XUAT BUN 2026'!$B:$F,A67,'[4]TONG XUAT BUN 2026'!$F:$F)</f>
        <v>#VALUE!</v>
      </c>
      <c r="AF67" t="str">
        <v>m1</v>
      </c>
    </row>
    <row r="68">
      <c r="V68">
        <f>U68-N68</f>
        <v>0</v>
      </c>
      <c r="AF68" t="str">
        <v>m1</v>
      </c>
    </row>
    <row r="69">
      <c r="A69" t="str">
        <v>F-2026-04-69</v>
      </c>
      <c r="B69" t="str">
        <v>RPRO-260406-1107</v>
      </c>
      <c r="C69" t="str">
        <v>16/4</v>
      </c>
      <c r="D69" t="str">
        <v>Pro.sche.report 3.4+4.4</v>
      </c>
      <c r="E69" t="str">
        <v>BDB-000339</v>
      </c>
      <c r="F69" t="str">
        <v>PVN-004178</v>
      </c>
      <c r="G69" t="str">
        <v>OrthoLite Float NEUTRAL GRAY/17-4402TPX Flat Sheet 0.12D 21+/-4 Asker C 1.1M 2M 5.5mm</v>
      </c>
      <c r="H69">
        <v>500</v>
      </c>
      <c r="I69">
        <v>20</v>
      </c>
      <c r="J69">
        <v>20</v>
      </c>
      <c r="K69" t="str">
        <v>PUMA</v>
      </c>
      <c r="L69" t="str">
        <v>Pr.Sch.R</v>
      </c>
      <c r="M69" t="str">
        <v>MOLDED</v>
      </c>
      <c r="N69">
        <v>20</v>
      </c>
      <c r="P69" t="str">
        <v>ok</v>
      </c>
      <c r="Q69">
        <v>46130</v>
      </c>
      <c r="R69">
        <f>S69-1</f>
        <v>46132</v>
      </c>
      <c r="S69">
        <v>46133</v>
      </c>
      <c r="T69" t="str">
        <v>l1</v>
      </c>
      <c r="U69">
        <f>21-1</f>
        <v>20</v>
      </c>
      <c r="V69">
        <f>U69-N69</f>
        <v>0</v>
      </c>
      <c r="W69">
        <v>0</v>
      </c>
      <c r="X69">
        <v>0</v>
      </c>
      <c r="Y69">
        <v>500</v>
      </c>
      <c r="Z69" t="b">
        <v>1</v>
      </c>
      <c r="AE69" t="e">
        <f>SUMIF('[4]TONG XUAT BUN 2026'!$B:$F,A69,'[4]TONG XUAT BUN 2026'!$F:$F)</f>
        <v>#VALUE!</v>
      </c>
      <c r="AF69" t="str">
        <v>m1</v>
      </c>
    </row>
    <row r="70">
      <c r="V70">
        <f>U70-N70</f>
        <v>0</v>
      </c>
      <c r="AF70" t="str">
        <v>m1</v>
      </c>
    </row>
    <row r="71">
      <c r="A71" t="str">
        <v>F-2026-04-67</v>
      </c>
      <c r="B71" t="str">
        <v>RPRO-260406-1105</v>
      </c>
      <c r="C71" t="str">
        <v>16/4</v>
      </c>
      <c r="D71" t="str">
        <v>Pro.sche.report 3.4+4.4</v>
      </c>
      <c r="E71" t="str">
        <v>BDB-000332</v>
      </c>
      <c r="F71" t="str">
        <v>PVN-004146</v>
      </c>
      <c r="G71" t="str">
        <v>OrthoLite X-25 CASTLEROCK/18-0201TPX Flat Sheet 0.12D 20+/-4 Asker C 1.1M 2M 5.5mm</v>
      </c>
      <c r="H71">
        <v>1000</v>
      </c>
      <c r="I71">
        <v>40</v>
      </c>
      <c r="J71">
        <v>40</v>
      </c>
      <c r="K71" t="str">
        <v>ON RUNNING</v>
      </c>
      <c r="L71" t="str">
        <v>Pr.Sch.R</v>
      </c>
      <c r="M71" t="str">
        <v>MOLDED</v>
      </c>
      <c r="N71">
        <v>40</v>
      </c>
      <c r="P71" t="str">
        <v>ok</v>
      </c>
      <c r="Q71">
        <v>46130</v>
      </c>
      <c r="R71">
        <f>S71-1</f>
        <v>46132</v>
      </c>
      <c r="S71">
        <v>46133</v>
      </c>
      <c r="T71" t="str">
        <v>l1</v>
      </c>
      <c r="U71">
        <v>40</v>
      </c>
      <c r="V71">
        <f>U71-N71</f>
        <v>0</v>
      </c>
      <c r="W71">
        <v>0</v>
      </c>
      <c r="X71">
        <v>0</v>
      </c>
      <c r="Y71">
        <v>1000</v>
      </c>
      <c r="Z71" t="b">
        <v>1</v>
      </c>
      <c r="AE71" t="e">
        <f>SUMIF('[4]TONG XUAT BUN 2026'!$B:$F,A71,'[4]TONG XUAT BUN 2026'!$F:$F)</f>
        <v>#VALUE!</v>
      </c>
      <c r="AF71" t="str">
        <v>m1</v>
      </c>
    </row>
    <row r="72">
      <c r="V72">
        <f>U72-N72</f>
        <v>0</v>
      </c>
      <c r="AF72" t="str">
        <v>m1</v>
      </c>
    </row>
    <row r="73">
      <c r="A73" t="str">
        <v>F-2026-04-107</v>
      </c>
      <c r="B73" t="str">
        <v>RPRO-260409-0293</v>
      </c>
      <c r="C73" t="str">
        <v>16/4</v>
      </c>
      <c r="D73" t="str">
        <v>Pro.sche.report 07.4+08.4</v>
      </c>
      <c r="E73" t="str">
        <v>BDB-000334</v>
      </c>
      <c r="F73" t="str">
        <v>PVN-004327</v>
      </c>
      <c r="G73" t="str">
        <v>OrthoLite X-55-Hybrid FOSSIL/17-0909TPX Hybrid Flat Sheet 0.16D 25+/-4 Asker C 1.1M 2M 6mm</v>
      </c>
      <c r="H73">
        <v>46</v>
      </c>
      <c r="I73">
        <v>3</v>
      </c>
      <c r="J73">
        <v>3</v>
      </c>
      <c r="K73" t="str">
        <v>ASICS</v>
      </c>
      <c r="L73" t="str">
        <v>Pr.Sch.R</v>
      </c>
      <c r="M73" t="str">
        <v>MOLDED</v>
      </c>
      <c r="N73">
        <f>3-3</f>
        <v>0</v>
      </c>
      <c r="O73" t="str">
        <v>ppc/pur imp-đã nhắc sx</v>
      </c>
      <c r="P73" t="str">
        <v>ok</v>
      </c>
      <c r="Q73">
        <v>46129</v>
      </c>
      <c r="R73">
        <f>S73-1-1</f>
        <v>46130</v>
      </c>
      <c r="S73">
        <v>46132</v>
      </c>
      <c r="T73" t="str">
        <v>l1</v>
      </c>
      <c r="V73">
        <f>U73-N73</f>
        <v>0</v>
      </c>
      <c r="W73">
        <v>0</v>
      </c>
      <c r="X73">
        <v>0</v>
      </c>
      <c r="Y73">
        <v>46</v>
      </c>
      <c r="Z73" t="b">
        <v>1</v>
      </c>
      <c r="AE73" t="e">
        <f>SUMIF('[4]TONG XUAT BUN 2026'!$B:$F,A73,'[4]TONG XUAT BUN 2026'!$F:$F)</f>
        <v>#VALUE!</v>
      </c>
      <c r="AF73" t="str">
        <v>m1</v>
      </c>
    </row>
    <row r="74">
      <c r="N74" t="str">
        <v xml:space="preserve">W15 đổ dư 8 bun </v>
      </c>
      <c r="V74" t="e">
        <f>U74-N74</f>
        <v>#VALUE!</v>
      </c>
      <c r="AF74" t="str">
        <v>m1</v>
      </c>
    </row>
    <row r="75">
      <c r="A75" t="str">
        <v>F-2026-04-117</v>
      </c>
      <c r="B75" t="str">
        <v>RPRO-260410-0200</v>
      </c>
      <c r="C75" t="str">
        <v>16/4</v>
      </c>
      <c r="D75" t="str">
        <v>Pro.sche.report 09.4</v>
      </c>
      <c r="E75" t="str">
        <v>BDB-000212</v>
      </c>
      <c r="F75" t="str">
        <v>PVN-003458</v>
      </c>
      <c r="G75" t="str">
        <v>OrthoLite X-25-Hybrid SEEDPEARL/12-0703TPX Hybrid Flat Sheet 0.12D 20+/-4 Asker C 1.1M 2M 4mm</v>
      </c>
      <c r="H75">
        <v>35</v>
      </c>
      <c r="I75">
        <v>1</v>
      </c>
      <c r="J75">
        <v>1</v>
      </c>
      <c r="K75" t="str">
        <v>ON RUNNING</v>
      </c>
      <c r="L75" t="str">
        <v>Pr.Sch.R</v>
      </c>
      <c r="M75" t="str">
        <v>DIE CUT</v>
      </c>
      <c r="N75">
        <v>1</v>
      </c>
      <c r="O75" t="str">
        <v>ppc/pur imp-đã nhắc sx</v>
      </c>
      <c r="P75">
        <v>1</v>
      </c>
      <c r="Q75">
        <v>46130</v>
      </c>
      <c r="R75">
        <f>S75-1</f>
        <v>46132</v>
      </c>
      <c r="S75">
        <v>46133</v>
      </c>
      <c r="T75" t="str">
        <v>l1</v>
      </c>
      <c r="V75">
        <f>U75-N75</f>
        <v>-1</v>
      </c>
      <c r="W75">
        <v>0</v>
      </c>
      <c r="X75">
        <v>0</v>
      </c>
      <c r="Y75">
        <v>35</v>
      </c>
      <c r="Z75" t="b">
        <v>1</v>
      </c>
      <c r="AE75" t="e">
        <f>SUMIF('[4]TONG XUAT BUN 2026'!$B:$F,A75,'[4]TONG XUAT BUN 2026'!$F:$F)</f>
        <v>#VALUE!</v>
      </c>
      <c r="AF75" t="str">
        <v>m1</v>
      </c>
    </row>
    <row r="76">
      <c r="V76">
        <f>U76-N76</f>
        <v>0</v>
      </c>
      <c r="AF76" t="str">
        <v>m1</v>
      </c>
    </row>
    <row r="77">
      <c r="A77" t="str">
        <v>F-2026-04-123</v>
      </c>
      <c r="B77" t="str">
        <v>RPRO-260410-0206</v>
      </c>
      <c r="C77" t="str">
        <v>16/4</v>
      </c>
      <c r="D77" t="str">
        <v>Pro.sche.report 09.4</v>
      </c>
      <c r="E77" t="str">
        <v>BDB-000213</v>
      </c>
      <c r="F77" t="str">
        <v>PVN-003752</v>
      </c>
      <c r="G77" t="str">
        <v>OrthoLite X-25-Hybrid SEEDPEARL/12-0703TPX Hybrid Flat Sheet 0.12D 20+/-4 Asker C 1.1M 1.47M 4.5mm</v>
      </c>
      <c r="H77">
        <v>124</v>
      </c>
      <c r="I77">
        <v>5</v>
      </c>
      <c r="J77">
        <v>5</v>
      </c>
      <c r="K77" t="str">
        <v>ON RUNNING</v>
      </c>
      <c r="L77" t="str">
        <v>Pr.Sch.R</v>
      </c>
      <c r="M77" t="str">
        <v>MOLDED</v>
      </c>
      <c r="N77">
        <v>5</v>
      </c>
      <c r="P77">
        <v>5</v>
      </c>
      <c r="Q77">
        <v>46134</v>
      </c>
      <c r="R77">
        <f>S77-1</f>
        <v>46136</v>
      </c>
      <c r="S77">
        <v>46137</v>
      </c>
      <c r="T77" t="str">
        <v>l1</v>
      </c>
      <c r="V77">
        <f>U77-N77</f>
        <v>-5</v>
      </c>
      <c r="W77">
        <v>0</v>
      </c>
      <c r="X77">
        <v>0</v>
      </c>
      <c r="Y77">
        <v>124</v>
      </c>
      <c r="Z77" t="b">
        <v>1</v>
      </c>
      <c r="AE77" t="e">
        <f>SUMIF('[4]TONG XUAT BUN 2026'!$B:$F,A77,'[4]TONG XUAT BUN 2026'!$F:$F)</f>
        <v>#VALUE!</v>
      </c>
      <c r="AF77" t="str">
        <v>m1</v>
      </c>
    </row>
    <row r="78">
      <c r="V78">
        <f>U78-N78</f>
        <v>0</v>
      </c>
      <c r="AF78" t="str">
        <v>m1</v>
      </c>
    </row>
    <row r="79">
      <c r="A79" t="str">
        <v>F-2026-04-121</v>
      </c>
      <c r="B79" t="str">
        <v>RPRO-260410-0204</v>
      </c>
      <c r="C79" t="str">
        <v>16/4</v>
      </c>
      <c r="D79" t="str">
        <v>Pro.sche.report 09.4</v>
      </c>
      <c r="E79" t="str">
        <v>BDB-000340</v>
      </c>
      <c r="F79" t="str">
        <v>PVN-004177</v>
      </c>
      <c r="G79" t="str">
        <v>OrthoLite Float SEEDPEARL/12-0703TPX Flat Sheet 0.12D 21+/-4 Asker C 1.1M 2M 5.5mm</v>
      </c>
      <c r="H79">
        <v>350</v>
      </c>
      <c r="I79">
        <v>14</v>
      </c>
      <c r="J79">
        <v>14</v>
      </c>
      <c r="K79" t="str">
        <v>ON RUNNING</v>
      </c>
      <c r="L79" t="str">
        <v>Pr.Sch.R</v>
      </c>
      <c r="M79" t="str">
        <v>MOLDED</v>
      </c>
      <c r="N79">
        <v>14</v>
      </c>
      <c r="O79" t="str">
        <v>ppc/pur imp-đã nhắc sx</v>
      </c>
      <c r="P79" t="str">
        <v>ok</v>
      </c>
      <c r="Q79">
        <v>46130</v>
      </c>
      <c r="R79">
        <f>S79-1</f>
        <v>46133</v>
      </c>
      <c r="S79">
        <v>46134</v>
      </c>
      <c r="T79" t="str">
        <v>l1</v>
      </c>
      <c r="U79">
        <v>14</v>
      </c>
      <c r="V79">
        <f>U79-N79</f>
        <v>0</v>
      </c>
      <c r="W79">
        <v>0</v>
      </c>
      <c r="X79">
        <v>0</v>
      </c>
      <c r="Y79">
        <v>350</v>
      </c>
      <c r="Z79" t="b">
        <v>1</v>
      </c>
      <c r="AE79" t="e">
        <f>SUMIF('[4]TONG XUAT BUN 2026'!$B:$F,A79,'[4]TONG XUAT BUN 2026'!$F:$F)</f>
        <v>#VALUE!</v>
      </c>
      <c r="AF79" t="str">
        <v>m1</v>
      </c>
    </row>
    <row r="80">
      <c r="V80">
        <f>U80-N80</f>
        <v>0</v>
      </c>
      <c r="AF80" t="str">
        <v>m1</v>
      </c>
    </row>
    <row r="81">
      <c r="A81" t="str">
        <v>F-2026-04-124</v>
      </c>
      <c r="B81" t="str">
        <v>RPRO-260410-0207</v>
      </c>
      <c r="C81" t="str">
        <v>16/4</v>
      </c>
      <c r="D81" t="str">
        <v>Pro.sche.report 09.4</v>
      </c>
      <c r="E81" t="str">
        <v>BDB-000321</v>
      </c>
      <c r="F81" t="str">
        <v>PVN-004104</v>
      </c>
      <c r="G81" t="str">
        <v>OrthoLite Float BLUE ATOLL/16-4535TPX Flat Sheet 0.12D 21+/-4 Asker C 1.1M 2M 5mm</v>
      </c>
      <c r="H81">
        <v>84</v>
      </c>
      <c r="I81">
        <v>3</v>
      </c>
      <c r="J81">
        <v>3</v>
      </c>
      <c r="K81" t="str">
        <v>DESCENTE</v>
      </c>
      <c r="L81" t="str">
        <v>Pr.Sch.R</v>
      </c>
      <c r="M81" t="str">
        <v>DIE CUT</v>
      </c>
      <c r="N81">
        <v>38</v>
      </c>
      <c r="P81" t="str">
        <v>ok</v>
      </c>
      <c r="Q81">
        <v>46134</v>
      </c>
      <c r="R81">
        <f>S81-1</f>
        <v>46136</v>
      </c>
      <c r="S81">
        <v>46137</v>
      </c>
      <c r="T81" t="str">
        <v>l1</v>
      </c>
      <c r="U81">
        <f>23+15</f>
        <v>38</v>
      </c>
      <c r="V81">
        <f>U81-N81</f>
        <v>0</v>
      </c>
      <c r="W81">
        <v>0</v>
      </c>
      <c r="X81">
        <v>0</v>
      </c>
      <c r="Y81">
        <v>84</v>
      </c>
      <c r="Z81" t="b">
        <v>1</v>
      </c>
      <c r="AE81" t="e">
        <f>SUMIF('[4]TONG XUAT BUN 2026'!$B:$F,A81,'[4]TONG XUAT BUN 2026'!$F:$F)</f>
        <v>#VALUE!</v>
      </c>
      <c r="AF81" t="str">
        <v>m1</v>
      </c>
    </row>
    <row r="82">
      <c r="A82" t="str">
        <v>F-2026-04-125</v>
      </c>
      <c r="B82" t="str">
        <v>RPRO-260410-0208</v>
      </c>
      <c r="C82" t="str">
        <v>16/4-17/4</v>
      </c>
      <c r="D82" t="str">
        <v>Pro.sche.report 09.4</v>
      </c>
      <c r="E82" t="str">
        <v>BDB-000321</v>
      </c>
      <c r="F82" t="str">
        <v>PVN-004092</v>
      </c>
      <c r="G82" t="str">
        <v>OrthoLite Float BLUE ATOLL/16-4535TPX Flat Sheet 0.12D 21+/-4 Asker C 1.1M 2M 14.5mm</v>
      </c>
      <c r="H82">
        <v>315</v>
      </c>
      <c r="I82">
        <v>35</v>
      </c>
      <c r="J82">
        <v>35</v>
      </c>
      <c r="K82" t="str">
        <v>LOWA</v>
      </c>
      <c r="L82" t="str">
        <v>Pr.Sch.R</v>
      </c>
      <c r="M82" t="str">
        <v>MOLDED</v>
      </c>
      <c r="P82" t="str">
        <v>ok</v>
      </c>
      <c r="Q82">
        <v>46134</v>
      </c>
      <c r="R82">
        <f>S82-1</f>
        <v>46136</v>
      </c>
      <c r="S82">
        <v>46137</v>
      </c>
      <c r="T82" t="str">
        <v>l1</v>
      </c>
      <c r="V82">
        <f>U82-N82</f>
        <v>0</v>
      </c>
      <c r="W82">
        <v>0</v>
      </c>
      <c r="X82">
        <v>0</v>
      </c>
      <c r="Y82">
        <v>315</v>
      </c>
      <c r="Z82" t="b">
        <v>1</v>
      </c>
      <c r="AE82" t="e">
        <f>SUMIF('[4]TONG XUAT BUN 2026'!$B:$F,A82,'[4]TONG XUAT BUN 2026'!$F:$F)</f>
        <v>#VALUE!</v>
      </c>
      <c r="AF82" t="str">
        <v>m1</v>
      </c>
    </row>
    <row r="83">
      <c r="G83" t="str">
        <v>RELEASE ĐỢT 1</v>
      </c>
      <c r="V83">
        <f>U83-N83</f>
        <v>0</v>
      </c>
      <c r="AF83" t="str">
        <v>m1</v>
      </c>
    </row>
    <row r="84">
      <c r="A84" t="str">
        <v>F-2026-04-171</v>
      </c>
      <c r="B84" t="str">
        <v>RPRO-260414-0218</v>
      </c>
      <c r="C84" t="str">
        <v>17/4</v>
      </c>
      <c r="D84" t="str">
        <v>Pro.sche.report 13.04</v>
      </c>
      <c r="E84" t="str">
        <v>BDB-000055</v>
      </c>
      <c r="F84" t="str">
        <v>PVN-003326</v>
      </c>
      <c r="G84" t="str">
        <v>OrthoLite X-40 TRUE BLUE/19-4057TPX Flat Sheet 0.16D 35+/-4 Asker C 1.1M 1.7M 14mm</v>
      </c>
      <c r="H84">
        <v>27</v>
      </c>
      <c r="I84">
        <v>3</v>
      </c>
      <c r="J84">
        <v>3</v>
      </c>
      <c r="K84" t="str">
        <v>ADIDAS</v>
      </c>
      <c r="L84" t="str">
        <v>Pr.Sch.R</v>
      </c>
      <c r="M84" t="str">
        <v>MOLDED</v>
      </c>
      <c r="N84">
        <v>3</v>
      </c>
      <c r="P84" t="str">
        <v>ok</v>
      </c>
      <c r="Q84">
        <v>46130</v>
      </c>
      <c r="R84">
        <f>S84-1</f>
        <v>46133</v>
      </c>
      <c r="S84">
        <v>46134</v>
      </c>
      <c r="T84" t="str">
        <v>l2</v>
      </c>
      <c r="U84">
        <v>3</v>
      </c>
      <c r="V84">
        <f>U84-N84</f>
        <v>0</v>
      </c>
      <c r="W84">
        <v>0</v>
      </c>
      <c r="X84">
        <v>0</v>
      </c>
      <c r="Y84">
        <v>27</v>
      </c>
      <c r="Z84" t="b">
        <v>0</v>
      </c>
      <c r="AE84" t="e">
        <f>SUMIF('[4]TONG XUAT BUN 2026'!$B:$F,A84,'[4]TONG XUAT BUN 2026'!$F:$F)</f>
        <v>#VALUE!</v>
      </c>
    </row>
    <row r="85">
      <c r="V85">
        <f>U85-N85</f>
        <v>0</v>
      </c>
    </row>
    <row r="86">
      <c r="A86" t="str">
        <v>F-2026-04-157</v>
      </c>
      <c r="B86" t="str">
        <v>RPRO-260413-0275</v>
      </c>
      <c r="C86" t="str">
        <v>17/4</v>
      </c>
      <c r="D86" t="str">
        <v>Pro.sche.report 10.4+11.04+12.04</v>
      </c>
      <c r="E86" t="str">
        <v>BDB-000055</v>
      </c>
      <c r="F86" t="str">
        <v>PVN-003326</v>
      </c>
      <c r="G86" t="str">
        <v>OrthoLite X-40 TRUE BLUE/19-4057TPX Flat Sheet 0.16D 35+/-4 Asker C 1.1M 1.7M 14mm</v>
      </c>
      <c r="H86">
        <v>36</v>
      </c>
      <c r="I86">
        <v>4</v>
      </c>
      <c r="J86">
        <v>4</v>
      </c>
      <c r="K86" t="str">
        <v>ADIDAS</v>
      </c>
      <c r="L86" t="str">
        <v>Pr.Sch.R</v>
      </c>
      <c r="M86" t="str">
        <v>MOLDED</v>
      </c>
      <c r="N86">
        <v>4</v>
      </c>
      <c r="P86" t="str">
        <v>ok</v>
      </c>
      <c r="Q86">
        <v>46130</v>
      </c>
      <c r="R86">
        <f>S86-1</f>
        <v>46133</v>
      </c>
      <c r="S86">
        <v>46134</v>
      </c>
      <c r="T86" t="str">
        <v>l2</v>
      </c>
      <c r="U86">
        <f>9-3</f>
        <v>6</v>
      </c>
      <c r="V86">
        <f>U86-N86</f>
        <v>2</v>
      </c>
      <c r="W86">
        <v>0</v>
      </c>
      <c r="X86">
        <v>0</v>
      </c>
      <c r="Y86">
        <v>36</v>
      </c>
      <c r="Z86" t="b">
        <v>0</v>
      </c>
      <c r="AE86" t="e">
        <f>SUMIF('[4]TONG XUAT BUN 2026'!$B:$F,A86,'[4]TONG XUAT BUN 2026'!$F:$F)</f>
        <v>#VALUE!</v>
      </c>
    </row>
    <row r="87">
      <c r="V87">
        <f>U87-N87</f>
        <v>0</v>
      </c>
    </row>
    <row r="88">
      <c r="A88" t="str">
        <v>F-2026-04-165</v>
      </c>
      <c r="B88" t="str">
        <v>RPRO-260413-0283</v>
      </c>
      <c r="C88" t="str">
        <v>17/4</v>
      </c>
      <c r="D88" t="str">
        <v>Pro.sche.report 10.4+11.04+12.04</v>
      </c>
      <c r="E88" t="str">
        <v>BDB-000077</v>
      </c>
      <c r="F88" t="str">
        <v>PVN-003478</v>
      </c>
      <c r="G88" t="str">
        <v>Ortholite X-25 SEEDPEARL/12-0703TPX Flat Sheet 0.12D 20+/-4 Asker C 1.1M 2M 4mm</v>
      </c>
      <c r="H88">
        <v>175</v>
      </c>
      <c r="I88">
        <v>5</v>
      </c>
      <c r="J88">
        <v>5</v>
      </c>
      <c r="K88" t="str">
        <v>SOLEWORKS</v>
      </c>
      <c r="L88" t="str">
        <v>Pr.Sch.R</v>
      </c>
      <c r="M88" t="str">
        <v>DIE CUT</v>
      </c>
      <c r="N88">
        <v>5</v>
      </c>
      <c r="P88" t="str">
        <v>ok</v>
      </c>
      <c r="Q88">
        <v>46130</v>
      </c>
      <c r="R88">
        <f>S88-1</f>
        <v>46133</v>
      </c>
      <c r="S88">
        <v>46134</v>
      </c>
      <c r="T88" t="str">
        <v>l2</v>
      </c>
      <c r="U88">
        <v>5</v>
      </c>
      <c r="V88">
        <f>U88-N88</f>
        <v>0</v>
      </c>
      <c r="W88">
        <v>0</v>
      </c>
      <c r="X88">
        <v>0</v>
      </c>
      <c r="Y88">
        <v>175</v>
      </c>
      <c r="Z88" t="b">
        <v>0</v>
      </c>
      <c r="AE88" t="e">
        <f>SUMIF('[4]TONG XUAT BUN 2026'!$B:$F,A88,'[4]TONG XUAT BUN 2026'!$F:$F)</f>
        <v>#VALUE!</v>
      </c>
    </row>
    <row r="89">
      <c r="V89">
        <f>U89-N89</f>
        <v>0</v>
      </c>
    </row>
    <row r="90">
      <c r="A90" t="str">
        <v>F-2026-04-152</v>
      </c>
      <c r="B90" t="str">
        <v>RPRO-260413-0270</v>
      </c>
      <c r="C90" t="str">
        <v>17/4</v>
      </c>
      <c r="D90" t="str">
        <v>Pro.sche.report 10.4+11.04+12.04</v>
      </c>
      <c r="E90" t="str">
        <v>BDB-000117</v>
      </c>
      <c r="F90" t="str">
        <v>PVN-003234</v>
      </c>
      <c r="G90" t="str">
        <v>OrthoLite X-35-Hybrid SEEDPEARL/12-0703TPX Hybrid Flat Sheet 0.145D 25+/-4 Asker C 1.1M 2M 5.5mm</v>
      </c>
      <c r="H90">
        <v>25</v>
      </c>
      <c r="I90">
        <v>1</v>
      </c>
      <c r="J90">
        <v>1</v>
      </c>
      <c r="K90" t="str">
        <v>PUMA</v>
      </c>
      <c r="L90" t="str">
        <v>Pr.Sch.R</v>
      </c>
      <c r="M90" t="str">
        <v>MOLDED</v>
      </c>
      <c r="N90">
        <v>1</v>
      </c>
      <c r="P90" t="str">
        <v>ok</v>
      </c>
      <c r="Q90">
        <v>46130</v>
      </c>
      <c r="R90">
        <f>S90-1</f>
        <v>46133</v>
      </c>
      <c r="S90">
        <v>46134</v>
      </c>
      <c r="T90" t="str">
        <v>l2</v>
      </c>
      <c r="U90">
        <v>1</v>
      </c>
      <c r="V90">
        <f>U90-N90</f>
        <v>0</v>
      </c>
      <c r="W90">
        <v>0</v>
      </c>
      <c r="X90">
        <v>0</v>
      </c>
      <c r="Y90">
        <v>25</v>
      </c>
      <c r="Z90" t="b">
        <v>0</v>
      </c>
      <c r="AE90" t="e">
        <f>SUMIF('[4]TONG XUAT BUN 2026'!$B:$F,A90,'[4]TONG XUAT BUN 2026'!$F:$F)</f>
        <v>#VALUE!</v>
      </c>
    </row>
    <row r="91">
      <c r="V91">
        <f>U91-N91</f>
        <v>0</v>
      </c>
    </row>
    <row r="92">
      <c r="A92" t="str">
        <v>F-2026-04-148</v>
      </c>
      <c r="B92" t="str">
        <v>RPRO-260413-0266</v>
      </c>
      <c r="C92" t="str">
        <v>17/4</v>
      </c>
      <c r="D92" t="str">
        <v>MPS 10.4+11.04+12.04</v>
      </c>
      <c r="E92" t="str">
        <v>BDB-000056</v>
      </c>
      <c r="F92" t="str">
        <v>PVN-001983</v>
      </c>
      <c r="G92" t="str">
        <v>OrthoLite X-40 SEEDPEARL/12-0703TPX Flat Sheet 0.16D 25+/-4 Asker C 1.1M 1.7M 5mm</v>
      </c>
      <c r="H92">
        <v>280</v>
      </c>
      <c r="I92">
        <v>10</v>
      </c>
      <c r="J92">
        <v>10</v>
      </c>
      <c r="L92" t="str">
        <v>MPS</v>
      </c>
      <c r="M92" t="str">
        <v>SPLITTING</v>
      </c>
      <c r="N92">
        <v>10</v>
      </c>
      <c r="P92">
        <v>10</v>
      </c>
      <c r="Q92">
        <v>46130</v>
      </c>
      <c r="R92">
        <f>S92-1</f>
        <v>46133</v>
      </c>
      <c r="S92">
        <v>46134</v>
      </c>
      <c r="T92" t="str">
        <v>l2</v>
      </c>
      <c r="V92">
        <f>U92-N92</f>
        <v>-10</v>
      </c>
      <c r="W92">
        <v>0</v>
      </c>
      <c r="X92">
        <v>0</v>
      </c>
      <c r="Y92">
        <v>280</v>
      </c>
      <c r="Z92" t="b">
        <v>0</v>
      </c>
      <c r="AE92" t="e">
        <f>SUMIF('[4]TONG XUAT BUN 2026'!$B:$F,A92,'[4]TONG XUAT BUN 2026'!$F:$F)</f>
        <v>#VALUE!</v>
      </c>
    </row>
    <row r="93">
      <c r="V93">
        <f>U93-N93</f>
        <v>0</v>
      </c>
    </row>
    <row r="94">
      <c r="A94" t="str">
        <v>F-2026-04-161</v>
      </c>
      <c r="B94" t="str">
        <v>RPRO-260413-0279</v>
      </c>
      <c r="C94" t="str">
        <v>17/4</v>
      </c>
      <c r="D94" t="str">
        <v>Pro.sche.report 10.4+11.04+12.04</v>
      </c>
      <c r="E94" t="str">
        <v>BDB-000154</v>
      </c>
      <c r="F94" t="str">
        <v>PVN-003347</v>
      </c>
      <c r="G94" t="str">
        <v>OrthoLite X-40-Nike TRUE BLUE/19-4057TPX Flat Sheet 0.16D 35+/-4 Asker C 1.1M 1.7M 4mm</v>
      </c>
      <c r="H94">
        <v>665</v>
      </c>
      <c r="I94">
        <v>19</v>
      </c>
      <c r="J94">
        <v>19</v>
      </c>
      <c r="K94" t="str">
        <v>NIKE</v>
      </c>
      <c r="L94" t="str">
        <v>Pr.Sch.R</v>
      </c>
      <c r="M94" t="str">
        <v>LAMINATING</v>
      </c>
      <c r="N94">
        <v>19</v>
      </c>
      <c r="P94" t="str">
        <v>ok</v>
      </c>
      <c r="Q94">
        <v>46130</v>
      </c>
      <c r="R94">
        <f>S94-1</f>
        <v>46133</v>
      </c>
      <c r="S94">
        <v>46134</v>
      </c>
      <c r="T94" t="str">
        <v>l2</v>
      </c>
      <c r="U94">
        <v>20</v>
      </c>
      <c r="V94">
        <f>U94-N94</f>
        <v>1</v>
      </c>
      <c r="W94">
        <v>0</v>
      </c>
      <c r="X94">
        <v>0</v>
      </c>
      <c r="Y94">
        <v>665</v>
      </c>
      <c r="Z94" t="b">
        <v>0</v>
      </c>
      <c r="AE94" t="e">
        <f>SUMIF('[4]TONG XUAT BUN 2026'!$B:$F,A94,'[4]TONG XUAT BUN 2026'!$F:$F)</f>
        <v>#VALUE!</v>
      </c>
    </row>
    <row r="95">
      <c r="V95">
        <f>U95-N95</f>
        <v>0</v>
      </c>
    </row>
    <row r="96">
      <c r="A96" t="str">
        <v>F-2026-02-254</v>
      </c>
      <c r="B96" t="str">
        <v>FPRO-260211-0074</v>
      </c>
      <c r="C96" t="str">
        <v>17/4</v>
      </c>
      <c r="D96" t="str">
        <v>Firm plan 11.2</v>
      </c>
      <c r="E96" t="str">
        <v>BDB-000348</v>
      </c>
      <c r="F96" t="str">
        <v>PVN-004195</v>
      </c>
      <c r="G96" t="str">
        <v>OrthoLite IMPERIAL SEEDPEARL/12-0703TPX Flat Sheet 0.22D 25+/-4 Asker C 1.1M 1.47M 4mm</v>
      </c>
      <c r="H96">
        <v>2000</v>
      </c>
      <c r="I96">
        <v>58</v>
      </c>
      <c r="J96">
        <v>58</v>
      </c>
      <c r="K96" t="str">
        <v>ADIDAS</v>
      </c>
      <c r="L96" t="str">
        <v>Forecast</v>
      </c>
      <c r="M96" t="str">
        <v>SPLITTING</v>
      </c>
      <c r="N96">
        <v>58</v>
      </c>
      <c r="P96">
        <v>58</v>
      </c>
      <c r="Q96">
        <v>46132</v>
      </c>
      <c r="R96">
        <f>S96-1</f>
        <v>46134</v>
      </c>
      <c r="S96">
        <v>46135</v>
      </c>
      <c r="T96" t="str">
        <v>l2</v>
      </c>
      <c r="V96">
        <f>U96-N96</f>
        <v>-58</v>
      </c>
      <c r="W96">
        <v>0</v>
      </c>
      <c r="X96">
        <v>0</v>
      </c>
      <c r="Y96">
        <v>2000</v>
      </c>
      <c r="Z96" t="b">
        <v>0</v>
      </c>
      <c r="AA96" t="str">
        <v>Don't keep -hết demand</v>
      </c>
      <c r="AE96" t="e">
        <f>SUMIF('[4]TONG XUAT BUN 2026'!$B:$F,A96,'[4]TONG XUAT BUN 2026'!$F:$F)</f>
        <v>#VALUE!</v>
      </c>
    </row>
    <row r="97">
      <c r="V97">
        <f>U97-N97</f>
        <v>0</v>
      </c>
    </row>
    <row r="98">
      <c r="A98" t="str">
        <v>F-2026-03-384</v>
      </c>
      <c r="B98" t="str">
        <v>FPRO-260318-0028</v>
      </c>
      <c r="C98" t="str">
        <v>17/4-18/4</v>
      </c>
      <c r="D98" t="str">
        <v>Firm plan 18.3</v>
      </c>
      <c r="E98" t="str">
        <v>BDB-000235</v>
      </c>
      <c r="F98" t="str">
        <v>PVN-003576</v>
      </c>
      <c r="G98" t="str">
        <v>OrthoLite X-55-Hybrid FOSSIL/17-0909TPX Hybrid Flat Sheet 0.16D 25+/-4 Asker C 1.1M 1.7M 12mm</v>
      </c>
      <c r="H98">
        <v>1700</v>
      </c>
      <c r="I98">
        <v>148</v>
      </c>
      <c r="J98">
        <v>148</v>
      </c>
      <c r="K98" t="str">
        <v>ASICS</v>
      </c>
      <c r="L98" t="str">
        <v>Forecast</v>
      </c>
      <c r="M98" t="str">
        <v>MOLDED</v>
      </c>
      <c r="N98">
        <v>148</v>
      </c>
      <c r="P98">
        <v>148</v>
      </c>
      <c r="Q98">
        <v>46132</v>
      </c>
      <c r="R98">
        <f>S98-1</f>
        <v>46134</v>
      </c>
      <c r="S98">
        <v>46135</v>
      </c>
      <c r="T98" t="str">
        <v>l2</v>
      </c>
      <c r="V98">
        <f>U98-N98</f>
        <v>-148</v>
      </c>
      <c r="W98">
        <v>0</v>
      </c>
      <c r="X98">
        <v>0</v>
      </c>
      <c r="Y98">
        <v>1700</v>
      </c>
      <c r="Z98" t="b">
        <v>1</v>
      </c>
      <c r="AA98" t="str">
        <v>Keep ETD</v>
      </c>
      <c r="AE98" t="e">
        <f>SUMIF('[4]TONG XUAT BUN 2026'!$B:$F,A98,'[4]TONG XUAT BUN 2026'!$F:$F)</f>
        <v>#VALUE!</v>
      </c>
    </row>
    <row r="99">
      <c r="V99">
        <f>U99-N99</f>
        <v>0</v>
      </c>
    </row>
    <row r="100">
      <c r="A100" t="str">
        <v>F-2026-04-153</v>
      </c>
      <c r="B100" t="str">
        <v>RPRO-260413-0271</v>
      </c>
      <c r="C100" t="str">
        <v>18/4</v>
      </c>
      <c r="D100" t="str">
        <v>Pro.sche.report 10.4+11.04+12.04</v>
      </c>
      <c r="E100" t="str">
        <v>BDB-000123</v>
      </c>
      <c r="F100" t="str">
        <v>PVN-002884</v>
      </c>
      <c r="G100" t="str">
        <v>OrthoLite Ultra-Hybrid SEEDPEARL/12-0703TPX Hybrid Flat Sheet 0.085D 25+/-4 Asker C 1.1M 2M 10mm</v>
      </c>
      <c r="H100">
        <v>13</v>
      </c>
      <c r="I100">
        <v>1</v>
      </c>
      <c r="J100">
        <v>1</v>
      </c>
      <c r="K100" t="str">
        <v>ADIDAS</v>
      </c>
      <c r="L100" t="str">
        <v>Pr.Sch.R</v>
      </c>
      <c r="M100" t="str">
        <v>MOLDED</v>
      </c>
      <c r="N100">
        <v>354</v>
      </c>
      <c r="P100" t="str">
        <v>ok</v>
      </c>
      <c r="Q100">
        <v>46132</v>
      </c>
      <c r="R100">
        <f>S100-1</f>
        <v>46134</v>
      </c>
      <c r="S100">
        <v>46135</v>
      </c>
      <c r="T100" t="str">
        <v>l2</v>
      </c>
      <c r="U100">
        <f>189-178-5+93-7</f>
        <v>92</v>
      </c>
      <c r="V100">
        <f>U100-N100</f>
        <v>-262</v>
      </c>
      <c r="W100">
        <v>0</v>
      </c>
      <c r="X100">
        <v>0</v>
      </c>
      <c r="Y100">
        <v>13</v>
      </c>
      <c r="Z100" t="b">
        <v>0</v>
      </c>
      <c r="AE100" t="e">
        <f>SUMIF('[4]TONG XUAT BUN 2026'!$B:$F,A100,'[4]TONG XUAT BUN 2026'!$F:$F)</f>
        <v>#VALUE!</v>
      </c>
    </row>
    <row r="101">
      <c r="A101" t="str">
        <v>F-2026-02-233</v>
      </c>
      <c r="B101" t="str">
        <v>FPRO-260211-0053</v>
      </c>
      <c r="C101" t="str">
        <v>17/4-18/4</v>
      </c>
      <c r="D101" t="str">
        <v>Firm plan 11.2</v>
      </c>
      <c r="E101" t="str">
        <v>BDB-000123</v>
      </c>
      <c r="F101" t="str">
        <v>PVN-003299</v>
      </c>
      <c r="G101" t="str">
        <v>OrthoLite Ultra-Hybrid SEEDPEARL/12-0703TPX Hybrid 0.085D 25+/-4 Asker C 1.1M 2M 3mm</v>
      </c>
      <c r="H101">
        <v>7000</v>
      </c>
      <c r="I101">
        <v>153</v>
      </c>
      <c r="J101">
        <v>153</v>
      </c>
      <c r="K101" t="str">
        <v>ADIDAS</v>
      </c>
      <c r="L101" t="str">
        <v>Forecast</v>
      </c>
      <c r="M101" t="str">
        <v>SPLITTING</v>
      </c>
      <c r="P101">
        <v>62</v>
      </c>
      <c r="Q101">
        <v>46132</v>
      </c>
      <c r="R101">
        <f>S101-1</f>
        <v>46134</v>
      </c>
      <c r="S101">
        <v>46135</v>
      </c>
      <c r="T101" t="str">
        <v>l2</v>
      </c>
      <c r="V101">
        <f>U101-N101</f>
        <v>0</v>
      </c>
      <c r="W101">
        <v>0</v>
      </c>
      <c r="X101">
        <v>0</v>
      </c>
      <c r="Y101">
        <v>7000</v>
      </c>
      <c r="Z101" t="b">
        <v>0</v>
      </c>
      <c r="AA101" t="str">
        <v>Don't keep- DP đang chuẩn bị lượng dư nhiều rồi</v>
      </c>
      <c r="AE101" t="e">
        <f>SUMIF('[4]TONG XUAT BUN 2026'!$B:$F,A101,'[4]TONG XUAT BUN 2026'!$F:$F)</f>
        <v>#VALUE!</v>
      </c>
    </row>
    <row r="102">
      <c r="A102" t="str">
        <v>F-2026-02-217</v>
      </c>
      <c r="B102" t="str">
        <v>FPRO-260211-0037</v>
      </c>
      <c r="C102" t="str">
        <v>18/4</v>
      </c>
      <c r="D102" t="str">
        <v>Firm plan 11.2</v>
      </c>
      <c r="E102" t="str">
        <v>BDB-000123</v>
      </c>
      <c r="F102" t="str">
        <v>PVN-003298</v>
      </c>
      <c r="G102" t="str">
        <v>OrthoLite Ultra-Hybrid SEEDPEARL/12-0703TPX Hybrid 0.085D 25+/-4 Asker C 1.1M 2M 4mm</v>
      </c>
      <c r="H102">
        <v>7000</v>
      </c>
      <c r="I102">
        <v>200</v>
      </c>
      <c r="J102">
        <v>200</v>
      </c>
      <c r="K102" t="str">
        <v>ADIDAS</v>
      </c>
      <c r="L102" t="str">
        <v>Forecast</v>
      </c>
      <c r="M102" t="str">
        <v>SPLITTING</v>
      </c>
      <c r="P102">
        <v>200</v>
      </c>
      <c r="Q102">
        <v>46132</v>
      </c>
      <c r="R102">
        <f>S102-1</f>
        <v>46134</v>
      </c>
      <c r="S102">
        <v>46135</v>
      </c>
      <c r="T102" t="str">
        <v>l2</v>
      </c>
      <c r="V102">
        <f>U102-N102</f>
        <v>0</v>
      </c>
      <c r="W102">
        <v>0</v>
      </c>
      <c r="X102">
        <v>0</v>
      </c>
      <c r="Y102">
        <v>7000</v>
      </c>
      <c r="Z102" t="b">
        <v>0</v>
      </c>
      <c r="AA102" t="str">
        <v>keep ETD</v>
      </c>
      <c r="AE102" t="e">
        <f>SUMIF('[4]TONG XUAT BUN 2026'!$B:$F,A102,'[4]TONG XUAT BUN 2026'!$F:$F)</f>
        <v>#VALUE!</v>
      </c>
    </row>
    <row r="103">
      <c r="V103">
        <f>U103-N103</f>
        <v>0</v>
      </c>
    </row>
    <row r="104">
      <c r="A104" t="str">
        <v>F-2026-04-55</v>
      </c>
      <c r="B104" t="str">
        <v>FPRO-260401-0003</v>
      </c>
      <c r="C104" t="str">
        <v>18/4</v>
      </c>
      <c r="D104" t="str">
        <v>Firm plan 01.04</v>
      </c>
      <c r="E104" t="str">
        <v>BDB-000076</v>
      </c>
      <c r="F104" t="str">
        <v>PVN-004091</v>
      </c>
      <c r="G104" t="str">
        <v>OrthoLite X-25 BILLIARD/16-5427TPX Flat Sheet 0.12D 20+/-4 Asker C 1.1M 2M 3.5mm</v>
      </c>
      <c r="H104">
        <v>670</v>
      </c>
      <c r="I104">
        <v>17</v>
      </c>
      <c r="J104">
        <v>17</v>
      </c>
      <c r="K104" t="str">
        <v>BROOKS</v>
      </c>
      <c r="L104" t="str">
        <v>Forecast</v>
      </c>
      <c r="M104" t="str">
        <v>MOLDED</v>
      </c>
      <c r="N104">
        <v>17</v>
      </c>
      <c r="P104" t="str">
        <v>ok</v>
      </c>
      <c r="Q104">
        <v>46133</v>
      </c>
      <c r="R104">
        <f>S104-1</f>
        <v>46135</v>
      </c>
      <c r="S104">
        <v>46136</v>
      </c>
      <c r="T104" t="str">
        <v>l2</v>
      </c>
      <c r="U104">
        <f>7-3-2+20</f>
        <v>22</v>
      </c>
      <c r="V104">
        <f>U104-N104</f>
        <v>5</v>
      </c>
      <c r="W104">
        <v>0</v>
      </c>
      <c r="X104">
        <v>0</v>
      </c>
      <c r="Y104">
        <v>670</v>
      </c>
      <c r="Z104" t="b">
        <v>0</v>
      </c>
      <c r="AE104" t="e">
        <f>SUMIF('[4]TONG XUAT BUN 2026'!$B:$F,A104,'[4]TONG XUAT BUN 2026'!$F:$F)</f>
        <v>#VALUE!</v>
      </c>
    </row>
    <row r="105">
      <c r="V105">
        <f>U105-N105</f>
        <v>0</v>
      </c>
    </row>
    <row r="106">
      <c r="A106" t="str">
        <v>F-2026-03-458</v>
      </c>
      <c r="B106" t="str">
        <v>FPRO-260324-0030</v>
      </c>
      <c r="C106" t="str">
        <v>18/4-20/4</v>
      </c>
      <c r="D106" t="str">
        <v>Firm plan 24.3</v>
      </c>
      <c r="E106" t="str">
        <v>BDB-000156</v>
      </c>
      <c r="F106" t="str">
        <v>PVN-003243</v>
      </c>
      <c r="G106" t="str">
        <v>OrthoLite X-35-Hybrid-Nike AMAZON/18-6024TPX Hybrid 0.145D 25+/-4 Asker C 1.1M 2M 5.2mm</v>
      </c>
      <c r="H106">
        <v>1000</v>
      </c>
      <c r="I106">
        <v>39</v>
      </c>
      <c r="J106">
        <v>39</v>
      </c>
      <c r="K106" t="str">
        <v>NIKE</v>
      </c>
      <c r="L106" t="str">
        <v>Forecast</v>
      </c>
      <c r="M106" t="str">
        <v>MOLDED</v>
      </c>
      <c r="N106">
        <v>39</v>
      </c>
      <c r="P106">
        <v>26</v>
      </c>
      <c r="Q106">
        <v>46133</v>
      </c>
      <c r="R106">
        <f>S106-1</f>
        <v>46135</v>
      </c>
      <c r="S106">
        <v>46136</v>
      </c>
      <c r="T106" t="str">
        <v>l2</v>
      </c>
      <c r="U106">
        <f>13</f>
        <v>13</v>
      </c>
      <c r="V106">
        <f>U106-N106</f>
        <v>-26</v>
      </c>
      <c r="W106">
        <v>0</v>
      </c>
      <c r="X106">
        <v>0</v>
      </c>
      <c r="Y106">
        <v>1000</v>
      </c>
      <c r="Z106" t="b">
        <v>0</v>
      </c>
      <c r="AA106" t="str">
        <v>keep ETD</v>
      </c>
      <c r="AE106" t="e">
        <f>SUMIF('[4]TONG XUAT BUN 2026'!$B:$F,A106,'[4]TONG XUAT BUN 2026'!$F:$F)</f>
        <v>#VALUE!</v>
      </c>
    </row>
    <row r="107">
      <c r="G107" t="str">
        <v>RELEASE ĐỢT 2</v>
      </c>
      <c r="V107">
        <f>U107-N107</f>
        <v>0</v>
      </c>
    </row>
    <row r="108">
      <c r="H108">
        <f>SUM(H12:H106)</f>
        <v>48699</v>
      </c>
      <c r="I108">
        <f>SUM(I12:I106)</f>
        <v>2028</v>
      </c>
      <c r="J108">
        <f>SUM(J12:J106)</f>
        <v>2028</v>
      </c>
      <c r="N108">
        <f>SUM(N12:N106)</f>
        <v>1938</v>
      </c>
      <c r="O108">
        <f>N108-M7</f>
        <v>23</v>
      </c>
      <c r="V108">
        <f>U108-N108</f>
        <v>-1938</v>
      </c>
    </row>
    <row r="109">
      <c r="A109" t="str">
        <v>F-2026-03-601</v>
      </c>
      <c r="B109" t="str">
        <v>FPRO-260330-0023</v>
      </c>
      <c r="C109" t="str">
        <v>13/4</v>
      </c>
      <c r="D109" t="str">
        <v>Firm plan 30.3</v>
      </c>
      <c r="E109" t="str">
        <v>BDB-000355</v>
      </c>
      <c r="F109" t="str">
        <v>PVN-004231</v>
      </c>
      <c r="G109" t="str">
        <v>OrthoLite HybridPlus-Recycled CASTLEROCK/18-0201TPX Hybrid 0.12D 25+/-4 Asker C 1.1M 2M 4.5mm</v>
      </c>
      <c r="H109">
        <v>1000</v>
      </c>
      <c r="I109">
        <v>33</v>
      </c>
      <c r="J109">
        <v>33</v>
      </c>
      <c r="K109" t="str">
        <v>ON RUNNING</v>
      </c>
      <c r="L109" t="str">
        <v>Forecast</v>
      </c>
      <c r="M109" t="str">
        <v>MOLDED</v>
      </c>
      <c r="N109">
        <v>6</v>
      </c>
      <c r="O109" t="str">
        <v>Đơn cũ w15</v>
      </c>
      <c r="P109" t="str">
        <v>ok</v>
      </c>
      <c r="Q109">
        <v>46125</v>
      </c>
      <c r="R109">
        <f>S109-1</f>
        <v>46127</v>
      </c>
      <c r="S109">
        <v>46128</v>
      </c>
      <c r="T109" t="str">
        <v>l2</v>
      </c>
      <c r="U109">
        <f>13-1</f>
        <v>12</v>
      </c>
      <c r="V109">
        <f>U109-N109</f>
        <v>6</v>
      </c>
      <c r="W109">
        <v>0</v>
      </c>
      <c r="X109">
        <v>0</v>
      </c>
      <c r="Y109">
        <v>1000</v>
      </c>
      <c r="Z109" t="b">
        <v>0</v>
      </c>
      <c r="AE109" t="e">
        <f>SUMIF('[4]TONG XUAT BUN 2026'!$B:$F,A109,'[4]TONG XUAT BUN 2026'!$F:$F)</f>
        <v>#VALUE!</v>
      </c>
      <c r="AF109" t="str">
        <v>m2</v>
      </c>
    </row>
    <row r="110">
      <c r="V110">
        <f>U110-N110</f>
        <v>0</v>
      </c>
      <c r="AF110" t="str">
        <v>m2</v>
      </c>
    </row>
    <row r="111">
      <c r="A111" t="str">
        <v>F-2026-04-78</v>
      </c>
      <c r="B111" t="str">
        <v>FPRO-260406-0009</v>
      </c>
      <c r="C111" t="str">
        <v>13/4</v>
      </c>
      <c r="D111" t="str">
        <v>Firm plan 06.4</v>
      </c>
      <c r="E111" t="str">
        <v>BDB-000180</v>
      </c>
      <c r="F111" t="str">
        <v>PVN-003236</v>
      </c>
      <c r="G111" t="str">
        <v>OrthoLite Eco LT-Hybrid-Converse SEEDPEARL/12-0703TPX Hybrid 0.13D 25+/-4 Asker C 1.1M 2M 5mm</v>
      </c>
      <c r="H111">
        <v>500</v>
      </c>
      <c r="I111">
        <v>18</v>
      </c>
      <c r="J111">
        <v>18</v>
      </c>
      <c r="K111" t="str">
        <v>CONVERSE</v>
      </c>
      <c r="L111" t="str">
        <v>Forecast</v>
      </c>
      <c r="M111" t="str">
        <v>DIE CUT</v>
      </c>
      <c r="N111">
        <v>18</v>
      </c>
      <c r="P111" t="str">
        <v>ok</v>
      </c>
      <c r="Q111">
        <v>46126</v>
      </c>
      <c r="R111">
        <f>S111-1</f>
        <v>46128</v>
      </c>
      <c r="S111">
        <v>46129</v>
      </c>
      <c r="T111" t="str">
        <v>l1</v>
      </c>
      <c r="U111">
        <v>18</v>
      </c>
      <c r="V111">
        <f>U111-N111</f>
        <v>0</v>
      </c>
      <c r="W111">
        <v>0</v>
      </c>
      <c r="X111">
        <v>0</v>
      </c>
      <c r="Y111">
        <v>500</v>
      </c>
      <c r="Z111" t="b">
        <v>0</v>
      </c>
      <c r="AE111" t="e">
        <f>SUMIF('[4]TONG XUAT BUN 2026'!$B:$F,A111,'[4]TONG XUAT BUN 2026'!$F:$F)</f>
        <v>#VALUE!</v>
      </c>
      <c r="AF111" t="str">
        <v>m2</v>
      </c>
    </row>
    <row r="112">
      <c r="V112">
        <f>U112-N112</f>
        <v>0</v>
      </c>
      <c r="AF112" t="str">
        <v>m2</v>
      </c>
    </row>
    <row r="113">
      <c r="A113" t="str">
        <v>F-2026-04-80-2</v>
      </c>
      <c r="B113" t="str">
        <v>FPRO-260409-0009</v>
      </c>
      <c r="C113" t="str">
        <v>13/4</v>
      </c>
      <c r="D113" t="str">
        <v>Firm plan 06.4</v>
      </c>
      <c r="E113" t="str">
        <v>BDB-000181</v>
      </c>
      <c r="F113" t="str">
        <v>PVN-003238</v>
      </c>
      <c r="G113" t="str">
        <v>OrthoLite Eco LT-Hybrid-Converse SEEDPEARL/12-0703TPX Hybrid 0.11D 25+/-4 Asker C 1.1M 2M 5mm</v>
      </c>
      <c r="H113">
        <v>200</v>
      </c>
      <c r="I113">
        <v>8</v>
      </c>
      <c r="J113">
        <v>8</v>
      </c>
      <c r="K113" t="str">
        <v>CONVERSE</v>
      </c>
      <c r="L113" t="str">
        <v>Forecast</v>
      </c>
      <c r="M113" t="str">
        <v>DIE CUT</v>
      </c>
      <c r="N113">
        <v>62</v>
      </c>
      <c r="O113" t="str">
        <v>Gấp-uu tiên 1</v>
      </c>
      <c r="P113" t="str">
        <v>ok</v>
      </c>
      <c r="Q113">
        <v>46126</v>
      </c>
      <c r="R113">
        <f>S113-1</f>
        <v>46127</v>
      </c>
      <c r="S113">
        <v>46128</v>
      </c>
      <c r="T113" t="str">
        <v>l1</v>
      </c>
      <c r="U113">
        <v>62</v>
      </c>
      <c r="V113">
        <f>U113-N113</f>
        <v>0</v>
      </c>
      <c r="W113">
        <v>0</v>
      </c>
      <c r="X113">
        <v>0</v>
      </c>
      <c r="Y113">
        <v>200</v>
      </c>
      <c r="Z113" t="b">
        <v>0</v>
      </c>
      <c r="AE113" t="e">
        <f>SUMIF('[4]TONG XUAT BUN 2026'!$B:$F,A113,'[4]TONG XUAT BUN 2026'!$F:$F)</f>
        <v>#VALUE!</v>
      </c>
      <c r="AF113" t="str">
        <v>m2</v>
      </c>
    </row>
    <row r="114">
      <c r="A114" t="str">
        <v>F-2026-04-81-1</v>
      </c>
      <c r="B114" t="str">
        <v>FPRO-260406-0012</v>
      </c>
      <c r="C114" t="str">
        <v>13/4</v>
      </c>
      <c r="D114" t="str">
        <v>Firm plan 06.4</v>
      </c>
      <c r="E114" t="str">
        <v>BDB-000181</v>
      </c>
      <c r="F114" t="str">
        <v>PVN-003238</v>
      </c>
      <c r="G114" t="str">
        <v>OrthoLite Eco LT-Hybrid-Converse SEEDPEARL/12-0703TPX Hybrid 0.11D 25+/-4 Asker C 1.1M 2M 5mm</v>
      </c>
      <c r="H114">
        <v>32</v>
      </c>
      <c r="I114">
        <v>2</v>
      </c>
      <c r="J114">
        <v>2</v>
      </c>
      <c r="K114" t="str">
        <v>CONVERSE</v>
      </c>
      <c r="L114" t="str">
        <v>Forecast</v>
      </c>
      <c r="M114" t="str">
        <v>DIE CUT</v>
      </c>
      <c r="O114" t="str">
        <v>Gấp-uu tiên 1</v>
      </c>
      <c r="P114" t="str">
        <v>ok</v>
      </c>
      <c r="Q114">
        <v>46126</v>
      </c>
      <c r="R114">
        <f>S114-1</f>
        <v>46127</v>
      </c>
      <c r="S114">
        <v>46128</v>
      </c>
      <c r="T114" t="str">
        <v>l1</v>
      </c>
      <c r="V114">
        <f>U114-N114</f>
        <v>0</v>
      </c>
      <c r="W114">
        <v>0</v>
      </c>
      <c r="X114">
        <v>0</v>
      </c>
      <c r="Y114">
        <v>32</v>
      </c>
      <c r="Z114" t="b">
        <v>0</v>
      </c>
      <c r="AE114" t="e">
        <f>SUMIF('[4]TONG XUAT BUN 2026'!$B:$F,A114,'[4]TONG XUAT BUN 2026'!$F:$F)</f>
        <v>#VALUE!</v>
      </c>
      <c r="AF114" t="str">
        <v>m2</v>
      </c>
    </row>
    <row r="115">
      <c r="A115" t="str">
        <v>F-2026-04-81-3</v>
      </c>
      <c r="B115" t="str">
        <v>FPRO-260408-0002</v>
      </c>
      <c r="C115" t="str">
        <v>13/4</v>
      </c>
      <c r="D115" t="str">
        <v>Firm plan 06.4</v>
      </c>
      <c r="E115" t="str">
        <v>BDB-000181</v>
      </c>
      <c r="F115" t="str">
        <v>PVN-003238</v>
      </c>
      <c r="G115" t="str">
        <v>OrthoLite Eco LT-Hybrid-Converse SEEDPEARL/12-0703TPX Hybrid 0.11D 25+/-4 Asker C 1.1M 2M 5mm</v>
      </c>
      <c r="H115">
        <v>11</v>
      </c>
      <c r="I115">
        <v>1</v>
      </c>
      <c r="J115">
        <v>1</v>
      </c>
      <c r="K115" t="str">
        <v>CONVERSE</v>
      </c>
      <c r="L115" t="str">
        <v>Forecast</v>
      </c>
      <c r="M115" t="str">
        <v>DIE CUT</v>
      </c>
      <c r="O115" t="str">
        <v>Gấp-uu tiên 1</v>
      </c>
      <c r="P115" t="str">
        <v>ok</v>
      </c>
      <c r="Q115">
        <v>46126</v>
      </c>
      <c r="R115">
        <f>S115-1</f>
        <v>46127</v>
      </c>
      <c r="S115">
        <v>46128</v>
      </c>
      <c r="T115" t="str">
        <v>l1</v>
      </c>
      <c r="V115">
        <f>U115-N115</f>
        <v>0</v>
      </c>
      <c r="W115">
        <v>0</v>
      </c>
      <c r="X115">
        <v>0</v>
      </c>
      <c r="Y115">
        <v>11</v>
      </c>
      <c r="Z115" t="b">
        <v>0</v>
      </c>
      <c r="AE115" t="e">
        <f>SUMIF('[4]TONG XUAT BUN 2026'!$B:$F,A115,'[4]TONG XUAT BUN 2026'!$F:$F)</f>
        <v>#VALUE!</v>
      </c>
      <c r="AF115" t="str">
        <v>m2</v>
      </c>
    </row>
    <row r="116">
      <c r="A116" t="str">
        <v>F-2026-04-81-2</v>
      </c>
      <c r="B116" t="str">
        <v>FPRO-260408-0001</v>
      </c>
      <c r="C116" t="str">
        <v>13/4</v>
      </c>
      <c r="D116" t="str">
        <v>Firm plan 06.4</v>
      </c>
      <c r="E116" t="str">
        <v>BDB-000181</v>
      </c>
      <c r="F116" t="str">
        <v>PVN-003238</v>
      </c>
      <c r="G116" t="str">
        <v>OrthoLite Eco LT-Hybrid-Converse SEEDPEARL/12-0703TPX Hybrid 0.11D 25+/-4 Asker C 1.1M 2M 5mm</v>
      </c>
      <c r="H116">
        <v>407</v>
      </c>
      <c r="I116">
        <v>15</v>
      </c>
      <c r="J116">
        <v>15</v>
      </c>
      <c r="K116" t="str">
        <v>CONVERSE</v>
      </c>
      <c r="L116" t="str">
        <v>Forecast</v>
      </c>
      <c r="M116" t="str">
        <v>DIE CUT</v>
      </c>
      <c r="O116" t="str">
        <v>Gấp-uu tiên 1</v>
      </c>
      <c r="P116" t="str">
        <v>ok</v>
      </c>
      <c r="Q116">
        <v>46126</v>
      </c>
      <c r="R116">
        <f>S116-1</f>
        <v>46127</v>
      </c>
      <c r="S116">
        <v>46128</v>
      </c>
      <c r="T116" t="str">
        <v>l1</v>
      </c>
      <c r="V116">
        <f>U116-N116</f>
        <v>0</v>
      </c>
      <c r="W116">
        <v>0</v>
      </c>
      <c r="X116">
        <v>0</v>
      </c>
      <c r="Y116">
        <v>407</v>
      </c>
      <c r="Z116" t="b">
        <v>0</v>
      </c>
      <c r="AE116" t="e">
        <f>SUMIF('[4]TONG XUAT BUN 2026'!$B:$F,A116,'[4]TONG XUAT BUN 2026'!$F:$F)</f>
        <v>#VALUE!</v>
      </c>
      <c r="AF116" t="str">
        <v>m2</v>
      </c>
    </row>
    <row r="117">
      <c r="A117" t="str">
        <v>F-2026-04-79</v>
      </c>
      <c r="B117" t="str">
        <v>FPRO-260406-0010</v>
      </c>
      <c r="C117" t="str">
        <v>13/4</v>
      </c>
      <c r="D117" t="str">
        <v>Firm plan 06.4</v>
      </c>
      <c r="E117" t="str">
        <v>BDB-000181</v>
      </c>
      <c r="F117" t="str">
        <v>PVN-003238</v>
      </c>
      <c r="G117" t="str">
        <v>OrthoLite Eco LT-Hybrid-Converse SEEDPEARL/12-0703TPX Hybrid 0.11D 25+/-4 Asker C 1.1M 2M 5mm</v>
      </c>
      <c r="H117">
        <v>1000</v>
      </c>
      <c r="I117">
        <v>36</v>
      </c>
      <c r="J117">
        <v>36</v>
      </c>
      <c r="K117" t="str">
        <v>CONVERSE</v>
      </c>
      <c r="L117" t="str">
        <v>Forecast</v>
      </c>
      <c r="M117" t="str">
        <v>DIE CUT</v>
      </c>
      <c r="P117" t="str">
        <v>ok</v>
      </c>
      <c r="Q117">
        <v>46130</v>
      </c>
      <c r="R117">
        <f>S117-1</f>
        <v>46132</v>
      </c>
      <c r="S117">
        <v>46133</v>
      </c>
      <c r="T117" t="str">
        <v>l1</v>
      </c>
      <c r="V117">
        <f>U117-N117</f>
        <v>0</v>
      </c>
      <c r="W117">
        <v>0</v>
      </c>
      <c r="X117">
        <v>0</v>
      </c>
      <c r="Y117">
        <v>1000</v>
      </c>
      <c r="Z117" t="b">
        <v>1</v>
      </c>
      <c r="AE117" t="e">
        <f>SUMIF('[4]TONG XUAT BUN 2026'!$B:$F,A117,'[4]TONG XUAT BUN 2026'!$F:$F)</f>
        <v>#VALUE!</v>
      </c>
      <c r="AF117" t="str">
        <v>m2</v>
      </c>
    </row>
    <row r="118">
      <c r="V118">
        <f>U118-N118</f>
        <v>0</v>
      </c>
      <c r="AF118" t="str">
        <v>m2</v>
      </c>
    </row>
    <row r="119">
      <c r="A119" t="str">
        <v>F-2026-02-216-1</v>
      </c>
      <c r="B119" t="str">
        <v>FPRO-260211-0036</v>
      </c>
      <c r="C119" t="str">
        <v>13/4</v>
      </c>
      <c r="D119" t="str">
        <v>Firm plan 11.2</v>
      </c>
      <c r="E119" t="str">
        <v>BDB-000123</v>
      </c>
      <c r="F119" t="str">
        <v>PVN-003298</v>
      </c>
      <c r="G119" t="str">
        <v>OrthoLite Ultra-Hybrid SEEDPEARL/12-0703TPX Hybrid 0.085D 25+/-4 Asker C 1.1M 2M 4mm</v>
      </c>
      <c r="H119">
        <v>2000</v>
      </c>
      <c r="I119">
        <v>58</v>
      </c>
      <c r="J119">
        <v>58</v>
      </c>
      <c r="K119" t="str">
        <v>ADIDAS</v>
      </c>
      <c r="L119" t="str">
        <v>Forecast</v>
      </c>
      <c r="M119" t="str">
        <v>SPLITTING</v>
      </c>
      <c r="N119">
        <f>58-16</f>
        <v>42</v>
      </c>
      <c r="O119" t="str">
        <v xml:space="preserve">W15 đổ dư 16 bun </v>
      </c>
      <c r="P119" t="str">
        <v>ok</v>
      </c>
      <c r="Q119">
        <v>46126</v>
      </c>
      <c r="R119">
        <f>S119-1</f>
        <v>46128</v>
      </c>
      <c r="S119">
        <v>46129</v>
      </c>
      <c r="T119" t="str">
        <v>l1</v>
      </c>
      <c r="U119">
        <f>38+4</f>
        <v>42</v>
      </c>
      <c r="V119">
        <f>U119-N119</f>
        <v>0</v>
      </c>
      <c r="W119">
        <v>0</v>
      </c>
      <c r="X119">
        <v>0</v>
      </c>
      <c r="Y119">
        <v>2000</v>
      </c>
      <c r="Z119" t="b">
        <v>0</v>
      </c>
      <c r="AE119" t="e">
        <f>SUMIF('[4]TONG XUAT BUN 2026'!$B:$F,A119,'[4]TONG XUAT BUN 2026'!$F:$F)</f>
        <v>#VALUE!</v>
      </c>
      <c r="AF119" t="str">
        <v>m2</v>
      </c>
    </row>
    <row r="120">
      <c r="V120">
        <f>U120-N120</f>
        <v>0</v>
      </c>
      <c r="AF120" t="str">
        <v>m2</v>
      </c>
    </row>
    <row r="121">
      <c r="A121" t="str">
        <v>F-2026-02-111</v>
      </c>
      <c r="B121" t="str">
        <v>FPRO-260206-0008</v>
      </c>
      <c r="C121" t="str">
        <v>13/4</v>
      </c>
      <c r="D121" t="str">
        <v>Firm plan 06.2</v>
      </c>
      <c r="E121" t="str">
        <v>BDB-000097</v>
      </c>
      <c r="F121" t="str">
        <v>PVN-002478</v>
      </c>
      <c r="G121" t="str">
        <v>OrthoLite Eco LT-Hybrid SEEDPEARL/12-0703TPX Hybrid 0.11D 25+/-4 Asker C 1.1M 2M 4mm</v>
      </c>
      <c r="H121">
        <v>3500</v>
      </c>
      <c r="I121">
        <v>100</v>
      </c>
      <c r="J121">
        <v>100</v>
      </c>
      <c r="K121" t="str">
        <v>NEW BALANCE</v>
      </c>
      <c r="L121" t="str">
        <v>Forecast</v>
      </c>
      <c r="M121" t="str">
        <v>DIE CUT</v>
      </c>
      <c r="N121">
        <v>200</v>
      </c>
      <c r="P121" t="str">
        <v>ok</v>
      </c>
      <c r="Q121">
        <v>46126</v>
      </c>
      <c r="R121">
        <f>S121-1</f>
        <v>46128</v>
      </c>
      <c r="S121">
        <v>46129</v>
      </c>
      <c r="T121" t="str">
        <v>l1</v>
      </c>
      <c r="U121">
        <f>27+83+90</f>
        <v>200</v>
      </c>
      <c r="V121">
        <f>U121-N121</f>
        <v>0</v>
      </c>
      <c r="W121">
        <v>0</v>
      </c>
      <c r="X121">
        <v>0</v>
      </c>
      <c r="Y121">
        <v>3500</v>
      </c>
      <c r="Z121" t="b">
        <v>0</v>
      </c>
      <c r="AE121" t="e">
        <f>SUMIF('[4]TONG XUAT BUN 2026'!$B:$F,A121,'[4]TONG XUAT BUN 2026'!$F:$F)</f>
        <v>#VALUE!</v>
      </c>
      <c r="AF121" t="str">
        <v>m2</v>
      </c>
    </row>
    <row r="122">
      <c r="A122" t="str">
        <v>F-2026-02-112</v>
      </c>
      <c r="B122" t="str">
        <v>FPRO-260206-0009</v>
      </c>
      <c r="C122" t="str">
        <v>13/4-14/4</v>
      </c>
      <c r="D122" t="str">
        <v>Firm plan 06.2</v>
      </c>
      <c r="E122" t="str">
        <v>BDB-000097</v>
      </c>
      <c r="F122" t="str">
        <v>PVN-002478</v>
      </c>
      <c r="G122" t="str">
        <v>OrthoLite Eco LT-Hybrid SEEDPEARL/12-0703TPX Hybrid 0.11D 25+/-4 Asker C 1.1M 2M 4mm</v>
      </c>
      <c r="H122">
        <v>3500</v>
      </c>
      <c r="I122">
        <v>100</v>
      </c>
      <c r="J122">
        <v>100</v>
      </c>
      <c r="K122" t="str">
        <v>NEW BALANCE</v>
      </c>
      <c r="L122" t="str">
        <v>Forecast</v>
      </c>
      <c r="M122" t="str">
        <v>DIE CUT</v>
      </c>
      <c r="P122" t="str">
        <v>ok</v>
      </c>
      <c r="Q122">
        <v>46130</v>
      </c>
      <c r="R122">
        <f>S122-1</f>
        <v>46132</v>
      </c>
      <c r="S122">
        <v>46133</v>
      </c>
      <c r="T122" t="str">
        <v>l1</v>
      </c>
      <c r="V122">
        <f>U122-N122</f>
        <v>0</v>
      </c>
      <c r="W122">
        <v>0</v>
      </c>
      <c r="X122">
        <v>0</v>
      </c>
      <c r="Y122">
        <v>3500</v>
      </c>
      <c r="Z122" t="b">
        <v>0</v>
      </c>
      <c r="AE122" t="e">
        <f>SUMIF('[4]TONG XUAT BUN 2026'!$B:$F,A122,'[4]TONG XUAT BUN 2026'!$F:$F)</f>
        <v>#VALUE!</v>
      </c>
      <c r="AF122" t="str">
        <v>m2</v>
      </c>
    </row>
    <row r="123">
      <c r="V123">
        <f>U123-N123</f>
        <v>0</v>
      </c>
      <c r="AF123" t="str">
        <v>m2</v>
      </c>
    </row>
    <row r="124">
      <c r="A124" t="str">
        <v>F-2026-03-486</v>
      </c>
      <c r="B124" t="str">
        <v>FPRO-260324-0058</v>
      </c>
      <c r="C124" t="str">
        <v>14/4</v>
      </c>
      <c r="D124" t="str">
        <v>Firm plan 24.3</v>
      </c>
      <c r="E124" t="str">
        <v>BDB-000175</v>
      </c>
      <c r="F124" t="str">
        <v>PVN-002875</v>
      </c>
      <c r="G124" t="str">
        <v>OrthoLite Ultra-Hybrid-Nike SEEDPEARL/12-0703TPX Hybrid 0.085D 25+/-4 Asker C 1.1M 2M 3mm</v>
      </c>
      <c r="H124">
        <v>1000</v>
      </c>
      <c r="I124">
        <v>22</v>
      </c>
      <c r="J124">
        <v>22</v>
      </c>
      <c r="K124" t="str">
        <v>NIKE</v>
      </c>
      <c r="L124" t="str">
        <v>Forecast</v>
      </c>
      <c r="M124" t="str">
        <v>DIE CUT</v>
      </c>
      <c r="N124">
        <v>122</v>
      </c>
      <c r="P124" t="str">
        <v>ok</v>
      </c>
      <c r="Q124">
        <v>46127</v>
      </c>
      <c r="R124">
        <f>S124-1</f>
        <v>46129</v>
      </c>
      <c r="S124">
        <v>46130</v>
      </c>
      <c r="T124" t="str">
        <v>l1</v>
      </c>
      <c r="U124">
        <f>60+67</f>
        <v>127</v>
      </c>
      <c r="V124">
        <f>U124-N124</f>
        <v>5</v>
      </c>
      <c r="W124">
        <v>0</v>
      </c>
      <c r="X124">
        <v>0</v>
      </c>
      <c r="Y124">
        <v>1000</v>
      </c>
      <c r="Z124" t="b">
        <v>0</v>
      </c>
      <c r="AE124" t="e">
        <f>SUMIF('[4]TONG XUAT BUN 2026'!$B:$F,A124,'[4]TONG XUAT BUN 2026'!$F:$F)</f>
        <v>#VALUE!</v>
      </c>
      <c r="AF124" t="str">
        <v>m2</v>
      </c>
    </row>
    <row r="125">
      <c r="A125" t="str">
        <v>F-2026-02-287</v>
      </c>
      <c r="B125" t="str">
        <v>FPRO-260212-0038</v>
      </c>
      <c r="C125" t="str">
        <v>14/4</v>
      </c>
      <c r="D125" t="str">
        <v>Firm plan 12.02</v>
      </c>
      <c r="E125" t="str">
        <v>BDB-000175</v>
      </c>
      <c r="F125" t="str">
        <v>PVN-002966</v>
      </c>
      <c r="G125" t="str">
        <v>OrthoLite Ultra-Hybrid-Nike SEEDPEARL/12-0703TPX Hybrid 0.085D 25+/-4 Asker C 1.1M 2M 4mm</v>
      </c>
      <c r="H125">
        <v>3500</v>
      </c>
      <c r="I125">
        <v>100</v>
      </c>
      <c r="J125">
        <v>100</v>
      </c>
      <c r="K125" t="str">
        <v>NIKE</v>
      </c>
      <c r="L125" t="str">
        <v>Forecast</v>
      </c>
      <c r="M125" t="str">
        <v>DIE CUT</v>
      </c>
      <c r="P125" t="str">
        <v>ok</v>
      </c>
      <c r="Q125">
        <v>46127</v>
      </c>
      <c r="R125">
        <f>S125-1</f>
        <v>46129</v>
      </c>
      <c r="S125">
        <v>46130</v>
      </c>
      <c r="T125" t="str">
        <v>l1</v>
      </c>
      <c r="V125">
        <f>U125-N125</f>
        <v>0</v>
      </c>
      <c r="W125">
        <v>0</v>
      </c>
      <c r="X125">
        <v>0</v>
      </c>
      <c r="Y125">
        <v>3500</v>
      </c>
      <c r="Z125" t="b">
        <v>0</v>
      </c>
      <c r="AE125" t="e">
        <f>SUMIF('[4]TONG XUAT BUN 2026'!$B:$F,A125,'[4]TONG XUAT BUN 2026'!$F:$F)</f>
        <v>#VALUE!</v>
      </c>
      <c r="AF125" t="str">
        <v>m2</v>
      </c>
    </row>
    <row r="126">
      <c r="V126">
        <f>U126-N126</f>
        <v>0</v>
      </c>
      <c r="AF126" t="str">
        <v>m2</v>
      </c>
    </row>
    <row r="127">
      <c r="A127" t="str">
        <v>F-2026-04-70</v>
      </c>
      <c r="B127" t="str">
        <v>RPRO-260406-1108</v>
      </c>
      <c r="C127" t="str">
        <v>14/4</v>
      </c>
      <c r="D127" t="str">
        <v>Pro.sche.report 3.4+4.4</v>
      </c>
      <c r="E127" t="str">
        <v>BDB-000229</v>
      </c>
      <c r="F127" t="str">
        <v>PVN-003692</v>
      </c>
      <c r="G127" t="str">
        <v>OrthoLite Ultra-Hybrid SEEDPEARL/12-0703TPX Hybrid Flat Sheet 0.095D 33+/-4 Asker C 1.1M 2M 15.5mm</v>
      </c>
      <c r="H127">
        <v>24</v>
      </c>
      <c r="I127">
        <v>3</v>
      </c>
      <c r="J127">
        <v>3</v>
      </c>
      <c r="K127" t="str">
        <v>GARMONT</v>
      </c>
      <c r="L127" t="str">
        <v>Pr.Sch.R</v>
      </c>
      <c r="M127" t="str">
        <v>MOLDED</v>
      </c>
      <c r="N127">
        <v>3</v>
      </c>
      <c r="P127" t="str">
        <v>ok</v>
      </c>
      <c r="Q127">
        <v>46130</v>
      </c>
      <c r="R127">
        <f>S127-1</f>
        <v>46132</v>
      </c>
      <c r="S127">
        <v>46133</v>
      </c>
      <c r="T127" t="str">
        <v>l1</v>
      </c>
      <c r="U127">
        <v>3</v>
      </c>
      <c r="V127">
        <f>U127-N127</f>
        <v>0</v>
      </c>
      <c r="W127">
        <v>0</v>
      </c>
      <c r="X127">
        <v>0</v>
      </c>
      <c r="Y127">
        <v>24</v>
      </c>
      <c r="Z127" t="b">
        <v>1</v>
      </c>
      <c r="AE127" t="e">
        <f>SUMIF('[4]TONG XUAT BUN 2026'!$B:$F,A127,'[4]TONG XUAT BUN 2026'!$F:$F)</f>
        <v>#VALUE!</v>
      </c>
      <c r="AF127" t="str">
        <v>m2</v>
      </c>
    </row>
    <row r="128">
      <c r="V128">
        <f>U128-N128</f>
        <v>0</v>
      </c>
      <c r="AF128" t="str">
        <v>m2</v>
      </c>
    </row>
    <row r="129">
      <c r="A129" t="str">
        <v>F-2026-02-216-2</v>
      </c>
      <c r="B129" t="str">
        <v>FPRO-260401-0011</v>
      </c>
      <c r="C129" t="str">
        <v>14/4</v>
      </c>
      <c r="D129" t="str">
        <v>Firm plan 11.2</v>
      </c>
      <c r="E129" t="str">
        <v>BDB-000123</v>
      </c>
      <c r="F129" t="str">
        <v>PVN-003298</v>
      </c>
      <c r="G129" t="str">
        <v>OrthoLite Ultra-Hybrid SEEDPEARL/12-0703TPX Hybrid 0.085D 25+/-4 Asker C 1.1M 2M 4mm</v>
      </c>
      <c r="H129">
        <v>5000</v>
      </c>
      <c r="I129">
        <v>143</v>
      </c>
      <c r="J129">
        <v>143</v>
      </c>
      <c r="K129" t="str">
        <v>ADIDAS</v>
      </c>
      <c r="L129" t="str">
        <v>Forecast</v>
      </c>
      <c r="M129" t="str">
        <v>SPLITTING</v>
      </c>
      <c r="N129">
        <v>566</v>
      </c>
      <c r="P129" t="str">
        <v>ok</v>
      </c>
      <c r="Q129">
        <v>46127</v>
      </c>
      <c r="R129">
        <f>S129-1</f>
        <v>46129</v>
      </c>
      <c r="S129">
        <v>46130</v>
      </c>
      <c r="T129" t="str">
        <v>l1</v>
      </c>
      <c r="U129">
        <f>150-2-2-4+119+127+178</f>
        <v>566</v>
      </c>
      <c r="V129">
        <f>U129-N129</f>
        <v>0</v>
      </c>
      <c r="W129">
        <v>0</v>
      </c>
      <c r="X129">
        <v>0</v>
      </c>
      <c r="Y129">
        <v>5000</v>
      </c>
      <c r="Z129" t="b">
        <v>0</v>
      </c>
      <c r="AE129" t="e">
        <f>SUMIF('[4]TONG XUAT BUN 2026'!$B:$F,A129,'[4]TONG XUAT BUN 2026'!$F:$F)</f>
        <v>#VALUE!</v>
      </c>
      <c r="AF129" t="str">
        <v>m2</v>
      </c>
    </row>
    <row r="130">
      <c r="A130" t="str">
        <v>F-2026-04-99</v>
      </c>
      <c r="B130" t="str">
        <v>RPRO-260409-0285</v>
      </c>
      <c r="C130" t="str">
        <v>14/4</v>
      </c>
      <c r="D130" t="str">
        <v>MPS 07.4+08.4</v>
      </c>
      <c r="E130" t="str">
        <v>BDB-000123</v>
      </c>
      <c r="F130" t="str">
        <v>PVN-003300</v>
      </c>
      <c r="G130" t="str">
        <v>OrthoLite Ultra-Hybrid SEEDPEARL/12-0703TPX Hybrid Flat Sheet 0.085D 25+/-4 Asker C 1.1M 2M 2mm</v>
      </c>
      <c r="H130">
        <v>140</v>
      </c>
      <c r="I130">
        <v>3</v>
      </c>
      <c r="J130">
        <v>3</v>
      </c>
      <c r="L130" t="str">
        <v>MPS</v>
      </c>
      <c r="M130" t="str">
        <v>SPLITTING</v>
      </c>
      <c r="P130" t="str">
        <v>ok</v>
      </c>
      <c r="Q130">
        <v>46128</v>
      </c>
      <c r="R130">
        <f>S130-1-1</f>
        <v>46130</v>
      </c>
      <c r="S130">
        <v>46132</v>
      </c>
      <c r="T130" t="str">
        <v>l1</v>
      </c>
      <c r="V130">
        <f>U130-N130</f>
        <v>0</v>
      </c>
      <c r="W130">
        <v>0</v>
      </c>
      <c r="X130">
        <v>0</v>
      </c>
      <c r="Y130">
        <v>140</v>
      </c>
      <c r="Z130" t="b">
        <v>0</v>
      </c>
      <c r="AE130" t="e">
        <f>SUMIF('[4]TONG XUAT BUN 2026'!$B:$F,A130,'[4]TONG XUAT BUN 2026'!$F:$F)</f>
        <v>#VALUE!</v>
      </c>
      <c r="AF130" t="str">
        <v>m2</v>
      </c>
    </row>
    <row r="131">
      <c r="A131" t="str">
        <v>F-2026-02-224</v>
      </c>
      <c r="B131" t="str">
        <v>FPRO-260211-0044</v>
      </c>
      <c r="C131" t="str">
        <v>14/4-15/4</v>
      </c>
      <c r="D131" t="str">
        <v>Firm plan 11.2</v>
      </c>
      <c r="E131" t="str">
        <v>BDB-000123</v>
      </c>
      <c r="F131" t="str">
        <v>PVN-003298</v>
      </c>
      <c r="G131" t="str">
        <v>OrthoLite Ultra-Hybrid SEEDPEARL/12-0703TPX Hybrid 0.085D 25+/-4 Asker C 1.1M 2M 4mm</v>
      </c>
      <c r="H131">
        <v>7000</v>
      </c>
      <c r="I131">
        <v>200</v>
      </c>
      <c r="J131">
        <v>200</v>
      </c>
      <c r="K131" t="str">
        <v>ADIDAS</v>
      </c>
      <c r="L131" t="str">
        <v>Forecast</v>
      </c>
      <c r="M131" t="str">
        <v>SPLITTING</v>
      </c>
      <c r="P131" t="str">
        <v>ok</v>
      </c>
      <c r="Q131">
        <v>46128</v>
      </c>
      <c r="R131">
        <f>S131-1-1</f>
        <v>46130</v>
      </c>
      <c r="S131">
        <v>46132</v>
      </c>
      <c r="T131" t="str">
        <v>l1</v>
      </c>
      <c r="V131">
        <f>U131-N131</f>
        <v>0</v>
      </c>
      <c r="W131">
        <v>0</v>
      </c>
      <c r="X131">
        <v>0</v>
      </c>
      <c r="Y131">
        <v>7000</v>
      </c>
      <c r="Z131" t="b">
        <v>0</v>
      </c>
      <c r="AE131" t="e">
        <f>SUMIF('[4]TONG XUAT BUN 2026'!$B:$F,A131,'[4]TONG XUAT BUN 2026'!$F:$F)</f>
        <v>#VALUE!</v>
      </c>
      <c r="AF131" t="str">
        <v>m2</v>
      </c>
    </row>
    <row r="132">
      <c r="A132" t="str">
        <v>F-2026-04-54</v>
      </c>
      <c r="B132" t="str">
        <v>FPRO-260401-0001</v>
      </c>
      <c r="C132" t="str">
        <v>15/4</v>
      </c>
      <c r="D132" t="str">
        <v>Firm plan 01.04</v>
      </c>
      <c r="E132" t="str">
        <v>BDB-000123</v>
      </c>
      <c r="F132" t="str">
        <v>PVN-002973</v>
      </c>
      <c r="G132" t="str">
        <v>OrthoLite Ultra-Hybrid SEEDPEARL/12-0703TPX Hybrid 0.085D 25+/-4 Asker C 1.1M 2M 4.5mm</v>
      </c>
      <c r="H132">
        <v>41</v>
      </c>
      <c r="I132">
        <v>2</v>
      </c>
      <c r="J132">
        <v>2</v>
      </c>
      <c r="K132" t="str">
        <v>SALOMON</v>
      </c>
      <c r="L132" t="str">
        <v>Forecast</v>
      </c>
      <c r="M132" t="str">
        <v>MOLDED</v>
      </c>
      <c r="P132" t="str">
        <v>ok</v>
      </c>
      <c r="Q132">
        <v>46130</v>
      </c>
      <c r="R132">
        <f>S132-1</f>
        <v>46133</v>
      </c>
      <c r="S132">
        <v>46134</v>
      </c>
      <c r="T132" t="str">
        <v>list 1_add</v>
      </c>
      <c r="V132">
        <f>U132-N132</f>
        <v>0</v>
      </c>
      <c r="W132">
        <v>0</v>
      </c>
      <c r="X132">
        <v>0</v>
      </c>
      <c r="Y132">
        <v>41</v>
      </c>
      <c r="Z132" t="b">
        <v>0</v>
      </c>
      <c r="AA132" t="str">
        <v>keep ETD</v>
      </c>
      <c r="AE132" t="e">
        <f>SUMIF('[4]TONG XUAT BUN 2026'!$B:$F,A132,'[4]TONG XUAT BUN 2026'!$F:$F)</f>
        <v>#VALUE!</v>
      </c>
      <c r="AF132" t="str">
        <v>m2</v>
      </c>
    </row>
    <row r="133">
      <c r="A133" t="str">
        <v>F-2026-02-192</v>
      </c>
      <c r="B133" t="str">
        <v>FPRO-260211-0012</v>
      </c>
      <c r="C133" t="str">
        <v>15/4</v>
      </c>
      <c r="D133" t="str">
        <v>Firm plan 11.2</v>
      </c>
      <c r="E133" t="str">
        <v>BDB-000123</v>
      </c>
      <c r="F133" t="str">
        <v>PVN-002973</v>
      </c>
      <c r="G133" t="str">
        <v>OrthoLite Ultra-Hybrid SEEDPEARL/12-0703TPX Hybrid 0.085D 25+/-4 Asker C 1.1M 2M 4.5mm</v>
      </c>
      <c r="H133">
        <v>300</v>
      </c>
      <c r="I133">
        <v>10</v>
      </c>
      <c r="J133">
        <v>10</v>
      </c>
      <c r="K133" t="str">
        <v>SALOMON</v>
      </c>
      <c r="L133" t="str">
        <v>Forecast</v>
      </c>
      <c r="M133" t="str">
        <v>MOLDED</v>
      </c>
      <c r="P133" t="str">
        <v>ok</v>
      </c>
      <c r="Q133">
        <v>46130</v>
      </c>
      <c r="R133">
        <f>S133-1</f>
        <v>46133</v>
      </c>
      <c r="S133">
        <v>46134</v>
      </c>
      <c r="T133" t="str">
        <v>list 1_add</v>
      </c>
      <c r="V133">
        <f>U133-N133</f>
        <v>0</v>
      </c>
      <c r="W133">
        <v>0</v>
      </c>
      <c r="X133">
        <v>0</v>
      </c>
      <c r="Y133">
        <v>300</v>
      </c>
      <c r="Z133" t="b">
        <v>0</v>
      </c>
      <c r="AA133" t="str">
        <v>keep ETD</v>
      </c>
      <c r="AE133" t="e">
        <f>SUMIF('[4]TONG XUAT BUN 2026'!$B:$F,A133,'[4]TONG XUAT BUN 2026'!$F:$F)</f>
        <v>#VALUE!</v>
      </c>
      <c r="AF133" t="str">
        <v>m2</v>
      </c>
    </row>
    <row r="134">
      <c r="A134" t="str">
        <v>F-2026-04-126</v>
      </c>
      <c r="B134" t="str">
        <v>RPRO-260410-0209</v>
      </c>
      <c r="C134" t="str">
        <v>15/4</v>
      </c>
      <c r="D134" t="str">
        <v>Pro.sche.report 09.4</v>
      </c>
      <c r="E134" t="str">
        <v>BDB-000123</v>
      </c>
      <c r="F134" t="str">
        <v>PVN-003743</v>
      </c>
      <c r="G134" t="str">
        <v>OrthoLite Ultra-Hybrid SEEDPEARL/12-0703TPX Hybrid Flat Sheet 0.085D 25+/-4 Asker C 1.1M 2M 5.5mm</v>
      </c>
      <c r="H134">
        <v>200</v>
      </c>
      <c r="I134">
        <v>8</v>
      </c>
      <c r="J134">
        <v>8</v>
      </c>
      <c r="K134" t="str">
        <v>LOWA</v>
      </c>
      <c r="L134" t="str">
        <v>Pr.Sch.R</v>
      </c>
      <c r="M134" t="str">
        <v>MOLDED</v>
      </c>
      <c r="P134" t="str">
        <v>ok</v>
      </c>
      <c r="Q134">
        <v>46134</v>
      </c>
      <c r="R134">
        <f>S134-1</f>
        <v>46136</v>
      </c>
      <c r="S134">
        <v>46137</v>
      </c>
      <c r="T134" t="str">
        <v>l1</v>
      </c>
      <c r="V134">
        <f>U134-N134</f>
        <v>0</v>
      </c>
      <c r="W134">
        <v>0</v>
      </c>
      <c r="X134">
        <v>0</v>
      </c>
      <c r="Y134">
        <v>200</v>
      </c>
      <c r="Z134" t="b">
        <v>1</v>
      </c>
      <c r="AE134" t="e">
        <f>SUMIF('[4]TONG XUAT BUN 2026'!$B:$F,A134,'[4]TONG XUAT BUN 2026'!$F:$F)</f>
        <v>#VALUE!</v>
      </c>
      <c r="AF134" t="str">
        <v>m2</v>
      </c>
    </row>
    <row r="135">
      <c r="A135" t="str">
        <v>F-2026-02-219</v>
      </c>
      <c r="B135" t="str">
        <v>FPRO-260211-0039</v>
      </c>
      <c r="C135" t="str">
        <v>15/4-16/4</v>
      </c>
      <c r="D135" t="str">
        <v>Firm plan 11.2</v>
      </c>
      <c r="E135" t="str">
        <v>BDB-000123</v>
      </c>
      <c r="F135" t="str">
        <v>PVN-003298</v>
      </c>
      <c r="G135" t="str">
        <v>OrthoLite Ultra-Hybrid SEEDPEARL/12-0703TPX Hybrid 0.085D 25+/-4 Asker C 1.1M 2M 4mm</v>
      </c>
      <c r="H135">
        <v>7000</v>
      </c>
      <c r="I135">
        <v>200</v>
      </c>
      <c r="J135">
        <v>200</v>
      </c>
      <c r="K135" t="str">
        <v>ADIDAS</v>
      </c>
      <c r="L135" t="str">
        <v>Forecast</v>
      </c>
      <c r="M135" t="str">
        <v>SPLITTING</v>
      </c>
      <c r="P135" t="str">
        <v>ok</v>
      </c>
      <c r="Q135">
        <v>46130</v>
      </c>
      <c r="R135">
        <f>S135-1</f>
        <v>46133</v>
      </c>
      <c r="S135">
        <v>46134</v>
      </c>
      <c r="T135" t="str">
        <v>list 1_add</v>
      </c>
      <c r="V135">
        <f>U135-N135</f>
        <v>0</v>
      </c>
      <c r="W135">
        <v>0</v>
      </c>
      <c r="X135">
        <v>0</v>
      </c>
      <c r="Y135">
        <v>7000</v>
      </c>
      <c r="Z135" t="b">
        <v>0</v>
      </c>
      <c r="AA135" t="str">
        <v>keep ETD</v>
      </c>
      <c r="AE135" t="e">
        <f>SUMIF('[4]TONG XUAT BUN 2026'!$B:$F,A135,'[4]TONG XUAT BUN 2026'!$F:$F)</f>
        <v>#VALUE!</v>
      </c>
      <c r="AF135" t="str">
        <v>m2</v>
      </c>
    </row>
    <row r="136">
      <c r="V136">
        <f>U136-N136</f>
        <v>0</v>
      </c>
      <c r="AF136" t="str">
        <v>m2</v>
      </c>
    </row>
    <row r="137">
      <c r="A137" t="str">
        <v>F-2026-04-119</v>
      </c>
      <c r="B137" t="str">
        <v>RPRO-260410-0202</v>
      </c>
      <c r="C137" t="str">
        <v>16/4</v>
      </c>
      <c r="D137" t="str">
        <v>Pro.sche.report 09.4</v>
      </c>
      <c r="E137" t="str">
        <v>BDB-000107</v>
      </c>
      <c r="F137" t="str">
        <v>PVN-003482</v>
      </c>
      <c r="G137" t="str">
        <v>OrthoLite Eco LT-Hybrid SEEDPEARL/12-0703TPX Hybrid Flat Sheet 0.11D 25+/-4 Asker C 1.1M 1.47M 4mm</v>
      </c>
      <c r="H137">
        <v>105</v>
      </c>
      <c r="I137">
        <v>3</v>
      </c>
      <c r="J137">
        <v>3</v>
      </c>
      <c r="K137" t="str">
        <v>NEW BALANCE</v>
      </c>
      <c r="L137" t="str">
        <v>Pr.Sch.R</v>
      </c>
      <c r="M137" t="str">
        <v>DIE CUT</v>
      </c>
      <c r="N137">
        <v>0</v>
      </c>
      <c r="O137" t="str">
        <v>ppc/pur imp-đã nhắc sx</v>
      </c>
      <c r="P137" t="str">
        <v>ok</v>
      </c>
      <c r="Q137">
        <v>46129</v>
      </c>
      <c r="R137">
        <f>S137-1</f>
        <v>46131</v>
      </c>
      <c r="S137">
        <v>46132</v>
      </c>
      <c r="T137" t="str">
        <v>l1</v>
      </c>
      <c r="V137">
        <f>U137-N137</f>
        <v>0</v>
      </c>
      <c r="W137">
        <v>0</v>
      </c>
      <c r="X137">
        <v>0</v>
      </c>
      <c r="Y137">
        <v>105</v>
      </c>
      <c r="Z137" t="b">
        <v>1</v>
      </c>
      <c r="AE137" t="e">
        <f>SUMIF('[4]TONG XUAT BUN 2026'!$B:$F,A137,'[4]TONG XUAT BUN 2026'!$F:$F)</f>
        <v>#VALUE!</v>
      </c>
      <c r="AF137" t="str">
        <v>m2</v>
      </c>
    </row>
    <row r="138">
      <c r="N138" t="str">
        <v xml:space="preserve">tồn bên tách </v>
      </c>
      <c r="V138" t="e">
        <f>U138-N138</f>
        <v>#VALUE!</v>
      </c>
      <c r="AF138" t="str">
        <v>m2</v>
      </c>
    </row>
    <row r="139">
      <c r="A139" t="str">
        <v>F-2026-03-378</v>
      </c>
      <c r="B139" t="str">
        <v>FPRO-260318-0022</v>
      </c>
      <c r="C139" t="str">
        <v>16/4-17/4</v>
      </c>
      <c r="D139" t="str">
        <v>Firm plan 18.3</v>
      </c>
      <c r="E139" t="str">
        <v>BDB-000113</v>
      </c>
      <c r="F139" t="str">
        <v>PVN-003414</v>
      </c>
      <c r="G139" t="str">
        <v>OrthoLite Regular-Hybrid SEEDPEARL/12-0703TPX Hybrid Flat Sheet 0.11D 25+/-4 Asker C 1.1M 2M 12mm</v>
      </c>
      <c r="H139">
        <v>2500</v>
      </c>
      <c r="I139">
        <v>218</v>
      </c>
      <c r="J139">
        <v>218</v>
      </c>
      <c r="K139" t="str">
        <v>ASICS</v>
      </c>
      <c r="L139" t="str">
        <v>Forecast</v>
      </c>
      <c r="M139" t="str">
        <v>MOLDED</v>
      </c>
      <c r="N139">
        <v>310</v>
      </c>
      <c r="P139" t="str">
        <v>ok</v>
      </c>
      <c r="Q139">
        <v>46130</v>
      </c>
      <c r="R139">
        <f>S139-1</f>
        <v>46132</v>
      </c>
      <c r="S139">
        <v>46133</v>
      </c>
      <c r="T139" t="str">
        <v>l1</v>
      </c>
      <c r="U139">
        <f>76-71+34+127+144</f>
        <v>310</v>
      </c>
      <c r="V139">
        <f>U139-N139</f>
        <v>0</v>
      </c>
      <c r="W139">
        <v>0</v>
      </c>
      <c r="X139">
        <v>0</v>
      </c>
      <c r="Y139">
        <v>2500</v>
      </c>
      <c r="Z139" t="b">
        <v>0</v>
      </c>
      <c r="AE139" t="e">
        <f>SUMIF('[4]TONG XUAT BUN 2026'!$B:$F,A139,'[4]TONG XUAT BUN 2026'!$F:$F)</f>
        <v>#VALUE!</v>
      </c>
      <c r="AF139" t="str">
        <v>m2</v>
      </c>
    </row>
    <row r="140">
      <c r="A140" t="str">
        <v>F-2026-04-116</v>
      </c>
      <c r="B140" t="str">
        <v>RPRO-260410-0199</v>
      </c>
      <c r="C140" t="str">
        <v>17/4</v>
      </c>
      <c r="D140" t="str">
        <v>Pro.sche.report 09.4</v>
      </c>
      <c r="E140" t="str">
        <v>BDB-000113</v>
      </c>
      <c r="F140" t="str">
        <v>PVN-003601</v>
      </c>
      <c r="G140" t="str">
        <v>OrthoLite Regular-Hybrid SEEDPEARL/12-0703TPX Hybrid Flat Sheet 0.11D 25+/-4 Asker C 1.1M 2M 20mm</v>
      </c>
      <c r="H140">
        <v>6</v>
      </c>
      <c r="I140">
        <v>2</v>
      </c>
      <c r="J140">
        <v>2</v>
      </c>
      <c r="K140" t="str">
        <v>ASICS</v>
      </c>
      <c r="L140" t="str">
        <v>Pr.Sch.R</v>
      </c>
      <c r="M140" t="str">
        <v>MOLDED</v>
      </c>
      <c r="O140" t="str">
        <v>ppc/pur imp-đã nhắc sx</v>
      </c>
      <c r="P140" t="str">
        <v>ok</v>
      </c>
      <c r="Q140">
        <v>46130</v>
      </c>
      <c r="R140">
        <f>S140-1</f>
        <v>46132</v>
      </c>
      <c r="S140">
        <v>46133</v>
      </c>
      <c r="T140" t="str">
        <v>l1</v>
      </c>
      <c r="V140">
        <f>U140-N140</f>
        <v>0</v>
      </c>
      <c r="W140">
        <v>0</v>
      </c>
      <c r="X140">
        <v>0</v>
      </c>
      <c r="Y140">
        <v>6</v>
      </c>
      <c r="Z140" t="b">
        <v>1</v>
      </c>
      <c r="AE140" t="e">
        <f>SUMIF('[4]TONG XUAT BUN 2026'!$B:$F,A140,'[4]TONG XUAT BUN 2026'!$F:$F)</f>
        <v>#VALUE!</v>
      </c>
      <c r="AF140" t="str">
        <v>m2</v>
      </c>
    </row>
    <row r="141">
      <c r="A141" t="str">
        <v>F-2026-03-395-2</v>
      </c>
      <c r="B141" t="str">
        <v>FPRO-260328-0001</v>
      </c>
      <c r="C141" t="str">
        <v>17/4</v>
      </c>
      <c r="D141" t="str">
        <v>Firm plan 19.3</v>
      </c>
      <c r="E141" t="str">
        <v>BDB-000113</v>
      </c>
      <c r="F141" t="str">
        <v>PVN-002465</v>
      </c>
      <c r="G141" t="str">
        <v>OrthoLite Regular-Hybrid SEEDPEARL/12-0703TPX Hybrid Flat Sheet 0.11D 25+/-4 Asker C 1.1M 2M 5mm</v>
      </c>
      <c r="H141">
        <v>2500</v>
      </c>
      <c r="I141">
        <v>90</v>
      </c>
      <c r="J141">
        <v>90</v>
      </c>
      <c r="K141" t="str">
        <v>ASICS</v>
      </c>
      <c r="L141" t="str">
        <v>Forecast</v>
      </c>
      <c r="M141" t="str">
        <v>DIE CUT</v>
      </c>
      <c r="O141" t="str">
        <v>ppc/pur imp-keep etd</v>
      </c>
      <c r="P141" t="str">
        <v>ok</v>
      </c>
      <c r="Q141">
        <v>46130</v>
      </c>
      <c r="R141">
        <f>S141-1</f>
        <v>46133</v>
      </c>
      <c r="S141">
        <v>46134</v>
      </c>
      <c r="T141" t="str">
        <v>list 1_add</v>
      </c>
      <c r="V141">
        <f>U141-N141</f>
        <v>0</v>
      </c>
      <c r="W141">
        <v>0</v>
      </c>
      <c r="X141">
        <v>0</v>
      </c>
      <c r="Y141">
        <v>2500</v>
      </c>
      <c r="Z141" t="b">
        <v>0</v>
      </c>
      <c r="AA141" t="str">
        <v>Keep-Lô SLT do tồn SLT đang =0</v>
      </c>
      <c r="AE141" t="e">
        <f>SUMIF('[4]TONG XUAT BUN 2026'!$B:$F,A141,'[4]TONG XUAT BUN 2026'!$F:$F)</f>
        <v>#VALUE!</v>
      </c>
      <c r="AF141" t="str">
        <v>m2</v>
      </c>
    </row>
    <row r="142">
      <c r="G142" t="str">
        <v>RELEASE ĐỢT 1</v>
      </c>
      <c r="V142">
        <f>U142-N142</f>
        <v>0</v>
      </c>
      <c r="AF142" t="str">
        <v>m2</v>
      </c>
    </row>
    <row r="143">
      <c r="A143" t="str">
        <v>F-2026-04-155</v>
      </c>
      <c r="B143" t="str">
        <v>RPRO-260413-0273</v>
      </c>
      <c r="C143" t="str">
        <v>17/4</v>
      </c>
      <c r="D143" t="str">
        <v>Pro.sche.report 10.4+11.04+12.04</v>
      </c>
      <c r="E143" t="str">
        <v>BDB-000149</v>
      </c>
      <c r="F143" t="str">
        <v>PVN-002827</v>
      </c>
      <c r="G143" t="str">
        <v>OrthoLite Regular-Hybrid-Nike SEEDPEARL/12-0703TPX Hybrid Flat Sheet 0.11D 25+/-4 Asker C 1.1M 2M 5mm</v>
      </c>
      <c r="H143">
        <v>28</v>
      </c>
      <c r="I143">
        <v>1</v>
      </c>
      <c r="J143">
        <v>1</v>
      </c>
      <c r="K143" t="str">
        <v>NIKE</v>
      </c>
      <c r="L143" t="str">
        <v>Pr.Sch.R</v>
      </c>
      <c r="M143" t="str">
        <v>MOLDED</v>
      </c>
      <c r="N143">
        <v>1</v>
      </c>
      <c r="P143" t="str">
        <v>ok</v>
      </c>
      <c r="Q143">
        <v>46130</v>
      </c>
      <c r="R143">
        <f>S143-1</f>
        <v>46133</v>
      </c>
      <c r="S143">
        <v>46134</v>
      </c>
      <c r="T143" t="str">
        <v>l2</v>
      </c>
      <c r="U143">
        <v>1</v>
      </c>
      <c r="V143">
        <f>U143-N143</f>
        <v>0</v>
      </c>
      <c r="W143">
        <v>0</v>
      </c>
      <c r="X143">
        <v>0</v>
      </c>
      <c r="Y143">
        <v>28</v>
      </c>
      <c r="Z143" t="b">
        <v>0</v>
      </c>
      <c r="AE143" t="e">
        <f>SUMIF('[4]TONG XUAT BUN 2026'!$B:$F,A143,'[4]TONG XUAT BUN 2026'!$F:$F)</f>
        <v>#VALUE!</v>
      </c>
    </row>
    <row r="144">
      <c r="V144">
        <f>U144-N144</f>
        <v>0</v>
      </c>
    </row>
    <row r="145">
      <c r="A145" t="str">
        <v>F-2026-04-170</v>
      </c>
      <c r="B145" t="str">
        <v>RPRO-260414-0217</v>
      </c>
      <c r="C145" t="str">
        <v>17/4</v>
      </c>
      <c r="D145" t="str">
        <v>Pro.sche.report 13.04</v>
      </c>
      <c r="E145" t="str">
        <v>BDB-000149</v>
      </c>
      <c r="F145" t="str">
        <v>PVN-002827</v>
      </c>
      <c r="G145" t="str">
        <v>OrthoLite Regular-Hybrid-Nike SEEDPEARL/12-0703TPX Hybrid Flat Sheet 0.11D 25+/-4 Asker C 1.1M 2M 5mm</v>
      </c>
      <c r="H145">
        <v>56</v>
      </c>
      <c r="I145">
        <v>2</v>
      </c>
      <c r="J145">
        <v>2</v>
      </c>
      <c r="K145" t="str">
        <v>NIKE</v>
      </c>
      <c r="L145" t="str">
        <v>Pr.Sch.R</v>
      </c>
      <c r="M145" t="str">
        <v>MOLDED</v>
      </c>
      <c r="N145">
        <v>2</v>
      </c>
      <c r="P145" t="str">
        <v>ok</v>
      </c>
      <c r="Q145">
        <v>46130</v>
      </c>
      <c r="R145">
        <f>S145-1</f>
        <v>46133</v>
      </c>
      <c r="S145">
        <v>46134</v>
      </c>
      <c r="T145" t="str">
        <v>l2</v>
      </c>
      <c r="U145">
        <f>3-1</f>
        <v>2</v>
      </c>
      <c r="V145">
        <f>U145-N145</f>
        <v>0</v>
      </c>
      <c r="W145">
        <v>0</v>
      </c>
      <c r="X145">
        <v>0</v>
      </c>
      <c r="Y145">
        <v>56</v>
      </c>
      <c r="Z145" t="b">
        <v>0</v>
      </c>
      <c r="AE145" t="e">
        <f>SUMIF('[4]TONG XUAT BUN 2026'!$B:$F,A145,'[4]TONG XUAT BUN 2026'!$F:$F)</f>
        <v>#VALUE!</v>
      </c>
    </row>
    <row r="146">
      <c r="V146">
        <f>U146-N146</f>
        <v>0</v>
      </c>
    </row>
    <row r="147">
      <c r="A147" t="str">
        <v>F-2026-04-159</v>
      </c>
      <c r="B147" t="str">
        <v>RPRO-260413-0277</v>
      </c>
      <c r="C147" t="str">
        <v>17/4</v>
      </c>
      <c r="D147" t="str">
        <v>Pro.sche.report 10.4+11.04+12.04</v>
      </c>
      <c r="E147" t="str">
        <v>BDB-000107</v>
      </c>
      <c r="F147" t="str">
        <v>PVN-003482</v>
      </c>
      <c r="G147" t="str">
        <v>OrthoLite Eco LT-Hybrid SEEDPEARL/12-0703TPX Hybrid Flat Sheet 0.11D 25+/-4 Asker C 1.1M 1.47M 4mm</v>
      </c>
      <c r="H147">
        <v>595</v>
      </c>
      <c r="I147">
        <v>17</v>
      </c>
      <c r="J147">
        <v>17</v>
      </c>
      <c r="K147" t="str">
        <v>NEW BALANCE</v>
      </c>
      <c r="L147" t="str">
        <v>Pr.Sch.R</v>
      </c>
      <c r="M147" t="str">
        <v>DIE CUT</v>
      </c>
      <c r="N147">
        <v>17</v>
      </c>
      <c r="P147" t="str">
        <v>ok</v>
      </c>
      <c r="Q147">
        <v>46130</v>
      </c>
      <c r="R147">
        <f>S147-1</f>
        <v>46133</v>
      </c>
      <c r="S147">
        <v>46134</v>
      </c>
      <c r="T147" t="str">
        <v>l2</v>
      </c>
      <c r="U147">
        <f>27</f>
        <v>27</v>
      </c>
      <c r="V147">
        <f>U147-N147</f>
        <v>10</v>
      </c>
      <c r="W147">
        <v>0</v>
      </c>
      <c r="X147">
        <v>0</v>
      </c>
      <c r="Y147">
        <v>595</v>
      </c>
      <c r="Z147" t="b">
        <v>0</v>
      </c>
      <c r="AE147" t="e">
        <f>SUMIF('[4]TONG XUAT BUN 2026'!$B:$F,A147,'[4]TONG XUAT BUN 2026'!$F:$F)</f>
        <v>#VALUE!</v>
      </c>
    </row>
    <row r="148">
      <c r="V148">
        <f>U148-N148</f>
        <v>0</v>
      </c>
    </row>
    <row r="149">
      <c r="A149" t="str">
        <v>F-2026-04-169</v>
      </c>
      <c r="B149" t="str">
        <v>RPRO-260414-0216</v>
      </c>
      <c r="C149" t="str">
        <v>17/4</v>
      </c>
      <c r="D149" t="str">
        <v>Pro.sche.report 13.04</v>
      </c>
      <c r="E149" t="str">
        <v>BDB-000123</v>
      </c>
      <c r="F149" t="str">
        <v>PVN-002884</v>
      </c>
      <c r="G149" t="str">
        <v>OrthoLite Ultra-Hybrid SEEDPEARL/12-0703TPX Hybrid Flat Sheet 0.085D 25+/-4 Asker C 1.1M 2M 10mm</v>
      </c>
      <c r="H149">
        <v>91</v>
      </c>
      <c r="I149">
        <v>7</v>
      </c>
      <c r="J149">
        <v>7</v>
      </c>
      <c r="K149" t="str">
        <v>ADIDAS</v>
      </c>
      <c r="L149" t="str">
        <v>Pr.Sch.R</v>
      </c>
      <c r="M149" t="str">
        <v>MOLDED</v>
      </c>
      <c r="N149">
        <v>7</v>
      </c>
      <c r="P149">
        <v>7</v>
      </c>
      <c r="Q149">
        <v>46132</v>
      </c>
      <c r="R149">
        <f>S149-1</f>
        <v>46134</v>
      </c>
      <c r="S149">
        <v>46135</v>
      </c>
      <c r="T149" t="str">
        <v>l2</v>
      </c>
      <c r="V149">
        <f>U149-N149</f>
        <v>-7</v>
      </c>
      <c r="W149">
        <v>0</v>
      </c>
      <c r="X149">
        <v>0</v>
      </c>
      <c r="Y149">
        <v>91</v>
      </c>
      <c r="Z149" t="b">
        <v>0</v>
      </c>
      <c r="AE149" t="e">
        <f>SUMIF('[4]TONG XUAT BUN 2026'!$B:$F,A149,'[4]TONG XUAT BUN 2026'!$F:$F)</f>
        <v>#VALUE!</v>
      </c>
    </row>
    <row r="150">
      <c r="V150">
        <f>U150-N150</f>
        <v>0</v>
      </c>
    </row>
    <row r="151">
      <c r="A151" t="str">
        <v>F-2026-03-368</v>
      </c>
      <c r="B151" t="str">
        <v>FPRO-260318-0012</v>
      </c>
      <c r="C151" t="str">
        <v>17/4</v>
      </c>
      <c r="D151" t="str">
        <v>Firm plan 18.3</v>
      </c>
      <c r="E151" t="str">
        <v>BDB-000113</v>
      </c>
      <c r="F151" t="str">
        <v>PVN-002465</v>
      </c>
      <c r="G151" t="str">
        <v>OrthoLite Regular-Hybrid SEEDPEARL/12-0703TPX Hybrid Flat Sheet 0.11D 25+/-4 Asker C 1.1M 2M 5mm</v>
      </c>
      <c r="H151">
        <v>2500</v>
      </c>
      <c r="I151">
        <v>90</v>
      </c>
      <c r="J151">
        <v>90</v>
      </c>
      <c r="K151" t="str">
        <v>ASICS</v>
      </c>
      <c r="L151" t="str">
        <v>Forecast</v>
      </c>
      <c r="M151" t="str">
        <v>DIE CUT</v>
      </c>
      <c r="N151">
        <v>363</v>
      </c>
      <c r="P151" t="str">
        <v>ok</v>
      </c>
      <c r="Q151">
        <v>46132</v>
      </c>
      <c r="R151">
        <f>S151-1</f>
        <v>46134</v>
      </c>
      <c r="S151">
        <v>46135</v>
      </c>
      <c r="T151" t="str">
        <v>l2</v>
      </c>
      <c r="U151">
        <f>148-144+95+116-5+95</f>
        <v>305</v>
      </c>
      <c r="V151">
        <f>U151-N151</f>
        <v>-58</v>
      </c>
      <c r="W151">
        <v>0</v>
      </c>
      <c r="X151">
        <v>0</v>
      </c>
      <c r="Y151">
        <v>2500</v>
      </c>
      <c r="Z151" t="b">
        <v>0</v>
      </c>
      <c r="AA151" t="str">
        <v>Don't keep-DP đang chuẩn bị nhiều</v>
      </c>
      <c r="AE151" t="e">
        <f>SUMIF('[4]TONG XUAT BUN 2026'!$B:$F,A151,'[4]TONG XUAT BUN 2026'!$F:$F)</f>
        <v>#VALUE!</v>
      </c>
    </row>
    <row r="152">
      <c r="A152" t="str">
        <v>F-2026-03-293</v>
      </c>
      <c r="B152" t="str">
        <v>FPRO-260317-0001</v>
      </c>
      <c r="C152" t="str">
        <v>17/4-18/4</v>
      </c>
      <c r="D152" t="str">
        <v>Firm plan 17.03</v>
      </c>
      <c r="E152" t="str">
        <v>BDB-000113</v>
      </c>
      <c r="F152" t="str">
        <v>PVN-003414</v>
      </c>
      <c r="G152" t="str">
        <v>OrthoLite Regular-Hybrid SEEDPEARL/12-0703TPX Hybrid Flat Sheet 0.11D 25+/-4 Asker C 1.1M 2M 12mm</v>
      </c>
      <c r="H152">
        <v>2100</v>
      </c>
      <c r="I152">
        <v>183</v>
      </c>
      <c r="J152">
        <v>183</v>
      </c>
      <c r="K152" t="str">
        <v>ASICS</v>
      </c>
      <c r="L152" t="str">
        <v>Forecast</v>
      </c>
      <c r="M152" t="str">
        <v>MOLDED</v>
      </c>
      <c r="P152" t="str">
        <v>ok</v>
      </c>
      <c r="Q152">
        <v>46133</v>
      </c>
      <c r="R152">
        <f>S152-1</f>
        <v>46135</v>
      </c>
      <c r="S152">
        <v>46136</v>
      </c>
      <c r="T152" t="str">
        <v>l2</v>
      </c>
      <c r="V152">
        <f>U152-N152</f>
        <v>0</v>
      </c>
      <c r="W152">
        <v>0</v>
      </c>
      <c r="X152">
        <v>0</v>
      </c>
      <c r="Y152">
        <v>2100</v>
      </c>
      <c r="Z152" t="b">
        <v>0</v>
      </c>
      <c r="AA152" t="str">
        <v>keep ETD</v>
      </c>
      <c r="AE152" t="e">
        <f>SUMIF('[4]TONG XUAT BUN 2026'!$B:$F,A152,'[4]TONG XUAT BUN 2026'!$F:$F)</f>
        <v>#VALUE!</v>
      </c>
    </row>
    <row r="153">
      <c r="A153" t="str">
        <v>F-2026-03-298</v>
      </c>
      <c r="B153" t="str">
        <v>FPRO-260317-0007</v>
      </c>
      <c r="C153" t="str">
        <v>18/4</v>
      </c>
      <c r="D153" t="str">
        <v>Firm plan 17.03</v>
      </c>
      <c r="E153" t="str">
        <v>BDB-000113</v>
      </c>
      <c r="F153" t="str">
        <v>PVN-002465</v>
      </c>
      <c r="G153" t="str">
        <v>OrthoLite Regular-Hybrid SEEDPEARL/12-0703TPX Hybrid Flat Sheet 0.11D 25+/-4 Asker C 1.1M 2M 5mm</v>
      </c>
      <c r="H153">
        <v>2500</v>
      </c>
      <c r="I153">
        <v>90</v>
      </c>
      <c r="J153">
        <v>90</v>
      </c>
      <c r="K153" t="str">
        <v>ASICS</v>
      </c>
      <c r="L153" t="str">
        <v>Forecast</v>
      </c>
      <c r="M153" t="str">
        <v>DIE CUT</v>
      </c>
      <c r="P153">
        <v>58</v>
      </c>
      <c r="Q153">
        <v>46133</v>
      </c>
      <c r="R153">
        <f>S153-1</f>
        <v>46135</v>
      </c>
      <c r="S153">
        <v>46136</v>
      </c>
      <c r="T153" t="str">
        <v>l2</v>
      </c>
      <c r="V153">
        <f>U153-N153</f>
        <v>0</v>
      </c>
      <c r="W153">
        <v>0</v>
      </c>
      <c r="X153">
        <v>0</v>
      </c>
      <c r="Y153">
        <v>2500</v>
      </c>
      <c r="Z153" t="b">
        <v>0</v>
      </c>
      <c r="AE153" t="e">
        <f>SUMIF('[4]TONG XUAT BUN 2026'!$B:$F,A153,'[4]TONG XUAT BUN 2026'!$F:$F)</f>
        <v>#VALUE!</v>
      </c>
    </row>
    <row r="154">
      <c r="V154">
        <f>U154-N154</f>
        <v>0</v>
      </c>
    </row>
    <row r="155">
      <c r="A155" t="str">
        <v>F-2026-04-162</v>
      </c>
      <c r="B155" t="str">
        <v>RPRO-260413-0280</v>
      </c>
      <c r="C155" t="str">
        <v>18/4</v>
      </c>
      <c r="D155" t="str">
        <v>Pro.sche.report 10.4+11.04+12.04</v>
      </c>
      <c r="E155" t="str">
        <v>BDB-000097</v>
      </c>
      <c r="F155" t="str">
        <v>PVN-003671</v>
      </c>
      <c r="G155" t="str">
        <v>OrthoLite Eco LT-Hybrid SEEDPEARL/12-0703TPX Hybrid Flat Sheet 0.11D 25+/-4 Asker C 1.1M 2M 13mm</v>
      </c>
      <c r="H155">
        <v>50</v>
      </c>
      <c r="I155">
        <v>5</v>
      </c>
      <c r="J155">
        <v>5</v>
      </c>
      <c r="K155" t="str">
        <v>NEW BALANCE</v>
      </c>
      <c r="L155" t="str">
        <v>Pr.Sch.R</v>
      </c>
      <c r="M155" t="str">
        <v>MOLDED</v>
      </c>
      <c r="N155">
        <v>5</v>
      </c>
      <c r="P155" t="str">
        <v>ok</v>
      </c>
      <c r="Q155">
        <v>46133</v>
      </c>
      <c r="R155">
        <f>S155-1</f>
        <v>46135</v>
      </c>
      <c r="S155">
        <v>46136</v>
      </c>
      <c r="T155" t="str">
        <v>l2</v>
      </c>
      <c r="U155">
        <v>5</v>
      </c>
      <c r="V155">
        <f>U155-N155</f>
        <v>0</v>
      </c>
      <c r="W155">
        <v>0</v>
      </c>
      <c r="X155">
        <v>0</v>
      </c>
      <c r="Y155">
        <v>50</v>
      </c>
      <c r="Z155" t="b">
        <v>0</v>
      </c>
      <c r="AE155" t="e">
        <f>SUMIF('[4]TONG XUAT BUN 2026'!$B:$F,A155,'[4]TONG XUAT BUN 2026'!$F:$F)</f>
        <v>#VALUE!</v>
      </c>
    </row>
    <row r="156">
      <c r="V156">
        <f>U156-N156</f>
        <v>0</v>
      </c>
    </row>
    <row r="157">
      <c r="A157" t="str">
        <v>F-2026-04-166</v>
      </c>
      <c r="B157" t="str">
        <v>RPRO-260414-0213</v>
      </c>
      <c r="C157" t="str">
        <v>18/4</v>
      </c>
      <c r="D157" t="str">
        <v>MPS 13.04</v>
      </c>
      <c r="E157" t="str">
        <v>BDB-000180</v>
      </c>
      <c r="F157" t="str">
        <v>PVN-003236</v>
      </c>
      <c r="G157" t="str">
        <v>OrthoLite Eco LT-Hybrid-Converse SEEDPEARL/12-0703TPX Hybrid 0.13D 25+/-4 Asker C 1.1M 2M 5mm</v>
      </c>
      <c r="H157">
        <v>1826</v>
      </c>
      <c r="I157">
        <v>66</v>
      </c>
      <c r="J157">
        <v>66</v>
      </c>
      <c r="L157" t="str">
        <v>MPS</v>
      </c>
      <c r="M157" t="str">
        <v>SPLITTING</v>
      </c>
      <c r="N157">
        <v>66</v>
      </c>
      <c r="P157" t="str">
        <v>ok</v>
      </c>
      <c r="Q157">
        <v>46133</v>
      </c>
      <c r="R157">
        <f>S157-1</f>
        <v>46135</v>
      </c>
      <c r="S157">
        <v>46136</v>
      </c>
      <c r="T157" t="str">
        <v>l2</v>
      </c>
      <c r="U157">
        <v>71</v>
      </c>
      <c r="V157">
        <f>U157-N157</f>
        <v>5</v>
      </c>
      <c r="W157">
        <v>0</v>
      </c>
      <c r="X157">
        <v>0</v>
      </c>
      <c r="Y157">
        <v>1826</v>
      </c>
      <c r="Z157" t="b">
        <v>0</v>
      </c>
      <c r="AE157" t="e">
        <f>SUMIF('[4]TONG XUAT BUN 2026'!$B:$F,A157,'[4]TONG XUAT BUN 2026'!$F:$F)</f>
        <v>#VALUE!</v>
      </c>
    </row>
    <row r="158">
      <c r="G158" t="str">
        <v>RELEASE ĐỢT 2</v>
      </c>
      <c r="V158">
        <f>U158-N158</f>
        <v>0</v>
      </c>
    </row>
    <row r="159">
      <c r="H159">
        <f>SUM(H109:H157)</f>
        <v>51212</v>
      </c>
      <c r="I159">
        <f>SUM(I109:I157)</f>
        <v>1836</v>
      </c>
      <c r="J159">
        <f>SUM(J109:J157)</f>
        <v>1836</v>
      </c>
      <c r="N159">
        <f>SUM(N109:N157)</f>
        <v>1790</v>
      </c>
      <c r="O159">
        <f>N159-G7</f>
        <v>-44</v>
      </c>
      <c r="V159">
        <f>U159-N159</f>
        <v>-1790</v>
      </c>
    </row>
    <row r="160">
      <c r="A160" t="str">
        <v>F-2026-04-96</v>
      </c>
      <c r="B160" t="str">
        <v>RPRO-260409-0282</v>
      </c>
      <c r="C160" t="str">
        <v>13/4</v>
      </c>
      <c r="D160" t="str">
        <v>MPS 07.4+08.4</v>
      </c>
      <c r="E160" t="str">
        <v>BDB-000057</v>
      </c>
      <c r="F160" t="str">
        <v>PVN-000925</v>
      </c>
      <c r="G160" t="str">
        <v>OrthoLite Ultra YELLOW/13-0858TPX Flat Sheet 0.085D 25+/-4 Asker C 1.1M 2M 5mm</v>
      </c>
      <c r="H160">
        <v>28</v>
      </c>
      <c r="I160">
        <v>1</v>
      </c>
      <c r="J160">
        <v>1</v>
      </c>
      <c r="L160" t="str">
        <v>MPS</v>
      </c>
      <c r="M160" t="str">
        <v>SPLITTING</v>
      </c>
      <c r="N160">
        <v>1</v>
      </c>
      <c r="P160" t="str">
        <v>ok</v>
      </c>
      <c r="Q160">
        <v>46126</v>
      </c>
      <c r="R160">
        <f>S160-1</f>
        <v>46128</v>
      </c>
      <c r="S160">
        <v>46129</v>
      </c>
      <c r="T160" t="str">
        <v>l1</v>
      </c>
      <c r="U160">
        <v>1</v>
      </c>
      <c r="V160">
        <f>U160-N160</f>
        <v>0</v>
      </c>
      <c r="W160">
        <v>0</v>
      </c>
      <c r="X160">
        <v>0</v>
      </c>
      <c r="Y160">
        <v>28</v>
      </c>
      <c r="Z160" t="b">
        <v>0</v>
      </c>
      <c r="AE160" t="e">
        <f>SUMIF('[4]TONG XUAT BUN 2026'!$B:$F,A160,'[4]TONG XUAT BUN 2026'!$F:$F)</f>
        <v>#VALUE!</v>
      </c>
      <c r="AF160" t="str">
        <v>m3</v>
      </c>
    </row>
    <row r="161">
      <c r="V161">
        <f>U161-N161</f>
        <v>0</v>
      </c>
      <c r="AF161" t="str">
        <v>m3</v>
      </c>
    </row>
    <row r="162">
      <c r="A162" t="str">
        <v>F-2026-04-75</v>
      </c>
      <c r="B162" t="str">
        <v>RPRO-260406-1113</v>
      </c>
      <c r="C162" t="str">
        <v>13/4</v>
      </c>
      <c r="D162" t="str">
        <v>Pro.sche.report 3.4+4.4</v>
      </c>
      <c r="E162" t="str">
        <v>BDB-000317</v>
      </c>
      <c r="F162" t="str">
        <v>PVN-004293</v>
      </c>
      <c r="G162" t="str">
        <v>OrthoLite Regular NEUTRAL GRAY/17-4402TPX Flat Sheet 0.13D 15+/-4 Asker C 1.1M 2M 22mm</v>
      </c>
      <c r="H162">
        <v>30</v>
      </c>
      <c r="I162">
        <v>6</v>
      </c>
      <c r="J162">
        <v>6</v>
      </c>
      <c r="K162" t="str">
        <v>TRAVIS MATHEW</v>
      </c>
      <c r="L162" t="str">
        <v>Pr.Sch.R</v>
      </c>
      <c r="M162" t="str">
        <v>MOLDED</v>
      </c>
      <c r="N162">
        <v>8</v>
      </c>
      <c r="P162" t="str">
        <v>ok</v>
      </c>
      <c r="Q162">
        <v>46126</v>
      </c>
      <c r="R162">
        <f>S162-1</f>
        <v>46128</v>
      </c>
      <c r="S162">
        <v>46129</v>
      </c>
      <c r="T162" t="str">
        <v>l1</v>
      </c>
      <c r="U162">
        <v>8</v>
      </c>
      <c r="V162">
        <f>U162-N162</f>
        <v>0</v>
      </c>
      <c r="W162">
        <v>0</v>
      </c>
      <c r="X162">
        <v>0</v>
      </c>
      <c r="Y162">
        <v>30</v>
      </c>
      <c r="Z162" t="b">
        <v>0</v>
      </c>
      <c r="AE162" t="e">
        <f>SUMIF('[4]TONG XUAT BUN 2026'!$B:$F,A162,'[4]TONG XUAT BUN 2026'!$F:$F)</f>
        <v>#VALUE!</v>
      </c>
      <c r="AF162" t="str">
        <v>m3</v>
      </c>
    </row>
    <row r="163">
      <c r="A163" t="str">
        <v>F-2026-04-105</v>
      </c>
      <c r="B163" t="str">
        <v>RPRO-260409-0291</v>
      </c>
      <c r="C163" t="str">
        <v>13/4</v>
      </c>
      <c r="D163" t="str">
        <v>Pro.sche.report 07.4+08.4</v>
      </c>
      <c r="E163" t="str">
        <v>BDB-000317</v>
      </c>
      <c r="F163" t="str">
        <v>PVN-004076</v>
      </c>
      <c r="G163" t="str">
        <v>OrthoLite Regular NEUTRAL GRAY/17-4402TPX Flat Sheet 0.13D 15+/-4 Asker C 1.1M 2M 24mm</v>
      </c>
      <c r="H163">
        <v>10</v>
      </c>
      <c r="I163">
        <v>2</v>
      </c>
      <c r="J163">
        <v>2</v>
      </c>
      <c r="K163" t="str">
        <v>ASICS</v>
      </c>
      <c r="L163" t="str">
        <v>Pr.Sch.R</v>
      </c>
      <c r="M163" t="str">
        <v>MOLDED</v>
      </c>
      <c r="P163" t="str">
        <v>ok</v>
      </c>
      <c r="Q163">
        <v>46133</v>
      </c>
      <c r="R163">
        <f>S163-1</f>
        <v>46135</v>
      </c>
      <c r="S163">
        <v>46136</v>
      </c>
      <c r="T163" t="str">
        <v>l1</v>
      </c>
      <c r="V163">
        <f>U163-N163</f>
        <v>0</v>
      </c>
      <c r="W163">
        <v>0</v>
      </c>
      <c r="X163">
        <v>0</v>
      </c>
      <c r="Y163">
        <v>10</v>
      </c>
      <c r="Z163" t="b">
        <v>1</v>
      </c>
      <c r="AE163" t="e">
        <f>SUMIF('[4]TONG XUAT BUN 2026'!$B:$F,A163,'[4]TONG XUAT BUN 2026'!$F:$F)</f>
        <v>#VALUE!</v>
      </c>
      <c r="AF163" t="str">
        <v>m3</v>
      </c>
    </row>
    <row r="164">
      <c r="V164">
        <f>U164-N164</f>
        <v>0</v>
      </c>
      <c r="AF164" t="str">
        <v>m3</v>
      </c>
    </row>
    <row r="165">
      <c r="A165" t="str">
        <v>F-2026-03-313</v>
      </c>
      <c r="B165" t="str">
        <v>RPRO-260319-0545</v>
      </c>
      <c r="C165" t="str">
        <v>13/4</v>
      </c>
      <c r="D165" t="str">
        <v>Pro.sche.report 17.3+18.3</v>
      </c>
      <c r="E165" t="str">
        <v>BDB-000162</v>
      </c>
      <c r="F165" t="str">
        <v>PVN-001566</v>
      </c>
      <c r="G165" t="str">
        <v>OrthoLite Ultra-Nike SEEDPEARL/12-0703TPX Flat Sheet 0.085D 25+/-4 Asker C 1.1M 2M 4mm</v>
      </c>
      <c r="H165">
        <v>2620</v>
      </c>
      <c r="I165">
        <v>75</v>
      </c>
      <c r="J165">
        <v>75</v>
      </c>
      <c r="K165" t="str">
        <v>NIKE</v>
      </c>
      <c r="L165" t="str">
        <v>Pr.Sch.R</v>
      </c>
      <c r="M165" t="str">
        <v>DIE CUT</v>
      </c>
      <c r="N165">
        <v>191</v>
      </c>
      <c r="P165" t="str">
        <v>ok</v>
      </c>
      <c r="Q165">
        <v>46126</v>
      </c>
      <c r="R165">
        <f>S165-1</f>
        <v>46128</v>
      </c>
      <c r="S165">
        <v>46129</v>
      </c>
      <c r="T165" t="str">
        <v>l1</v>
      </c>
      <c r="U165">
        <f>74+118</f>
        <v>192</v>
      </c>
      <c r="V165">
        <f>U165-N165</f>
        <v>1</v>
      </c>
      <c r="W165">
        <v>0</v>
      </c>
      <c r="X165">
        <v>0</v>
      </c>
      <c r="Y165">
        <v>2620</v>
      </c>
      <c r="Z165" t="b">
        <v>0</v>
      </c>
      <c r="AE165" t="e">
        <f>SUMIF('[4]TONG XUAT BUN 2026'!$B:$F,A165,'[4]TONG XUAT BUN 2026'!$F:$F)</f>
        <v>#VALUE!</v>
      </c>
      <c r="AF165" t="str">
        <v>m3</v>
      </c>
    </row>
    <row r="166">
      <c r="A166" t="str">
        <v>F-2026-03-435</v>
      </c>
      <c r="B166" t="str">
        <v>FPRO-260324-0006</v>
      </c>
      <c r="C166" t="str">
        <v>13/4-14/4</v>
      </c>
      <c r="D166" t="str">
        <v>Firm plan 24.3</v>
      </c>
      <c r="E166" t="str">
        <v>BDB-000162</v>
      </c>
      <c r="F166" t="str">
        <v>PVN-001566</v>
      </c>
      <c r="G166" t="str">
        <v>OrthoLite Ultra-Nike SEEDPEARL/12-0703TPX 0.085D 25+/-4 Asker C 1.1M 2M 4mm</v>
      </c>
      <c r="H166">
        <v>2000</v>
      </c>
      <c r="I166">
        <v>58</v>
      </c>
      <c r="J166">
        <v>58</v>
      </c>
      <c r="K166" t="str">
        <v>NIKE</v>
      </c>
      <c r="L166" t="str">
        <v>Forecast</v>
      </c>
      <c r="M166" t="str">
        <v>DIE CUT</v>
      </c>
      <c r="P166" t="str">
        <v>ok</v>
      </c>
      <c r="Q166">
        <v>46130</v>
      </c>
      <c r="R166">
        <f>S166-1</f>
        <v>46132</v>
      </c>
      <c r="S166">
        <v>46133</v>
      </c>
      <c r="T166" t="str">
        <v>l1</v>
      </c>
      <c r="V166">
        <f>U166-N166</f>
        <v>0</v>
      </c>
      <c r="W166">
        <v>0</v>
      </c>
      <c r="X166">
        <v>0</v>
      </c>
      <c r="Y166">
        <v>2000</v>
      </c>
      <c r="Z166" t="b">
        <v>0</v>
      </c>
      <c r="AE166" t="e">
        <f>SUMIF('[4]TONG XUAT BUN 2026'!$B:$F,A166,'[4]TONG XUAT BUN 2026'!$F:$F)</f>
        <v>#VALUE!</v>
      </c>
      <c r="AF166" t="str">
        <v>m3</v>
      </c>
    </row>
    <row r="167">
      <c r="A167" t="str">
        <v>F-2026-03-430</v>
      </c>
      <c r="B167" t="str">
        <v>FPRO-260324-0001</v>
      </c>
      <c r="C167" t="str">
        <v>14/4</v>
      </c>
      <c r="D167" t="str">
        <v>Firm plan 24.3</v>
      </c>
      <c r="E167" t="str">
        <v>BDB-000162</v>
      </c>
      <c r="F167" t="str">
        <v>PVN-001566</v>
      </c>
      <c r="G167" t="str">
        <v>OrthoLite Ultra-Nike SEEDPEARL/12-0703TPX 0.085D 25+/-4 Asker C 1.1M 2M 4mm</v>
      </c>
      <c r="H167">
        <v>2000</v>
      </c>
      <c r="I167">
        <v>58</v>
      </c>
      <c r="J167">
        <v>58</v>
      </c>
      <c r="K167" t="str">
        <v>NIKE</v>
      </c>
      <c r="L167" t="str">
        <v>Forecast</v>
      </c>
      <c r="M167" t="str">
        <v>DIE CUT</v>
      </c>
      <c r="P167" t="str">
        <v>ok</v>
      </c>
      <c r="Q167">
        <v>46130</v>
      </c>
      <c r="R167">
        <f>S167-1</f>
        <v>46132</v>
      </c>
      <c r="S167">
        <v>46133</v>
      </c>
      <c r="T167" t="str">
        <v>l1</v>
      </c>
      <c r="V167">
        <f>U167-N167</f>
        <v>0</v>
      </c>
      <c r="W167">
        <v>0</v>
      </c>
      <c r="X167">
        <v>0</v>
      </c>
      <c r="Y167">
        <v>2000</v>
      </c>
      <c r="Z167" t="b">
        <v>0</v>
      </c>
      <c r="AE167" t="e">
        <f>SUMIF('[4]TONG XUAT BUN 2026'!$B:$F,A167,'[4]TONG XUAT BUN 2026'!$F:$F)</f>
        <v>#VALUE!</v>
      </c>
      <c r="AF167" t="str">
        <v>m3</v>
      </c>
    </row>
    <row r="168">
      <c r="V168">
        <f>U168-N168</f>
        <v>0</v>
      </c>
      <c r="AF168" t="str">
        <v>m3</v>
      </c>
    </row>
    <row r="169">
      <c r="A169" t="str">
        <v>SOIN-2026.04.13-01</v>
      </c>
      <c r="B169" t="str">
        <v>RPRO-260415-0095</v>
      </c>
      <c r="C169" t="str">
        <v>14/4</v>
      </c>
      <c r="D169" t="str">
        <v>SOIN</v>
      </c>
      <c r="E169" t="str">
        <v>BDB-000300</v>
      </c>
      <c r="F169" t="str">
        <v>PVN-004267</v>
      </c>
      <c r="G169" t="str">
        <v>[116-12954] Ultra Nike 25+/-4 Asker C 0.085D Seedpearl 12-0703 Tpx 1.10M X 1.70M 47mm</v>
      </c>
      <c r="H169">
        <v>1</v>
      </c>
      <c r="I169">
        <v>1</v>
      </c>
      <c r="J169">
        <v>1</v>
      </c>
      <c r="K169" t="str">
        <v>NIKE</v>
      </c>
      <c r="L169" t="str">
        <v>PO-6686-SO-260225-0027_supplement</v>
      </c>
      <c r="M169" t="str">
        <v>FLAT SHEET</v>
      </c>
      <c r="N169">
        <v>1</v>
      </c>
      <c r="O169" t="str">
        <v>HANG CONT</v>
      </c>
      <c r="P169" t="str">
        <v>ok</v>
      </c>
      <c r="Q169">
        <v>46127</v>
      </c>
      <c r="R169">
        <f>S169-1</f>
        <v>46128</v>
      </c>
      <c r="S169">
        <v>46129</v>
      </c>
      <c r="T169" t="str">
        <v/>
      </c>
      <c r="U169">
        <v>1</v>
      </c>
      <c r="V169">
        <f>U169-N169</f>
        <v>0</v>
      </c>
      <c r="W169">
        <v>0</v>
      </c>
      <c r="X169">
        <v>0</v>
      </c>
      <c r="Y169">
        <v>1</v>
      </c>
      <c r="Z169" t="b">
        <v>1</v>
      </c>
      <c r="AE169" t="e">
        <f>SUMIF('[4]TONG XUAT BUN 2026'!$B:$F,A169,'[4]TONG XUAT BUN 2026'!$F:$F)</f>
        <v>#VALUE!</v>
      </c>
      <c r="AF169" t="str">
        <v>m3</v>
      </c>
    </row>
    <row r="170">
      <c r="V170">
        <f>U170-N170</f>
        <v>0</v>
      </c>
      <c r="AF170" t="str">
        <v>m3</v>
      </c>
    </row>
    <row r="171">
      <c r="A171" t="str">
        <v>F-2026-02-304</v>
      </c>
      <c r="B171" t="str">
        <v>FPRO-260212-0055</v>
      </c>
      <c r="C171" t="str">
        <v>14/4</v>
      </c>
      <c r="D171" t="str">
        <v>Firm plan 12.02</v>
      </c>
      <c r="E171" t="str">
        <v>BDB-000161</v>
      </c>
      <c r="F171" t="str">
        <v>PVN-001560</v>
      </c>
      <c r="G171" t="str">
        <v>OrthoLite Ultra-Nike FOSSIL/17-0909TPX 0.085D 25+/-4 Asker C 1.1M 2M 4mm</v>
      </c>
      <c r="H171">
        <v>1000</v>
      </c>
      <c r="I171">
        <v>29</v>
      </c>
      <c r="J171">
        <v>29</v>
      </c>
      <c r="K171" t="str">
        <v>NIKE</v>
      </c>
      <c r="L171" t="str">
        <v>Forecast</v>
      </c>
      <c r="M171" t="str">
        <v>DIE CUT</v>
      </c>
      <c r="N171">
        <v>29</v>
      </c>
      <c r="P171" t="str">
        <v>ok</v>
      </c>
      <c r="Q171">
        <v>46127</v>
      </c>
      <c r="R171">
        <f>S171-1</f>
        <v>46129</v>
      </c>
      <c r="S171">
        <v>46130</v>
      </c>
      <c r="T171" t="str">
        <v>l1</v>
      </c>
      <c r="U171">
        <f>30</f>
        <v>30</v>
      </c>
      <c r="V171">
        <f>U171-N171</f>
        <v>1</v>
      </c>
      <c r="W171">
        <v>0</v>
      </c>
      <c r="X171">
        <v>0</v>
      </c>
      <c r="Y171">
        <v>1000</v>
      </c>
      <c r="Z171" t="b">
        <v>0</v>
      </c>
      <c r="AE171" t="e">
        <f>SUMIF('[4]TONG XUAT BUN 2026'!$B:$F,A171,'[4]TONG XUAT BUN 2026'!$F:$F)</f>
        <v>#VALUE!</v>
      </c>
      <c r="AF171" t="str">
        <v>m3</v>
      </c>
    </row>
    <row r="172">
      <c r="V172">
        <f>U172-N172</f>
        <v>0</v>
      </c>
      <c r="AF172" t="str">
        <v>m3</v>
      </c>
    </row>
    <row r="173">
      <c r="A173" t="str">
        <v>F-2026-03-361-2</v>
      </c>
      <c r="B173" t="str">
        <v>FPRO-260330-0005</v>
      </c>
      <c r="C173" t="str">
        <v>14/4</v>
      </c>
      <c r="D173" t="str">
        <v>Firm plan 18.3</v>
      </c>
      <c r="E173" t="str">
        <v>BDB-000008</v>
      </c>
      <c r="F173" t="str">
        <v>PVN-000505</v>
      </c>
      <c r="G173" t="str">
        <v>OrthoLite Regular LIME GREEN/14-0452TPX Flat Sheet 0.11D 25+/-4 Asker C 1.1M 2M 12mm</v>
      </c>
      <c r="H173">
        <v>300</v>
      </c>
      <c r="I173">
        <v>27</v>
      </c>
      <c r="J173">
        <v>27</v>
      </c>
      <c r="K173" t="str">
        <v>ASICS</v>
      </c>
      <c r="L173" t="str">
        <v>Forecast</v>
      </c>
      <c r="M173" t="str">
        <v>MOLDED</v>
      </c>
      <c r="N173">
        <v>29</v>
      </c>
      <c r="P173" t="str">
        <v>ok</v>
      </c>
      <c r="Q173">
        <v>46127</v>
      </c>
      <c r="R173">
        <f>S173-1</f>
        <v>46129</v>
      </c>
      <c r="S173">
        <v>46130</v>
      </c>
      <c r="T173" t="str">
        <v>l1</v>
      </c>
      <c r="U173">
        <v>29</v>
      </c>
      <c r="V173">
        <f>U173-N173</f>
        <v>0</v>
      </c>
      <c r="W173">
        <v>0</v>
      </c>
      <c r="X173">
        <v>0</v>
      </c>
      <c r="Y173">
        <v>300</v>
      </c>
      <c r="Z173" t="b">
        <v>0</v>
      </c>
      <c r="AE173" t="e">
        <f>SUMIF('[4]TONG XUAT BUN 2026'!$B:$F,A173,'[4]TONG XUAT BUN 2026'!$F:$F)</f>
        <v>#VALUE!</v>
      </c>
      <c r="AF173" t="str">
        <v>m3</v>
      </c>
    </row>
    <row r="174">
      <c r="A174" t="str">
        <v>F-2026-04-101</v>
      </c>
      <c r="B174" t="str">
        <v>RPRO-260409-0287</v>
      </c>
      <c r="C174" t="str">
        <v>14/4</v>
      </c>
      <c r="D174" t="str">
        <v>Pro.sche.report 07.4+08.4</v>
      </c>
      <c r="E174" t="str">
        <v>BDB-000008</v>
      </c>
      <c r="F174" t="str">
        <v>PVN-000505</v>
      </c>
      <c r="G174" t="str">
        <v>OrthoLite Regular LIME GREEN/14-0452TPX Flat Sheet 0.11D 25+/-4 Asker C 1.1M 2M 12mm</v>
      </c>
      <c r="H174">
        <v>22</v>
      </c>
      <c r="I174">
        <v>2</v>
      </c>
      <c r="J174">
        <v>2</v>
      </c>
      <c r="K174" t="str">
        <v>ASICS</v>
      </c>
      <c r="L174" t="str">
        <v>Pr.Sch.R</v>
      </c>
      <c r="M174" t="str">
        <v>MOLDED</v>
      </c>
      <c r="P174" t="str">
        <v>ok</v>
      </c>
      <c r="Q174">
        <v>46133</v>
      </c>
      <c r="R174">
        <f>S174-1</f>
        <v>46135</v>
      </c>
      <c r="S174">
        <v>46136</v>
      </c>
      <c r="T174" t="str">
        <v>l1</v>
      </c>
      <c r="V174">
        <f>U174-N174</f>
        <v>0</v>
      </c>
      <c r="W174">
        <v>0</v>
      </c>
      <c r="X174">
        <v>0</v>
      </c>
      <c r="Y174">
        <v>22</v>
      </c>
      <c r="Z174" t="b">
        <v>1</v>
      </c>
      <c r="AE174" t="e">
        <f>SUMIF('[4]TONG XUAT BUN 2026'!$B:$F,A174,'[4]TONG XUAT BUN 2026'!$F:$F)</f>
        <v>#VALUE!</v>
      </c>
      <c r="AF174" t="str">
        <v>m3</v>
      </c>
    </row>
    <row r="175">
      <c r="V175">
        <f>U175-N175</f>
        <v>0</v>
      </c>
      <c r="AF175" t="str">
        <v>m3</v>
      </c>
    </row>
    <row r="176">
      <c r="A176" t="str">
        <v>F-2026-01-490-1</v>
      </c>
      <c r="B176" t="str">
        <v>FPRO-260130-0013</v>
      </c>
      <c r="C176" t="str">
        <v>14/4</v>
      </c>
      <c r="D176" t="str">
        <v>Firm plan 30.01</v>
      </c>
      <c r="E176" t="str">
        <v>BDB-000011</v>
      </c>
      <c r="F176" t="str">
        <v>PVN-000258</v>
      </c>
      <c r="G176" t="str">
        <v>OrthoLite Regular AIR BLUE/16-4134TPX Flat Sheet 0.13D 35+/-4 Asker C 1.1M 2M 2.5mm</v>
      </c>
      <c r="H176">
        <v>1000</v>
      </c>
      <c r="I176">
        <v>18</v>
      </c>
      <c r="J176">
        <v>18</v>
      </c>
      <c r="K176" t="str">
        <v>ASICS</v>
      </c>
      <c r="L176" t="str">
        <v>Forecast</v>
      </c>
      <c r="M176" t="str">
        <v>SPLITTING</v>
      </c>
      <c r="N176">
        <v>18</v>
      </c>
      <c r="P176" t="str">
        <v>ok</v>
      </c>
      <c r="Q176">
        <v>46128</v>
      </c>
      <c r="R176">
        <f>S176-1-1</f>
        <v>46130</v>
      </c>
      <c r="S176">
        <v>46132</v>
      </c>
      <c r="T176" t="str">
        <v>l1</v>
      </c>
      <c r="U176">
        <f>20-2</f>
        <v>18</v>
      </c>
      <c r="V176">
        <f>U176-N176</f>
        <v>0</v>
      </c>
      <c r="W176">
        <v>0</v>
      </c>
      <c r="X176">
        <v>0</v>
      </c>
      <c r="Y176">
        <v>1000</v>
      </c>
      <c r="Z176" t="b">
        <v>1</v>
      </c>
      <c r="AE176" t="e">
        <f>SUMIF('[4]TONG XUAT BUN 2026'!$B:$F,A176,'[4]TONG XUAT BUN 2026'!$F:$F)</f>
        <v>#VALUE!</v>
      </c>
      <c r="AF176" t="str">
        <v>m3</v>
      </c>
    </row>
    <row r="177">
      <c r="V177">
        <f>U177-N177</f>
        <v>0</v>
      </c>
      <c r="AF177" t="str">
        <v>m3</v>
      </c>
    </row>
    <row r="178">
      <c r="A178" t="str">
        <v>F-2026-04-72</v>
      </c>
      <c r="B178" t="str">
        <v>RPRO-260406-1110</v>
      </c>
      <c r="C178" t="str">
        <v>14/4</v>
      </c>
      <c r="D178" t="str">
        <v>Pro.sche.report 3.4+4.4</v>
      </c>
      <c r="E178" t="str">
        <v>BDB-000010</v>
      </c>
      <c r="F178" t="str">
        <v>PVN-003437</v>
      </c>
      <c r="G178" t="str">
        <v>OrthoLite Regular AIR BLUE/16-4134TPX Flat Sheet 0.11D 25+/-4 Asker C 1.1M 2M 10.5mm</v>
      </c>
      <c r="H178">
        <v>48</v>
      </c>
      <c r="I178">
        <v>4</v>
      </c>
      <c r="J178">
        <v>4</v>
      </c>
      <c r="K178" t="str">
        <v>TRAVIS MATHEW</v>
      </c>
      <c r="L178" t="str">
        <v>Pr.Sch.R</v>
      </c>
      <c r="M178" t="str">
        <v>MOLDED</v>
      </c>
      <c r="N178">
        <v>4</v>
      </c>
      <c r="P178" t="str">
        <v>ok</v>
      </c>
      <c r="Q178">
        <v>46130</v>
      </c>
      <c r="R178">
        <f>S178-1</f>
        <v>46132</v>
      </c>
      <c r="S178">
        <v>46133</v>
      </c>
      <c r="T178" t="str">
        <v>l1</v>
      </c>
      <c r="U178">
        <v>4</v>
      </c>
      <c r="V178">
        <f>U178-N178</f>
        <v>0</v>
      </c>
      <c r="W178">
        <v>0</v>
      </c>
      <c r="X178">
        <v>0</v>
      </c>
      <c r="Y178">
        <v>48</v>
      </c>
      <c r="Z178" t="b">
        <v>1</v>
      </c>
      <c r="AE178" t="e">
        <f>SUMIF('[4]TONG XUAT BUN 2026'!$B:$F,A178,'[4]TONG XUAT BUN 2026'!$F:$F)</f>
        <v>#VALUE!</v>
      </c>
      <c r="AF178" t="str">
        <v>m3</v>
      </c>
    </row>
    <row r="179">
      <c r="V179">
        <f>U179-N179</f>
        <v>0</v>
      </c>
      <c r="AF179" t="str">
        <v>m3</v>
      </c>
    </row>
    <row r="180">
      <c r="A180" t="str">
        <v>F-2026-03-467</v>
      </c>
      <c r="B180" t="str">
        <v>FPRO-260324-0039</v>
      </c>
      <c r="C180" t="str">
        <v>14/4</v>
      </c>
      <c r="D180" t="str">
        <v>Firm plan 24.3</v>
      </c>
      <c r="E180" t="str">
        <v>BDB-000129</v>
      </c>
      <c r="F180" t="str">
        <v>PVN-001550</v>
      </c>
      <c r="G180" t="str">
        <v>OrthoLite Regular-Nike AIR BLUE/16-4134TPX 0.11D 25+/-4 Asker C 1.1M 1.7M 2mm</v>
      </c>
      <c r="H180">
        <v>2500</v>
      </c>
      <c r="I180">
        <v>36</v>
      </c>
      <c r="J180">
        <v>36</v>
      </c>
      <c r="K180" t="str">
        <v>NIKE</v>
      </c>
      <c r="L180" t="str">
        <v>Forecast</v>
      </c>
      <c r="M180" t="str">
        <v>DIE CUT</v>
      </c>
      <c r="N180">
        <v>36</v>
      </c>
      <c r="P180" t="str">
        <v>ok</v>
      </c>
      <c r="Q180">
        <v>46128</v>
      </c>
      <c r="R180">
        <f>S180-1-1</f>
        <v>46130</v>
      </c>
      <c r="S180">
        <v>46132</v>
      </c>
      <c r="T180" t="str">
        <v>l1</v>
      </c>
      <c r="U180">
        <f>39-6+3</f>
        <v>36</v>
      </c>
      <c r="V180">
        <f>U180-N180</f>
        <v>0</v>
      </c>
      <c r="W180">
        <v>0</v>
      </c>
      <c r="X180">
        <v>0</v>
      </c>
      <c r="Y180">
        <v>2500</v>
      </c>
      <c r="Z180" t="b">
        <v>0</v>
      </c>
      <c r="AE180" t="e">
        <f>SUMIF('[4]TONG XUAT BUN 2026'!$B:$F,A180,'[4]TONG XUAT BUN 2026'!$F:$F)</f>
        <v>#VALUE!</v>
      </c>
      <c r="AF180" t="str">
        <v>m3</v>
      </c>
    </row>
    <row r="181">
      <c r="V181">
        <f>U181-N181</f>
        <v>0</v>
      </c>
      <c r="AF181" t="str">
        <v>m3</v>
      </c>
    </row>
    <row r="182">
      <c r="A182" t="str">
        <v>F-2026-03-445</v>
      </c>
      <c r="B182" t="str">
        <v>FPRO-260324-0017</v>
      </c>
      <c r="C182" t="str">
        <v>14/4-15/4</v>
      </c>
      <c r="D182" t="str">
        <v>Firm plan 24.3</v>
      </c>
      <c r="E182" t="str">
        <v>BDB-000125</v>
      </c>
      <c r="F182" t="str">
        <v>PVN-002413</v>
      </c>
      <c r="G182" t="str">
        <v>OrthoLite Regular-Nike AIR BLUE/16-4134TPX 0.11D 25+/-4 Asker C 1.1M 2M 4.2mm</v>
      </c>
      <c r="H182">
        <v>2500</v>
      </c>
      <c r="I182">
        <v>76</v>
      </c>
      <c r="J182">
        <v>76</v>
      </c>
      <c r="K182" t="str">
        <v>NIKE</v>
      </c>
      <c r="L182" t="str">
        <v>Forecast</v>
      </c>
      <c r="M182" t="str">
        <v>DIE CUT</v>
      </c>
      <c r="N182">
        <f>107-6</f>
        <v>101</v>
      </c>
      <c r="O182" t="str">
        <v xml:space="preserve">W15 đổ dư 6 bun </v>
      </c>
      <c r="P182" t="str">
        <v>ok</v>
      </c>
      <c r="Q182">
        <v>46128</v>
      </c>
      <c r="R182">
        <f>S182-1-1</f>
        <v>46130</v>
      </c>
      <c r="S182">
        <v>46132</v>
      </c>
      <c r="T182" t="str">
        <v>l1</v>
      </c>
      <c r="U182">
        <f>7+97</f>
        <v>104</v>
      </c>
      <c r="V182">
        <f>U182-N182</f>
        <v>3</v>
      </c>
      <c r="W182">
        <v>0</v>
      </c>
      <c r="X182">
        <v>0</v>
      </c>
      <c r="Y182">
        <v>2500</v>
      </c>
      <c r="Z182" t="b">
        <v>0</v>
      </c>
      <c r="AE182" t="e">
        <f>SUMIF('[4]TONG XUAT BUN 2026'!$B:$F,A182,'[4]TONG XUAT BUN 2026'!$F:$F)</f>
        <v>#VALUE!</v>
      </c>
      <c r="AF182" t="str">
        <v>m3</v>
      </c>
    </row>
    <row r="183">
      <c r="A183" t="str">
        <v>F-2026-03-185-1</v>
      </c>
      <c r="B183" t="str">
        <v>FPRO-260309-0001</v>
      </c>
      <c r="C183" t="str">
        <v>15/4</v>
      </c>
      <c r="D183" t="str">
        <v>Firm plan 09.3</v>
      </c>
      <c r="E183" t="str">
        <v>BDB-000125</v>
      </c>
      <c r="F183" t="str">
        <v>PVN-002413</v>
      </c>
      <c r="G183" t="str">
        <v>OrthoLite Regular-Nike AIR BLUE/16-4134TPX 0.11D 25+/-4 Asker C 1.1M 2M 4.2mm</v>
      </c>
      <c r="H183">
        <v>1000</v>
      </c>
      <c r="I183">
        <v>31</v>
      </c>
      <c r="J183">
        <v>31</v>
      </c>
      <c r="K183" t="str">
        <v>NIKE</v>
      </c>
      <c r="L183" t="str">
        <v>Forecast</v>
      </c>
      <c r="M183" t="str">
        <v>DIE CUT</v>
      </c>
      <c r="N183" t="str">
        <v>107-6</v>
      </c>
      <c r="P183" t="str">
        <v>ok</v>
      </c>
      <c r="Q183">
        <v>46130</v>
      </c>
      <c r="R183">
        <f>S183-1</f>
        <v>46133</v>
      </c>
      <c r="S183">
        <v>46134</v>
      </c>
      <c r="T183" t="str">
        <v>list 1_add</v>
      </c>
      <c r="W183">
        <v>0</v>
      </c>
      <c r="X183">
        <v>0</v>
      </c>
      <c r="Y183">
        <v>1000</v>
      </c>
      <c r="Z183" t="b">
        <v>0</v>
      </c>
      <c r="AA183" t="str">
        <v>Keep cho lô SLT này</v>
      </c>
      <c r="AE183" t="e">
        <f>SUMIF('[4]TONG XUAT BUN 2026'!$B:$F,A183,'[4]TONG XUAT BUN 2026'!$F:$F)</f>
        <v>#VALUE!</v>
      </c>
      <c r="AF183" t="str">
        <v>m3</v>
      </c>
    </row>
    <row r="184">
      <c r="V184">
        <f>U184-N184</f>
        <v>0</v>
      </c>
      <c r="AF184" t="str">
        <v>m3</v>
      </c>
    </row>
    <row r="185">
      <c r="A185" t="str">
        <v>F-2026-02-294</v>
      </c>
      <c r="B185" t="str">
        <v>FPRO-260212-0045</v>
      </c>
      <c r="C185" t="str">
        <v>15/4</v>
      </c>
      <c r="D185" t="str">
        <v>Firm plan 12.02</v>
      </c>
      <c r="E185" t="str">
        <v>BDB-000164</v>
      </c>
      <c r="F185" t="str">
        <v>PVN-001618</v>
      </c>
      <c r="G185" t="str">
        <v>OrthoLite Ultra-Nike GREY/17-1501TPX 0.085D 25+/-4 Asker C 1.1M 2M 4mm</v>
      </c>
      <c r="H185">
        <v>500</v>
      </c>
      <c r="I185">
        <v>15</v>
      </c>
      <c r="J185">
        <v>15</v>
      </c>
      <c r="K185" t="str">
        <v>NIKE</v>
      </c>
      <c r="L185" t="str">
        <v>Forecast</v>
      </c>
      <c r="M185" t="str">
        <v>DIE CUT</v>
      </c>
      <c r="N185">
        <v>15</v>
      </c>
      <c r="P185" t="str">
        <v>ok</v>
      </c>
      <c r="Q185">
        <v>46128</v>
      </c>
      <c r="R185">
        <f>S185-1-1</f>
        <v>46130</v>
      </c>
      <c r="S185">
        <v>46132</v>
      </c>
      <c r="T185" t="str">
        <v>l1</v>
      </c>
      <c r="U185">
        <v>15</v>
      </c>
      <c r="V185">
        <f>U185-N185</f>
        <v>0</v>
      </c>
      <c r="W185">
        <v>0</v>
      </c>
      <c r="X185">
        <v>0</v>
      </c>
      <c r="Y185">
        <v>500</v>
      </c>
      <c r="Z185" t="b">
        <v>0</v>
      </c>
      <c r="AE185" t="e">
        <f>SUMIF('[4]TONG XUAT BUN 2026'!$B:$F,A185,'[4]TONG XUAT BUN 2026'!$F:$F)</f>
        <v>#VALUE!</v>
      </c>
      <c r="AF185" t="str">
        <v>m3</v>
      </c>
    </row>
    <row r="186">
      <c r="V186">
        <f>U186-N186</f>
        <v>0</v>
      </c>
      <c r="AF186" t="str">
        <v>m3</v>
      </c>
    </row>
    <row r="187">
      <c r="A187" t="str">
        <v>F-2026-03-546</v>
      </c>
      <c r="B187" t="str">
        <v>FPRO-260326-0007</v>
      </c>
      <c r="C187" t="str">
        <v>15/4</v>
      </c>
      <c r="D187" t="str">
        <v>Firm plan 26.3</v>
      </c>
      <c r="E187" t="str">
        <v>BDB-000209</v>
      </c>
      <c r="F187" t="str">
        <v>PVN-003537</v>
      </c>
      <c r="G187" t="str">
        <v>OrthoLite HybridPlus-Recycled MINT GREEN/11-4805TPX Hybrid 0.12D 25+/-4 Asker C 1.1M 2M 4.5mm</v>
      </c>
      <c r="H187">
        <v>2500</v>
      </c>
      <c r="I187">
        <v>81</v>
      </c>
      <c r="J187">
        <v>81</v>
      </c>
      <c r="K187" t="str">
        <v>ON RUNNING</v>
      </c>
      <c r="L187" t="str">
        <v>Forecast</v>
      </c>
      <c r="M187" t="str">
        <v>MOLDED</v>
      </c>
      <c r="N187">
        <f>223-5</f>
        <v>218</v>
      </c>
      <c r="O187" t="str">
        <v xml:space="preserve">W15 đổ dư 5 bun </v>
      </c>
      <c r="P187" t="str">
        <v>ok</v>
      </c>
      <c r="Q187">
        <v>46128</v>
      </c>
      <c r="R187">
        <f>S187-1-1</f>
        <v>46130</v>
      </c>
      <c r="S187">
        <v>46132</v>
      </c>
      <c r="T187" t="str">
        <v>l1</v>
      </c>
      <c r="U187">
        <f>203-9+24</f>
        <v>218</v>
      </c>
      <c r="V187">
        <f>U187-N187</f>
        <v>0</v>
      </c>
      <c r="W187">
        <v>0</v>
      </c>
      <c r="X187">
        <v>0</v>
      </c>
      <c r="Y187">
        <v>2500</v>
      </c>
      <c r="Z187" t="b">
        <v>0</v>
      </c>
      <c r="AE187" t="e">
        <f>SUMIF('[4]TONG XUAT BUN 2026'!$B:$F,A187,'[4]TONG XUAT BUN 2026'!$F:$F)</f>
        <v>#VALUE!</v>
      </c>
      <c r="AF187" t="str">
        <v>m3</v>
      </c>
    </row>
    <row r="188">
      <c r="A188" t="str">
        <v>F-2026-03-540</v>
      </c>
      <c r="B188" t="str">
        <v>FPRO-260326-0001</v>
      </c>
      <c r="C188" t="str">
        <v>15/4-16/4</v>
      </c>
      <c r="D188" t="str">
        <v>Firm plan 26.3</v>
      </c>
      <c r="E188" t="str">
        <v>BDB-000209</v>
      </c>
      <c r="F188" t="str">
        <v>PVN-003537</v>
      </c>
      <c r="G188" t="str">
        <v>OrthoLite HybridPlus-Recycled MINT GREEN/11-4805TPX Hybrid 0.12D 25+/-4 Asker C 1.1M 2M 4.5mm</v>
      </c>
      <c r="H188">
        <v>2500</v>
      </c>
      <c r="I188">
        <v>81</v>
      </c>
      <c r="J188">
        <v>81</v>
      </c>
      <c r="K188" t="str">
        <v>ON RUNNING</v>
      </c>
      <c r="L188" t="str">
        <v>Forecast</v>
      </c>
      <c r="M188" t="str">
        <v>MOLDED</v>
      </c>
      <c r="N188" t="str">
        <v>223-5</v>
      </c>
      <c r="P188" t="str">
        <v>ok</v>
      </c>
      <c r="Q188">
        <v>46129</v>
      </c>
      <c r="R188">
        <f>S188-1-1</f>
        <v>46130</v>
      </c>
      <c r="S188">
        <v>46132</v>
      </c>
      <c r="T188" t="str">
        <v>l1</v>
      </c>
      <c r="W188">
        <v>0</v>
      </c>
      <c r="X188">
        <v>0</v>
      </c>
      <c r="Y188">
        <v>2500</v>
      </c>
      <c r="Z188" t="b">
        <v>0</v>
      </c>
      <c r="AE188" t="e">
        <f>SUMIF('[4]TONG XUAT BUN 2026'!$B:$F,A188,'[4]TONG XUAT BUN 2026'!$F:$F)</f>
        <v>#VALUE!</v>
      </c>
      <c r="AF188" t="str">
        <v>m3</v>
      </c>
    </row>
    <row r="189">
      <c r="A189" t="str">
        <v>F-2026-04-120</v>
      </c>
      <c r="B189" t="str">
        <v>RPRO-260410-0203</v>
      </c>
      <c r="C189" t="str">
        <v>16/4-17/4</v>
      </c>
      <c r="D189" t="str">
        <v>Pro.sche.report 09.4</v>
      </c>
      <c r="E189" t="str">
        <v>BDB-000209</v>
      </c>
      <c r="F189" t="str">
        <v>PVN-003550</v>
      </c>
      <c r="G189" t="str">
        <v>OrthoLite HybridPlus-Recycled MINT GREEN/11-4805TPX Hybrid Flat Sheet 0.12D 25+/-4 Asker C 1.1M 2M 6mm</v>
      </c>
      <c r="H189">
        <v>1380</v>
      </c>
      <c r="I189">
        <v>61</v>
      </c>
      <c r="J189">
        <v>61</v>
      </c>
      <c r="K189" t="str">
        <v>ON RUNNING</v>
      </c>
      <c r="L189" t="str">
        <v>Pr.Sch.R</v>
      </c>
      <c r="M189" t="str">
        <v>MOLDED</v>
      </c>
      <c r="P189" t="str">
        <v>ok</v>
      </c>
      <c r="Q189">
        <v>46134</v>
      </c>
      <c r="R189">
        <f>S189-1</f>
        <v>46136</v>
      </c>
      <c r="S189">
        <v>46137</v>
      </c>
      <c r="T189" t="str">
        <v>l1</v>
      </c>
      <c r="V189">
        <f>U189-N189</f>
        <v>0</v>
      </c>
      <c r="W189">
        <v>0</v>
      </c>
      <c r="X189">
        <v>0</v>
      </c>
      <c r="Y189">
        <v>1380</v>
      </c>
      <c r="Z189" t="b">
        <v>1</v>
      </c>
      <c r="AE189" t="e">
        <f>SUMIF('[4]TONG XUAT BUN 2026'!$B:$F,A189,'[4]TONG XUAT BUN 2026'!$F:$F)</f>
        <v>#VALUE!</v>
      </c>
      <c r="AF189" t="str">
        <v>m3</v>
      </c>
    </row>
    <row r="190">
      <c r="V190">
        <f>U190-N190</f>
        <v>0</v>
      </c>
      <c r="AF190" t="str">
        <v>m3</v>
      </c>
    </row>
    <row r="191">
      <c r="A191" t="str">
        <v>F-2026-04-73</v>
      </c>
      <c r="B191" t="str">
        <v>RPRO-260406-1111</v>
      </c>
      <c r="C191" t="str">
        <v>17/4</v>
      </c>
      <c r="D191" t="str">
        <v>Pro.sche.report 3.4+4.4</v>
      </c>
      <c r="E191" t="str">
        <v>BDB-000242</v>
      </c>
      <c r="F191" t="str">
        <v>PVN-003614</v>
      </c>
      <c r="G191" t="str">
        <v>OrthoLite Regular GREY/17-1501TPX Flat Sheet 0.11D 5-10 Asker C 1.1M 2M 3.5mm</v>
      </c>
      <c r="H191">
        <v>80</v>
      </c>
      <c r="I191">
        <v>2</v>
      </c>
      <c r="J191">
        <v>2</v>
      </c>
      <c r="K191" t="str">
        <v>TRAVIS MATHEW</v>
      </c>
      <c r="L191" t="str">
        <v>Pr.Sch.R</v>
      </c>
      <c r="M191" t="str">
        <v>MOLDED</v>
      </c>
      <c r="N191">
        <v>2</v>
      </c>
      <c r="P191" t="str">
        <v>ok</v>
      </c>
      <c r="Q191">
        <v>46130</v>
      </c>
      <c r="R191">
        <f>S191-1</f>
        <v>46132</v>
      </c>
      <c r="S191">
        <v>46133</v>
      </c>
      <c r="T191" t="str">
        <v>l1</v>
      </c>
      <c r="U191">
        <v>2</v>
      </c>
      <c r="V191">
        <f>U191-N191</f>
        <v>0</v>
      </c>
      <c r="W191">
        <v>0</v>
      </c>
      <c r="X191">
        <v>0</v>
      </c>
      <c r="Y191">
        <v>80</v>
      </c>
      <c r="Z191" t="b">
        <v>1</v>
      </c>
      <c r="AE191" t="e">
        <f>SUMIF('[4]TONG XUAT BUN 2026'!$B:$F,A191,'[4]TONG XUAT BUN 2026'!$F:$F)</f>
        <v>#VALUE!</v>
      </c>
      <c r="AF191" t="str">
        <v>m3</v>
      </c>
    </row>
    <row r="192">
      <c r="V192">
        <f>U192-N192</f>
        <v>0</v>
      </c>
      <c r="AF192" t="str">
        <v>m3</v>
      </c>
    </row>
    <row r="193">
      <c r="A193" t="str">
        <v>F-2026-04-88</v>
      </c>
      <c r="B193" t="str">
        <v>RPRO-260407-0081</v>
      </c>
      <c r="C193" t="str">
        <v>17/4</v>
      </c>
      <c r="D193" t="str">
        <v>Pro.sche.report 06.04</v>
      </c>
      <c r="E193" t="str">
        <v>BDB-000067</v>
      </c>
      <c r="F193" t="str">
        <v>PVN-003691</v>
      </c>
      <c r="G193" t="str">
        <v>OrthoLite Ultra SEEDPEARL/12-0703TPX Flat Sheet 0.085D 25+/-4 Asker C 1.1M 2M 5.2mm</v>
      </c>
      <c r="H193">
        <v>26</v>
      </c>
      <c r="I193">
        <v>1</v>
      </c>
      <c r="J193">
        <v>1</v>
      </c>
      <c r="K193" t="str">
        <v>PUMA</v>
      </c>
      <c r="L193" t="str">
        <v>Pr.Sch.R</v>
      </c>
      <c r="M193" t="str">
        <v>MOLDED</v>
      </c>
      <c r="N193">
        <v>1</v>
      </c>
      <c r="O193" t="str">
        <v>ppc/pur imp-đã nhắc sx</v>
      </c>
      <c r="P193" t="str">
        <v>ok</v>
      </c>
      <c r="Q193">
        <v>46130</v>
      </c>
      <c r="R193">
        <f>S193-1</f>
        <v>46132</v>
      </c>
      <c r="S193">
        <v>46133</v>
      </c>
      <c r="T193" t="str">
        <v>l1</v>
      </c>
      <c r="U193">
        <v>1</v>
      </c>
      <c r="V193">
        <f>U193-N193</f>
        <v>0</v>
      </c>
      <c r="W193">
        <v>0</v>
      </c>
      <c r="X193">
        <v>0</v>
      </c>
      <c r="Y193">
        <v>26</v>
      </c>
      <c r="Z193" t="b">
        <v>1</v>
      </c>
      <c r="AE193" t="e">
        <f>SUMIF('[4]TONG XUAT BUN 2026'!$B:$F,A193,'[4]TONG XUAT BUN 2026'!$F:$F)</f>
        <v>#VALUE!</v>
      </c>
      <c r="AF193" t="str">
        <v>m3</v>
      </c>
    </row>
    <row r="194">
      <c r="V194">
        <f>U194-N194</f>
        <v>0</v>
      </c>
      <c r="AF194" t="str">
        <v>m3</v>
      </c>
    </row>
    <row r="195">
      <c r="A195" t="str">
        <v>F-2026-02-317</v>
      </c>
      <c r="B195" t="str">
        <v>FPRO-260212-0014</v>
      </c>
      <c r="C195" t="str">
        <v>17/4</v>
      </c>
      <c r="D195" t="str">
        <v>Firm plan 12.02</v>
      </c>
      <c r="E195" t="str">
        <v>BDB-000163</v>
      </c>
      <c r="F195" t="str">
        <v>PVN-001556</v>
      </c>
      <c r="G195" t="str">
        <v>OrthoLite Ultra-Nike YELLOW/13-0858TPX 0.085D 25+/-4 Asker C 1.1M 2M 4mm</v>
      </c>
      <c r="H195">
        <v>1500</v>
      </c>
      <c r="I195">
        <v>43</v>
      </c>
      <c r="J195">
        <v>43</v>
      </c>
      <c r="K195" t="str">
        <v>NIKE</v>
      </c>
      <c r="L195" t="str">
        <v>Forecast</v>
      </c>
      <c r="M195" t="str">
        <v>DIE CUT</v>
      </c>
      <c r="N195">
        <v>43</v>
      </c>
      <c r="P195" t="str">
        <v>ok</v>
      </c>
      <c r="Q195">
        <v>46130</v>
      </c>
      <c r="R195">
        <f>S195-1</f>
        <v>46132</v>
      </c>
      <c r="S195">
        <v>46133</v>
      </c>
      <c r="T195" t="str">
        <v>l1</v>
      </c>
      <c r="U195">
        <f>46-3</f>
        <v>43</v>
      </c>
      <c r="V195">
        <f>U195-N195</f>
        <v>0</v>
      </c>
      <c r="W195">
        <v>0</v>
      </c>
      <c r="X195">
        <v>0</v>
      </c>
      <c r="Y195">
        <v>1500</v>
      </c>
      <c r="Z195" t="b">
        <v>0</v>
      </c>
      <c r="AE195" t="e">
        <f>SUMIF('[4]TONG XUAT BUN 2026'!$B:$F,A195,'[4]TONG XUAT BUN 2026'!$F:$F)</f>
        <v>#VALUE!</v>
      </c>
      <c r="AF195" t="str">
        <v>m3</v>
      </c>
    </row>
    <row r="196">
      <c r="V196">
        <f>U196-N196</f>
        <v>0</v>
      </c>
      <c r="AF196" t="str">
        <v>m3</v>
      </c>
    </row>
    <row r="197">
      <c r="A197" t="str">
        <v>F-2026-04-83</v>
      </c>
      <c r="B197" t="str">
        <v>RPRO-260407-0076</v>
      </c>
      <c r="C197" t="str">
        <v>17/4</v>
      </c>
      <c r="D197" t="str">
        <v>MPS 06.04</v>
      </c>
      <c r="E197" t="str">
        <v>BDB-000058</v>
      </c>
      <c r="F197" t="str">
        <v>PVN-001277</v>
      </c>
      <c r="G197" t="str">
        <v>OrthoLite Ultra GREEN/16-5932TPX Flat Sheet 0.085D 25+/-4 Asker C 1.1M 2M 4mm</v>
      </c>
      <c r="H197">
        <v>350</v>
      </c>
      <c r="I197">
        <v>10</v>
      </c>
      <c r="J197">
        <v>10</v>
      </c>
      <c r="L197" t="str">
        <v>MPS</v>
      </c>
      <c r="M197" t="str">
        <v>SPLITTING</v>
      </c>
      <c r="N197">
        <v>48</v>
      </c>
      <c r="P197" t="str">
        <v>ok</v>
      </c>
      <c r="Q197">
        <v>46130</v>
      </c>
      <c r="R197">
        <f>S197-1</f>
        <v>46133</v>
      </c>
      <c r="S197">
        <v>46134</v>
      </c>
      <c r="T197" t="str">
        <v>l1</v>
      </c>
      <c r="U197">
        <v>55</v>
      </c>
      <c r="V197">
        <f>U197-N197</f>
        <v>7</v>
      </c>
      <c r="W197">
        <v>0</v>
      </c>
      <c r="X197">
        <v>0</v>
      </c>
      <c r="Y197">
        <v>350</v>
      </c>
      <c r="Z197" t="b">
        <v>1</v>
      </c>
      <c r="AE197" t="e">
        <f>SUMIF('[4]TONG XUAT BUN 2026'!$B:$F,A197,'[4]TONG XUAT BUN 2026'!$F:$F)</f>
        <v>#VALUE!</v>
      </c>
      <c r="AF197" t="str">
        <v>m3</v>
      </c>
    </row>
    <row r="198">
      <c r="A198" t="str">
        <v>F-2026-04-98</v>
      </c>
      <c r="B198" t="str">
        <v>RPRO-260409-0284</v>
      </c>
      <c r="C198" t="str">
        <v>17/4</v>
      </c>
      <c r="D198" t="str">
        <v>MPS 07.4+08.4</v>
      </c>
      <c r="E198" t="str">
        <v>BDB-000058</v>
      </c>
      <c r="F198" t="str">
        <v>PVN-001319</v>
      </c>
      <c r="G198" t="str">
        <v>OrthoLite Ultra GREEN/16-5932TPX 0.085D 25+/-4 Asker C 1.1M 2M 5mm</v>
      </c>
      <c r="H198">
        <v>252</v>
      </c>
      <c r="I198">
        <v>9</v>
      </c>
      <c r="J198">
        <v>9</v>
      </c>
      <c r="L198" t="str">
        <v>MPS</v>
      </c>
      <c r="M198" t="str">
        <v>SPLITTING</v>
      </c>
      <c r="P198" t="str">
        <v>ok</v>
      </c>
      <c r="Q198">
        <v>46133</v>
      </c>
      <c r="R198">
        <f>S198-1</f>
        <v>46135</v>
      </c>
      <c r="S198">
        <v>46136</v>
      </c>
      <c r="T198" t="str">
        <v>l1</v>
      </c>
      <c r="V198">
        <f>U198-N198</f>
        <v>0</v>
      </c>
      <c r="W198">
        <v>0</v>
      </c>
      <c r="X198">
        <v>0</v>
      </c>
      <c r="Y198">
        <v>252</v>
      </c>
      <c r="Z198" t="b">
        <v>1</v>
      </c>
      <c r="AE198" t="e">
        <f>SUMIF('[4]TONG XUAT BUN 2026'!$B:$F,A198,'[4]TONG XUAT BUN 2026'!$F:$F)</f>
        <v>#VALUE!</v>
      </c>
      <c r="AF198" t="str">
        <v>m3</v>
      </c>
    </row>
    <row r="199">
      <c r="A199" t="str">
        <v>F-2026-04-97</v>
      </c>
      <c r="B199" t="str">
        <v>RPRO-260409-0283</v>
      </c>
      <c r="C199" t="str">
        <v>17/4</v>
      </c>
      <c r="D199" t="str">
        <v>MPS 07.4+08.4</v>
      </c>
      <c r="E199" t="str">
        <v>BDB-000058</v>
      </c>
      <c r="F199" t="str">
        <v>PVN-001277</v>
      </c>
      <c r="G199" t="str">
        <v>OrthoLite Ultra GREEN/16-5932TPX Flat Sheet 0.085D 25+/-4 Asker C 1.1M 2M 4mm</v>
      </c>
      <c r="H199">
        <v>1015</v>
      </c>
      <c r="I199">
        <v>29</v>
      </c>
      <c r="J199">
        <v>29</v>
      </c>
      <c r="L199" t="str">
        <v>MPS</v>
      </c>
      <c r="M199" t="str">
        <v>SPLITTING</v>
      </c>
      <c r="P199" t="str">
        <v>ok</v>
      </c>
      <c r="Q199">
        <v>46133</v>
      </c>
      <c r="R199">
        <f>S199-1</f>
        <v>46135</v>
      </c>
      <c r="S199">
        <v>46136</v>
      </c>
      <c r="T199" t="str">
        <v>l1</v>
      </c>
      <c r="V199">
        <f>U199-N199</f>
        <v>0</v>
      </c>
      <c r="W199">
        <v>0</v>
      </c>
      <c r="X199">
        <v>0</v>
      </c>
      <c r="Y199">
        <v>1015</v>
      </c>
      <c r="Z199" t="b">
        <v>1</v>
      </c>
      <c r="AE199" t="e">
        <f>SUMIF('[4]TONG XUAT BUN 2026'!$B:$F,A199,'[4]TONG XUAT BUN 2026'!$F:$F)</f>
        <v>#VALUE!</v>
      </c>
      <c r="AF199" t="str">
        <v>m3</v>
      </c>
    </row>
    <row r="200">
      <c r="G200" t="str">
        <v>RELEASE ĐỢT 1</v>
      </c>
      <c r="V200">
        <f>U200-N200</f>
        <v>0</v>
      </c>
    </row>
    <row r="201">
      <c r="A201" t="str">
        <v>F-2026-04-143</v>
      </c>
      <c r="B201" t="str">
        <v>RPRO-260413-0261</v>
      </c>
      <c r="C201" t="str">
        <v>17/4</v>
      </c>
      <c r="D201" t="str">
        <v>MPS 10.4+11.04+12.04</v>
      </c>
      <c r="E201" t="str">
        <v>BDB-000010</v>
      </c>
      <c r="F201" t="str">
        <v>PVN-000101</v>
      </c>
      <c r="G201" t="str">
        <v>OrthoLite Regular AIR BLUE/16-4134TPX Flat Sheet 0.11D 25+/-4 Asker C 1.1M 2M 3mm</v>
      </c>
      <c r="H201">
        <v>138</v>
      </c>
      <c r="I201">
        <v>4</v>
      </c>
      <c r="J201">
        <v>4</v>
      </c>
      <c r="L201" t="str">
        <v>MPS</v>
      </c>
      <c r="M201" t="str">
        <v>SPLITTING</v>
      </c>
      <c r="N201">
        <v>4</v>
      </c>
      <c r="P201" t="str">
        <v>ok</v>
      </c>
      <c r="Q201">
        <v>46130</v>
      </c>
      <c r="R201">
        <f>S201-1</f>
        <v>46133</v>
      </c>
      <c r="S201">
        <v>46134</v>
      </c>
      <c r="T201" t="str">
        <v>l2</v>
      </c>
      <c r="U201">
        <v>4</v>
      </c>
      <c r="V201">
        <f>U201-N201</f>
        <v>0</v>
      </c>
      <c r="W201">
        <v>0</v>
      </c>
      <c r="X201">
        <v>0</v>
      </c>
      <c r="Y201">
        <v>138</v>
      </c>
      <c r="Z201" t="b">
        <v>0</v>
      </c>
      <c r="AE201" t="e">
        <f>SUMIF('[4]TONG XUAT BUN 2026'!$B:$F,A201,'[4]TONG XUAT BUN 2026'!$F:$F)</f>
        <v>#VALUE!</v>
      </c>
    </row>
    <row r="202">
      <c r="V202">
        <f>U202-N202</f>
        <v>0</v>
      </c>
    </row>
    <row r="203">
      <c r="A203" t="str">
        <v>F-2026-04-154</v>
      </c>
      <c r="B203" t="str">
        <v>RPRO-260413-0272</v>
      </c>
      <c r="C203" t="str">
        <v>17/4</v>
      </c>
      <c r="D203" t="str">
        <v>Pro.sche.report 10.4+11.04+12.04</v>
      </c>
      <c r="E203" t="str">
        <v>BDB-000011</v>
      </c>
      <c r="F203" t="str">
        <v>PVN-000121</v>
      </c>
      <c r="G203" t="str">
        <v>OrthoLite Regular AIR BLUE/16-4134TPX Flat Sheet 0.13D 35+/-4 Asker C 1.1M 2M 12mm</v>
      </c>
      <c r="H203">
        <v>11</v>
      </c>
      <c r="I203">
        <v>2</v>
      </c>
      <c r="J203">
        <v>2</v>
      </c>
      <c r="K203" t="str">
        <v>ASICS</v>
      </c>
      <c r="L203" t="str">
        <v>Pr.Sch.R</v>
      </c>
      <c r="M203" t="str">
        <v>MOLDED</v>
      </c>
      <c r="N203">
        <v>2</v>
      </c>
      <c r="P203" t="str">
        <v>ok</v>
      </c>
      <c r="Q203">
        <v>46130</v>
      </c>
      <c r="R203">
        <f>S203-1</f>
        <v>46133</v>
      </c>
      <c r="S203">
        <v>46134</v>
      </c>
      <c r="T203" t="str">
        <v>l2</v>
      </c>
      <c r="U203">
        <v>2</v>
      </c>
      <c r="V203">
        <f>U203-N203</f>
        <v>0</v>
      </c>
      <c r="W203">
        <v>0</v>
      </c>
      <c r="X203">
        <v>0</v>
      </c>
      <c r="Y203">
        <v>11</v>
      </c>
      <c r="Z203" t="b">
        <v>0</v>
      </c>
      <c r="AE203" t="e">
        <f>SUMIF('[4]TONG XUAT BUN 2026'!$B:$F,A203,'[4]TONG XUAT BUN 2026'!$F:$F)</f>
        <v>#VALUE!</v>
      </c>
    </row>
    <row r="204">
      <c r="V204">
        <f>U204-N204</f>
        <v>0</v>
      </c>
    </row>
    <row r="205">
      <c r="A205" t="str">
        <v>F-2026-04-144</v>
      </c>
      <c r="B205" t="str">
        <v>RPRO-260413-0262</v>
      </c>
      <c r="C205" t="str">
        <v>17/4</v>
      </c>
      <c r="D205" t="str">
        <v>MPS 10.4+11.04+12.04</v>
      </c>
      <c r="E205" t="str">
        <v>BDB-000083</v>
      </c>
      <c r="F205" t="str">
        <v>PVN-000930</v>
      </c>
      <c r="G205" t="str">
        <v>OrthoLite Eco LT 300C(ADIDAS BLUEBIRD) Flat Sheet 0.11D 25+/-4 Asker C 1.1M 2M 3mm</v>
      </c>
      <c r="H205">
        <v>92</v>
      </c>
      <c r="I205">
        <v>3</v>
      </c>
      <c r="J205">
        <v>3</v>
      </c>
      <c r="L205" t="str">
        <v>MPS</v>
      </c>
      <c r="M205" t="str">
        <v>SPLITTING</v>
      </c>
      <c r="N205">
        <v>3</v>
      </c>
      <c r="P205" t="str">
        <v>ok</v>
      </c>
      <c r="Q205">
        <v>46130</v>
      </c>
      <c r="R205">
        <f>S205-1</f>
        <v>46133</v>
      </c>
      <c r="S205">
        <v>46134</v>
      </c>
      <c r="T205" t="str">
        <v>l2</v>
      </c>
      <c r="U205">
        <v>3</v>
      </c>
      <c r="V205">
        <f>U205-N205</f>
        <v>0</v>
      </c>
      <c r="W205">
        <v>0</v>
      </c>
      <c r="X205">
        <v>0</v>
      </c>
      <c r="Y205">
        <v>92</v>
      </c>
      <c r="Z205" t="b">
        <v>0</v>
      </c>
      <c r="AE205" t="e">
        <f>SUMIF('[4]TONG XUAT BUN 2026'!$B:$F,A205,'[4]TONG XUAT BUN 2026'!$F:$F)</f>
        <v>#VALUE!</v>
      </c>
    </row>
    <row r="206">
      <c r="V206">
        <f>U206-N206</f>
        <v>0</v>
      </c>
    </row>
    <row r="207">
      <c r="A207" t="str">
        <v>F-2026-04-167</v>
      </c>
      <c r="B207" t="str">
        <v>RPRO-260414-0214</v>
      </c>
      <c r="C207" t="str">
        <v>17/4</v>
      </c>
      <c r="D207" t="str">
        <v>MPS 13.04</v>
      </c>
      <c r="E207" t="str">
        <v>BDB-000200</v>
      </c>
      <c r="F207" t="str">
        <v>PVN-003425</v>
      </c>
      <c r="G207" t="str">
        <v>OrthoLite Ultra SEEDPEARL/12-0703TPX Flat Sheet 0.085D 78-90 Asker F 1.1M 2M 4mm</v>
      </c>
      <c r="H207">
        <v>70</v>
      </c>
      <c r="I207">
        <v>2</v>
      </c>
      <c r="J207">
        <v>2</v>
      </c>
      <c r="L207" t="str">
        <v>MPS</v>
      </c>
      <c r="M207" t="str">
        <v>SPLITTING</v>
      </c>
      <c r="N207">
        <v>2</v>
      </c>
      <c r="P207" t="str">
        <v>ok</v>
      </c>
      <c r="Q207">
        <v>46130</v>
      </c>
      <c r="R207">
        <f>S207-1</f>
        <v>46133</v>
      </c>
      <c r="S207">
        <v>46134</v>
      </c>
      <c r="T207" t="str">
        <v>l2</v>
      </c>
      <c r="U207">
        <f>2</f>
        <v>2</v>
      </c>
      <c r="V207">
        <f>U207-N207</f>
        <v>0</v>
      </c>
      <c r="W207">
        <v>0</v>
      </c>
      <c r="X207">
        <v>0</v>
      </c>
      <c r="Y207">
        <v>70</v>
      </c>
      <c r="Z207" t="b">
        <v>0</v>
      </c>
      <c r="AE207" t="e">
        <f>SUMIF('[4]TONG XUAT BUN 2026'!$B:$F,A207,'[4]TONG XUAT BUN 2026'!$F:$F)</f>
        <v>#VALUE!</v>
      </c>
    </row>
    <row r="208">
      <c r="V208">
        <f>U208-N208</f>
        <v>0</v>
      </c>
    </row>
    <row r="209">
      <c r="A209" t="str">
        <v>F-2026-04-173</v>
      </c>
      <c r="B209" t="str">
        <v>RPRO-260414-0220</v>
      </c>
      <c r="C209" t="str">
        <v>17/4</v>
      </c>
      <c r="D209" t="str">
        <v>Pro.sche.report 13.04</v>
      </c>
      <c r="E209" t="str">
        <v>BDB-000004</v>
      </c>
      <c r="F209" t="str">
        <v>PVN-000445</v>
      </c>
      <c r="G209" t="str">
        <v>OrthoLite Regular GREY/17-1501TPX Flat Sheet 0.11D 25+/-4 Asker C 1.1M 2M 13mm</v>
      </c>
      <c r="H209">
        <v>80</v>
      </c>
      <c r="I209">
        <v>8</v>
      </c>
      <c r="J209">
        <v>8</v>
      </c>
      <c r="K209" t="str">
        <v>DANNER</v>
      </c>
      <c r="L209" t="str">
        <v>Pr.Sch.R</v>
      </c>
      <c r="M209" t="str">
        <v>MOLDED</v>
      </c>
      <c r="N209">
        <v>8</v>
      </c>
      <c r="P209" t="str">
        <v>ok</v>
      </c>
      <c r="Q209">
        <v>46130</v>
      </c>
      <c r="R209">
        <f>S209-1</f>
        <v>46133</v>
      </c>
      <c r="S209">
        <v>46134</v>
      </c>
      <c r="T209" t="str">
        <v>l2</v>
      </c>
      <c r="U209">
        <v>8</v>
      </c>
      <c r="V209">
        <f>U209-N209</f>
        <v>0</v>
      </c>
      <c r="W209">
        <v>0</v>
      </c>
      <c r="X209">
        <v>0</v>
      </c>
      <c r="Y209">
        <v>80</v>
      </c>
      <c r="Z209" t="b">
        <v>0</v>
      </c>
      <c r="AE209" t="e">
        <f>SUMIF('[4]TONG XUAT BUN 2026'!$B:$F,A209,'[4]TONG XUAT BUN 2026'!$F:$F)</f>
        <v>#VALUE!</v>
      </c>
    </row>
    <row r="210">
      <c r="V210">
        <f>U210-N210</f>
        <v>0</v>
      </c>
    </row>
    <row r="211">
      <c r="A211" t="str">
        <v>F-2026-03-482</v>
      </c>
      <c r="B211" t="str">
        <v>FPRO-260324-0054</v>
      </c>
      <c r="C211" t="str">
        <v>17/4</v>
      </c>
      <c r="D211" t="str">
        <v>Firm plan 24.3</v>
      </c>
      <c r="E211" t="str">
        <v>BDB-000218</v>
      </c>
      <c r="F211" t="str">
        <v>PVN-003488</v>
      </c>
      <c r="G211" t="str">
        <v>OrthoLite Ultra-Nike SEEDPEARL/12-0703TPX 0.085D 5-10 Asker C 1.1M 2M 4mm</v>
      </c>
      <c r="H211">
        <v>500</v>
      </c>
      <c r="I211">
        <v>15</v>
      </c>
      <c r="J211">
        <v>15</v>
      </c>
      <c r="K211" t="str">
        <v>NIKE</v>
      </c>
      <c r="L211" t="str">
        <v>Forecast</v>
      </c>
      <c r="M211" t="str">
        <v>DIE CUT</v>
      </c>
      <c r="N211">
        <v>15</v>
      </c>
      <c r="P211" t="str">
        <v>ok</v>
      </c>
      <c r="Q211">
        <v>46132</v>
      </c>
      <c r="R211">
        <f>S211-1</f>
        <v>46134</v>
      </c>
      <c r="S211">
        <v>46135</v>
      </c>
      <c r="T211" t="str">
        <v>l2</v>
      </c>
      <c r="U211">
        <v>15</v>
      </c>
      <c r="V211">
        <f>U211-N211</f>
        <v>0</v>
      </c>
      <c r="W211">
        <v>0</v>
      </c>
      <c r="X211">
        <v>0</v>
      </c>
      <c r="Y211">
        <v>500</v>
      </c>
      <c r="Z211" t="b">
        <v>0</v>
      </c>
      <c r="AA211" t="str">
        <v>Keep ETD</v>
      </c>
      <c r="AE211" t="e">
        <f>SUMIF('[4]TONG XUAT BUN 2026'!$B:$F,A211,'[4]TONG XUAT BUN 2026'!$F:$F)</f>
        <v>#VALUE!</v>
      </c>
    </row>
    <row r="212">
      <c r="V212">
        <f>U212-N212</f>
        <v>0</v>
      </c>
    </row>
    <row r="213">
      <c r="A213" t="str">
        <v>F-2026-01-393-1</v>
      </c>
      <c r="B213" t="str">
        <v>FPRO-260127-0022</v>
      </c>
      <c r="C213" t="str">
        <v>17/4</v>
      </c>
      <c r="D213" t="str">
        <v>Firm plan 28.01</v>
      </c>
      <c r="E213" t="str">
        <v>BDB-000160</v>
      </c>
      <c r="F213" t="str">
        <v>PVN-001562</v>
      </c>
      <c r="G213" t="str">
        <v>OrthoLite Ultra-Nike LIME GREEN/14-0452TPX 0.085D 25+/-4 Asker C 1.1M 2M 4mm</v>
      </c>
      <c r="H213">
        <v>1500</v>
      </c>
      <c r="I213">
        <v>43</v>
      </c>
      <c r="J213">
        <v>43</v>
      </c>
      <c r="K213" t="str">
        <v>NIKE</v>
      </c>
      <c r="L213" t="str">
        <v>Forecast</v>
      </c>
      <c r="M213" t="str">
        <v>DIE CUT</v>
      </c>
      <c r="N213">
        <v>43</v>
      </c>
      <c r="P213" t="str">
        <v>ok</v>
      </c>
      <c r="Q213">
        <v>46132</v>
      </c>
      <c r="R213">
        <f>S213-1</f>
        <v>46134</v>
      </c>
      <c r="S213">
        <v>46135</v>
      </c>
      <c r="T213" t="str">
        <v>l2</v>
      </c>
      <c r="U213">
        <v>43</v>
      </c>
      <c r="V213">
        <f>U213-N213</f>
        <v>0</v>
      </c>
      <c r="W213">
        <v>0</v>
      </c>
      <c r="X213">
        <v>0</v>
      </c>
      <c r="Y213">
        <v>1500</v>
      </c>
      <c r="Z213" t="b">
        <v>0</v>
      </c>
      <c r="AA213" t="str">
        <v>keep ETD</v>
      </c>
      <c r="AE213" t="e">
        <f>SUMIF('[4]TONG XUAT BUN 2026'!$B:$F,A213,'[4]TONG XUAT BUN 2026'!$F:$F)</f>
        <v>#VALUE!</v>
      </c>
    </row>
    <row r="214">
      <c r="V214">
        <f>U214-N214</f>
        <v>0</v>
      </c>
    </row>
    <row r="215">
      <c r="A215" t="str">
        <v>F-2026-02-289</v>
      </c>
      <c r="B215" t="str">
        <v>FPRO-260212-0040</v>
      </c>
      <c r="C215" t="str">
        <v>17/4-18/4</v>
      </c>
      <c r="D215" t="str">
        <v>Firm plan 12.02</v>
      </c>
      <c r="E215" t="str">
        <v>BDB-000175</v>
      </c>
      <c r="F215" t="str">
        <v>PVN-002966</v>
      </c>
      <c r="G215" t="str">
        <v>OrthoLite Ultra-Hybrid-Nike SEEDPEARL/12-0703TPX Hybrid 0.085D 25+/-4 Asker C 1.1M 2M 4mm</v>
      </c>
      <c r="H215">
        <v>2300</v>
      </c>
      <c r="I215">
        <v>66</v>
      </c>
      <c r="J215">
        <v>66</v>
      </c>
      <c r="K215" t="str">
        <v>NIKE</v>
      </c>
      <c r="L215" t="str">
        <v>Forecast</v>
      </c>
      <c r="M215" t="str">
        <v>DIE CUT</v>
      </c>
      <c r="N215">
        <v>66</v>
      </c>
      <c r="P215" t="str">
        <v>ok</v>
      </c>
      <c r="Q215">
        <v>46132</v>
      </c>
      <c r="R215">
        <f>S215-1</f>
        <v>46134</v>
      </c>
      <c r="S215">
        <v>46135</v>
      </c>
      <c r="T215" t="str">
        <v>l2</v>
      </c>
      <c r="U215">
        <f>68-2</f>
        <v>66</v>
      </c>
      <c r="V215">
        <f>U215-N215</f>
        <v>0</v>
      </c>
      <c r="W215">
        <v>0</v>
      </c>
      <c r="X215">
        <v>0</v>
      </c>
      <c r="Y215">
        <v>2300</v>
      </c>
      <c r="Z215" t="b">
        <v>0</v>
      </c>
      <c r="AA215" t="str">
        <v>Keep ETD</v>
      </c>
      <c r="AE215" t="e">
        <f>SUMIF('[4]TONG XUAT BUN 2026'!$B:$F,A215,'[4]TONG XUAT BUN 2026'!$F:$F)</f>
        <v>#VALUE!</v>
      </c>
    </row>
    <row r="216">
      <c r="V216">
        <f>U216-N216</f>
        <v>0</v>
      </c>
    </row>
    <row r="217">
      <c r="A217" t="str">
        <v>F-2026-03-452</v>
      </c>
      <c r="B217" t="str">
        <v>FPRO-260324-0024</v>
      </c>
      <c r="C217" t="str">
        <v>18/4</v>
      </c>
      <c r="D217" t="str">
        <v>Firm plan 24.3</v>
      </c>
      <c r="E217" t="str">
        <v>BDB-000161</v>
      </c>
      <c r="F217" t="str">
        <v>PVN-001560</v>
      </c>
      <c r="G217" t="str">
        <v>OrthoLite Ultra-Nike FOSSIL/17-0909TPX 0.085D 25+/-4 Asker C 1.1M 2M 4mm</v>
      </c>
      <c r="H217">
        <v>1050</v>
      </c>
      <c r="I217">
        <v>30</v>
      </c>
      <c r="J217">
        <v>30</v>
      </c>
      <c r="K217" t="str">
        <v>NIKE</v>
      </c>
      <c r="L217" t="str">
        <v>Forecast</v>
      </c>
      <c r="M217" t="str">
        <v>DIE CUT</v>
      </c>
      <c r="N217">
        <v>30</v>
      </c>
      <c r="P217" t="str">
        <v>ok</v>
      </c>
      <c r="Q217">
        <v>46133</v>
      </c>
      <c r="R217">
        <f>S217-1</f>
        <v>46135</v>
      </c>
      <c r="S217">
        <v>46136</v>
      </c>
      <c r="T217" t="str">
        <v>l2</v>
      </c>
      <c r="U217">
        <f>37-7</f>
        <v>30</v>
      </c>
      <c r="V217">
        <f>U217-N217</f>
        <v>0</v>
      </c>
      <c r="W217">
        <v>0</v>
      </c>
      <c r="X217">
        <v>0</v>
      </c>
      <c r="Y217">
        <v>1050</v>
      </c>
      <c r="Z217" t="b">
        <v>0</v>
      </c>
      <c r="AA217" t="str">
        <v xml:space="preserve">Don't keep- đang hết demand cho lô này, lô này FC chuẩn bị sẵn cho demand lên tiếp </v>
      </c>
      <c r="AE217" t="e">
        <f>SUMIF('[4]TONG XUAT BUN 2026'!$B:$F,A217,'[4]TONG XUAT BUN 2026'!$F:$F)</f>
        <v>#VALUE!</v>
      </c>
    </row>
    <row r="218">
      <c r="V218">
        <f>U218-N218</f>
        <v>0</v>
      </c>
    </row>
    <row r="219">
      <c r="A219" t="str">
        <v>F-2026-03-469</v>
      </c>
      <c r="B219" t="str">
        <v>FPRO-260324-0041</v>
      </c>
      <c r="C219" t="str">
        <v>18/4</v>
      </c>
      <c r="D219" t="str">
        <v>Firm plan 24.3</v>
      </c>
      <c r="E219" t="str">
        <v>BDB-000129</v>
      </c>
      <c r="F219" t="str">
        <v>PVN-001550</v>
      </c>
      <c r="G219" t="str">
        <v>OrthoLite Regular-Nike AIR BLUE/16-4134TPX 0.11D 25+/-4 Asker C 1.1M 1.7M 2mm</v>
      </c>
      <c r="H219">
        <v>2500</v>
      </c>
      <c r="I219">
        <v>36</v>
      </c>
      <c r="J219">
        <v>36</v>
      </c>
      <c r="K219" t="str">
        <v>NIKE</v>
      </c>
      <c r="L219" t="str">
        <v>Forecast</v>
      </c>
      <c r="M219" t="str">
        <v>DIE CUT</v>
      </c>
      <c r="N219">
        <v>36</v>
      </c>
      <c r="P219" t="str">
        <v>ok</v>
      </c>
      <c r="Q219">
        <v>46133</v>
      </c>
      <c r="R219">
        <f>S219-1</f>
        <v>46135</v>
      </c>
      <c r="S219">
        <v>46136</v>
      </c>
      <c r="T219" t="str">
        <v>l2</v>
      </c>
      <c r="U219">
        <v>36</v>
      </c>
      <c r="V219">
        <f>U219-N219</f>
        <v>0</v>
      </c>
      <c r="W219">
        <v>0</v>
      </c>
      <c r="X219">
        <v>0</v>
      </c>
      <c r="Y219">
        <v>2500</v>
      </c>
      <c r="Z219" t="b">
        <v>1</v>
      </c>
      <c r="AA219" t="str">
        <v>keep ETD</v>
      </c>
      <c r="AE219" t="e">
        <f>SUMIF('[4]TONG XUAT BUN 2026'!$B:$F,A219,'[4]TONG XUAT BUN 2026'!$F:$F)</f>
        <v>#VALUE!</v>
      </c>
    </row>
    <row r="220">
      <c r="V220">
        <f>U220-N220</f>
        <v>0</v>
      </c>
    </row>
    <row r="221">
      <c r="A221" t="str">
        <v>OIN-2026.04.13-01</v>
      </c>
      <c r="B221" t="str">
        <v>RPRO-260416-0026</v>
      </c>
      <c r="C221" t="str">
        <v>18/4-20/4</v>
      </c>
      <c r="D221" t="str">
        <v>OIN</v>
      </c>
      <c r="E221" t="str">
        <v>BDB-000058</v>
      </c>
      <c r="F221" t="str">
        <v>PVN-003780</v>
      </c>
      <c r="G221" t="str">
        <v>[116-361] Ultra 25+/-4 Asker C 0.085D Green 16-5932 Tpx 1.10M X 2.00M 47mm</v>
      </c>
      <c r="H221">
        <v>453</v>
      </c>
      <c r="I221">
        <v>151</v>
      </c>
      <c r="J221">
        <v>151</v>
      </c>
      <c r="K221" t="str">
        <v>CLARKS</v>
      </c>
      <c r="L221" t="str">
        <v>PO-7092-SO-260413-0185</v>
      </c>
      <c r="M221" t="str">
        <v>FLAT SHEET</v>
      </c>
      <c r="N221">
        <v>151</v>
      </c>
      <c r="O221" t="str">
        <v>HANG CONT</v>
      </c>
      <c r="P221" t="str">
        <v>ok</v>
      </c>
      <c r="Q221">
        <v>46133</v>
      </c>
      <c r="R221">
        <f>S221-1</f>
        <v>46135</v>
      </c>
      <c r="S221">
        <v>46136</v>
      </c>
      <c r="T221" t="str">
        <v>l2</v>
      </c>
      <c r="U221">
        <f>91+22+38</f>
        <v>151</v>
      </c>
      <c r="V221">
        <f>U221-N221</f>
        <v>0</v>
      </c>
      <c r="W221">
        <v>0</v>
      </c>
      <c r="X221">
        <v>0</v>
      </c>
      <c r="Y221">
        <v>453</v>
      </c>
      <c r="Z221" t="b">
        <v>1</v>
      </c>
      <c r="AE221" t="e">
        <f>SUMIF('[4]TONG XUAT BUN 2026'!$B:$F,A221,'[4]TONG XUAT BUN 2026'!$F:$F)</f>
        <v>#VALUE!</v>
      </c>
    </row>
    <row r="222">
      <c r="G222" t="str">
        <v>RELEASE ĐỢT 2</v>
      </c>
      <c r="V222">
        <f>U222-N222</f>
        <v>0</v>
      </c>
    </row>
    <row r="223">
      <c r="H223">
        <f>SUM(H160:H221)</f>
        <v>33856</v>
      </c>
      <c r="I223">
        <f>SUM(I160:I221)</f>
        <v>1116</v>
      </c>
      <c r="J223">
        <f>SUM(J160:J221)</f>
        <v>1116</v>
      </c>
      <c r="N223">
        <f>SUM(N160:N221)</f>
        <v>1105</v>
      </c>
      <c r="O223">
        <f>N223-S7</f>
        <v>54</v>
      </c>
      <c r="V223">
        <f>U223-N223</f>
        <v>-1105</v>
      </c>
    </row>
  </sheetData>
  <autoFilter ref="A10:AG289"/>
  <pageMargins left="0.18" right="0.17" top="0.24" bottom="0.17" header="0.17" footer="0.17"/>
  <ignoredErrors>
    <ignoredError numberStoredAsText="1" sqref="A1:AP868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P8736"/>
  <sheetViews>
    <sheetView workbookViewId="0" rightToLeft="0"/>
  </sheetViews>
  <sheetData>
    <row r="1">
      <c r="A1">
        <f>900*5</f>
        <v>4500</v>
      </c>
      <c r="C1">
        <f>A1*0.9</f>
        <v>4050</v>
      </c>
      <c r="D1">
        <f>SUM($J$10:$J$3153)</f>
        <v>8798</v>
      </c>
      <c r="E1">
        <f>A1-D1</f>
        <v>-4298</v>
      </c>
      <c r="F1">
        <f>C1-D1</f>
        <v>-4748</v>
      </c>
      <c r="G1" t="str">
        <v>20/4-25/4</v>
      </c>
      <c r="V1" t="str">
        <v>OK</v>
      </c>
      <c r="X1" t="str">
        <v>done</v>
      </c>
    </row>
    <row r="2">
      <c r="A2">
        <v>46132</v>
      </c>
      <c r="C2" t="str">
        <v>thu 2</v>
      </c>
      <c r="D2">
        <f>13*10*2*90%</f>
        <v>234</v>
      </c>
      <c r="F2">
        <f>13*9*3-11</f>
        <v>340</v>
      </c>
      <c r="H2">
        <v>46132</v>
      </c>
      <c r="I2" t="str">
        <v>thu 2</v>
      </c>
      <c r="J2">
        <f>11*10*2*90%</f>
        <v>198</v>
      </c>
      <c r="L2">
        <f>11*10*3-10</f>
        <v>320</v>
      </c>
      <c r="N2">
        <v>46132</v>
      </c>
      <c r="O2" t="str">
        <v>thu 2</v>
      </c>
      <c r="P2">
        <f>8*8*90%</f>
        <v>57.6</v>
      </c>
      <c r="R2">
        <f>10*10*2-10</f>
        <v>190</v>
      </c>
      <c r="T2">
        <f>F2+L2+R2</f>
        <v>850</v>
      </c>
      <c r="V2">
        <v>46132</v>
      </c>
      <c r="W2">
        <f>800/2</f>
        <v>400</v>
      </c>
      <c r="Z2" t="str">
        <v>BUN</v>
      </c>
      <c r="AA2" t="str">
        <v>RỚT</v>
      </c>
    </row>
    <row r="3">
      <c r="A3">
        <v>46133</v>
      </c>
      <c r="C3" t="str">
        <v>thu 3</v>
      </c>
      <c r="D3">
        <f>13*10*2*90%</f>
        <v>234</v>
      </c>
      <c r="E3">
        <f>D2+D3</f>
        <v>468</v>
      </c>
      <c r="F3">
        <f>13*9*3-11</f>
        <v>340</v>
      </c>
      <c r="G3">
        <f>F2+F3</f>
        <v>680</v>
      </c>
      <c r="H3">
        <v>46133</v>
      </c>
      <c r="I3" t="str">
        <v>thu 3</v>
      </c>
      <c r="J3">
        <f>11*10*2*90%</f>
        <v>198</v>
      </c>
      <c r="K3">
        <f>J2+J3</f>
        <v>396</v>
      </c>
      <c r="L3">
        <f>11*10*3-10</f>
        <v>320</v>
      </c>
      <c r="M3">
        <f>L2+L3</f>
        <v>640</v>
      </c>
      <c r="N3">
        <v>46133</v>
      </c>
      <c r="O3" t="str">
        <v>thu 3</v>
      </c>
      <c r="P3">
        <f>8*8*90%</f>
        <v>57.6</v>
      </c>
      <c r="Q3">
        <f>P2+P3</f>
        <v>115.2</v>
      </c>
      <c r="R3">
        <f>10*10*2-10</f>
        <v>190</v>
      </c>
      <c r="S3">
        <f>R2+R3</f>
        <v>380</v>
      </c>
      <c r="T3">
        <f>F3+L3+R3</f>
        <v>850</v>
      </c>
      <c r="U3">
        <f>T2+T3</f>
        <v>1700</v>
      </c>
      <c r="V3">
        <v>46133</v>
      </c>
      <c r="W3">
        <v>800</v>
      </c>
      <c r="X3">
        <f>W2+W3</f>
        <v>1200</v>
      </c>
      <c r="Y3" t="str">
        <v>máy 1</v>
      </c>
      <c r="Z3">
        <f>SUMIF($AB:$AB,$Y3,$N:$N)</f>
        <v>0</v>
      </c>
      <c r="AA3">
        <f>$M$8-Z3</f>
        <v>1620.5</v>
      </c>
      <c r="AC3" t="e">
        <f>AA3/$AA$6*$O$9</f>
        <v>#VALUE!</v>
      </c>
    </row>
    <row r="4">
      <c r="A4">
        <v>46134</v>
      </c>
      <c r="C4" t="str">
        <v>thu 4</v>
      </c>
      <c r="D4">
        <f>13*10*2*90%</f>
        <v>234</v>
      </c>
      <c r="E4">
        <f>E3+D4</f>
        <v>702</v>
      </c>
      <c r="F4">
        <f>13*9*3-11</f>
        <v>340</v>
      </c>
      <c r="G4">
        <f>G3+F4</f>
        <v>1020</v>
      </c>
      <c r="H4">
        <v>46134</v>
      </c>
      <c r="I4" t="str">
        <v>thu 4</v>
      </c>
      <c r="J4">
        <f>11*10*2*90%</f>
        <v>198</v>
      </c>
      <c r="K4">
        <v>0</v>
      </c>
      <c r="L4">
        <f>11*10*3-10</f>
        <v>320</v>
      </c>
      <c r="M4">
        <f>M3+L4</f>
        <v>960</v>
      </c>
      <c r="N4">
        <v>46134</v>
      </c>
      <c r="O4" t="str">
        <v>thu 4</v>
      </c>
      <c r="P4">
        <f>8*8*90%</f>
        <v>57.6</v>
      </c>
      <c r="Q4">
        <v>0</v>
      </c>
      <c r="R4">
        <f>10*10*2-10</f>
        <v>190</v>
      </c>
      <c r="S4">
        <f>S3+R4</f>
        <v>570</v>
      </c>
      <c r="T4">
        <f>F4+L4+R4</f>
        <v>850</v>
      </c>
      <c r="U4">
        <f>U3+T4</f>
        <v>2550</v>
      </c>
      <c r="V4">
        <v>46134</v>
      </c>
      <c r="W4">
        <v>800</v>
      </c>
      <c r="X4">
        <f>W4+X3</f>
        <v>2000</v>
      </c>
      <c r="Y4" t="str">
        <v>máy 2</v>
      </c>
      <c r="Z4">
        <f>SUMIF($AB:$AB,$Y4,$N:$N)</f>
        <v>0</v>
      </c>
      <c r="AA4">
        <f>$G$8-Z4</f>
        <v>1721</v>
      </c>
      <c r="AC4" t="e">
        <f>AA4/$AA$6*$O$9</f>
        <v>#VALUE!</v>
      </c>
    </row>
    <row r="5">
      <c r="A5">
        <v>46135</v>
      </c>
      <c r="C5" t="str">
        <v>thu 5</v>
      </c>
      <c r="D5">
        <f>13*10*2*90%</f>
        <v>234</v>
      </c>
      <c r="E5">
        <f>E4+D5</f>
        <v>936</v>
      </c>
      <c r="F5">
        <f>13*9*3-11</f>
        <v>340</v>
      </c>
      <c r="G5">
        <f>G4+F5</f>
        <v>1360</v>
      </c>
      <c r="H5">
        <v>46135</v>
      </c>
      <c r="I5" t="str">
        <v>thu 5</v>
      </c>
      <c r="J5">
        <f>11*10*2*90%</f>
        <v>198</v>
      </c>
      <c r="K5">
        <v>0</v>
      </c>
      <c r="L5">
        <f>11*10*3-10</f>
        <v>320</v>
      </c>
      <c r="M5">
        <f>M4+L5</f>
        <v>1280</v>
      </c>
      <c r="N5">
        <v>46135</v>
      </c>
      <c r="O5" t="str">
        <v>thu 5</v>
      </c>
      <c r="P5">
        <f>8*8*90%</f>
        <v>57.6</v>
      </c>
      <c r="Q5">
        <v>0</v>
      </c>
      <c r="R5">
        <f>10*10*2-10</f>
        <v>190</v>
      </c>
      <c r="S5">
        <f>S4+R5</f>
        <v>760</v>
      </c>
      <c r="T5">
        <f>F5+L5+R5</f>
        <v>850</v>
      </c>
      <c r="U5">
        <f>U4+T5</f>
        <v>3400</v>
      </c>
      <c r="V5">
        <v>46135</v>
      </c>
      <c r="W5">
        <v>800</v>
      </c>
      <c r="X5">
        <f>W5+X4</f>
        <v>2800</v>
      </c>
      <c r="Y5" t="str">
        <v>máy 3</v>
      </c>
      <c r="Z5">
        <f>SUMIF($AB:$AB,$Y5,$N:$N)</f>
        <v>0</v>
      </c>
      <c r="AA5">
        <f>$S$8-Z5</f>
        <v>0</v>
      </c>
      <c r="AC5" t="e">
        <f>AA5/$AA$6*$O$9</f>
        <v>#VALUE!</v>
      </c>
    </row>
    <row r="6">
      <c r="A6">
        <v>46136</v>
      </c>
      <c r="C6" t="str">
        <v>thu 6</v>
      </c>
      <c r="D6">
        <f>13*10*1*90%</f>
        <v>117</v>
      </c>
      <c r="E6">
        <f>E5+D6</f>
        <v>1053</v>
      </c>
      <c r="F6">
        <f>13*9*2+7</f>
        <v>241</v>
      </c>
      <c r="G6">
        <f>G5+F6</f>
        <v>1601</v>
      </c>
      <c r="H6">
        <v>46136</v>
      </c>
      <c r="I6" t="str">
        <v>thu 6</v>
      </c>
      <c r="J6">
        <f>11*10*2*90%</f>
        <v>198</v>
      </c>
      <c r="K6">
        <v>0</v>
      </c>
      <c r="L6">
        <f>11*10*2+7</f>
        <v>227</v>
      </c>
      <c r="M6">
        <f>M5+L6</f>
        <v>1507</v>
      </c>
      <c r="N6">
        <v>46136</v>
      </c>
      <c r="O6" t="str">
        <v>thu 6</v>
      </c>
      <c r="P6">
        <f>8*8*90%</f>
        <v>57.6</v>
      </c>
      <c r="Q6">
        <v>0</v>
      </c>
      <c r="R6">
        <f>10*10*1+7</f>
        <v>107</v>
      </c>
      <c r="S6">
        <f>S5+R6</f>
        <v>867</v>
      </c>
      <c r="T6">
        <f>F6+L6+R6</f>
        <v>575</v>
      </c>
      <c r="U6">
        <f>U5+T6</f>
        <v>3975</v>
      </c>
      <c r="V6">
        <v>46136</v>
      </c>
      <c r="W6">
        <v>900</v>
      </c>
      <c r="X6">
        <f>W6+X5</f>
        <v>3700</v>
      </c>
      <c r="AA6">
        <f>SUM(AA3:AA5)</f>
        <v>3341.5</v>
      </c>
      <c r="AC6" t="e">
        <f>SUM(AC3:AC5)</f>
        <v>#VALUE!</v>
      </c>
    </row>
    <row r="7">
      <c r="A7">
        <v>46137</v>
      </c>
      <c r="C7" t="str">
        <v>thu 7</v>
      </c>
      <c r="D7">
        <f>13*10*2*90%</f>
        <v>234</v>
      </c>
      <c r="E7">
        <f>E6+D7</f>
        <v>1287</v>
      </c>
      <c r="F7">
        <v>120</v>
      </c>
      <c r="G7">
        <f>G6+F7</f>
        <v>1721</v>
      </c>
      <c r="H7">
        <v>46137</v>
      </c>
      <c r="I7" t="str">
        <v>thu 7</v>
      </c>
      <c r="J7">
        <f>11*10*1*90%</f>
        <v>99</v>
      </c>
      <c r="K7">
        <v>0</v>
      </c>
      <c r="L7">
        <f>L6/2</f>
        <v>113.5</v>
      </c>
      <c r="M7">
        <f>M6+L7</f>
        <v>1620.5</v>
      </c>
      <c r="N7">
        <v>46137</v>
      </c>
      <c r="O7" t="str">
        <v>thu 7</v>
      </c>
      <c r="P7">
        <v>0</v>
      </c>
      <c r="Q7">
        <v>0</v>
      </c>
      <c r="R7">
        <v>53</v>
      </c>
      <c r="S7">
        <f>S6+R7</f>
        <v>920</v>
      </c>
      <c r="T7">
        <f>F7+L7+R7</f>
        <v>286.5</v>
      </c>
      <c r="U7">
        <f>U6+T7</f>
        <v>4261.5</v>
      </c>
      <c r="V7">
        <v>46137</v>
      </c>
      <c r="W7">
        <f>900/3</f>
        <v>300</v>
      </c>
      <c r="X7">
        <f>W7+X6</f>
        <v>4000</v>
      </c>
    </row>
    <row r="8">
      <c r="A8">
        <v>46138</v>
      </c>
      <c r="C8" t="str">
        <v>CN</v>
      </c>
      <c r="G8">
        <f>G7+F8</f>
        <v>1721</v>
      </c>
      <c r="H8">
        <v>46138</v>
      </c>
      <c r="I8" t="str">
        <v>CN</v>
      </c>
      <c r="M8">
        <f>M7+L8</f>
        <v>1620.5</v>
      </c>
      <c r="N8">
        <v>46138</v>
      </c>
      <c r="O8" t="str">
        <v>CN</v>
      </c>
      <c r="U8">
        <f>U7+T8</f>
        <v>4261.5</v>
      </c>
      <c r="V8">
        <v>46138</v>
      </c>
      <c r="W8">
        <v>0</v>
      </c>
      <c r="X8">
        <f>W8+X7</f>
        <v>4000</v>
      </c>
    </row>
    <row r="9" xml:space="preserve">
      <c r="A9">
        <f>900*4.5+300</f>
        <v>4350</v>
      </c>
      <c r="C9">
        <f>A9+J9</f>
        <v>-4448</v>
      </c>
      <c r="E9">
        <f>I9/3.5</f>
        <v>2513.714285714286</v>
      </c>
      <c r="F9">
        <f>J9/5</f>
        <v>-1759.6</v>
      </c>
      <c r="G9" t="str" xml:space="preserve">
        <v xml:space="preserve">Kế Hoạch Sản Xuất _x000d_
Production Planning_x000d_
HANG ASSIC TACH 6MM, LAY 144MM</v>
      </c>
      <c r="H9">
        <f>-SUBTOTAL(9,H10:H3400)</f>
        <v>-240838</v>
      </c>
      <c r="I9">
        <f>SUBTOTAL(9,I10:I3400)</f>
        <v>8798</v>
      </c>
      <c r="J9">
        <f>-SUBTOTAL(9,J10:J3400)</f>
        <v>-8798</v>
      </c>
      <c r="M9">
        <f>J9/1.5</f>
        <v>-5865.333333333333</v>
      </c>
      <c r="O9" t="str">
        <v>ppc/pur imp-chưa nhắc sx</v>
      </c>
      <c r="P9" t="str">
        <v>MOVE ETD</v>
      </c>
      <c r="Q9">
        <v>45258</v>
      </c>
    </row>
    <row r="10" xml:space="preserve">
      <c r="A10" t="str">
        <v>NO.ORDER</v>
      </c>
      <c r="B10" t="str">
        <v xml:space="preserve">Firm plan </v>
      </c>
      <c r="C10" t="str" xml:space="preserve">
        <v xml:space="preserve">NGÀY SX_x000d_
Date of Producing</v>
      </c>
      <c r="D10" t="str">
        <v>PUR.NO</v>
      </c>
      <c r="E10" t="str">
        <v>Bun Code</v>
      </c>
      <c r="F10" t="str">
        <v>PU code</v>
      </c>
      <c r="G10" t="str" xml:space="preserve">
        <v xml:space="preserve">TÊN SẢN PHẨM_x000d_
Material Name;_x000d_
code BUN 255- tạm thời đổ theo công thức X40-16D-35C(đổ tay)._x000d_
màu red của footjoy chạy  (CHẠY 16D, 35C)-PVN-003797</v>
      </c>
      <c r="H10" t="str" xml:space="preserve">
        <v xml:space="preserve">SL _x000d_
Sheet</v>
      </c>
      <c r="I10" t="str">
        <v>SL bun cần Tách</v>
      </c>
      <c r="J10" t="str">
        <v>Sl bun cần Đổ</v>
      </c>
      <c r="K10" t="str">
        <v>Brand</v>
      </c>
      <c r="L10" t="str">
        <v>POV</v>
      </c>
      <c r="M10" t="str">
        <v>TYPE</v>
      </c>
      <c r="N10" t="str" xml:space="preserve">
        <v xml:space="preserve">SL cần đổ_x000d_
Qty need to pour_x000d_
(bun)</v>
      </c>
      <c r="O10" t="str" xml:space="preserve">
        <v xml:space="preserve">Ghi chú_x000d_
Note</v>
      </c>
      <c r="P10" t="str">
        <v>Status</v>
      </c>
      <c r="Q10" t="str">
        <v>Ngày Sản xuất hoàn thành</v>
      </c>
      <c r="R10" t="str" xml:space="preserve">
        <v xml:space="preserve">Ngày giao hàng_x000d_
ETD</v>
      </c>
      <c r="S10" t="str">
        <v>ETD hệ thống</v>
      </c>
      <c r="T10" t="str">
        <v xml:space="preserve">LOAD </v>
      </c>
      <c r="U10" t="str" xml:space="preserve">
        <v xml:space="preserve">Out put_x000d_
Thực Đổ</v>
      </c>
      <c r="V10" t="str">
        <v>Còn lại</v>
      </c>
      <c r="W10" t="str">
        <v>Sl QC check</v>
      </c>
      <c r="X10" t="str">
        <v>Sl đã giao</v>
      </c>
      <c r="Y10" t="str">
        <v>Sl chưa giao</v>
      </c>
      <c r="Z10" t="str">
        <v>g</v>
      </c>
      <c r="AA10" t="str">
        <v>note 1</v>
      </c>
      <c r="AB10" t="str">
        <v>note 2_check keep etd 18.04</v>
      </c>
      <c r="AC10" t="str">
        <v>note 3</v>
      </c>
      <c r="AD10" t="str">
        <v>note 4</v>
      </c>
      <c r="AE10" t="str">
        <v>note 5</v>
      </c>
    </row>
    <row r="11">
      <c r="G11" t="str">
        <v>20/4-25/4</v>
      </c>
      <c r="Z11" t="b">
        <v>1</v>
      </c>
    </row>
    <row r="12">
      <c r="A12" t="str">
        <v>F-2026-04-117</v>
      </c>
      <c r="B12" t="str">
        <v>RPRO-260410-0200</v>
      </c>
      <c r="C12" t="str">
        <v>20/4</v>
      </c>
      <c r="D12" t="str">
        <v>Pro.sche.report 09.4</v>
      </c>
      <c r="E12" t="str">
        <v>BDB-000212</v>
      </c>
      <c r="F12" t="str">
        <v>PVN-003458</v>
      </c>
      <c r="G12" t="str">
        <v>OrthoLite X-25-Hybrid SEEDPEARL/12-0703TPX Hybrid Flat Sheet 0.12D 20+/-4 Asker C 1.1M 2M 4mm</v>
      </c>
      <c r="H12">
        <v>35</v>
      </c>
      <c r="I12">
        <v>1</v>
      </c>
      <c r="J12">
        <v>1</v>
      </c>
      <c r="K12" t="str">
        <v>ON RUNNING</v>
      </c>
      <c r="L12" t="str">
        <v>Pr.Sch.R</v>
      </c>
      <c r="M12" t="str">
        <v>DIE CUT</v>
      </c>
      <c r="N12">
        <v>1</v>
      </c>
      <c r="O12" t="str">
        <v>Đơn cũ W16</v>
      </c>
      <c r="P12">
        <v>1</v>
      </c>
      <c r="Q12">
        <v>46130</v>
      </c>
      <c r="R12">
        <f>S12-1</f>
        <v>46132</v>
      </c>
      <c r="S12">
        <v>46133</v>
      </c>
      <c r="T12" t="str">
        <v>l1</v>
      </c>
      <c r="U12">
        <v>1</v>
      </c>
      <c r="V12">
        <f>U12-N12</f>
        <v>0</v>
      </c>
      <c r="W12">
        <v>0</v>
      </c>
      <c r="X12">
        <v>0</v>
      </c>
      <c r="Y12">
        <v>35</v>
      </c>
      <c r="Z12" t="b">
        <v>1</v>
      </c>
      <c r="AE12" t="e">
        <f>SUMIF('[4]TONG XUAT BUN 2026'!$B:$F,A12,'[4]TONG XUAT BUN 2026'!$F:$F)</f>
        <v>#VALUE!</v>
      </c>
      <c r="AF12">
        <f>ROUNDUP(VLOOKUP(F12,'[5]Production BOM'!$F:$R,13,0)*H12,0)</f>
        <v>1</v>
      </c>
      <c r="AG12" t="b">
        <f>AF12=J12</f>
        <v>1</v>
      </c>
      <c r="AH12" t="str">
        <f>VLOOKUP(F12,'[5]Production BOM'!$F:$P,11,0)</f>
        <v>BDB-000212</v>
      </c>
      <c r="AI12" t="b">
        <f>AH12=E12</f>
        <v>1</v>
      </c>
    </row>
    <row r="13">
      <c r="V13">
        <f>U13-N13</f>
        <v>0</v>
      </c>
    </row>
    <row r="14">
      <c r="A14" t="str">
        <v>F-2026-04-123</v>
      </c>
      <c r="B14" t="str">
        <v>RPRO-260410-0206</v>
      </c>
      <c r="C14" t="str">
        <v>20/4</v>
      </c>
      <c r="D14" t="str">
        <v>Pro.sche.report 09.4</v>
      </c>
      <c r="E14" t="str">
        <v>BDB-000213</v>
      </c>
      <c r="F14" t="str">
        <v>PVN-003752</v>
      </c>
      <c r="G14" t="str">
        <v>OrthoLite X-25-Hybrid SEEDPEARL/12-0703TPX Hybrid Flat Sheet 0.12D 20+/-4 Asker C 1.1M 1.47M 4.5mm</v>
      </c>
      <c r="H14">
        <v>124</v>
      </c>
      <c r="I14">
        <v>5</v>
      </c>
      <c r="J14">
        <v>5</v>
      </c>
      <c r="K14" t="str">
        <v>ON RUNNING</v>
      </c>
      <c r="L14" t="str">
        <v>Pr.Sch.R</v>
      </c>
      <c r="M14" t="str">
        <v>MOLDED</v>
      </c>
      <c r="N14">
        <v>5</v>
      </c>
      <c r="O14" t="str">
        <v>Đơn cũ W16</v>
      </c>
      <c r="P14">
        <v>5</v>
      </c>
      <c r="Q14">
        <v>46134</v>
      </c>
      <c r="R14">
        <f>S14-1</f>
        <v>46136</v>
      </c>
      <c r="S14">
        <v>46137</v>
      </c>
      <c r="T14" t="str">
        <v>l1</v>
      </c>
      <c r="U14">
        <f>2+3</f>
        <v>5</v>
      </c>
      <c r="V14">
        <f>U14-N14</f>
        <v>0</v>
      </c>
      <c r="W14">
        <v>0</v>
      </c>
      <c r="X14">
        <v>0</v>
      </c>
      <c r="Y14">
        <v>124</v>
      </c>
      <c r="Z14" t="b">
        <v>1</v>
      </c>
      <c r="AE14" t="e">
        <f>SUMIF('[4]TONG XUAT BUN 2026'!$B:$F,A14,'[4]TONG XUAT BUN 2026'!$F:$F)</f>
        <v>#VALUE!</v>
      </c>
      <c r="AF14">
        <f>ROUNDUP(VLOOKUP(F14,'[5]Production BOM'!$F:$R,13,0)*H14,0)</f>
        <v>5</v>
      </c>
      <c r="AG14" t="b">
        <f>AF14=J14</f>
        <v>1</v>
      </c>
      <c r="AH14" t="str">
        <f>VLOOKUP(F14,'[5]Production BOM'!$F:$P,11,0)</f>
        <v>BDB-000213</v>
      </c>
      <c r="AI14" t="b">
        <f>AH14=E14</f>
        <v>1</v>
      </c>
    </row>
    <row r="15">
      <c r="V15">
        <f>U15-N15</f>
        <v>0</v>
      </c>
    </row>
    <row r="16">
      <c r="A16" t="str">
        <v>F-2026-04-148</v>
      </c>
      <c r="B16" t="str">
        <v>RPRO-260413-0266</v>
      </c>
      <c r="C16" t="str">
        <v>20/4</v>
      </c>
      <c r="D16" t="str">
        <v>MPS 10.4+11.04+12.04</v>
      </c>
      <c r="E16" t="str">
        <v>BDB-000056</v>
      </c>
      <c r="F16" t="str">
        <v>PVN-001983</v>
      </c>
      <c r="G16" t="str">
        <v>OrthoLite X-40 SEEDPEARL/12-0703TPX Flat Sheet 0.16D 25+/-4 Asker C 1.1M 1.7M 5mm</v>
      </c>
      <c r="H16">
        <v>280</v>
      </c>
      <c r="I16">
        <v>10</v>
      </c>
      <c r="J16">
        <v>10</v>
      </c>
      <c r="L16" t="str">
        <v>MPS</v>
      </c>
      <c r="M16" t="str">
        <v>SPLITTING</v>
      </c>
      <c r="N16">
        <v>10</v>
      </c>
      <c r="O16" t="str">
        <v>Đơn cũ W16</v>
      </c>
      <c r="P16">
        <v>10</v>
      </c>
      <c r="Q16">
        <v>46130</v>
      </c>
      <c r="R16">
        <f>S16-1</f>
        <v>46133</v>
      </c>
      <c r="S16">
        <v>46134</v>
      </c>
      <c r="T16" t="str">
        <v>l2</v>
      </c>
      <c r="U16">
        <v>10</v>
      </c>
      <c r="V16">
        <f>U16-N16</f>
        <v>0</v>
      </c>
      <c r="W16">
        <v>0</v>
      </c>
      <c r="X16">
        <v>0</v>
      </c>
      <c r="Y16">
        <v>280</v>
      </c>
      <c r="Z16" t="b">
        <v>0</v>
      </c>
      <c r="AE16" t="e">
        <f>SUMIF('[4]TONG XUAT BUN 2026'!$B:$F,A16,'[4]TONG XUAT BUN 2026'!$F:$F)</f>
        <v>#VALUE!</v>
      </c>
      <c r="AF16">
        <f>ROUNDUP(VLOOKUP(F16,'[5]Production BOM'!$F:$R,13,0)*H16,0)</f>
        <v>10</v>
      </c>
      <c r="AG16" t="b">
        <f>AF16=J16</f>
        <v>1</v>
      </c>
      <c r="AH16" t="str">
        <f>VLOOKUP(F16,'[5]Production BOM'!$F:$P,11,0)</f>
        <v>BDB-000056</v>
      </c>
      <c r="AI16" t="b">
        <f>AH16=E16</f>
        <v>1</v>
      </c>
    </row>
    <row r="17">
      <c r="V17">
        <f>U17-N17</f>
        <v>0</v>
      </c>
    </row>
    <row r="18">
      <c r="A18" t="str">
        <v>F-2026-02-254</v>
      </c>
      <c r="B18" t="str">
        <v>FPRO-260211-0074</v>
      </c>
      <c r="C18" t="str">
        <v>20/4</v>
      </c>
      <c r="D18" t="str">
        <v>Firm plan 11.2</v>
      </c>
      <c r="E18" t="str">
        <v>BDB-000348</v>
      </c>
      <c r="F18" t="str">
        <v>PVN-004195</v>
      </c>
      <c r="G18" t="str">
        <v>OrthoLite IMPERIAL SEEDPEARL/12-0703TPX Flat Sheet 0.22D 25+/-4 Asker C 1.1M 1.47M 4mm</v>
      </c>
      <c r="H18">
        <v>2000</v>
      </c>
      <c r="I18">
        <v>58</v>
      </c>
      <c r="J18">
        <v>58</v>
      </c>
      <c r="K18" t="str">
        <v>ADIDAS</v>
      </c>
      <c r="L18" t="str">
        <v>Forecast</v>
      </c>
      <c r="M18" t="str">
        <v>SPLITTING</v>
      </c>
      <c r="N18">
        <v>58</v>
      </c>
      <c r="O18" t="str">
        <v>Đơn cũ W16</v>
      </c>
      <c r="P18">
        <v>58</v>
      </c>
      <c r="Q18">
        <v>46132</v>
      </c>
      <c r="R18">
        <f>S18-1</f>
        <v>46134</v>
      </c>
      <c r="S18">
        <v>46135</v>
      </c>
      <c r="T18" t="str">
        <v>l2</v>
      </c>
      <c r="U18">
        <f>45-8</f>
        <v>37</v>
      </c>
      <c r="V18">
        <f>U18-N18</f>
        <v>-21</v>
      </c>
      <c r="W18">
        <v>0</v>
      </c>
      <c r="X18">
        <v>0</v>
      </c>
      <c r="Y18">
        <v>2000</v>
      </c>
      <c r="Z18" t="b">
        <v>0</v>
      </c>
      <c r="AA18" t="str">
        <v>Don't keep -hết demand</v>
      </c>
      <c r="AE18" t="e">
        <f>SUMIF('[4]TONG XUAT BUN 2026'!$B:$F,A18,'[4]TONG XUAT BUN 2026'!$F:$F)</f>
        <v>#VALUE!</v>
      </c>
      <c r="AF18">
        <f>ROUNDUP(VLOOKUP(F18,'[5]Production BOM'!$F:$R,13,0)*H18,0)</f>
        <v>58</v>
      </c>
      <c r="AG18" t="b">
        <f>AF18=J18</f>
        <v>1</v>
      </c>
      <c r="AH18" t="str">
        <f>VLOOKUP(F18,'[5]Production BOM'!$F:$P,11,0)</f>
        <v>BDB-000348</v>
      </c>
      <c r="AI18" t="b">
        <f>AH18=E18</f>
        <v>1</v>
      </c>
    </row>
    <row r="19">
      <c r="V19">
        <f>U19-N19</f>
        <v>0</v>
      </c>
    </row>
    <row r="20">
      <c r="A20" t="str">
        <v>F-2026-03-384</v>
      </c>
      <c r="B20" t="str">
        <v>FPRO-260318-0028</v>
      </c>
      <c r="C20" t="str">
        <v>20/4</v>
      </c>
      <c r="D20" t="str">
        <v>Firm plan 18.3</v>
      </c>
      <c r="E20" t="str">
        <v>BDB-000235</v>
      </c>
      <c r="F20" t="str">
        <v>PVN-003576</v>
      </c>
      <c r="G20" t="str">
        <v>OrthoLite X-55-Hybrid FOSSIL/17-0909TPX Hybrid Flat Sheet 0.16D 25+/-4 Asker C 1.1M 1.7M 12mm</v>
      </c>
      <c r="H20">
        <v>1700</v>
      </c>
      <c r="I20">
        <v>148</v>
      </c>
      <c r="J20">
        <v>148</v>
      </c>
      <c r="K20" t="str">
        <v>ASICS</v>
      </c>
      <c r="L20" t="str">
        <v>Forecast</v>
      </c>
      <c r="M20" t="str">
        <v>MOLDED</v>
      </c>
      <c r="N20">
        <v>148</v>
      </c>
      <c r="O20" t="str">
        <v>Đơn cũ W16</v>
      </c>
      <c r="P20">
        <v>148</v>
      </c>
      <c r="Q20">
        <v>46132</v>
      </c>
      <c r="R20">
        <f>S20-1</f>
        <v>46134</v>
      </c>
      <c r="S20">
        <v>46135</v>
      </c>
      <c r="T20" t="str">
        <v>l2</v>
      </c>
      <c r="U20">
        <f>74+74</f>
        <v>148</v>
      </c>
      <c r="V20">
        <f>U20-N20</f>
        <v>0</v>
      </c>
      <c r="W20">
        <v>0</v>
      </c>
      <c r="X20">
        <v>0</v>
      </c>
      <c r="Y20">
        <v>1700</v>
      </c>
      <c r="Z20" t="b">
        <v>1</v>
      </c>
      <c r="AA20" t="str">
        <v>Keep ETD</v>
      </c>
      <c r="AE20" t="e">
        <f>SUMIF('[4]TONG XUAT BUN 2026'!$B:$F,A20,'[4]TONG XUAT BUN 2026'!$F:$F)</f>
        <v>#VALUE!</v>
      </c>
      <c r="AF20">
        <f>ROUNDUP(VLOOKUP(F20,'[5]Production BOM'!$F:$R,13,0)*H20,0)</f>
        <v>148</v>
      </c>
      <c r="AG20" t="b">
        <f>AF20=J20</f>
        <v>1</v>
      </c>
      <c r="AH20" t="str">
        <f>VLOOKUP(F20,'[5]Production BOM'!$F:$P,11,0)</f>
        <v>BDB-000235</v>
      </c>
      <c r="AI20" t="b">
        <f>AH20=E20</f>
        <v>1</v>
      </c>
    </row>
    <row r="21">
      <c r="V21">
        <f>U21-N21</f>
        <v>0</v>
      </c>
    </row>
    <row r="22">
      <c r="A22" t="str">
        <v>F-2026-02-233</v>
      </c>
      <c r="B22" t="str">
        <v>FPRO-260211-0053</v>
      </c>
      <c r="C22" t="str">
        <v>20/4</v>
      </c>
      <c r="D22" t="str">
        <v>Firm plan 11.2</v>
      </c>
      <c r="E22" t="str">
        <v>BDB-000123</v>
      </c>
      <c r="F22" t="str">
        <v>PVN-003299</v>
      </c>
      <c r="G22" t="str">
        <v>OrthoLite Ultra-Hybrid SEEDPEARL/12-0703TPX Hybrid 0.085D 25+/-4 Asker C 1.1M 2M 3mm</v>
      </c>
      <c r="H22">
        <v>7000</v>
      </c>
      <c r="I22">
        <v>153</v>
      </c>
      <c r="J22">
        <v>153</v>
      </c>
      <c r="K22" t="str">
        <v>ADIDAS</v>
      </c>
      <c r="L22" t="str">
        <v>Forecast</v>
      </c>
      <c r="M22" t="str">
        <v>SPLITTING</v>
      </c>
      <c r="N22">
        <v>262</v>
      </c>
      <c r="O22" t="str">
        <v>Đơn cũ W16</v>
      </c>
      <c r="P22">
        <v>62</v>
      </c>
      <c r="Q22">
        <v>46132</v>
      </c>
      <c r="R22">
        <f>S22-1</f>
        <v>46134</v>
      </c>
      <c r="S22">
        <v>46135</v>
      </c>
      <c r="T22" t="str">
        <v>l2</v>
      </c>
      <c r="U22">
        <f>54+105+103</f>
        <v>262</v>
      </c>
      <c r="V22">
        <f>U22-N22</f>
        <v>0</v>
      </c>
      <c r="W22">
        <v>0</v>
      </c>
      <c r="X22">
        <v>0</v>
      </c>
      <c r="Y22">
        <v>7000</v>
      </c>
      <c r="Z22" t="b">
        <v>0</v>
      </c>
      <c r="AA22" t="str">
        <v>Don't keep- DP đang chuẩn bị lượng dư nhiều rồi</v>
      </c>
      <c r="AE22" t="e">
        <f>SUMIF('[4]TONG XUAT BUN 2026'!$B:$F,A22,'[4]TONG XUAT BUN 2026'!$F:$F)</f>
        <v>#VALUE!</v>
      </c>
      <c r="AF22">
        <f>ROUNDUP(VLOOKUP(F22,'[5]Production BOM'!$F:$R,13,0)*H22,0)</f>
        <v>153</v>
      </c>
      <c r="AG22" t="b">
        <f>AF22=J22</f>
        <v>1</v>
      </c>
      <c r="AH22" t="str">
        <f>VLOOKUP(F22,'[5]Production BOM'!$F:$P,11,0)</f>
        <v>BDB-000123</v>
      </c>
      <c r="AI22" t="b">
        <f>AH22=E22</f>
        <v>1</v>
      </c>
    </row>
    <row r="23">
      <c r="A23" t="str">
        <v>F-2026-02-217</v>
      </c>
      <c r="B23" t="str">
        <v>FPRO-260211-0037</v>
      </c>
      <c r="C23" t="str">
        <v>20/4-21/4</v>
      </c>
      <c r="D23" t="str">
        <v>Firm plan 11.2</v>
      </c>
      <c r="E23" t="str">
        <v>BDB-000123</v>
      </c>
      <c r="F23" t="str">
        <v>PVN-003298</v>
      </c>
      <c r="G23" t="str">
        <v>OrthoLite Ultra-Hybrid SEEDPEARL/12-0703TPX Hybrid 0.085D 25+/-4 Asker C 1.1M 2M 4mm</v>
      </c>
      <c r="H23">
        <v>7000</v>
      </c>
      <c r="I23">
        <v>200</v>
      </c>
      <c r="J23">
        <v>200</v>
      </c>
      <c r="K23" t="str">
        <v>ADIDAS</v>
      </c>
      <c r="L23" t="str">
        <v>Forecast</v>
      </c>
      <c r="M23" t="str">
        <v>SPLITTING</v>
      </c>
      <c r="O23" t="str">
        <v>Đơn cũ W16</v>
      </c>
      <c r="P23" t="str">
        <v xml:space="preserve">Rất gấp </v>
      </c>
      <c r="Q23">
        <v>46133</v>
      </c>
      <c r="R23">
        <f>S23-1</f>
        <v>46134</v>
      </c>
      <c r="S23">
        <v>46135</v>
      </c>
      <c r="T23" t="str">
        <v>l2</v>
      </c>
      <c r="V23">
        <f>U23-N23</f>
        <v>0</v>
      </c>
      <c r="W23">
        <v>0</v>
      </c>
      <c r="X23">
        <v>0</v>
      </c>
      <c r="Y23">
        <v>7000</v>
      </c>
      <c r="Z23" t="b">
        <v>0</v>
      </c>
      <c r="AA23" t="str">
        <v>keep ETD</v>
      </c>
      <c r="AE23" t="e">
        <f>SUMIF('[4]TONG XUAT BUN 2026'!$B:$F,A23,'[4]TONG XUAT BUN 2026'!$F:$F)</f>
        <v>#VALUE!</v>
      </c>
      <c r="AF23">
        <f>ROUNDUP(VLOOKUP(F23,'[5]Production BOM'!$F:$R,13,0)*H23,0)</f>
        <v>200</v>
      </c>
      <c r="AG23" t="b">
        <f>AF23=J23</f>
        <v>1</v>
      </c>
      <c r="AH23" t="str">
        <f>VLOOKUP(F23,'[5]Production BOM'!$F:$P,11,0)</f>
        <v>BDB-000123</v>
      </c>
      <c r="AI23" t="b">
        <f>AH23=E23</f>
        <v>1</v>
      </c>
    </row>
    <row r="24">
      <c r="V24">
        <f>U24-N24</f>
        <v>0</v>
      </c>
    </row>
    <row r="25">
      <c r="A25" t="str">
        <v>F-2026-03-458</v>
      </c>
      <c r="B25" t="str">
        <v>FPRO-260324-0030</v>
      </c>
      <c r="C25" t="str">
        <v>21/4</v>
      </c>
      <c r="D25" t="str">
        <v>Firm plan 24.3</v>
      </c>
      <c r="E25" t="str">
        <v>BDB-000156</v>
      </c>
      <c r="F25" t="str">
        <v>PVN-003243</v>
      </c>
      <c r="G25" t="str">
        <v>OrthoLite X-35-Hybrid-Nike AMAZON/18-6024TPX Hybrid 0.145D 25+/-4 Asker C 1.1M 2M 5.2mm</v>
      </c>
      <c r="H25">
        <v>1000</v>
      </c>
      <c r="I25">
        <v>39</v>
      </c>
      <c r="J25">
        <v>39</v>
      </c>
      <c r="K25" t="str">
        <v>NIKE</v>
      </c>
      <c r="L25" t="str">
        <v>Forecast</v>
      </c>
      <c r="M25" t="str">
        <v>MOLDED</v>
      </c>
      <c r="N25">
        <v>26</v>
      </c>
      <c r="O25" t="str">
        <v>Đơn cũ W16</v>
      </c>
      <c r="P25" t="str">
        <v xml:space="preserve">gấp </v>
      </c>
      <c r="Q25">
        <v>46134</v>
      </c>
      <c r="R25">
        <f>S25-1</f>
        <v>46135</v>
      </c>
      <c r="S25">
        <v>46136</v>
      </c>
      <c r="T25" t="str">
        <v>l2</v>
      </c>
      <c r="U25">
        <v>26</v>
      </c>
      <c r="V25">
        <f>U25-N25</f>
        <v>0</v>
      </c>
      <c r="W25">
        <v>0</v>
      </c>
      <c r="X25">
        <v>0</v>
      </c>
      <c r="Y25">
        <v>1000</v>
      </c>
      <c r="Z25" t="b">
        <v>0</v>
      </c>
      <c r="AA25" t="str">
        <v>keep ETD</v>
      </c>
      <c r="AE25" t="e">
        <f>SUMIF('[4]TONG XUAT BUN 2026'!$B:$F,A25,'[4]TONG XUAT BUN 2026'!$F:$F)</f>
        <v>#VALUE!</v>
      </c>
      <c r="AF25">
        <f>ROUNDUP(VLOOKUP(F25,'[5]Production BOM'!$F:$R,13,0)*H25,0)</f>
        <v>39</v>
      </c>
      <c r="AG25" t="b">
        <f>AF25=J25</f>
        <v>1</v>
      </c>
      <c r="AH25" t="str">
        <f>VLOOKUP(F25,'[5]Production BOM'!$F:$P,11,0)</f>
        <v>BDB-000156</v>
      </c>
      <c r="AI25" t="b">
        <f>AH25=E25</f>
        <v>1</v>
      </c>
    </row>
    <row r="26">
      <c r="V26">
        <f>U26-N26</f>
        <v>0</v>
      </c>
    </row>
    <row r="27">
      <c r="A27" t="str">
        <v>F-2026-03-494</v>
      </c>
      <c r="B27" t="str">
        <v>FPRO-260324-0066</v>
      </c>
      <c r="C27" t="str">
        <v>21/4</v>
      </c>
      <c r="D27" t="str">
        <v>Firm plan 24.3</v>
      </c>
      <c r="E27" t="str">
        <v>BDB-000157</v>
      </c>
      <c r="F27" t="str">
        <v>PVN-003573</v>
      </c>
      <c r="G27" t="str">
        <v>OrthoLite X-35-Hybrid-Nike SEEDPEARL/12-0703TPX Hybrid 0.145D 25+/-4 Asker C 1.1M 2M 4.2mm</v>
      </c>
      <c r="H27">
        <v>2000</v>
      </c>
      <c r="I27">
        <v>61</v>
      </c>
      <c r="J27">
        <v>61</v>
      </c>
      <c r="K27" t="str">
        <v>NIKE</v>
      </c>
      <c r="L27" t="str">
        <v>Forecast</v>
      </c>
      <c r="M27" t="str">
        <v>MOLDED</v>
      </c>
      <c r="N27">
        <v>61</v>
      </c>
      <c r="Q27">
        <v>46133</v>
      </c>
      <c r="R27">
        <f>S27-1</f>
        <v>46135</v>
      </c>
      <c r="S27">
        <v>46136</v>
      </c>
      <c r="T27" t="str">
        <v>l1</v>
      </c>
      <c r="U27">
        <v>61</v>
      </c>
      <c r="V27">
        <f>U27-N27</f>
        <v>0</v>
      </c>
      <c r="W27">
        <v>0</v>
      </c>
      <c r="X27">
        <v>0</v>
      </c>
      <c r="Y27">
        <v>2000</v>
      </c>
      <c r="Z27" t="b">
        <v>0</v>
      </c>
      <c r="AA27" t="str">
        <v>keep ETD</v>
      </c>
      <c r="AF27">
        <f>ROUNDUP(VLOOKUP(F27,'[5]Production BOM'!$F:$R,13,0)*H27,0)</f>
        <v>61</v>
      </c>
      <c r="AG27" t="b">
        <f>AF27=J27</f>
        <v>1</v>
      </c>
      <c r="AH27" t="str">
        <f>VLOOKUP(F27,'[5]Production BOM'!$F:$P,11,0)</f>
        <v>BDB-000157</v>
      </c>
      <c r="AI27" t="b">
        <f>AH27=E27</f>
        <v>1</v>
      </c>
    </row>
    <row r="28">
      <c r="V28">
        <f>U28-N28</f>
        <v>0</v>
      </c>
    </row>
    <row r="29">
      <c r="A29" t="str">
        <v>F-2026-04-194</v>
      </c>
      <c r="B29" t="str">
        <v>RPRO-260416-0266</v>
      </c>
      <c r="C29" t="str">
        <v>21/4</v>
      </c>
      <c r="D29" t="str">
        <v>MPS 14.04</v>
      </c>
      <c r="E29" t="str">
        <v>BDB-000305</v>
      </c>
      <c r="F29" t="str">
        <v>PVN-004000</v>
      </c>
      <c r="G29" t="str">
        <v>OrthoLite X-35-Nike YELLOW/13-0858TPX Flat Sheet 0.145D 25+/-4 Asker C 1.1M 2M 5.5mm</v>
      </c>
      <c r="H29">
        <v>225</v>
      </c>
      <c r="I29">
        <v>9</v>
      </c>
      <c r="J29">
        <v>9</v>
      </c>
      <c r="L29" t="str">
        <v>MPS</v>
      </c>
      <c r="M29" t="str">
        <v>SPLITTING</v>
      </c>
      <c r="N29">
        <v>9</v>
      </c>
      <c r="Q29">
        <v>46134</v>
      </c>
      <c r="R29">
        <f>S29-1</f>
        <v>46136</v>
      </c>
      <c r="S29">
        <v>46137</v>
      </c>
      <c r="T29" t="str">
        <v>l1</v>
      </c>
      <c r="U29">
        <f>8+1</f>
        <v>9</v>
      </c>
      <c r="V29">
        <f>U29-N29</f>
        <v>0</v>
      </c>
      <c r="W29">
        <v>0</v>
      </c>
      <c r="X29">
        <v>0</v>
      </c>
      <c r="Y29">
        <v>225</v>
      </c>
      <c r="Z29" t="b">
        <v>0</v>
      </c>
      <c r="AF29">
        <f>ROUNDUP(VLOOKUP(F29,'[5]Production BOM'!$F:$R,13,0)*H29,0)</f>
        <v>9</v>
      </c>
      <c r="AG29" t="b">
        <f>AF29=J29</f>
        <v>1</v>
      </c>
      <c r="AH29" t="str">
        <f>VLOOKUP(F29,'[5]Production BOM'!$F:$P,11,0)</f>
        <v>BDB-000305</v>
      </c>
      <c r="AI29" t="b">
        <f>AH29=E29</f>
        <v>1</v>
      </c>
    </row>
    <row r="30">
      <c r="V30">
        <f>U30-N30</f>
        <v>0</v>
      </c>
    </row>
    <row r="31">
      <c r="A31" t="str">
        <v>F-2026-04-263</v>
      </c>
      <c r="B31" t="str">
        <v>RPRO-260417-0236</v>
      </c>
      <c r="C31" t="str">
        <v>21/4</v>
      </c>
      <c r="D31" t="str">
        <v>Pro.sche.report 16.4</v>
      </c>
      <c r="E31" t="str">
        <v>BDB-000319</v>
      </c>
      <c r="F31" t="str">
        <v>PVN-004247</v>
      </c>
      <c r="G31" t="str">
        <v>OrthoLite X-40-Hybrid-Nike SEEDPEARL/12-0703TPX Hybrid Flat Sheet 0.16D 25+/-4 Asker C 1.1M 2M 4.2mm</v>
      </c>
      <c r="H31">
        <v>165</v>
      </c>
      <c r="I31">
        <v>5</v>
      </c>
      <c r="J31">
        <v>5</v>
      </c>
      <c r="K31" t="str">
        <v>NIKE</v>
      </c>
      <c r="L31" t="str">
        <v>Pr.Sch.R</v>
      </c>
      <c r="M31" t="str">
        <v>MOLDED</v>
      </c>
      <c r="N31">
        <v>5</v>
      </c>
      <c r="Q31">
        <v>46134</v>
      </c>
      <c r="R31">
        <f>S31-1</f>
        <v>46136</v>
      </c>
      <c r="S31">
        <v>46137</v>
      </c>
      <c r="T31" t="str">
        <v>l1</v>
      </c>
      <c r="U31">
        <v>5</v>
      </c>
      <c r="V31">
        <f>U31-N31</f>
        <v>0</v>
      </c>
      <c r="W31">
        <v>0</v>
      </c>
      <c r="X31">
        <v>0</v>
      </c>
      <c r="Y31">
        <v>165</v>
      </c>
      <c r="Z31" t="b">
        <v>0</v>
      </c>
      <c r="AF31">
        <f>ROUNDUP(VLOOKUP(F31,'[5]Production BOM'!$F:$R,13,0)*H31,0)</f>
        <v>5</v>
      </c>
      <c r="AG31" t="b">
        <f>AF31=J31</f>
        <v>1</v>
      </c>
      <c r="AH31" t="str">
        <f>VLOOKUP(F31,'[5]Production BOM'!$F:$P,11,0)</f>
        <v>BDB-000319</v>
      </c>
      <c r="AI31" t="b">
        <f>AH31=E31</f>
        <v>1</v>
      </c>
    </row>
    <row r="32">
      <c r="V32">
        <f>U32-N32</f>
        <v>0</v>
      </c>
    </row>
    <row r="33">
      <c r="A33" t="str">
        <v>F-2026-04-266</v>
      </c>
      <c r="B33" t="str">
        <v>RPRO-260417-0239</v>
      </c>
      <c r="C33" t="str">
        <v>21/4</v>
      </c>
      <c r="D33" t="str">
        <v>Pro.sche.report 16.4</v>
      </c>
      <c r="E33" t="str">
        <v>BDB-000334</v>
      </c>
      <c r="F33" t="str">
        <v>PVN-004327</v>
      </c>
      <c r="G33" t="str">
        <v>OrthoLite X-55-Hybrid FOSSIL/17-0909TPX Hybrid Flat Sheet 0.16D 25+/-4 Asker C 1.1M 2M 6mm</v>
      </c>
      <c r="H33">
        <v>161</v>
      </c>
      <c r="I33">
        <v>8</v>
      </c>
      <c r="J33">
        <v>8</v>
      </c>
      <c r="K33" t="str">
        <v>ASICS</v>
      </c>
      <c r="L33" t="str">
        <v>Pr.Sch.R</v>
      </c>
      <c r="M33" t="str">
        <v>MOLDED</v>
      </c>
      <c r="N33">
        <v>8</v>
      </c>
      <c r="Q33">
        <v>46134</v>
      </c>
      <c r="R33">
        <f>S33-1</f>
        <v>46136</v>
      </c>
      <c r="S33">
        <v>46137</v>
      </c>
      <c r="T33" t="str">
        <v>l1</v>
      </c>
      <c r="U33">
        <v>8</v>
      </c>
      <c r="V33">
        <f>U33-N33</f>
        <v>0</v>
      </c>
      <c r="W33">
        <v>0</v>
      </c>
      <c r="X33">
        <v>0</v>
      </c>
      <c r="Y33">
        <v>161</v>
      </c>
      <c r="Z33" t="b">
        <v>0</v>
      </c>
      <c r="AF33">
        <f>ROUNDUP(VLOOKUP(F33,'[5]Production BOM'!$F:$R,13,0)*H33,0)</f>
        <v>8</v>
      </c>
      <c r="AG33" t="b">
        <f>AF33=J33</f>
        <v>1</v>
      </c>
      <c r="AH33" t="str">
        <f>VLOOKUP(F33,'[5]Production BOM'!$F:$P,11,0)</f>
        <v>BDB-000334</v>
      </c>
      <c r="AI33" t="b">
        <f>AH33=E33</f>
        <v>1</v>
      </c>
    </row>
    <row r="34">
      <c r="V34">
        <f>U34-N34</f>
        <v>0</v>
      </c>
    </row>
    <row r="35">
      <c r="A35" t="str">
        <v>F-2026-04-129-1</v>
      </c>
      <c r="B35" t="str">
        <v>FPRO-260409-0003</v>
      </c>
      <c r="C35" t="str">
        <v>21/4</v>
      </c>
      <c r="D35" t="str">
        <v>Firm plan 09.04</v>
      </c>
      <c r="E35" t="str">
        <v>BDB-000332</v>
      </c>
      <c r="F35" t="str">
        <v>PVN-004146</v>
      </c>
      <c r="G35" t="str">
        <v>OrthoLite X-25 CASTLEROCK/18-0201TPX Flat Sheet 0.12D 20+/-4 Asker C 1.1M 2M 5.5mm</v>
      </c>
      <c r="H35">
        <v>500</v>
      </c>
      <c r="I35">
        <v>20</v>
      </c>
      <c r="J35">
        <v>20</v>
      </c>
      <c r="K35" t="str">
        <v>ON RUNNING</v>
      </c>
      <c r="L35" t="str">
        <v>Forecast</v>
      </c>
      <c r="M35" t="str">
        <v>MOLDED</v>
      </c>
      <c r="N35">
        <v>20</v>
      </c>
      <c r="Q35">
        <v>46134</v>
      </c>
      <c r="R35">
        <f>S35-1</f>
        <v>46136</v>
      </c>
      <c r="S35">
        <v>46137</v>
      </c>
      <c r="T35" t="str">
        <v>l1</v>
      </c>
      <c r="U35">
        <v>20</v>
      </c>
      <c r="V35">
        <f>U35-N35</f>
        <v>0</v>
      </c>
      <c r="W35">
        <v>0</v>
      </c>
      <c r="X35">
        <v>0</v>
      </c>
      <c r="Y35">
        <v>500</v>
      </c>
      <c r="Z35" t="b">
        <v>1</v>
      </c>
      <c r="AF35">
        <f>ROUNDUP(VLOOKUP(F35,'[5]Production BOM'!$F:$R,13,0)*H35,0)</f>
        <v>20</v>
      </c>
      <c r="AG35" t="b">
        <f>AF35=J35</f>
        <v>1</v>
      </c>
      <c r="AH35" t="str">
        <f>VLOOKUP(F35,'[5]Production BOM'!$F:$P,11,0)</f>
        <v>BDB-000332</v>
      </c>
      <c r="AI35" t="b">
        <f>AH35=E35</f>
        <v>1</v>
      </c>
    </row>
    <row r="36">
      <c r="V36">
        <f>U36-N36</f>
        <v>0</v>
      </c>
    </row>
    <row r="37">
      <c r="A37" t="str">
        <v>F-2026-04-184</v>
      </c>
      <c r="B37" t="str">
        <v>RPRO-260415-0109</v>
      </c>
      <c r="C37" t="str">
        <v>21/4</v>
      </c>
      <c r="D37" t="str">
        <v>Pro.sche.report 14.04</v>
      </c>
      <c r="E37" t="str">
        <v>BDB-000339</v>
      </c>
      <c r="F37" t="str">
        <v>PVN-004223</v>
      </c>
      <c r="G37" t="str">
        <v>OrthoLite Float NEUTRAL GRAY/17-4402TPX Flat Sheet 0.12D 21+/-4 Asker C 1.1M 2M 5mm</v>
      </c>
      <c r="H37">
        <v>28</v>
      </c>
      <c r="I37">
        <v>1</v>
      </c>
      <c r="J37">
        <v>1</v>
      </c>
      <c r="K37" t="str">
        <v>PUMA</v>
      </c>
      <c r="L37" t="str">
        <v>Pr.Sch.R</v>
      </c>
      <c r="M37" t="str">
        <v>DIE CUT</v>
      </c>
      <c r="N37">
        <v>84</v>
      </c>
      <c r="Q37">
        <v>46134</v>
      </c>
      <c r="R37">
        <f>S37-1</f>
        <v>46136</v>
      </c>
      <c r="S37">
        <v>46137</v>
      </c>
      <c r="T37" t="str">
        <v>l1</v>
      </c>
      <c r="U37">
        <f>52+22+3+7</f>
        <v>84</v>
      </c>
      <c r="V37">
        <f>U37-N37</f>
        <v>0</v>
      </c>
      <c r="W37">
        <v>0</v>
      </c>
      <c r="X37">
        <v>0</v>
      </c>
      <c r="Y37">
        <v>28</v>
      </c>
      <c r="Z37" t="b">
        <v>0</v>
      </c>
      <c r="AF37">
        <f>ROUNDUP(VLOOKUP(F37,'[5]Production BOM'!$F:$R,13,0)*H37,0)</f>
        <v>1</v>
      </c>
      <c r="AG37" t="b">
        <f>AF37=J37</f>
        <v>1</v>
      </c>
      <c r="AH37" t="str">
        <f>VLOOKUP(F37,'[5]Production BOM'!$F:$P,11,0)</f>
        <v>BDB-000339</v>
      </c>
      <c r="AI37" t="b">
        <f>AH37=E37</f>
        <v>1</v>
      </c>
    </row>
    <row r="38">
      <c r="A38" t="str">
        <v>F-2026-04-156</v>
      </c>
      <c r="B38" t="str">
        <v>RPRO-260413-0274</v>
      </c>
      <c r="C38" t="str">
        <v>21/4</v>
      </c>
      <c r="D38" t="str">
        <v>Pro.sche.report 10.4+11.04+12.04</v>
      </c>
      <c r="E38" t="str">
        <v>BDB-000339</v>
      </c>
      <c r="F38" t="str">
        <v>PVN-004178</v>
      </c>
      <c r="G38" t="str">
        <v>OrthoLite Float NEUTRAL GRAY/17-4402TPX Flat Sheet 0.12D 21+/-4 Asker C 1.1M 2M 5.5mm</v>
      </c>
      <c r="H38">
        <v>175</v>
      </c>
      <c r="I38">
        <v>7</v>
      </c>
      <c r="J38">
        <v>7</v>
      </c>
      <c r="K38" t="str">
        <v>PUMA</v>
      </c>
      <c r="L38" t="str">
        <v>Pr.Sch.R</v>
      </c>
      <c r="M38" t="str">
        <v>MOLDED</v>
      </c>
      <c r="Q38">
        <v>46135</v>
      </c>
      <c r="R38">
        <f>S38-3</f>
        <v>46137</v>
      </c>
      <c r="S38">
        <v>46140</v>
      </c>
      <c r="T38" t="str">
        <v>l1</v>
      </c>
      <c r="V38">
        <f>U38-N38</f>
        <v>0</v>
      </c>
      <c r="W38">
        <v>0</v>
      </c>
      <c r="X38">
        <v>0</v>
      </c>
      <c r="Y38">
        <v>175</v>
      </c>
      <c r="Z38" t="b">
        <v>1</v>
      </c>
      <c r="AF38">
        <f>ROUNDUP(VLOOKUP(F38,'[5]Production BOM'!$F:$R,13,0)*H38,0)</f>
        <v>7</v>
      </c>
      <c r="AG38" t="b">
        <f>AF38=J38</f>
        <v>1</v>
      </c>
      <c r="AH38" t="str">
        <f>VLOOKUP(F38,'[5]Production BOM'!$F:$P,11,0)</f>
        <v>BDB-000339</v>
      </c>
      <c r="AI38" t="b">
        <f>AH38=E38</f>
        <v>1</v>
      </c>
    </row>
    <row r="39">
      <c r="A39" t="str">
        <v>F-2026-04-197</v>
      </c>
      <c r="B39" t="str">
        <v>RPRO-260416-0269</v>
      </c>
      <c r="C39" t="str">
        <v>21/4-22/4</v>
      </c>
      <c r="D39" t="str">
        <v>Pro.sche.report 14.04</v>
      </c>
      <c r="E39" t="str">
        <v>BDB-000339</v>
      </c>
      <c r="F39" t="str">
        <v>PVN-004178</v>
      </c>
      <c r="G39" t="str">
        <v>OrthoLite Float NEUTRAL GRAY/17-4402TPX Flat Sheet 0.12D 21+/-4 Asker C 1.1M 2M 5.5mm</v>
      </c>
      <c r="H39">
        <v>600</v>
      </c>
      <c r="I39">
        <v>24</v>
      </c>
      <c r="J39">
        <v>24</v>
      </c>
      <c r="K39" t="str">
        <v>PUMA</v>
      </c>
      <c r="L39" t="str">
        <v>Pr.Sch.R</v>
      </c>
      <c r="M39" t="str">
        <v>MOLDED</v>
      </c>
      <c r="Q39">
        <v>46140</v>
      </c>
      <c r="R39">
        <f>S39-1</f>
        <v>46146</v>
      </c>
      <c r="S39">
        <v>46147</v>
      </c>
      <c r="T39" t="str">
        <v>l1</v>
      </c>
      <c r="V39">
        <f>U39-N39</f>
        <v>0</v>
      </c>
      <c r="W39">
        <v>0</v>
      </c>
      <c r="X39">
        <v>0</v>
      </c>
      <c r="Y39">
        <v>600</v>
      </c>
      <c r="Z39" t="b">
        <v>1</v>
      </c>
      <c r="AF39">
        <f>ROUNDUP(VLOOKUP(F39,'[5]Production BOM'!$F:$R,13,0)*H39,0)</f>
        <v>24</v>
      </c>
      <c r="AG39" t="b">
        <f>AF39=J39</f>
        <v>1</v>
      </c>
      <c r="AH39" t="str">
        <f>VLOOKUP(F39,'[5]Production BOM'!$F:$P,11,0)</f>
        <v>BDB-000339</v>
      </c>
      <c r="AI39" t="b">
        <f>AH39=E39</f>
        <v>1</v>
      </c>
    </row>
    <row r="40">
      <c r="A40" t="str">
        <v>F-2026-04-204</v>
      </c>
      <c r="B40" t="str">
        <v>FPRO-260415-0001</v>
      </c>
      <c r="C40" t="str">
        <v>22/4</v>
      </c>
      <c r="D40" t="str">
        <v>Firm plan 15.4</v>
      </c>
      <c r="E40" t="str">
        <v>BDB-000339</v>
      </c>
      <c r="F40" t="str">
        <v>PVN-004178</v>
      </c>
      <c r="G40" t="str">
        <v>OrthoLite Float NEUTRAL GRAY/17-4402TPX Flat Sheet 0.12D 21+/-4 Asker C 1.1M 2M 5.5mm</v>
      </c>
      <c r="H40">
        <v>1000</v>
      </c>
      <c r="I40">
        <v>40</v>
      </c>
      <c r="J40">
        <v>40</v>
      </c>
      <c r="K40" t="str">
        <v>PUMA</v>
      </c>
      <c r="L40" t="str">
        <v>Forecast</v>
      </c>
      <c r="M40" t="str">
        <v>MOLDED</v>
      </c>
      <c r="Q40">
        <v>46140</v>
      </c>
      <c r="R40">
        <f>S40-1</f>
        <v>46146</v>
      </c>
      <c r="S40">
        <v>46147</v>
      </c>
      <c r="T40" t="str">
        <v>l1</v>
      </c>
      <c r="V40">
        <f>U40-N40</f>
        <v>0</v>
      </c>
      <c r="W40">
        <v>0</v>
      </c>
      <c r="X40">
        <v>0</v>
      </c>
      <c r="Y40">
        <v>1000</v>
      </c>
      <c r="Z40" t="b">
        <v>1</v>
      </c>
      <c r="AB40" t="str">
        <v>keep ETD</v>
      </c>
      <c r="AF40">
        <f>ROUNDUP(VLOOKUP(F40,'[5]Production BOM'!$F:$R,13,0)*H40,0)</f>
        <v>40</v>
      </c>
      <c r="AG40" t="b">
        <f>AF40=J40</f>
        <v>1</v>
      </c>
      <c r="AH40" t="str">
        <f>VLOOKUP(F40,'[5]Production BOM'!$F:$P,11,0)</f>
        <v>BDB-000339</v>
      </c>
      <c r="AI40" t="b">
        <f>AH40=E40</f>
        <v>1</v>
      </c>
    </row>
    <row r="41">
      <c r="A41" t="str">
        <v>F-2026-04-264</v>
      </c>
      <c r="B41" t="str">
        <v>RPRO-260417-0237</v>
      </c>
      <c r="C41" t="str">
        <v>22/4</v>
      </c>
      <c r="D41" t="str">
        <v>Pro.sche.report 16.4</v>
      </c>
      <c r="E41" t="str">
        <v>BDB-000339</v>
      </c>
      <c r="F41" t="str">
        <v>PVN-004178</v>
      </c>
      <c r="G41" t="str">
        <v>OrthoLite Float NEUTRAL GRAY/17-4402TPX Flat Sheet 0.12D 21+/-4 Asker C 1.1M 2M 5.5mm</v>
      </c>
      <c r="H41">
        <v>300</v>
      </c>
      <c r="I41">
        <v>12</v>
      </c>
      <c r="J41">
        <v>12</v>
      </c>
      <c r="K41" t="str">
        <v>PUMA</v>
      </c>
      <c r="L41" t="str">
        <v>Pr.Sch.R</v>
      </c>
      <c r="M41" t="str">
        <v>MOLDED</v>
      </c>
      <c r="Q41">
        <v>46141</v>
      </c>
      <c r="R41">
        <f>S41-1</f>
        <v>46147</v>
      </c>
      <c r="S41">
        <v>46148</v>
      </c>
      <c r="T41" t="str">
        <v>l1</v>
      </c>
      <c r="V41">
        <f>U41-N41</f>
        <v>0</v>
      </c>
      <c r="W41">
        <v>0</v>
      </c>
      <c r="X41">
        <v>0</v>
      </c>
      <c r="Y41">
        <v>300</v>
      </c>
      <c r="Z41" t="b">
        <v>1</v>
      </c>
      <c r="AF41">
        <f>ROUNDUP(VLOOKUP(F41,'[5]Production BOM'!$F:$R,13,0)*H41,0)</f>
        <v>12</v>
      </c>
      <c r="AG41" t="b">
        <f>AF41=J41</f>
        <v>1</v>
      </c>
      <c r="AH41" t="str">
        <f>VLOOKUP(F41,'[5]Production BOM'!$F:$P,11,0)</f>
        <v>BDB-000339</v>
      </c>
      <c r="AI41" t="b">
        <f>AH41=E41</f>
        <v>1</v>
      </c>
    </row>
    <row r="42">
      <c r="V42">
        <f>U42-N42</f>
        <v>0</v>
      </c>
    </row>
    <row r="43">
      <c r="A43" t="str">
        <v>F-2026-04-164</v>
      </c>
      <c r="B43" t="str">
        <v>RPRO-260413-0282</v>
      </c>
      <c r="C43" t="str">
        <v>22/4</v>
      </c>
      <c r="D43" t="str">
        <v>Pro.sche.report 10.4+11.04+12.04</v>
      </c>
      <c r="E43" t="str">
        <v>BDB-000343</v>
      </c>
      <c r="F43" t="str">
        <v>PVN-004185</v>
      </c>
      <c r="G43" t="str">
        <v>Ortholite X-25 AIR BLUE/16-4134TPX Flat Sheet 0.12D 20+/-4 Asker C 1.1M 2M 4mm</v>
      </c>
      <c r="H43">
        <v>35</v>
      </c>
      <c r="I43">
        <v>1</v>
      </c>
      <c r="J43">
        <v>1</v>
      </c>
      <c r="K43" t="str">
        <v>SOLEWORKS</v>
      </c>
      <c r="L43" t="str">
        <v>Pr.Sch.R</v>
      </c>
      <c r="M43" t="str">
        <v>DIE CUT</v>
      </c>
      <c r="N43">
        <v>1</v>
      </c>
      <c r="Q43">
        <v>46135</v>
      </c>
      <c r="R43">
        <f>S43-3</f>
        <v>46137</v>
      </c>
      <c r="S43">
        <v>46140</v>
      </c>
      <c r="T43" t="str">
        <v>l1</v>
      </c>
      <c r="U43">
        <v>1</v>
      </c>
      <c r="V43">
        <f>U43-N43</f>
        <v>0</v>
      </c>
      <c r="W43">
        <v>0</v>
      </c>
      <c r="X43">
        <v>0</v>
      </c>
      <c r="Y43">
        <v>35</v>
      </c>
      <c r="Z43" t="b">
        <v>1</v>
      </c>
      <c r="AF43">
        <f>ROUNDUP(VLOOKUP(F43,'[5]Production BOM'!$F:$R,13,0)*H43,0)</f>
        <v>1</v>
      </c>
      <c r="AG43" t="b">
        <f>AF43=J43</f>
        <v>1</v>
      </c>
      <c r="AH43" t="str">
        <f>VLOOKUP(F43,'[5]Production BOM'!$F:$P,11,0)</f>
        <v>BDB-000343</v>
      </c>
      <c r="AI43" t="b">
        <f>AH43=E43</f>
        <v>1</v>
      </c>
    </row>
    <row r="44">
      <c r="V44">
        <f>U44-N44</f>
        <v>0</v>
      </c>
    </row>
    <row r="45">
      <c r="A45" t="str">
        <v>F-2026-04-163</v>
      </c>
      <c r="B45" t="str">
        <v>RPRO-260413-0281</v>
      </c>
      <c r="C45" t="str">
        <v>22/4</v>
      </c>
      <c r="D45" t="str">
        <v>Pro.sche.report 10.4+11.04+12.04</v>
      </c>
      <c r="E45" t="str">
        <v>BDB-000341</v>
      </c>
      <c r="F45" t="str">
        <v>PVN-004181</v>
      </c>
      <c r="G45" t="str">
        <v>Ortholite X-25 GREY/17-1501TPX Flat Sheet 0.12D 20+/-4 Asker C 1.1M 2M 4mm</v>
      </c>
      <c r="H45">
        <v>105</v>
      </c>
      <c r="I45">
        <v>3</v>
      </c>
      <c r="J45">
        <v>3</v>
      </c>
      <c r="K45" t="str">
        <v>SOLEWORKS</v>
      </c>
      <c r="L45" t="str">
        <v>Pr.Sch.R</v>
      </c>
      <c r="M45" t="str">
        <v>DIE CUT</v>
      </c>
      <c r="N45">
        <v>3</v>
      </c>
      <c r="Q45">
        <v>46135</v>
      </c>
      <c r="R45">
        <f>S45-3</f>
        <v>46137</v>
      </c>
      <c r="S45">
        <v>46140</v>
      </c>
      <c r="T45" t="str">
        <v>l1</v>
      </c>
      <c r="U45">
        <v>3</v>
      </c>
      <c r="V45">
        <f>U45-N45</f>
        <v>0</v>
      </c>
      <c r="W45">
        <v>0</v>
      </c>
      <c r="X45">
        <v>0</v>
      </c>
      <c r="Y45">
        <v>105</v>
      </c>
      <c r="Z45" t="b">
        <v>1</v>
      </c>
      <c r="AF45">
        <f>ROUNDUP(VLOOKUP(F45,'[5]Production BOM'!$F:$R,13,0)*H45,0)</f>
        <v>3</v>
      </c>
      <c r="AG45" t="b">
        <f>AF45=J45</f>
        <v>1</v>
      </c>
      <c r="AH45" t="str">
        <f>VLOOKUP(F45,'[5]Production BOM'!$F:$P,11,0)</f>
        <v>BDB-000341</v>
      </c>
      <c r="AI45" t="b">
        <f>AH45=E45</f>
        <v>1</v>
      </c>
    </row>
    <row r="46">
      <c r="V46">
        <f>U46-N46</f>
        <v>0</v>
      </c>
    </row>
    <row r="47">
      <c r="A47" t="str">
        <v>F-2026-04-151</v>
      </c>
      <c r="B47" t="str">
        <v>RPRO-260413-0269</v>
      </c>
      <c r="C47" t="str">
        <v>22/4</v>
      </c>
      <c r="D47" t="str">
        <v>MPS 10.4+11.04+12.04</v>
      </c>
      <c r="E47" t="str">
        <v>BDB-000348</v>
      </c>
      <c r="F47" t="str">
        <v>PVN-004210</v>
      </c>
      <c r="G47" t="str">
        <v>OrthoLite IMPERIAL SEEDPEARL/12-0703TPX Flat Sheet 0.22D 25+/-4 Asker C 1.1M 1.47M 5mm</v>
      </c>
      <c r="H47">
        <v>112</v>
      </c>
      <c r="I47">
        <v>4</v>
      </c>
      <c r="J47">
        <v>4</v>
      </c>
      <c r="L47" t="str">
        <v>MPS</v>
      </c>
      <c r="M47" t="str">
        <v>SPLITTING</v>
      </c>
      <c r="N47">
        <v>8</v>
      </c>
      <c r="Q47">
        <v>46135</v>
      </c>
      <c r="R47">
        <f>S47-3</f>
        <v>46137</v>
      </c>
      <c r="S47">
        <v>46140</v>
      </c>
      <c r="T47" t="str">
        <v>l1</v>
      </c>
      <c r="U47">
        <v>8</v>
      </c>
      <c r="V47">
        <f>U47-N47</f>
        <v>0</v>
      </c>
      <c r="W47">
        <v>0</v>
      </c>
      <c r="X47">
        <v>0</v>
      </c>
      <c r="Y47">
        <v>112</v>
      </c>
      <c r="Z47" t="b">
        <v>1</v>
      </c>
      <c r="AF47">
        <f>ROUNDUP(VLOOKUP(F47,'[5]Production BOM'!$F:$R,13,0)*H47,0)</f>
        <v>4</v>
      </c>
      <c r="AG47" t="b">
        <f>AF47=J47</f>
        <v>1</v>
      </c>
      <c r="AH47" t="str">
        <f>VLOOKUP(F47,'[5]Production BOM'!$F:$P,11,0)</f>
        <v>BDB-000348</v>
      </c>
      <c r="AI47" t="b">
        <f>AH47=E47</f>
        <v>1</v>
      </c>
    </row>
    <row r="48">
      <c r="A48" t="str">
        <v>F-2026-04-168</v>
      </c>
      <c r="B48" t="str">
        <v>RPRO-260414-0215</v>
      </c>
      <c r="C48" t="str">
        <v>22/4</v>
      </c>
      <c r="D48" t="str">
        <v>MPS 13.04</v>
      </c>
      <c r="E48" t="str">
        <v>BDB-000348</v>
      </c>
      <c r="F48" t="str">
        <v>PVN-004210</v>
      </c>
      <c r="G48" t="str">
        <v>OrthoLite IMPERIAL SEEDPEARL/12-0703TPX Flat Sheet 0.22D 25+/-4 Asker C 1.1M 1.47M 5mm</v>
      </c>
      <c r="H48">
        <v>112</v>
      </c>
      <c r="I48">
        <v>4</v>
      </c>
      <c r="J48">
        <v>4</v>
      </c>
      <c r="L48" t="str">
        <v>MPS</v>
      </c>
      <c r="M48" t="str">
        <v>SPLITTING</v>
      </c>
      <c r="Q48">
        <v>46136</v>
      </c>
      <c r="R48">
        <f>S48-1</f>
        <v>46140</v>
      </c>
      <c r="S48">
        <v>46141</v>
      </c>
      <c r="T48" t="str">
        <v>l1</v>
      </c>
      <c r="V48">
        <f>U48-N48</f>
        <v>0</v>
      </c>
      <c r="W48">
        <v>0</v>
      </c>
      <c r="X48">
        <v>0</v>
      </c>
      <c r="Y48">
        <v>112</v>
      </c>
      <c r="Z48" t="b">
        <v>1</v>
      </c>
      <c r="AF48">
        <f>ROUNDUP(VLOOKUP(F48,'[5]Production BOM'!$F:$R,13,0)*H48,0)</f>
        <v>4</v>
      </c>
      <c r="AG48" t="b">
        <f>AF48=J48</f>
        <v>1</v>
      </c>
      <c r="AH48" t="str">
        <f>VLOOKUP(F48,'[5]Production BOM'!$F:$P,11,0)</f>
        <v>BDB-000348</v>
      </c>
      <c r="AI48" t="b">
        <f>AH48=E48</f>
        <v>1</v>
      </c>
    </row>
    <row r="49">
      <c r="V49">
        <f>U49-N49</f>
        <v>0</v>
      </c>
    </row>
    <row r="50">
      <c r="A50" t="str">
        <v>F-2026-04-257</v>
      </c>
      <c r="B50" t="str">
        <v>RPRO-260417-0230</v>
      </c>
      <c r="C50" t="str">
        <v>22/4</v>
      </c>
      <c r="D50" t="str">
        <v>MPS 16.4</v>
      </c>
      <c r="E50" t="str">
        <v>BDB-000056</v>
      </c>
      <c r="F50" t="str">
        <v>PVN-001983</v>
      </c>
      <c r="G50" t="str">
        <v>OrthoLite X-40 SEEDPEARL/12-0703TPX Flat Sheet 0.16D 25+/-4 Asker C 1.1M 1.7M 5mm</v>
      </c>
      <c r="H50">
        <v>700</v>
      </c>
      <c r="I50">
        <v>25</v>
      </c>
      <c r="J50">
        <v>25</v>
      </c>
      <c r="L50" t="str">
        <v>MPS</v>
      </c>
      <c r="M50" t="str">
        <v>SPLITTING</v>
      </c>
      <c r="N50">
        <v>25</v>
      </c>
      <c r="Q50">
        <v>46135</v>
      </c>
      <c r="R50">
        <f>S50-3</f>
        <v>46137</v>
      </c>
      <c r="S50">
        <v>46140</v>
      </c>
      <c r="T50" t="str">
        <v>l1</v>
      </c>
      <c r="U50">
        <f>26-1</f>
        <v>25</v>
      </c>
      <c r="V50">
        <f>U50-N50</f>
        <v>0</v>
      </c>
      <c r="W50">
        <v>0</v>
      </c>
      <c r="X50">
        <v>0</v>
      </c>
      <c r="Y50">
        <v>700</v>
      </c>
      <c r="Z50" t="b">
        <v>0</v>
      </c>
      <c r="AF50">
        <f>ROUNDUP(VLOOKUP(F50,'[5]Production BOM'!$F:$R,13,0)*H50,0)</f>
        <v>25</v>
      </c>
      <c r="AG50" t="b">
        <f>AF50=J50</f>
        <v>1</v>
      </c>
      <c r="AH50" t="str">
        <f>VLOOKUP(F50,'[5]Production BOM'!$F:$P,11,0)</f>
        <v>BDB-000056</v>
      </c>
      <c r="AI50" t="b">
        <f>AH50=E50</f>
        <v>1</v>
      </c>
    </row>
    <row r="51">
      <c r="V51">
        <f>U51-N51</f>
        <v>0</v>
      </c>
    </row>
    <row r="52">
      <c r="A52" t="str">
        <v>F-2026-04-160</v>
      </c>
      <c r="B52" t="str">
        <v>RPRO-260413-0278</v>
      </c>
      <c r="C52" t="str">
        <v>22/4</v>
      </c>
      <c r="D52" t="str">
        <v>Pro.sche.report 10.4+11.04+12.04</v>
      </c>
      <c r="E52" t="str">
        <v>BDB-000373</v>
      </c>
      <c r="F52" t="str">
        <v>PVN-004315</v>
      </c>
      <c r="G52" t="str">
        <v>OrthoLite X-25-Nike BILLIARD/16-5427TPX Flat Sheet 0.12D 20+/-4 Asker C 1.1M 2M 5mm</v>
      </c>
      <c r="H52">
        <v>112</v>
      </c>
      <c r="I52">
        <v>4</v>
      </c>
      <c r="J52">
        <v>4</v>
      </c>
      <c r="K52" t="str">
        <v>NIKE</v>
      </c>
      <c r="L52" t="str">
        <v>Pr.Sch.R</v>
      </c>
      <c r="M52" t="str">
        <v>DIE CUT</v>
      </c>
      <c r="N52">
        <v>4</v>
      </c>
      <c r="Q52">
        <v>46135</v>
      </c>
      <c r="R52">
        <f>S52-3</f>
        <v>46137</v>
      </c>
      <c r="S52">
        <v>46140</v>
      </c>
      <c r="T52" t="str">
        <v>l1</v>
      </c>
      <c r="U52">
        <v>4</v>
      </c>
      <c r="V52">
        <f>U52-N52</f>
        <v>0</v>
      </c>
      <c r="W52">
        <v>0</v>
      </c>
      <c r="X52">
        <v>0</v>
      </c>
      <c r="Y52">
        <v>112</v>
      </c>
      <c r="Z52" t="b">
        <v>1</v>
      </c>
      <c r="AF52">
        <f>ROUNDUP(VLOOKUP(F52,'[5]Production BOM'!$F:$R,13,0)*H52,0)</f>
        <v>4</v>
      </c>
      <c r="AG52" t="b">
        <f>AF52=J52</f>
        <v>1</v>
      </c>
      <c r="AH52" t="str">
        <f>VLOOKUP(F52,'[5]Production BOM'!$F:$P,11,0)</f>
        <v>BDB-000373</v>
      </c>
      <c r="AI52" t="b">
        <f>AH52=E52</f>
        <v>1</v>
      </c>
    </row>
    <row r="53">
      <c r="V53">
        <f>U53-N53</f>
        <v>0</v>
      </c>
    </row>
    <row r="54">
      <c r="A54" t="str">
        <v>F-2026-04-198</v>
      </c>
      <c r="B54" t="str">
        <v>RPRO-260416-0270</v>
      </c>
      <c r="C54" t="str">
        <v>22/4</v>
      </c>
      <c r="D54" t="str">
        <v>Pro.sche.report 14.04</v>
      </c>
      <c r="E54" t="str">
        <v>BDB-000154</v>
      </c>
      <c r="F54" t="str">
        <v>PVN-003347</v>
      </c>
      <c r="G54" t="str">
        <v>OrthoLite X-40-Nike TRUE BLUE/19-4057TPX Flat Sheet 0.16D 35+/-4 Asker C 1.1M 1.7M 4mm</v>
      </c>
      <c r="H54">
        <v>105</v>
      </c>
      <c r="I54">
        <v>3</v>
      </c>
      <c r="J54">
        <v>3</v>
      </c>
      <c r="K54" t="str">
        <v>NIKE</v>
      </c>
      <c r="L54" t="str">
        <v>Pr.Sch.R</v>
      </c>
      <c r="M54" t="str">
        <v>LAMINATING</v>
      </c>
      <c r="N54">
        <f>8-1</f>
        <v>7</v>
      </c>
      <c r="O54" t="str">
        <v xml:space="preserve">W16 đổ dư 1 bun </v>
      </c>
      <c r="Q54">
        <v>46135</v>
      </c>
      <c r="R54">
        <f>S54-3</f>
        <v>46137</v>
      </c>
      <c r="S54">
        <v>46140</v>
      </c>
      <c r="T54" t="str">
        <v>l1</v>
      </c>
      <c r="U54">
        <v>7</v>
      </c>
      <c r="V54">
        <f>U54-N54</f>
        <v>0</v>
      </c>
      <c r="W54">
        <v>0</v>
      </c>
      <c r="X54">
        <v>0</v>
      </c>
      <c r="Y54">
        <v>105</v>
      </c>
      <c r="Z54" t="b">
        <v>0</v>
      </c>
      <c r="AF54">
        <f>ROUNDUP(VLOOKUP(F54,'[5]Production BOM'!$F:$R,13,0)*H54,0)</f>
        <v>3</v>
      </c>
      <c r="AG54" t="b">
        <f>AF54=J54</f>
        <v>1</v>
      </c>
      <c r="AH54" t="str">
        <f>VLOOKUP(F54,'[5]Production BOM'!$F:$P,11,0)</f>
        <v>BDB-000154</v>
      </c>
      <c r="AI54" t="b">
        <f>AH54=E54</f>
        <v>1</v>
      </c>
    </row>
    <row r="55">
      <c r="A55" t="str">
        <v>F-2026-04-265</v>
      </c>
      <c r="B55" t="str">
        <v>RPRO-260417-0238</v>
      </c>
      <c r="C55" t="str">
        <v>22/4</v>
      </c>
      <c r="D55" t="str">
        <v>Pro.sche.report 16.4</v>
      </c>
      <c r="E55" t="str">
        <v>BDB-000154</v>
      </c>
      <c r="F55" t="str">
        <v>PVN-003347</v>
      </c>
      <c r="G55" t="str">
        <v>OrthoLite X-40-Nike TRUE BLUE/19-4057TPX Flat Sheet 0.16D 35+/-4 Asker C 1.1M 1.7M 4mm</v>
      </c>
      <c r="H55">
        <v>175</v>
      </c>
      <c r="I55">
        <v>5</v>
      </c>
      <c r="J55">
        <v>5</v>
      </c>
      <c r="K55" t="str">
        <v>NIKE</v>
      </c>
      <c r="L55" t="str">
        <v>Pr.Sch.R</v>
      </c>
      <c r="M55" t="str">
        <v>LAMINATING</v>
      </c>
      <c r="N55" t="str">
        <v>8-1</v>
      </c>
      <c r="Q55">
        <v>46135</v>
      </c>
      <c r="R55">
        <f>S55-3</f>
        <v>46137</v>
      </c>
      <c r="S55">
        <v>46140</v>
      </c>
      <c r="T55" t="str">
        <v>l1</v>
      </c>
      <c r="V55">
        <f>U55-N55</f>
        <v>-46235</v>
      </c>
      <c r="W55">
        <v>0</v>
      </c>
      <c r="X55">
        <v>0</v>
      </c>
      <c r="Y55">
        <v>175</v>
      </c>
      <c r="Z55" t="b">
        <v>0</v>
      </c>
      <c r="AF55">
        <f>ROUNDUP(VLOOKUP(F55,'[5]Production BOM'!$F:$R,13,0)*H55,0)</f>
        <v>5</v>
      </c>
      <c r="AG55" t="b">
        <f>AF55=J55</f>
        <v>1</v>
      </c>
      <c r="AH55" t="str">
        <f>VLOOKUP(F55,'[5]Production BOM'!$F:$P,11,0)</f>
        <v>BDB-000154</v>
      </c>
      <c r="AI55" t="b">
        <f>AH55=E55</f>
        <v>1</v>
      </c>
    </row>
    <row r="56">
      <c r="V56">
        <f>U56-N56</f>
        <v>0</v>
      </c>
    </row>
    <row r="57">
      <c r="A57" t="str">
        <v>F-2026-02-324</v>
      </c>
      <c r="B57" t="str">
        <v>FPRO-260212-0021</v>
      </c>
      <c r="C57" t="str">
        <v>22/4</v>
      </c>
      <c r="D57" t="str">
        <v>Firm plan 12.02</v>
      </c>
      <c r="E57" t="str">
        <v>BDB-000157</v>
      </c>
      <c r="F57" t="str">
        <v>PVN-003573</v>
      </c>
      <c r="G57" t="str">
        <v>OrthoLite X-35-Hybrid-Nike SEEDPEARL/12-0703TPX Hybrid 0.145D 25+/-4 Asker C 1.1M 2M 4.2mm</v>
      </c>
      <c r="H57">
        <v>1550</v>
      </c>
      <c r="I57">
        <v>47</v>
      </c>
      <c r="J57">
        <v>47</v>
      </c>
      <c r="K57" t="str">
        <v>NIKE</v>
      </c>
      <c r="L57" t="str">
        <v>Forecast</v>
      </c>
      <c r="M57" t="str">
        <v>MOLDED</v>
      </c>
      <c r="N57">
        <v>128</v>
      </c>
      <c r="O57">
        <v>129</v>
      </c>
      <c r="Q57">
        <v>46135</v>
      </c>
      <c r="R57">
        <f>S57-3</f>
        <v>46137</v>
      </c>
      <c r="S57">
        <v>46140</v>
      </c>
      <c r="T57" t="str">
        <v>l1</v>
      </c>
      <c r="U57">
        <f>55+73</f>
        <v>128</v>
      </c>
      <c r="V57">
        <f>U57-N57</f>
        <v>0</v>
      </c>
      <c r="W57">
        <v>0</v>
      </c>
      <c r="X57">
        <v>0</v>
      </c>
      <c r="Y57">
        <v>1550</v>
      </c>
      <c r="Z57" t="b">
        <v>0</v>
      </c>
      <c r="AF57">
        <f>ROUNDUP(VLOOKUP(F57,'[5]Production BOM'!$F:$R,13,0)*H57,0)</f>
        <v>47</v>
      </c>
      <c r="AG57" t="b">
        <f>AF57=J57</f>
        <v>1</v>
      </c>
      <c r="AH57" t="str">
        <f>VLOOKUP(F57,'[5]Production BOM'!$F:$P,11,0)</f>
        <v>BDB-000157</v>
      </c>
      <c r="AI57" t="b">
        <f>AH57=E57</f>
        <v>1</v>
      </c>
    </row>
    <row r="58">
      <c r="A58" t="str">
        <v>F-2026-03-496</v>
      </c>
      <c r="B58" t="str">
        <v>FPRO-260324-0068</v>
      </c>
      <c r="C58" t="str">
        <v>22/4</v>
      </c>
      <c r="D58" t="str">
        <v>Firm plan 24.3</v>
      </c>
      <c r="E58" t="str">
        <v>BDB-000157</v>
      </c>
      <c r="F58" t="str">
        <v>PVN-003573</v>
      </c>
      <c r="G58" t="str">
        <v>OrthoLite X-35-Hybrid-Nike SEEDPEARL/12-0703TPX Hybrid 0.145D 25+/-4 Asker C 1.1M 2M 4.2mm</v>
      </c>
      <c r="H58">
        <v>2000</v>
      </c>
      <c r="I58">
        <v>61</v>
      </c>
      <c r="J58">
        <v>61</v>
      </c>
      <c r="K58" t="str">
        <v>NIKE</v>
      </c>
      <c r="L58" t="str">
        <v>Forecast</v>
      </c>
      <c r="M58" t="str">
        <v>MOLDED</v>
      </c>
      <c r="Q58">
        <v>46140</v>
      </c>
      <c r="R58">
        <f>S58-1</f>
        <v>46146</v>
      </c>
      <c r="S58">
        <v>46147</v>
      </c>
      <c r="T58" t="str">
        <v>l1</v>
      </c>
      <c r="V58">
        <f>U58-N58</f>
        <v>0</v>
      </c>
      <c r="W58">
        <v>0</v>
      </c>
      <c r="X58">
        <v>0</v>
      </c>
      <c r="Y58">
        <v>2000</v>
      </c>
      <c r="Z58" t="b">
        <v>0</v>
      </c>
      <c r="AB58" t="str">
        <v>keep ETD</v>
      </c>
      <c r="AF58">
        <f>ROUNDUP(VLOOKUP(F58,'[5]Production BOM'!$F:$R,13,0)*H58,0)</f>
        <v>61</v>
      </c>
      <c r="AG58" t="b">
        <f>AF58=J58</f>
        <v>1</v>
      </c>
      <c r="AH58" t="str">
        <f>VLOOKUP(F58,'[5]Production BOM'!$F:$P,11,0)</f>
        <v>BDB-000157</v>
      </c>
      <c r="AI58" t="b">
        <f>AH58=E58</f>
        <v>1</v>
      </c>
    </row>
    <row r="59">
      <c r="A59" t="str">
        <v>F-2026-04-262</v>
      </c>
      <c r="B59" t="str">
        <v>RPRO-260417-0235</v>
      </c>
      <c r="C59" t="str">
        <v>22/4</v>
      </c>
      <c r="D59" t="str">
        <v>Pro.sche.report 16.4</v>
      </c>
      <c r="E59" t="str">
        <v>BDB-000157</v>
      </c>
      <c r="F59" t="str">
        <v>PVN-003642</v>
      </c>
      <c r="G59" t="str">
        <v>OrthoLite X-35-Hybrid-Nike SEEDPEARL/12-0703TPX Hybrid Flat Sheet 0.145D 25+/-4 Asker C 1.1M 2M 6.2mm</v>
      </c>
      <c r="H59">
        <v>242</v>
      </c>
      <c r="I59">
        <v>11</v>
      </c>
      <c r="J59">
        <v>11</v>
      </c>
      <c r="K59" t="str">
        <v>NIKE</v>
      </c>
      <c r="L59" t="str">
        <v>Pr.Sch.R</v>
      </c>
      <c r="M59" t="str">
        <v>MOLDED</v>
      </c>
      <c r="O59" t="str">
        <v>ppc/pur imp-đã nhắc sx</v>
      </c>
      <c r="Q59">
        <v>46136</v>
      </c>
      <c r="R59">
        <f>S59-1</f>
        <v>46139</v>
      </c>
      <c r="S59">
        <v>46140</v>
      </c>
      <c r="T59" t="str">
        <v>l1</v>
      </c>
      <c r="V59">
        <f>U59-N59</f>
        <v>0</v>
      </c>
      <c r="W59">
        <v>0</v>
      </c>
      <c r="X59">
        <v>0</v>
      </c>
      <c r="Y59">
        <v>242</v>
      </c>
      <c r="Z59" t="b">
        <v>1</v>
      </c>
      <c r="AF59">
        <f>ROUNDUP(VLOOKUP(F59,'[5]Production BOM'!$F:$R,13,0)*H59,0)</f>
        <v>11</v>
      </c>
      <c r="AG59" t="b">
        <f>AF59=J59</f>
        <v>1</v>
      </c>
      <c r="AH59" t="str">
        <f>VLOOKUP(F59,'[5]Production BOM'!$F:$P,11,0)</f>
        <v>BDB-000157</v>
      </c>
      <c r="AI59" t="b">
        <f>AH59=E59</f>
        <v>1</v>
      </c>
    </row>
    <row r="60">
      <c r="A60" t="str">
        <v>F-2026-04-270</v>
      </c>
      <c r="B60" t="str">
        <v>RPRO-260418-0031</v>
      </c>
      <c r="C60" t="str">
        <v>22/4</v>
      </c>
      <c r="D60" t="str">
        <v>Pro.sche.report 16.4</v>
      </c>
      <c r="E60" t="str">
        <v>BDB-000157</v>
      </c>
      <c r="F60" t="str">
        <v>PVN-003244</v>
      </c>
      <c r="G60" t="str">
        <v>OrthoLite X-35-Hybrid-Nike SEEDPEARL/12-0703TPX Hybrid Flat Sheet 0.145D 25+/-4 Asker C 1.1M 2M 5.2mm (SLT)</v>
      </c>
      <c r="H60">
        <v>100</v>
      </c>
      <c r="I60">
        <v>4</v>
      </c>
      <c r="J60">
        <v>4</v>
      </c>
      <c r="K60" t="str">
        <v>NIKE</v>
      </c>
      <c r="L60" t="str">
        <v>Pr.Sch.R</v>
      </c>
      <c r="M60" t="str">
        <v>MOLDED</v>
      </c>
      <c r="Q60">
        <v>46141</v>
      </c>
      <c r="R60">
        <f>S60-1</f>
        <v>46147</v>
      </c>
      <c r="S60">
        <v>46148</v>
      </c>
      <c r="T60" t="str">
        <v>l1</v>
      </c>
      <c r="V60">
        <f>U60-N60</f>
        <v>0</v>
      </c>
      <c r="W60">
        <v>0</v>
      </c>
      <c r="X60">
        <v>0</v>
      </c>
      <c r="Y60">
        <v>100</v>
      </c>
      <c r="Z60" t="b">
        <v>1</v>
      </c>
      <c r="AF60">
        <f>ROUNDUP(VLOOKUP(F60,'[5]Production BOM'!$F:$R,13,0)*H60,0)</f>
        <v>4</v>
      </c>
      <c r="AG60" t="b">
        <f>AF60=J60</f>
        <v>1</v>
      </c>
      <c r="AH60" t="str">
        <f>VLOOKUP(F60,'[5]Production BOM'!$F:$P,11,0)</f>
        <v>BDB-000157</v>
      </c>
      <c r="AI60" t="b">
        <f>AH60=E60</f>
        <v>1</v>
      </c>
    </row>
    <row r="61">
      <c r="A61" t="str">
        <v>F-2026-04-271</v>
      </c>
      <c r="B61" t="str">
        <v>RPRO-260418-0032</v>
      </c>
      <c r="C61" t="str">
        <v>22/4</v>
      </c>
      <c r="D61" t="str">
        <v>Pro.sche.report 16.4</v>
      </c>
      <c r="E61" t="str">
        <v>BDB-000157</v>
      </c>
      <c r="F61" t="str">
        <v>PVN-003244</v>
      </c>
      <c r="G61" t="str">
        <v>OrthoLite X-35-Hybrid-Nike SEEDPEARL/12-0703TPX Hybrid Flat Sheet 0.145D 25+/-4 Asker C 1.1M 2M 5.2mm</v>
      </c>
      <c r="H61">
        <v>118</v>
      </c>
      <c r="I61">
        <v>5</v>
      </c>
      <c r="J61">
        <v>5</v>
      </c>
      <c r="K61" t="str">
        <v>NIKE</v>
      </c>
      <c r="L61" t="str">
        <v>Pr.Sch.R</v>
      </c>
      <c r="M61" t="str">
        <v>MOLDED</v>
      </c>
      <c r="Q61">
        <v>46141</v>
      </c>
      <c r="R61">
        <f>S61-1</f>
        <v>46147</v>
      </c>
      <c r="S61">
        <v>46148</v>
      </c>
      <c r="T61" t="str">
        <v>l1</v>
      </c>
      <c r="V61">
        <f>U61-N61</f>
        <v>0</v>
      </c>
      <c r="W61">
        <v>0</v>
      </c>
      <c r="X61">
        <v>0</v>
      </c>
      <c r="Y61">
        <v>118</v>
      </c>
      <c r="Z61" t="b">
        <v>1</v>
      </c>
      <c r="AF61">
        <f>ROUNDUP(VLOOKUP(F61,'[5]Production BOM'!$F:$R,13,0)*H61,0)</f>
        <v>5</v>
      </c>
      <c r="AG61" t="b">
        <f>AF61=J61</f>
        <v>1</v>
      </c>
      <c r="AH61" t="str">
        <f>VLOOKUP(F61,'[5]Production BOM'!$F:$P,11,0)</f>
        <v>BDB-000157</v>
      </c>
      <c r="AI61" t="b">
        <f>AH61=E61</f>
        <v>1</v>
      </c>
    </row>
    <row r="62">
      <c r="V62">
        <f>U62-N62</f>
        <v>0</v>
      </c>
    </row>
    <row r="63">
      <c r="A63" t="str">
        <v>F-2026-04-172</v>
      </c>
      <c r="B63" t="str">
        <v>RPRO-260414-0219</v>
      </c>
      <c r="C63" t="str">
        <v>22/4</v>
      </c>
      <c r="D63" t="str">
        <v>Pro.sche.report 13.04</v>
      </c>
      <c r="E63" t="str">
        <v>BDB-000336</v>
      </c>
      <c r="F63" t="str">
        <v>PVN-004168</v>
      </c>
      <c r="G63" t="str">
        <v>OrthoLite X-40-Nike SEEDPEARL/12-0703TPX Flat Sheet 0.16D 35+/-4 Asker C 1.1M 2M 4.5mm</v>
      </c>
      <c r="H63">
        <v>372</v>
      </c>
      <c r="I63">
        <v>13</v>
      </c>
      <c r="J63">
        <v>13</v>
      </c>
      <c r="K63" t="str">
        <v>NIKE</v>
      </c>
      <c r="L63" t="str">
        <v>Pr.Sch.R</v>
      </c>
      <c r="M63" t="str">
        <v>MOLDED</v>
      </c>
      <c r="N63">
        <v>13</v>
      </c>
      <c r="O63" t="str">
        <v>ton 5l</v>
      </c>
      <c r="Q63">
        <v>46136</v>
      </c>
      <c r="R63">
        <f>S63-1</f>
        <v>46140</v>
      </c>
      <c r="S63">
        <v>46141</v>
      </c>
      <c r="T63" t="str">
        <v>l1</v>
      </c>
      <c r="U63">
        <v>13</v>
      </c>
      <c r="V63">
        <f>U63-N63</f>
        <v>0</v>
      </c>
      <c r="W63">
        <v>0</v>
      </c>
      <c r="X63">
        <v>0</v>
      </c>
      <c r="Y63">
        <v>372</v>
      </c>
      <c r="Z63" t="b">
        <v>1</v>
      </c>
      <c r="AF63">
        <f>ROUNDUP(VLOOKUP(F63,'[5]Production BOM'!$F:$R,13,0)*H63,0)</f>
        <v>13</v>
      </c>
      <c r="AG63" t="b">
        <f>AF63=J63</f>
        <v>1</v>
      </c>
      <c r="AH63" t="str">
        <f>VLOOKUP(F63,'[5]Production BOM'!$F:$P,11,0)</f>
        <v>BDB-000336</v>
      </c>
      <c r="AI63" t="b">
        <f>AH63=E63</f>
        <v>1</v>
      </c>
    </row>
    <row r="64">
      <c r="V64">
        <f>U64-N64</f>
        <v>0</v>
      </c>
    </row>
    <row r="65">
      <c r="A65" t="str">
        <v>F-2026-04-176</v>
      </c>
      <c r="B65" t="str">
        <v>RPRO-260415-0101</v>
      </c>
      <c r="C65" t="str">
        <v>22/4</v>
      </c>
      <c r="D65" t="str">
        <v>MPS 14.04</v>
      </c>
      <c r="E65" t="str">
        <v>BDB-000051</v>
      </c>
      <c r="F65" t="str">
        <v>PVN-003543</v>
      </c>
      <c r="G65" t="str">
        <v>OrthoLite X-40 TRUE BLUE/19-4057TPX Flat Sheet 0.16D 25+/-4 Asker C 1.1M 1.7M 4mm</v>
      </c>
      <c r="H65">
        <v>35</v>
      </c>
      <c r="I65">
        <v>1</v>
      </c>
      <c r="J65">
        <v>1</v>
      </c>
      <c r="L65" t="str">
        <v>MPS</v>
      </c>
      <c r="M65" t="str">
        <v>SPLITTING</v>
      </c>
      <c r="N65">
        <v>1</v>
      </c>
      <c r="Q65">
        <v>46136</v>
      </c>
      <c r="R65">
        <v>46140</v>
      </c>
      <c r="S65">
        <v>46144</v>
      </c>
      <c r="T65" t="str">
        <v>l1</v>
      </c>
      <c r="U65">
        <v>1</v>
      </c>
      <c r="V65">
        <f>U65-N65</f>
        <v>0</v>
      </c>
      <c r="W65">
        <v>0</v>
      </c>
      <c r="X65">
        <v>0</v>
      </c>
      <c r="Y65">
        <v>35</v>
      </c>
      <c r="Z65" t="b">
        <v>1</v>
      </c>
      <c r="AF65">
        <f>ROUNDUP(VLOOKUP(F65,'[5]Production BOM'!$F:$R,13,0)*H65,0)</f>
        <v>1</v>
      </c>
      <c r="AG65" t="b">
        <f>AF65=J65</f>
        <v>1</v>
      </c>
      <c r="AH65" t="str">
        <f>VLOOKUP(F65,'[5]Production BOM'!$F:$P,11,0)</f>
        <v>BDB-000051</v>
      </c>
      <c r="AI65" t="b">
        <f>AH65=E65</f>
        <v>1</v>
      </c>
    </row>
    <row r="66">
      <c r="V66">
        <f>U66-N66</f>
        <v>0</v>
      </c>
    </row>
    <row r="67">
      <c r="A67" t="str">
        <v>F-2026-04-179</v>
      </c>
      <c r="B67" t="str">
        <v>RPRO-260415-0104</v>
      </c>
      <c r="C67" t="str">
        <v>22/4</v>
      </c>
      <c r="D67" t="str">
        <v>Pro.sche.report 14.04</v>
      </c>
      <c r="E67" t="str">
        <v>BDB-000052</v>
      </c>
      <c r="F67" t="str">
        <v>PVN-003603</v>
      </c>
      <c r="G67" t="str">
        <v>OrthoLite X-40 TRUE BLUE/19-4057TPX Flat Sheet 0.16D 25+/-4 Asker C 1.1M 1.47M 12mm</v>
      </c>
      <c r="H67">
        <v>11</v>
      </c>
      <c r="I67">
        <v>1</v>
      </c>
      <c r="J67">
        <v>1</v>
      </c>
      <c r="K67" t="str">
        <v>ASICS</v>
      </c>
      <c r="L67" t="str">
        <v>Pr.Sch.R</v>
      </c>
      <c r="M67" t="str">
        <v>MOLDED</v>
      </c>
      <c r="N67">
        <v>1</v>
      </c>
      <c r="Q67">
        <v>46136</v>
      </c>
      <c r="R67">
        <v>46140</v>
      </c>
      <c r="S67">
        <v>46144</v>
      </c>
      <c r="T67" t="str">
        <v>l1</v>
      </c>
      <c r="U67">
        <v>1</v>
      </c>
      <c r="V67">
        <f>U67-N67</f>
        <v>0</v>
      </c>
      <c r="W67">
        <v>0</v>
      </c>
      <c r="X67">
        <v>0</v>
      </c>
      <c r="Y67">
        <v>11</v>
      </c>
      <c r="Z67" t="b">
        <v>1</v>
      </c>
      <c r="AF67">
        <f>ROUNDUP(VLOOKUP(F67,'[5]Production BOM'!$F:$R,13,0)*H67,0)</f>
        <v>1</v>
      </c>
      <c r="AG67" t="b">
        <f>AF67=J67</f>
        <v>1</v>
      </c>
      <c r="AH67" t="str">
        <f>VLOOKUP(F67,'[5]Production BOM'!$F:$P,11,0)</f>
        <v>BDB-000052</v>
      </c>
      <c r="AI67" t="b">
        <f>AH67=E67</f>
        <v>1</v>
      </c>
    </row>
    <row r="68">
      <c r="V68">
        <f>U68-N68</f>
        <v>0</v>
      </c>
    </row>
    <row r="69">
      <c r="A69" t="str">
        <v>F-2026-04-183</v>
      </c>
      <c r="B69" t="str">
        <v>RPRO-260415-0108</v>
      </c>
      <c r="C69" t="str">
        <v>22/4</v>
      </c>
      <c r="D69" t="str">
        <v>Pro.sche.report 14.04</v>
      </c>
      <c r="E69" t="str">
        <v>BDB-000212</v>
      </c>
      <c r="F69" t="str">
        <v>PVN-003460</v>
      </c>
      <c r="G69" t="str">
        <v>OrthoLite X-25-Hybrid SEEDPEARL/12-0703TPX Hybrid Flat Sheet 0.12D 20+/-4 Asker C 1.1M 2M 5.5mm</v>
      </c>
      <c r="H69">
        <v>25</v>
      </c>
      <c r="I69">
        <v>1</v>
      </c>
      <c r="J69">
        <v>1</v>
      </c>
      <c r="K69" t="str">
        <v>ON RUNNING</v>
      </c>
      <c r="L69" t="str">
        <v>Pr.Sch.R</v>
      </c>
      <c r="M69" t="str">
        <v>MOLDED</v>
      </c>
      <c r="N69">
        <v>1</v>
      </c>
      <c r="O69" t="str">
        <v>cancel</v>
      </c>
      <c r="Q69">
        <v>46136</v>
      </c>
      <c r="R69">
        <v>46140</v>
      </c>
      <c r="S69">
        <v>46144</v>
      </c>
      <c r="T69" t="str">
        <v>l1</v>
      </c>
      <c r="V69">
        <f>U69-N69</f>
        <v>-1</v>
      </c>
      <c r="W69">
        <v>0</v>
      </c>
      <c r="X69">
        <v>0</v>
      </c>
      <c r="Y69">
        <v>25</v>
      </c>
      <c r="Z69" t="b">
        <v>1</v>
      </c>
      <c r="AF69">
        <f>ROUNDUP(VLOOKUP(F69,'[5]Production BOM'!$F:$R,13,0)*H69,0)</f>
        <v>1</v>
      </c>
      <c r="AG69" t="b">
        <f>AF69=J69</f>
        <v>1</v>
      </c>
      <c r="AH69" t="str">
        <f>VLOOKUP(F69,'[5]Production BOM'!$F:$P,11,0)</f>
        <v>BDB-000212</v>
      </c>
      <c r="AI69" t="b">
        <f>AH69=E69</f>
        <v>1</v>
      </c>
    </row>
    <row r="70">
      <c r="V70">
        <f>U70-N70</f>
        <v>0</v>
      </c>
    </row>
    <row r="71">
      <c r="A71" t="str">
        <v>F-2026-04-186</v>
      </c>
      <c r="B71" t="str">
        <v>RPRO-260415-0111</v>
      </c>
      <c r="C71" t="str">
        <v>22/4</v>
      </c>
      <c r="D71" t="str">
        <v>Pro.sche.report 14.04</v>
      </c>
      <c r="E71" t="str">
        <v>BDB-000217</v>
      </c>
      <c r="F71" t="str">
        <v>PVN-003733</v>
      </c>
      <c r="G71" t="str">
        <v>OrthoLite X-40-Hybrid SEEDPEARL/12-0703TPX Hybrid Flat Sheet 0.16D 35+/-4 Asker C 1.1M 1.7M 12.5mm</v>
      </c>
      <c r="H71">
        <v>10</v>
      </c>
      <c r="I71">
        <v>1</v>
      </c>
      <c r="J71">
        <v>1</v>
      </c>
      <c r="K71" t="str">
        <v>OBOZ</v>
      </c>
      <c r="L71" t="str">
        <v>Pr.Sch.R</v>
      </c>
      <c r="M71" t="str">
        <v>MOLDED</v>
      </c>
      <c r="N71">
        <v>3</v>
      </c>
      <c r="O71" t="str">
        <v>ppc/pur imp-imp ht</v>
      </c>
      <c r="Q71">
        <v>46136</v>
      </c>
      <c r="R71">
        <v>46140</v>
      </c>
      <c r="S71">
        <v>46141</v>
      </c>
      <c r="T71" t="str">
        <v>l1</v>
      </c>
      <c r="U71">
        <f>5-2</f>
        <v>3</v>
      </c>
      <c r="V71">
        <f>U71-N71</f>
        <v>0</v>
      </c>
      <c r="W71">
        <v>0</v>
      </c>
      <c r="X71">
        <v>0</v>
      </c>
      <c r="Y71">
        <v>10</v>
      </c>
      <c r="Z71" t="b">
        <v>1</v>
      </c>
      <c r="AF71">
        <f>ROUNDUP(VLOOKUP(F71,'[5]Production BOM'!$F:$R,13,0)*H71,0)</f>
        <v>1</v>
      </c>
      <c r="AG71" t="b">
        <f>AF71=J71</f>
        <v>1</v>
      </c>
      <c r="AH71" t="str">
        <f>VLOOKUP(F71,'[5]Production BOM'!$F:$P,11,0)</f>
        <v>BDB-000217</v>
      </c>
      <c r="AI71" t="b">
        <f>AH71=E71</f>
        <v>1</v>
      </c>
    </row>
    <row r="72">
      <c r="A72" t="str">
        <v>F-2026-04-267</v>
      </c>
      <c r="B72" t="str">
        <v>RPRO-260417-0240</v>
      </c>
      <c r="C72" t="str">
        <v>22/4</v>
      </c>
      <c r="D72" t="str">
        <v>Pro.sche.report 16.4</v>
      </c>
      <c r="E72" t="str">
        <v>BDB-000217</v>
      </c>
      <c r="F72" t="str">
        <v>PVN-003733</v>
      </c>
      <c r="G72" t="str">
        <v>OrthoLite X-40-Hybrid SEEDPEARL/12-0703TPX Hybrid Flat Sheet 0.16D 35+/-4 Asker C 1.1M 1.7M 12.5mm</v>
      </c>
      <c r="H72">
        <v>20</v>
      </c>
      <c r="I72">
        <v>2</v>
      </c>
      <c r="J72">
        <v>2</v>
      </c>
      <c r="K72" t="str">
        <v>OBOZ</v>
      </c>
      <c r="L72" t="str">
        <v>Pr.Sch.R</v>
      </c>
      <c r="M72" t="str">
        <v>MOLDED</v>
      </c>
      <c r="O72" t="str">
        <v>ppc/pur imp-đã nhắc sx</v>
      </c>
      <c r="Q72">
        <v>46136</v>
      </c>
      <c r="R72">
        <f>S72-1</f>
        <v>46140</v>
      </c>
      <c r="S72">
        <v>46141</v>
      </c>
      <c r="T72" t="str">
        <v>l1</v>
      </c>
      <c r="V72">
        <f>U72-N72</f>
        <v>0</v>
      </c>
      <c r="W72">
        <v>0</v>
      </c>
      <c r="X72">
        <v>0</v>
      </c>
      <c r="Y72">
        <v>20</v>
      </c>
      <c r="Z72" t="b">
        <v>1</v>
      </c>
      <c r="AF72">
        <f>ROUNDUP(VLOOKUP(F72,'[5]Production BOM'!$F:$R,13,0)*H72,0)</f>
        <v>2</v>
      </c>
      <c r="AG72" t="b">
        <f>AF72=J72</f>
        <v>1</v>
      </c>
      <c r="AH72" t="str">
        <f>VLOOKUP(F72,'[5]Production BOM'!$F:$P,11,0)</f>
        <v>BDB-000217</v>
      </c>
      <c r="AI72" t="b">
        <f>AH72=E72</f>
        <v>1</v>
      </c>
    </row>
    <row r="73">
      <c r="V73">
        <f>U73-N73</f>
        <v>0</v>
      </c>
    </row>
    <row r="74">
      <c r="A74" t="str">
        <v>F-2026-04-180</v>
      </c>
      <c r="B74" t="str">
        <v>RPRO-260415-0105</v>
      </c>
      <c r="C74" t="str">
        <v>22/4</v>
      </c>
      <c r="D74" t="str">
        <v>Pro.sche.report 14.04</v>
      </c>
      <c r="E74" t="str">
        <v>BDB-000248</v>
      </c>
      <c r="F74" t="str">
        <v>PVN-003931</v>
      </c>
      <c r="G74" t="str">
        <v>OrthoLite X-40-Hybrid RED/19-1764TPX Hybrid Flat Sheet 0.16D 25+/-4 Asker C 1.1M 1.7M 6.5mm</v>
      </c>
      <c r="H74">
        <v>21</v>
      </c>
      <c r="I74">
        <v>2</v>
      </c>
      <c r="J74">
        <v>2</v>
      </c>
      <c r="K74" t="str">
        <v>REDWING</v>
      </c>
      <c r="L74" t="str">
        <v>Pr.Sch.R</v>
      </c>
      <c r="M74" t="str">
        <v>MOLDED</v>
      </c>
      <c r="N74">
        <v>2</v>
      </c>
      <c r="Q74">
        <v>46136</v>
      </c>
      <c r="R74">
        <v>46140</v>
      </c>
      <c r="S74">
        <v>46144</v>
      </c>
      <c r="T74" t="str">
        <v>l1</v>
      </c>
      <c r="U74">
        <v>2</v>
      </c>
      <c r="V74">
        <f>U74-N74</f>
        <v>0</v>
      </c>
      <c r="W74">
        <v>0</v>
      </c>
      <c r="X74">
        <v>0</v>
      </c>
      <c r="Y74">
        <v>21</v>
      </c>
      <c r="Z74" t="b">
        <v>1</v>
      </c>
      <c r="AF74">
        <f>ROUNDUP(VLOOKUP(F74,'[5]Production BOM'!$F:$R,13,0)*H74,0)</f>
        <v>2</v>
      </c>
      <c r="AG74" t="b">
        <f>AF74=J74</f>
        <v>1</v>
      </c>
      <c r="AH74" t="str">
        <f>VLOOKUP(F74,'[5]Production BOM'!$F:$P,11,0)</f>
        <v>BDB-000248</v>
      </c>
      <c r="AI74" t="b">
        <f>AH74=E74</f>
        <v>1</v>
      </c>
    </row>
    <row r="75">
      <c r="V75">
        <f>U75-N75</f>
        <v>0</v>
      </c>
    </row>
    <row r="76">
      <c r="A76" t="str">
        <v>F-2026-04-187</v>
      </c>
      <c r="B76" t="str">
        <v>RPRO-260415-0112</v>
      </c>
      <c r="C76" t="str">
        <v>22/4</v>
      </c>
      <c r="D76" t="str">
        <v>Pro.sche.report 14.04</v>
      </c>
      <c r="E76" t="str">
        <v>BDB-000250</v>
      </c>
      <c r="F76" t="str">
        <v>PVN-003653</v>
      </c>
      <c r="G76" t="str">
        <v>OrthoLite X-40 CASTLEROCK/18-0201TPX Flat Sheet 0.16D 25+/-4 Asker C 1.1M 1.7M 11mm</v>
      </c>
      <c r="H76">
        <v>72</v>
      </c>
      <c r="I76">
        <v>6</v>
      </c>
      <c r="J76">
        <v>6</v>
      </c>
      <c r="K76" t="str">
        <v>ROA</v>
      </c>
      <c r="L76" t="str">
        <v>Pr.Sch.R</v>
      </c>
      <c r="M76" t="str">
        <v>MOLDED</v>
      </c>
      <c r="N76">
        <v>6</v>
      </c>
      <c r="Q76">
        <v>46136</v>
      </c>
      <c r="R76">
        <v>46140</v>
      </c>
      <c r="S76">
        <v>46144</v>
      </c>
      <c r="T76" t="str">
        <v>l1</v>
      </c>
      <c r="U76">
        <v>6</v>
      </c>
      <c r="V76">
        <f>U76-N76</f>
        <v>0</v>
      </c>
      <c r="W76">
        <v>0</v>
      </c>
      <c r="X76">
        <v>0</v>
      </c>
      <c r="Y76">
        <v>72</v>
      </c>
      <c r="Z76" t="b">
        <v>1</v>
      </c>
      <c r="AF76">
        <f>ROUNDUP(VLOOKUP(F76,'[5]Production BOM'!$F:$R,13,0)*H76,0)</f>
        <v>6</v>
      </c>
      <c r="AG76" t="b">
        <f>AF76=J76</f>
        <v>1</v>
      </c>
      <c r="AH76" t="str">
        <f>VLOOKUP(F76,'[5]Production BOM'!$F:$P,11,0)</f>
        <v>BDB-000250</v>
      </c>
      <c r="AI76" t="b">
        <f>AH76=E76</f>
        <v>1</v>
      </c>
    </row>
    <row r="77">
      <c r="V77">
        <f>U77-N77</f>
        <v>0</v>
      </c>
    </row>
    <row r="78">
      <c r="A78" t="str">
        <v>F-2026-04-188</v>
      </c>
      <c r="B78" t="str">
        <v>RPRO-260415-0113</v>
      </c>
      <c r="C78" t="str">
        <v>22/4</v>
      </c>
      <c r="D78" t="str">
        <v>Pro.sche.report 14.04</v>
      </c>
      <c r="E78" t="str">
        <v>BDB-000342</v>
      </c>
      <c r="F78" t="str">
        <v>PVN-004184</v>
      </c>
      <c r="G78" t="str">
        <v>Ortholite X-25 NEUTRAL GRAY/17-4402TPX Flat Sheet 0.12D 20+/-4 Asker C 1.1M 2M 4mm</v>
      </c>
      <c r="H78">
        <v>35</v>
      </c>
      <c r="I78">
        <v>1</v>
      </c>
      <c r="J78">
        <v>1</v>
      </c>
      <c r="K78" t="str">
        <v>SOLEWORKS</v>
      </c>
      <c r="L78" t="str">
        <v>Pr.Sch.R</v>
      </c>
      <c r="M78" t="str">
        <v>DIE CUT</v>
      </c>
      <c r="N78">
        <v>1</v>
      </c>
      <c r="Q78">
        <v>46136</v>
      </c>
      <c r="R78">
        <v>46140</v>
      </c>
      <c r="S78">
        <v>46144</v>
      </c>
      <c r="T78" t="str">
        <v>l1</v>
      </c>
      <c r="U78">
        <v>1</v>
      </c>
      <c r="V78">
        <f>U78-N78</f>
        <v>0</v>
      </c>
      <c r="W78">
        <v>0</v>
      </c>
      <c r="X78">
        <v>0</v>
      </c>
      <c r="Y78">
        <v>35</v>
      </c>
      <c r="Z78" t="b">
        <v>1</v>
      </c>
      <c r="AF78">
        <f>ROUNDUP(VLOOKUP(F78,'[5]Production BOM'!$F:$R,13,0)*H78,0)</f>
        <v>1</v>
      </c>
      <c r="AG78" t="b">
        <f>AF78=J78</f>
        <v>1</v>
      </c>
      <c r="AH78" t="str">
        <f>VLOOKUP(F78,'[5]Production BOM'!$F:$P,11,0)</f>
        <v>BDB-000342</v>
      </c>
      <c r="AI78" t="b">
        <f>AH78=E78</f>
        <v>1</v>
      </c>
    </row>
    <row r="79">
      <c r="V79">
        <f>U79-N79</f>
        <v>0</v>
      </c>
    </row>
    <row r="80">
      <c r="A80" t="str">
        <v>F-2026-04-189</v>
      </c>
      <c r="B80" t="str">
        <v>RPRO-260415-0114</v>
      </c>
      <c r="C80" t="str">
        <v>22/4</v>
      </c>
      <c r="D80" t="str">
        <v>Pro.sche.report 14.04</v>
      </c>
      <c r="E80" t="str">
        <v>BDB-000344</v>
      </c>
      <c r="F80" t="str">
        <v>PVN-004186</v>
      </c>
      <c r="G80" t="str">
        <v>Ortholite X-25 LIME GREEN/14-0452TPX Flat Sheet 0.12D 20+/-4 Asker C 1.1M 2M 4mm</v>
      </c>
      <c r="H80">
        <v>35</v>
      </c>
      <c r="I80">
        <v>1</v>
      </c>
      <c r="J80">
        <v>1</v>
      </c>
      <c r="K80" t="str">
        <v>SOLEWORKS</v>
      </c>
      <c r="L80" t="str">
        <v>Pr.Sch.R</v>
      </c>
      <c r="M80" t="str">
        <v>DIE CUT</v>
      </c>
      <c r="N80">
        <v>1</v>
      </c>
      <c r="Q80">
        <v>46136</v>
      </c>
      <c r="R80">
        <v>46140</v>
      </c>
      <c r="S80">
        <v>46144</v>
      </c>
      <c r="T80" t="str">
        <v>l1</v>
      </c>
      <c r="U80">
        <v>1</v>
      </c>
      <c r="V80">
        <f>U80-N80</f>
        <v>0</v>
      </c>
      <c r="W80">
        <v>0</v>
      </c>
      <c r="X80">
        <v>0</v>
      </c>
      <c r="Y80">
        <v>35</v>
      </c>
      <c r="Z80" t="b">
        <v>1</v>
      </c>
      <c r="AF80">
        <f>ROUNDUP(VLOOKUP(F80,'[5]Production BOM'!$F:$R,13,0)*H80,0)</f>
        <v>1</v>
      </c>
      <c r="AG80" t="b">
        <f>AF80=J80</f>
        <v>1</v>
      </c>
      <c r="AH80" t="str">
        <f>VLOOKUP(F80,'[5]Production BOM'!$F:$P,11,0)</f>
        <v>BDB-000344</v>
      </c>
      <c r="AI80" t="b">
        <f>AH80=E80</f>
        <v>1</v>
      </c>
    </row>
    <row r="81">
      <c r="V81">
        <f>U81-N81</f>
        <v>0</v>
      </c>
    </row>
    <row r="82">
      <c r="A82" t="str">
        <v>F-2026-04-177</v>
      </c>
      <c r="B82" t="str">
        <v>RPRO-260415-0102</v>
      </c>
      <c r="C82" t="str">
        <v>22/4</v>
      </c>
      <c r="D82" t="str">
        <v>Pro.sche.report 14.04</v>
      </c>
      <c r="E82" t="str">
        <v>BDB-000076</v>
      </c>
      <c r="F82" t="str">
        <v>PVN-003448</v>
      </c>
      <c r="G82" t="str">
        <v>OrthoLite X-25 BILLIARD/16-5427TPX Flat Sheet 0.12D 20+/-4 Asker C 1.1M 2M 6.2mm</v>
      </c>
      <c r="H82">
        <v>220</v>
      </c>
      <c r="I82">
        <v>10</v>
      </c>
      <c r="J82">
        <v>10</v>
      </c>
      <c r="K82" t="str">
        <v>ADIDAS</v>
      </c>
      <c r="L82" t="str">
        <v>Pr.Sch.R</v>
      </c>
      <c r="M82" t="str">
        <v>MOLDED</v>
      </c>
      <c r="N82">
        <f>14-5</f>
        <v>9</v>
      </c>
      <c r="O82" t="str">
        <v xml:space="preserve">W16 đổ dư 5 bun </v>
      </c>
      <c r="Q82">
        <v>46136</v>
      </c>
      <c r="R82">
        <v>46140</v>
      </c>
      <c r="S82">
        <v>46144</v>
      </c>
      <c r="T82" t="str">
        <v>l1</v>
      </c>
      <c r="U82">
        <v>9</v>
      </c>
      <c r="V82">
        <f>U82-N82</f>
        <v>0</v>
      </c>
      <c r="W82">
        <v>0</v>
      </c>
      <c r="X82">
        <v>0</v>
      </c>
      <c r="Y82">
        <v>220</v>
      </c>
      <c r="Z82" t="b">
        <v>1</v>
      </c>
      <c r="AF82">
        <f>ROUNDUP(VLOOKUP(F82,'[5]Production BOM'!$F:$R,13,0)*H82,0)</f>
        <v>10</v>
      </c>
      <c r="AG82" t="b">
        <f>AF82=J82</f>
        <v>1</v>
      </c>
      <c r="AH82" t="str">
        <f>VLOOKUP(F82,'[5]Production BOM'!$F:$P,11,0)</f>
        <v>BDB-000076</v>
      </c>
      <c r="AI82" t="b">
        <f>AH82=E82</f>
        <v>1</v>
      </c>
    </row>
    <row r="83">
      <c r="A83" t="str">
        <v>F-2026-04-181</v>
      </c>
      <c r="B83" t="str">
        <v>RPRO-260415-0106</v>
      </c>
      <c r="C83" t="str">
        <v>22/4</v>
      </c>
      <c r="D83" t="str">
        <v>Pro.sche.report 14.04</v>
      </c>
      <c r="E83" t="str">
        <v>BDB-000076</v>
      </c>
      <c r="F83" t="str">
        <v>PVN-003342</v>
      </c>
      <c r="G83" t="str">
        <v>OrthoLite X-25 BILLIARD/16-5427TPX Flat Sheet 0.12D 20+/-4 Asker C 1.1M 2M 4.5mm</v>
      </c>
      <c r="H83">
        <v>93</v>
      </c>
      <c r="I83">
        <v>4</v>
      </c>
      <c r="J83">
        <v>4</v>
      </c>
      <c r="K83" t="str">
        <v>ADIDAS</v>
      </c>
      <c r="L83" t="str">
        <v>Pr.Sch.R</v>
      </c>
      <c r="M83" t="str">
        <v>MOLDED</v>
      </c>
      <c r="N83" t="str">
        <v>14-5</v>
      </c>
      <c r="Q83">
        <v>46136</v>
      </c>
      <c r="R83">
        <v>46140</v>
      </c>
      <c r="S83">
        <v>46144</v>
      </c>
      <c r="T83" t="str">
        <v>l1</v>
      </c>
      <c r="W83">
        <v>0</v>
      </c>
      <c r="X83">
        <v>0</v>
      </c>
      <c r="Y83">
        <v>93</v>
      </c>
      <c r="Z83" t="b">
        <v>1</v>
      </c>
      <c r="AF83">
        <f>ROUNDUP(VLOOKUP(F83,'[5]Production BOM'!$F:$R,13,0)*H83,0)</f>
        <v>4</v>
      </c>
      <c r="AG83" t="b">
        <f>AF83=J83</f>
        <v>1</v>
      </c>
      <c r="AH83" t="str">
        <f>VLOOKUP(F83,'[5]Production BOM'!$F:$P,11,0)</f>
        <v>BDB-000076</v>
      </c>
      <c r="AI83" t="b">
        <f>AH83=E83</f>
        <v>1</v>
      </c>
    </row>
    <row r="84">
      <c r="V84">
        <f>U84-N84</f>
        <v>0</v>
      </c>
    </row>
    <row r="85">
      <c r="A85" t="str">
        <v>F-2026-04-178</v>
      </c>
      <c r="B85" t="str">
        <v>RPRO-260415-0103</v>
      </c>
      <c r="C85" t="str">
        <v>22/4</v>
      </c>
      <c r="D85" t="str">
        <v>Pro.sche.report 14.04</v>
      </c>
      <c r="E85" t="str">
        <v>BDB-000346</v>
      </c>
      <c r="F85" t="str">
        <v>PVN-004188</v>
      </c>
      <c r="G85" t="str">
        <v>OrthoLite Float NEUTRAL GRAY/17-4402TPX Flat Sheet 0.12D 21+/-4 Asker C 1.1M 1.47M 5.5mm</v>
      </c>
      <c r="H85">
        <v>575</v>
      </c>
      <c r="I85">
        <v>23</v>
      </c>
      <c r="J85">
        <v>23</v>
      </c>
      <c r="K85" t="str">
        <v>PUMA</v>
      </c>
      <c r="L85" t="str">
        <v>Pr.Sch.R</v>
      </c>
      <c r="M85" t="str">
        <v>MOLDED</v>
      </c>
      <c r="N85">
        <v>80</v>
      </c>
      <c r="Q85">
        <v>46136</v>
      </c>
      <c r="R85">
        <v>46140</v>
      </c>
      <c r="S85">
        <v>46144</v>
      </c>
      <c r="T85" t="str">
        <v>l1</v>
      </c>
      <c r="U85">
        <f>34+18+15+13</f>
        <v>80</v>
      </c>
      <c r="V85">
        <f>U85-N85</f>
        <v>0</v>
      </c>
      <c r="W85">
        <v>0</v>
      </c>
      <c r="X85">
        <v>0</v>
      </c>
      <c r="Y85">
        <v>575</v>
      </c>
      <c r="Z85" t="b">
        <v>1</v>
      </c>
      <c r="AF85">
        <f>ROUNDUP(VLOOKUP(F85,'[5]Production BOM'!$F:$R,13,0)*H85,0)</f>
        <v>23</v>
      </c>
      <c r="AG85" t="b">
        <f>AF85=J85</f>
        <v>1</v>
      </c>
      <c r="AH85" t="str">
        <f>VLOOKUP(F85,'[5]Production BOM'!$F:$P,11,0)</f>
        <v>BDB-000346</v>
      </c>
      <c r="AI85" t="b">
        <f>AH85=E85</f>
        <v>1</v>
      </c>
    </row>
    <row r="86">
      <c r="A86" t="str">
        <v>F-2026-04-195</v>
      </c>
      <c r="B86" t="str">
        <v>RPRO-260416-0267</v>
      </c>
      <c r="C86" t="str">
        <v>22/4</v>
      </c>
      <c r="D86" t="str">
        <v>Pro.sche.report 14.04</v>
      </c>
      <c r="E86" t="str">
        <v>BDB-000346</v>
      </c>
      <c r="F86" t="str">
        <v>PVN-004188</v>
      </c>
      <c r="G86" t="str">
        <v>OrthoLite Float NEUTRAL GRAY/17-4402TPX Flat Sheet 0.12D 21+/-4 Asker C 1.1M 1.47M 5.5mm</v>
      </c>
      <c r="H86">
        <v>375</v>
      </c>
      <c r="I86">
        <v>15</v>
      </c>
      <c r="J86">
        <v>15</v>
      </c>
      <c r="K86" t="str">
        <v>PUMA</v>
      </c>
      <c r="L86" t="str">
        <v>Pr.Sch.R</v>
      </c>
      <c r="M86" t="str">
        <v>MOLDED</v>
      </c>
      <c r="Q86">
        <v>46140</v>
      </c>
      <c r="R86">
        <f>S86-1</f>
        <v>46146</v>
      </c>
      <c r="S86">
        <v>46147</v>
      </c>
      <c r="T86" t="str">
        <v>l1</v>
      </c>
      <c r="V86">
        <f>U86-N86</f>
        <v>0</v>
      </c>
      <c r="W86">
        <v>0</v>
      </c>
      <c r="X86">
        <v>0</v>
      </c>
      <c r="Y86">
        <v>375</v>
      </c>
      <c r="Z86" t="b">
        <v>1</v>
      </c>
      <c r="AF86">
        <f>ROUNDUP(VLOOKUP(F86,'[5]Production BOM'!$F:$R,13,0)*H86,0)</f>
        <v>15</v>
      </c>
      <c r="AG86" t="b">
        <f>AF86=J86</f>
        <v>1</v>
      </c>
      <c r="AH86" t="str">
        <f>VLOOKUP(F86,'[5]Production BOM'!$F:$P,11,0)</f>
        <v>BDB-000346</v>
      </c>
      <c r="AI86" t="b">
        <f>AH86=E86</f>
        <v>1</v>
      </c>
    </row>
    <row r="87">
      <c r="A87" t="str">
        <v>F-2026-04-211</v>
      </c>
      <c r="B87" t="str">
        <v>FPRO-260415-0008</v>
      </c>
      <c r="C87" t="str">
        <v>22/4-23/4</v>
      </c>
      <c r="D87" t="str">
        <v>Firm plan 15.4</v>
      </c>
      <c r="E87" t="str">
        <v>BDB-000346</v>
      </c>
      <c r="F87" t="str">
        <v>PVN-004188</v>
      </c>
      <c r="G87" t="str">
        <v>OrthoLite Float NEUTRAL GRAY/17-4402TPX Flat Sheet 0.12D 21+/-4 Asker C 1.1M 1.47M 5.5mm</v>
      </c>
      <c r="H87">
        <v>1000</v>
      </c>
      <c r="I87">
        <v>40</v>
      </c>
      <c r="J87">
        <v>40</v>
      </c>
      <c r="K87" t="str">
        <v>PUMA</v>
      </c>
      <c r="L87" t="str">
        <v>Forecast</v>
      </c>
      <c r="M87" t="str">
        <v>MOLDED</v>
      </c>
      <c r="Q87">
        <v>46140</v>
      </c>
      <c r="R87">
        <f>S87-1</f>
        <v>46146</v>
      </c>
      <c r="S87">
        <v>46147</v>
      </c>
      <c r="T87" t="str">
        <v>l1</v>
      </c>
      <c r="V87">
        <f>U87-N87</f>
        <v>0</v>
      </c>
      <c r="W87">
        <v>0</v>
      </c>
      <c r="X87">
        <v>0</v>
      </c>
      <c r="Y87">
        <v>1000</v>
      </c>
      <c r="Z87" t="b">
        <v>1</v>
      </c>
      <c r="AB87" t="str">
        <v>keep ETD</v>
      </c>
      <c r="AF87">
        <f>ROUNDUP(VLOOKUP(F87,'[5]Production BOM'!$F:$R,13,0)*H87,0)</f>
        <v>40</v>
      </c>
      <c r="AG87" t="b">
        <f>AF87=J87</f>
        <v>1</v>
      </c>
      <c r="AH87" t="str">
        <f>VLOOKUP(F87,'[5]Production BOM'!$F:$P,11,0)</f>
        <v>BDB-000346</v>
      </c>
      <c r="AI87" t="b">
        <f>AH87=E87</f>
        <v>1</v>
      </c>
    </row>
    <row r="88">
      <c r="A88" t="str">
        <v>F-2026-04-260</v>
      </c>
      <c r="B88" t="str">
        <v>RPRO-260417-0233</v>
      </c>
      <c r="C88" t="str">
        <v>23/4</v>
      </c>
      <c r="D88" t="str">
        <v>Pro.sche.report 16.4</v>
      </c>
      <c r="E88" t="str">
        <v>BDB-000346</v>
      </c>
      <c r="F88" t="str">
        <v>PVN-004188</v>
      </c>
      <c r="G88" t="str">
        <v>OrthoLite Float NEUTRAL GRAY/17-4402TPX Flat Sheet 0.12D 21+/-4 Asker C 1.1M 1.47M 5.5mm</v>
      </c>
      <c r="H88">
        <v>50</v>
      </c>
      <c r="I88">
        <v>2</v>
      </c>
      <c r="J88">
        <v>2</v>
      </c>
      <c r="K88" t="str">
        <v>PUMA</v>
      </c>
      <c r="L88" t="str">
        <v>Pr.Sch.R</v>
      </c>
      <c r="M88" t="str">
        <v>MOLDED</v>
      </c>
      <c r="Q88">
        <v>46141</v>
      </c>
      <c r="R88">
        <f>S88-1</f>
        <v>46147</v>
      </c>
      <c r="S88">
        <v>46148</v>
      </c>
      <c r="T88" t="str">
        <v>l1</v>
      </c>
      <c r="V88">
        <f>U88-N88</f>
        <v>0</v>
      </c>
      <c r="W88">
        <v>0</v>
      </c>
      <c r="X88">
        <v>0</v>
      </c>
      <c r="Y88">
        <v>50</v>
      </c>
      <c r="Z88" t="b">
        <v>1</v>
      </c>
      <c r="AF88">
        <f>ROUNDUP(VLOOKUP(F88,'[5]Production BOM'!$F:$R,13,0)*H88,0)</f>
        <v>2</v>
      </c>
      <c r="AG88" t="b">
        <f>AF88=J88</f>
        <v>1</v>
      </c>
      <c r="AH88" t="str">
        <f>VLOOKUP(F88,'[5]Production BOM'!$F:$P,11,0)</f>
        <v>BDB-000346</v>
      </c>
      <c r="AI88" t="b">
        <f>AH88=E88</f>
        <v>1</v>
      </c>
    </row>
    <row r="89">
      <c r="V89">
        <f>U89-N89</f>
        <v>0</v>
      </c>
    </row>
    <row r="90">
      <c r="A90" t="str">
        <v>F-2026-03-465</v>
      </c>
      <c r="B90" t="str">
        <v>FPRO-260324-0037</v>
      </c>
      <c r="C90" t="str">
        <v>23/4</v>
      </c>
      <c r="D90" t="str">
        <v>Firm plan 24.3</v>
      </c>
      <c r="E90" t="str">
        <v>BDB-000259</v>
      </c>
      <c r="F90" t="str">
        <v>PVN-003684</v>
      </c>
      <c r="G90" t="str">
        <v>OrthoLite Nike PP002 GLACIER GRAY/14-4102TPX Flat Sheet 0.145D 25+/-4 asker C 1.1M 2M 4.2mm</v>
      </c>
      <c r="H90">
        <v>2500</v>
      </c>
      <c r="I90">
        <v>76</v>
      </c>
      <c r="J90">
        <v>76</v>
      </c>
      <c r="K90" t="str">
        <v>NIKE</v>
      </c>
      <c r="L90" t="str">
        <v>Forecast</v>
      </c>
      <c r="M90" t="str">
        <v>MOLDED</v>
      </c>
      <c r="N90">
        <v>76</v>
      </c>
      <c r="Q90">
        <v>46137</v>
      </c>
      <c r="R90">
        <f>S90-5</f>
        <v>46141</v>
      </c>
      <c r="S90">
        <v>46146</v>
      </c>
      <c r="T90" t="str">
        <v>l1</v>
      </c>
      <c r="U90">
        <v>76</v>
      </c>
      <c r="V90">
        <f>U90-N90</f>
        <v>0</v>
      </c>
      <c r="W90">
        <v>0</v>
      </c>
      <c r="X90">
        <v>0</v>
      </c>
      <c r="Y90">
        <v>2500</v>
      </c>
      <c r="Z90" t="b">
        <v>0</v>
      </c>
      <c r="AB90" t="str">
        <v>keep ETD</v>
      </c>
      <c r="AF90">
        <f>ROUNDUP(VLOOKUP(F90,'[5]Production BOM'!$F:$R,13,0)*H90,0)</f>
        <v>76</v>
      </c>
      <c r="AG90" t="b">
        <f>AF90=J90</f>
        <v>1</v>
      </c>
      <c r="AH90" t="str">
        <f>VLOOKUP(F90,'[5]Production BOM'!$F:$P,11,0)</f>
        <v>BDB-000259</v>
      </c>
      <c r="AI90" t="b">
        <f>AH90=E90</f>
        <v>1</v>
      </c>
    </row>
    <row r="91">
      <c r="V91">
        <f>U91-N91</f>
        <v>0</v>
      </c>
    </row>
    <row r="92">
      <c r="A92" t="str">
        <v>F-2026-04-66</v>
      </c>
      <c r="B92" t="str">
        <v>RPRO-260406-1104</v>
      </c>
      <c r="C92" t="str">
        <v>23/4</v>
      </c>
      <c r="D92" t="str">
        <v>Pro.sche.report 3.4+4.4</v>
      </c>
      <c r="E92" t="str">
        <v>BDB-000235</v>
      </c>
      <c r="F92" t="str">
        <v>PVN-003576</v>
      </c>
      <c r="G92" t="str">
        <v>OrthoLite X-55-Hybrid FOSSIL/17-0909TPX Hybrid Flat Sheet 0.16D 25+/-4 Asker C 1.1M 1.7M 12mm</v>
      </c>
      <c r="H92">
        <v>1617</v>
      </c>
      <c r="I92">
        <v>141</v>
      </c>
      <c r="J92">
        <v>141</v>
      </c>
      <c r="K92" t="str">
        <v>ASICS</v>
      </c>
      <c r="L92" t="str">
        <v>Pr.Sch.R</v>
      </c>
      <c r="M92" t="str">
        <v>MOLDED</v>
      </c>
      <c r="N92">
        <v>141</v>
      </c>
      <c r="Q92">
        <v>46137</v>
      </c>
      <c r="R92">
        <f>S92-5</f>
        <v>46141</v>
      </c>
      <c r="S92">
        <v>46146</v>
      </c>
      <c r="T92" t="str">
        <v>l1</v>
      </c>
      <c r="U92">
        <f>12+109+22-2</f>
        <v>141</v>
      </c>
      <c r="V92">
        <f>U92-N92</f>
        <v>0</v>
      </c>
      <c r="W92">
        <v>0</v>
      </c>
      <c r="X92">
        <v>0</v>
      </c>
      <c r="Y92">
        <v>1617</v>
      </c>
      <c r="Z92" t="b">
        <v>0</v>
      </c>
      <c r="AF92">
        <f>ROUNDUP(VLOOKUP(F92,'[5]Production BOM'!$F:$R,13,0)*H92,0)</f>
        <v>141</v>
      </c>
      <c r="AG92" t="b">
        <f>AF92=J92</f>
        <v>1</v>
      </c>
      <c r="AH92" t="str">
        <f>VLOOKUP(F92,'[5]Production BOM'!$F:$P,11,0)</f>
        <v>BDB-000235</v>
      </c>
      <c r="AI92" t="b">
        <f>AH92=E92</f>
        <v>1</v>
      </c>
    </row>
    <row r="93">
      <c r="V93">
        <f>U93-N93</f>
        <v>0</v>
      </c>
    </row>
    <row r="94">
      <c r="A94" t="str">
        <v>F-2026-04-131</v>
      </c>
      <c r="B94" t="str">
        <v>FPRO-260409-0005</v>
      </c>
      <c r="C94" t="str">
        <v>23/4</v>
      </c>
      <c r="D94" t="str">
        <v>Firm plan 09.04</v>
      </c>
      <c r="E94" t="str">
        <v>BDB-000077</v>
      </c>
      <c r="F94" t="str">
        <v>PVN-004147</v>
      </c>
      <c r="G94" t="str">
        <v>OrthoLite X-25 SEEDPEARL/12-0703TPX Flat Sheet 0.12D 20+/-4 Asker C 1.1M 2M 5.5mm</v>
      </c>
      <c r="H94">
        <v>500</v>
      </c>
      <c r="I94">
        <v>20</v>
      </c>
      <c r="J94">
        <v>20</v>
      </c>
      <c r="K94" t="str">
        <v>ON RUNNING</v>
      </c>
      <c r="L94" t="str">
        <v>Forecast</v>
      </c>
      <c r="M94" t="str">
        <v>MOLDED</v>
      </c>
      <c r="N94">
        <v>20</v>
      </c>
      <c r="Q94">
        <v>46140</v>
      </c>
      <c r="R94">
        <f>S94-1</f>
        <v>46146</v>
      </c>
      <c r="S94">
        <v>46147</v>
      </c>
      <c r="T94" t="str">
        <v>l1</v>
      </c>
      <c r="U94">
        <v>20</v>
      </c>
      <c r="V94">
        <f>U94-N94</f>
        <v>0</v>
      </c>
      <c r="W94">
        <v>0</v>
      </c>
      <c r="X94">
        <v>0</v>
      </c>
      <c r="Y94">
        <v>500</v>
      </c>
      <c r="Z94" t="b">
        <v>0</v>
      </c>
      <c r="AB94" t="str">
        <v>keep ETD</v>
      </c>
      <c r="AF94">
        <f>ROUNDUP(VLOOKUP(F94,'[5]Production BOM'!$F:$R,13,0)*H94,0)</f>
        <v>20</v>
      </c>
      <c r="AG94" t="b">
        <f>AF94=J94</f>
        <v>1</v>
      </c>
      <c r="AH94" t="str">
        <f>VLOOKUP(F94,'[5]Production BOM'!$F:$P,11,0)</f>
        <v>BDB-000077</v>
      </c>
      <c r="AI94" t="b">
        <f>AH94=E94</f>
        <v>1</v>
      </c>
    </row>
    <row r="95">
      <c r="V95">
        <f>U95-N95</f>
        <v>0</v>
      </c>
    </row>
    <row r="96">
      <c r="A96" t="str">
        <v>F-2026-03-387</v>
      </c>
      <c r="B96" t="str">
        <v>FPRO-260318-0031</v>
      </c>
      <c r="C96" t="str">
        <v>23/4-24/4</v>
      </c>
      <c r="D96" t="str">
        <v>Firm plan 18.3</v>
      </c>
      <c r="E96" t="str">
        <v>BDB-000234</v>
      </c>
      <c r="F96" t="str">
        <v>PVN-003581</v>
      </c>
      <c r="G96" t="str">
        <v>OrthoLite X-30-Hybrid BROWN SUGAR/17-1134TPX Hybrid Flat Sheet 0.13D 25+/-4 Asker C 1.1M 2M 12mm</v>
      </c>
      <c r="H96">
        <v>1000</v>
      </c>
      <c r="I96">
        <v>87</v>
      </c>
      <c r="J96">
        <v>87</v>
      </c>
      <c r="K96" t="str">
        <v>ASICS</v>
      </c>
      <c r="L96" t="str">
        <v>Forecast</v>
      </c>
      <c r="M96" t="str">
        <v>MOLDED</v>
      </c>
      <c r="N96">
        <v>87</v>
      </c>
      <c r="O96" t="str">
        <v>MOVE ETD_check LINH?</v>
      </c>
      <c r="P96" t="str">
        <v xml:space="preserve">đã thu hồi đơn </v>
      </c>
      <c r="Q96">
        <v>46140</v>
      </c>
      <c r="R96">
        <f>S96-1</f>
        <v>46146</v>
      </c>
      <c r="S96">
        <v>46147</v>
      </c>
      <c r="T96" t="str">
        <v>l1</v>
      </c>
      <c r="V96">
        <f>U96-N96</f>
        <v>-87</v>
      </c>
      <c r="W96">
        <v>0</v>
      </c>
      <c r="X96">
        <v>0</v>
      </c>
      <c r="Y96">
        <v>1000</v>
      </c>
      <c r="Z96" t="b">
        <v>0</v>
      </c>
      <c r="AA96" t="str">
        <v>Don't keep</v>
      </c>
      <c r="AB96" t="str">
        <v>keep ETD</v>
      </c>
      <c r="AF96">
        <f>ROUNDUP(VLOOKUP(F96,'[5]Production BOM'!$F:$R,13,0)*H96,0)</f>
        <v>87</v>
      </c>
      <c r="AG96" t="b">
        <f>AF96=J96</f>
        <v>1</v>
      </c>
      <c r="AH96" t="str">
        <f>VLOOKUP(F96,'[5]Production BOM'!$F:$P,11,0)</f>
        <v>BDB-000234</v>
      </c>
      <c r="AI96" t="b">
        <f>AH96=E96</f>
        <v>1</v>
      </c>
    </row>
    <row r="97">
      <c r="G97" t="str">
        <v>RELEASE ĐỢT 1</v>
      </c>
      <c r="V97">
        <f>U97-N97</f>
        <v>0</v>
      </c>
    </row>
    <row r="98">
      <c r="A98" t="str">
        <v>F-2026-04-284</v>
      </c>
      <c r="B98" t="str">
        <v>RPRO-260420-0513</v>
      </c>
      <c r="C98" t="str">
        <v>24/4</v>
      </c>
      <c r="D98" t="str">
        <v>Pro.sche.report 17.04+18.04+19.04</v>
      </c>
      <c r="E98" t="str">
        <v>BDB-000076</v>
      </c>
      <c r="F98" t="str">
        <v>PVN-004072</v>
      </c>
      <c r="G98" t="str">
        <v>OrthoLite X-25 BILLIARD/16-5427TPX Flat Sheet 0.12D 20+/-4 Asker C 1.1M 2M 20mm</v>
      </c>
      <c r="H98">
        <v>6</v>
      </c>
      <c r="I98">
        <v>2</v>
      </c>
      <c r="J98">
        <v>2</v>
      </c>
      <c r="K98" t="str">
        <v>FOOTJOY</v>
      </c>
      <c r="L98" t="str">
        <v>Pr.Sch.R</v>
      </c>
      <c r="M98" t="str">
        <v>MOLDED</v>
      </c>
      <c r="N98">
        <v>2</v>
      </c>
      <c r="P98" t="str">
        <v xml:space="preserve">gấp </v>
      </c>
      <c r="Q98">
        <v>46136</v>
      </c>
      <c r="R98">
        <v>46140</v>
      </c>
      <c r="S98">
        <v>46144</v>
      </c>
      <c r="T98" t="str">
        <v>l2</v>
      </c>
      <c r="V98">
        <f>U98-N98</f>
        <v>-2</v>
      </c>
      <c r="W98">
        <v>0</v>
      </c>
      <c r="X98">
        <v>0</v>
      </c>
      <c r="Y98">
        <v>6</v>
      </c>
      <c r="Z98" t="b">
        <v>1</v>
      </c>
      <c r="AA98" t="e">
        <v>#N/A</v>
      </c>
      <c r="AF98">
        <f>ROUNDUP(VLOOKUP(F98,'[5]Production BOM'!$F:$R,13,0)*H98,0)</f>
        <v>2</v>
      </c>
      <c r="AG98" t="b">
        <f>AF98=J98</f>
        <v>1</v>
      </c>
      <c r="AH98" t="str">
        <f>VLOOKUP(F98,'[5]Production BOM'!$F:$P,11,0)</f>
        <v>BDB-000076</v>
      </c>
      <c r="AI98" t="b">
        <f>AH98=E98</f>
        <v>1</v>
      </c>
    </row>
    <row r="99">
      <c r="V99">
        <f>U99-N99</f>
        <v>0</v>
      </c>
    </row>
    <row r="100">
      <c r="A100" t="str">
        <v>F-2026-04-281</v>
      </c>
      <c r="B100" t="str">
        <v>RPRO-260420-0510</v>
      </c>
      <c r="C100" t="str">
        <v>24/4</v>
      </c>
      <c r="D100" t="str">
        <v>Pro.sche.report 17.04+18.04+19.04</v>
      </c>
      <c r="E100" t="str">
        <v>BDB-000055</v>
      </c>
      <c r="F100" t="str">
        <v>PVN-003387</v>
      </c>
      <c r="G100" t="str">
        <v>OrthoLite X-40 TRUE BLUE/19-4057TPX Flat Sheet 0.16D 35+/-4 Asker C 1.1M 1.7M 13.5mm</v>
      </c>
      <c r="H100">
        <v>18</v>
      </c>
      <c r="I100">
        <v>2</v>
      </c>
      <c r="J100">
        <v>2</v>
      </c>
      <c r="K100" t="str">
        <v>ADIDAS</v>
      </c>
      <c r="L100" t="str">
        <v>Pr.Sch.R</v>
      </c>
      <c r="M100" t="str">
        <v>MOLDED</v>
      </c>
      <c r="N100">
        <v>2</v>
      </c>
      <c r="Q100">
        <v>46137</v>
      </c>
      <c r="R100">
        <f>S100-1-4</f>
        <v>46141</v>
      </c>
      <c r="S100">
        <v>46146</v>
      </c>
      <c r="T100" t="str">
        <v>l2</v>
      </c>
      <c r="V100">
        <f>U100-N100</f>
        <v>-2</v>
      </c>
      <c r="W100">
        <v>0</v>
      </c>
      <c r="X100">
        <v>0</v>
      </c>
      <c r="Y100">
        <v>18</v>
      </c>
      <c r="Z100" t="b">
        <v>0</v>
      </c>
      <c r="AA100" t="e">
        <v>#N/A</v>
      </c>
      <c r="AF100">
        <f>ROUNDUP(VLOOKUP(F100,'[5]Production BOM'!$F:$R,13,0)*H100,0)</f>
        <v>2</v>
      </c>
      <c r="AG100" t="b">
        <f>AF100=J100</f>
        <v>1</v>
      </c>
      <c r="AH100" t="str">
        <f>VLOOKUP(F100,'[5]Production BOM'!$F:$P,11,0)</f>
        <v>BDB-000055</v>
      </c>
      <c r="AI100" t="b">
        <f>AH100=E100</f>
        <v>1</v>
      </c>
    </row>
    <row r="101">
      <c r="V101">
        <f>U101-N101</f>
        <v>0</v>
      </c>
    </row>
    <row r="102">
      <c r="A102" t="str">
        <v>F-2026-04-296</v>
      </c>
      <c r="B102" t="str">
        <v>FPRO-260418-0001</v>
      </c>
      <c r="C102" t="str">
        <v>24/4</v>
      </c>
      <c r="D102" t="str">
        <v>Firm plan 20.04</v>
      </c>
      <c r="E102" t="str">
        <v>BDB-000226</v>
      </c>
      <c r="F102" t="str">
        <v>PVN-003517</v>
      </c>
      <c r="G102" t="str">
        <v>OrthoLite Regular GREY/17-1501TPX Flat Sheet 0.16D 51+/-4 Asker C 1.1M 1.7M 12mm</v>
      </c>
      <c r="H102">
        <v>804</v>
      </c>
      <c r="I102">
        <v>74</v>
      </c>
      <c r="J102">
        <v>74</v>
      </c>
      <c r="K102" t="str">
        <v>CONVERSE</v>
      </c>
      <c r="L102" t="str">
        <v>Pr.Sch.R</v>
      </c>
      <c r="M102" t="str">
        <v>DIE CUT</v>
      </c>
      <c r="N102">
        <v>74</v>
      </c>
      <c r="O102" t="str">
        <v>UU tiên list 2</v>
      </c>
      <c r="Q102">
        <v>46137</v>
      </c>
      <c r="R102">
        <f>S102-1-4</f>
        <v>46141</v>
      </c>
      <c r="S102">
        <v>46146</v>
      </c>
      <c r="T102" t="str">
        <v>l2</v>
      </c>
      <c r="V102">
        <f>U102-N102</f>
        <v>-74</v>
      </c>
      <c r="W102">
        <v>0</v>
      </c>
      <c r="X102">
        <v>0</v>
      </c>
      <c r="Y102">
        <v>804</v>
      </c>
      <c r="Z102" t="b">
        <v>0</v>
      </c>
      <c r="AA102" t="e">
        <v>#N/A</v>
      </c>
      <c r="AF102">
        <f>ROUNDUP(VLOOKUP(F102,'[5]Production BOM'!$F:$R,13,0)*H102,0)</f>
        <v>74</v>
      </c>
      <c r="AG102" t="b">
        <f>AF102=J102</f>
        <v>1</v>
      </c>
      <c r="AH102" t="str">
        <f>VLOOKUP(F102,'[5]Production BOM'!$F:$P,11,0)</f>
        <v>BDB-000226</v>
      </c>
      <c r="AI102" t="b">
        <f>AH102=E102</f>
        <v>1</v>
      </c>
    </row>
    <row r="103">
      <c r="V103">
        <f>U103-N103</f>
        <v>0</v>
      </c>
    </row>
    <row r="104">
      <c r="A104" t="str">
        <v>OIN-2026.04.16-02</v>
      </c>
      <c r="B104" t="str">
        <v>RPRO-260421-0644</v>
      </c>
      <c r="C104" t="str">
        <v>24/4-25/4</v>
      </c>
      <c r="D104" t="str">
        <v>OIN</v>
      </c>
      <c r="E104" t="str">
        <v>BDB-000010</v>
      </c>
      <c r="F104" t="str">
        <v>PVN-004394</v>
      </c>
      <c r="G104" t="str">
        <v>[116-17888] Regular 25+/-4 Asker C 0.11D Air Blue 16-4134 Tpx 1.10M X 2.00M 47mm</v>
      </c>
      <c r="H104">
        <v>532</v>
      </c>
      <c r="I104">
        <v>178</v>
      </c>
      <c r="J104">
        <v>178</v>
      </c>
      <c r="K104" t="str">
        <v>GAS</v>
      </c>
      <c r="L104" t="str">
        <v>PO-7115-SO-260417-0050</v>
      </c>
      <c r="M104" t="str">
        <v>FLAT SHEET</v>
      </c>
      <c r="N104">
        <v>178</v>
      </c>
      <c r="O104" t="str">
        <v>HANG CONT</v>
      </c>
      <c r="Q104">
        <v>46148</v>
      </c>
      <c r="R104">
        <f>S104-1</f>
        <v>46150</v>
      </c>
      <c r="S104">
        <v>46151</v>
      </c>
      <c r="T104" t="str">
        <v>l2</v>
      </c>
      <c r="U104">
        <f>94+72-1</f>
        <v>165</v>
      </c>
      <c r="V104">
        <f>U104-N104</f>
        <v>-13</v>
      </c>
      <c r="W104">
        <v>0</v>
      </c>
      <c r="X104">
        <v>0</v>
      </c>
      <c r="Y104">
        <v>532</v>
      </c>
      <c r="Z104" t="b">
        <v>1</v>
      </c>
      <c r="AF104">
        <f>ROUNDUP(VLOOKUP(F104,'[5]Production BOM'!$F:$R,13,0)*H104,0)</f>
        <v>178</v>
      </c>
      <c r="AG104" t="b">
        <f>AF104=J104</f>
        <v>1</v>
      </c>
      <c r="AH104" t="str">
        <f>VLOOKUP(F104,'[5]Production BOM'!$F:$P,11,0)</f>
        <v>BDB-000010</v>
      </c>
      <c r="AI104" t="b">
        <f>AH104=E104</f>
        <v>1</v>
      </c>
    </row>
    <row r="105">
      <c r="G105" t="str">
        <v>RELEASE ĐỢT 2</v>
      </c>
      <c r="V105">
        <f>U105-N105</f>
        <v>0</v>
      </c>
    </row>
    <row r="106">
      <c r="H106">
        <f>SUM(H12:H104)</f>
        <v>39685</v>
      </c>
      <c r="I106">
        <f>SUM(I12:I104)</f>
        <v>1681</v>
      </c>
      <c r="J106">
        <f>SUM(J12:J104)</f>
        <v>1681</v>
      </c>
      <c r="N106">
        <f>SUM(N12:N104)</f>
        <v>1571</v>
      </c>
      <c r="O106">
        <f>N106-M7</f>
        <v>-49.5</v>
      </c>
      <c r="V106">
        <f>U106-N106</f>
        <v>-1571</v>
      </c>
    </row>
    <row r="107">
      <c r="A107" t="str">
        <v>F-2026-04-169</v>
      </c>
      <c r="B107" t="str">
        <v>RPRO-260414-0216</v>
      </c>
      <c r="C107" t="str">
        <v>20/4</v>
      </c>
      <c r="D107" t="str">
        <v>Pro.sche.report 13.04</v>
      </c>
      <c r="E107" t="str">
        <v>BDB-000123</v>
      </c>
      <c r="F107" t="str">
        <v>PVN-002884</v>
      </c>
      <c r="G107" t="str">
        <v>OrthoLite Ultra-Hybrid SEEDPEARL/12-0703TPX Hybrid Flat Sheet 0.085D 25+/-4 Asker C 1.1M 2M 10mm</v>
      </c>
      <c r="H107">
        <v>91</v>
      </c>
      <c r="I107">
        <v>7</v>
      </c>
      <c r="J107">
        <v>7</v>
      </c>
      <c r="K107" t="str">
        <v>ADIDAS</v>
      </c>
      <c r="L107" t="str">
        <v>Pr.Sch.R</v>
      </c>
      <c r="M107" t="str">
        <v>MOLDED</v>
      </c>
      <c r="N107">
        <v>7</v>
      </c>
      <c r="O107" t="str">
        <v>Đơn cũ W16</v>
      </c>
      <c r="P107">
        <v>7</v>
      </c>
      <c r="Q107">
        <v>46132</v>
      </c>
      <c r="R107">
        <f>S107-1</f>
        <v>46134</v>
      </c>
      <c r="S107">
        <v>46135</v>
      </c>
      <c r="T107" t="str">
        <v>l2</v>
      </c>
      <c r="U107">
        <v>7</v>
      </c>
      <c r="V107">
        <f>U107-N107</f>
        <v>0</v>
      </c>
      <c r="W107">
        <v>0</v>
      </c>
      <c r="X107">
        <v>0</v>
      </c>
      <c r="Y107">
        <v>91</v>
      </c>
      <c r="Z107" t="b">
        <v>0</v>
      </c>
      <c r="AE107" t="e">
        <f>SUMIF('[4]TONG XUAT BUN 2026'!$B:$F,A107,'[4]TONG XUAT BUN 2026'!$F:$F)</f>
        <v>#VALUE!</v>
      </c>
      <c r="AF107">
        <f>ROUNDUP(VLOOKUP(F107,'[5]Production BOM'!$F:$R,13,0)*H107,0)</f>
        <v>7</v>
      </c>
      <c r="AG107" t="b">
        <f>AF107=J107</f>
        <v>1</v>
      </c>
      <c r="AH107" t="str">
        <f>VLOOKUP(F107,'[5]Production BOM'!$F:$P,11,0)</f>
        <v>BDB-000123</v>
      </c>
      <c r="AI107" t="b">
        <f>AH107=E107</f>
        <v>1</v>
      </c>
    </row>
    <row r="108">
      <c r="V108">
        <f>U108-N108</f>
        <v>0</v>
      </c>
    </row>
    <row r="109">
      <c r="A109" t="str">
        <v>F-2026-03-298</v>
      </c>
      <c r="B109" t="str">
        <v>FPRO-260317-0007</v>
      </c>
      <c r="C109" t="str">
        <v>20/4</v>
      </c>
      <c r="D109" t="str">
        <v>Firm plan 17.03</v>
      </c>
      <c r="E109" t="str">
        <v>BDB-000113</v>
      </c>
      <c r="F109" t="str">
        <v>PVN-002465</v>
      </c>
      <c r="G109" t="str">
        <v>OrthoLite Regular-Hybrid SEEDPEARL/12-0703TPX Hybrid Flat Sheet 0.11D 25+/-4 Asker C 1.1M 2M 5mm</v>
      </c>
      <c r="H109">
        <v>2500</v>
      </c>
      <c r="I109">
        <v>90</v>
      </c>
      <c r="J109">
        <v>90</v>
      </c>
      <c r="K109" t="str">
        <v>ASICS</v>
      </c>
      <c r="L109" t="str">
        <v>Forecast</v>
      </c>
      <c r="M109" t="str">
        <v>DIE CUT</v>
      </c>
      <c r="N109">
        <v>58</v>
      </c>
      <c r="O109" t="str">
        <v>Đơn cũ W16</v>
      </c>
      <c r="P109">
        <v>58</v>
      </c>
      <c r="Q109">
        <v>46133</v>
      </c>
      <c r="R109">
        <f>S109-1</f>
        <v>46135</v>
      </c>
      <c r="S109">
        <v>46136</v>
      </c>
      <c r="T109" t="str">
        <v>l2</v>
      </c>
      <c r="U109">
        <v>58</v>
      </c>
      <c r="V109">
        <f>U109-N109</f>
        <v>0</v>
      </c>
      <c r="W109">
        <v>0</v>
      </c>
      <c r="X109">
        <v>0</v>
      </c>
      <c r="Y109">
        <v>2500</v>
      </c>
      <c r="Z109" t="b">
        <v>0</v>
      </c>
      <c r="AE109" t="e">
        <f>SUMIF('[4]TONG XUAT BUN 2026'!$B:$F,A109,'[4]TONG XUAT BUN 2026'!$F:$F)</f>
        <v>#VALUE!</v>
      </c>
      <c r="AF109">
        <f>ROUNDUP(VLOOKUP(F109,'[5]Production BOM'!$F:$R,13,0)*H109,0)</f>
        <v>90</v>
      </c>
      <c r="AG109" t="b">
        <f>AF109=J109</f>
        <v>1</v>
      </c>
      <c r="AH109" t="str">
        <f>VLOOKUP(F109,'[5]Production BOM'!$F:$P,11,0)</f>
        <v>BDB-000113</v>
      </c>
      <c r="AI109" t="b">
        <f>AH109=E109</f>
        <v>1</v>
      </c>
    </row>
    <row r="110">
      <c r="V110">
        <f>U110-N110</f>
        <v>0</v>
      </c>
    </row>
    <row r="111">
      <c r="A111" t="str">
        <v>F-2026-04-203</v>
      </c>
      <c r="B111" t="str">
        <v>RPRO-260416-0275</v>
      </c>
      <c r="C111" t="str">
        <v>20/4</v>
      </c>
      <c r="D111" t="str">
        <v>Pro.sche.report 14.04</v>
      </c>
      <c r="E111" t="str">
        <v>BDB-000174</v>
      </c>
      <c r="F111" t="str">
        <v>PVN-003503</v>
      </c>
      <c r="G111" t="str">
        <v>OrthoLite Ultra-Hybrid-Nike SEEDPEARL/12-0703TPX Hybrid Flat Sheet 0.085D 15+/-4 Asker C 1.1M 2M 3mm</v>
      </c>
      <c r="H111">
        <v>92</v>
      </c>
      <c r="I111">
        <v>3</v>
      </c>
      <c r="J111">
        <v>3</v>
      </c>
      <c r="K111" t="str">
        <v>NIKE</v>
      </c>
      <c r="L111" t="str">
        <v>Pr.Sch.R</v>
      </c>
      <c r="M111" t="str">
        <v>DIE CUT</v>
      </c>
      <c r="N111">
        <v>3</v>
      </c>
      <c r="Q111">
        <v>46134</v>
      </c>
      <c r="R111">
        <f>S111-1</f>
        <v>46136</v>
      </c>
      <c r="S111">
        <v>46137</v>
      </c>
      <c r="T111" t="str">
        <v>l1</v>
      </c>
      <c r="U111">
        <v>3</v>
      </c>
      <c r="V111">
        <f>U111-N111</f>
        <v>0</v>
      </c>
      <c r="W111">
        <v>0</v>
      </c>
      <c r="X111">
        <v>0</v>
      </c>
      <c r="Y111">
        <v>92</v>
      </c>
      <c r="Z111" t="b">
        <v>0</v>
      </c>
      <c r="AF111">
        <f>ROUNDUP(VLOOKUP(F111,'[5]Production BOM'!$F:$R,13,0)*H111,0)</f>
        <v>3</v>
      </c>
      <c r="AG111" t="b">
        <f>AF111=J111</f>
        <v>1</v>
      </c>
      <c r="AH111" t="str">
        <f>VLOOKUP(F111,'[5]Production BOM'!$F:$P,11,0)</f>
        <v>BDB-000174</v>
      </c>
      <c r="AI111" t="b">
        <f>AH111=E111</f>
        <v>1</v>
      </c>
    </row>
    <row r="112">
      <c r="V112">
        <f>U112-N112</f>
        <v>0</v>
      </c>
    </row>
    <row r="113">
      <c r="A113" t="str">
        <v>F-2026-04-185</v>
      </c>
      <c r="B113" t="str">
        <v>RPRO-260415-0110</v>
      </c>
      <c r="C113" t="str">
        <v>20/4</v>
      </c>
      <c r="D113" t="str">
        <v>Pro.sche.report 14.04</v>
      </c>
      <c r="E113" t="str">
        <v>BDB-000363</v>
      </c>
      <c r="F113" t="str">
        <v>PVN-004260</v>
      </c>
      <c r="G113" t="str">
        <v>OrthoLite HybridPlus-Recycled MINT GREEN/11-4805TPX Hybrid Flat Sheet 0.12D 35+/-4 Asker C 1.1M 2M 5.5mm</v>
      </c>
      <c r="H113">
        <v>25</v>
      </c>
      <c r="I113">
        <v>1</v>
      </c>
      <c r="J113">
        <v>1</v>
      </c>
      <c r="K113" t="str">
        <v>ON RUNNING</v>
      </c>
      <c r="L113" t="str">
        <v>Pr.Sch.R</v>
      </c>
      <c r="M113" t="str">
        <v>MOLDED</v>
      </c>
      <c r="N113">
        <v>1</v>
      </c>
      <c r="Q113">
        <v>46134</v>
      </c>
      <c r="R113">
        <f>S113-1</f>
        <v>46136</v>
      </c>
      <c r="S113">
        <v>46137</v>
      </c>
      <c r="T113" t="str">
        <v>l1</v>
      </c>
      <c r="U113">
        <v>1</v>
      </c>
      <c r="V113">
        <f>U113-N113</f>
        <v>0</v>
      </c>
      <c r="W113">
        <v>0</v>
      </c>
      <c r="X113">
        <v>0</v>
      </c>
      <c r="Y113">
        <v>25</v>
      </c>
      <c r="Z113" t="b">
        <v>0</v>
      </c>
      <c r="AF113">
        <f>ROUNDUP(VLOOKUP(F113,'[5]Production BOM'!$F:$R,13,0)*H113,0)</f>
        <v>1</v>
      </c>
      <c r="AG113" t="b">
        <f>AF113=J113</f>
        <v>1</v>
      </c>
      <c r="AH113" t="str">
        <f>VLOOKUP(F113,'[5]Production BOM'!$F:$P,11,0)</f>
        <v>BDB-000363</v>
      </c>
      <c r="AI113" t="b">
        <f>AH113=E113</f>
        <v>1</v>
      </c>
    </row>
    <row r="114">
      <c r="V114">
        <f>U114-N114</f>
        <v>0</v>
      </c>
    </row>
    <row r="115">
      <c r="A115" t="str">
        <v>F-2026-04-175</v>
      </c>
      <c r="B115" t="str">
        <v>RPRO-260415-0100</v>
      </c>
      <c r="C115" t="str">
        <v>20/4</v>
      </c>
      <c r="D115" t="str">
        <v>MPS 14.04</v>
      </c>
      <c r="E115" t="str">
        <v>BDB-000188</v>
      </c>
      <c r="F115" t="str">
        <v>PVN-003479</v>
      </c>
      <c r="G115" t="str">
        <v>OrthoLite Ultra-Hybrid SEEDPEARL/12-0703TPX Hybrid Flat Sheet 0.085D 25+/-4 Asker C 1.1M 1.47M 4mm</v>
      </c>
      <c r="H115">
        <v>385</v>
      </c>
      <c r="I115">
        <v>11</v>
      </c>
      <c r="J115">
        <v>11</v>
      </c>
      <c r="L115" t="str">
        <v>MPS</v>
      </c>
      <c r="M115" t="str">
        <v>SPLITTING</v>
      </c>
      <c r="N115">
        <v>11</v>
      </c>
      <c r="Q115">
        <v>46134</v>
      </c>
      <c r="R115">
        <f>S115-1</f>
        <v>46136</v>
      </c>
      <c r="S115">
        <v>46137</v>
      </c>
      <c r="T115" t="str">
        <v>l1</v>
      </c>
      <c r="U115">
        <v>11</v>
      </c>
      <c r="V115">
        <f>U115-N115</f>
        <v>0</v>
      </c>
      <c r="W115">
        <v>0</v>
      </c>
      <c r="X115">
        <v>0</v>
      </c>
      <c r="Y115">
        <v>385</v>
      </c>
      <c r="Z115" t="b">
        <v>0</v>
      </c>
      <c r="AF115">
        <f>ROUNDUP(VLOOKUP(F115,'[5]Production BOM'!$F:$R,13,0)*H115,0)</f>
        <v>11</v>
      </c>
      <c r="AG115" t="b">
        <f>AF115=J115</f>
        <v>1</v>
      </c>
      <c r="AH115" t="str">
        <f>VLOOKUP(F115,'[5]Production BOM'!$F:$P,11,0)</f>
        <v>BDB-000188</v>
      </c>
      <c r="AI115" t="b">
        <f>AH115=E115</f>
        <v>1</v>
      </c>
    </row>
    <row r="116">
      <c r="V116">
        <f>U116-N116</f>
        <v>0</v>
      </c>
    </row>
    <row r="117">
      <c r="A117" t="str">
        <v>F-2026-03-595</v>
      </c>
      <c r="B117" t="str">
        <v>FPRO-260330-0017</v>
      </c>
      <c r="C117" t="str">
        <v>20/4</v>
      </c>
      <c r="D117" t="str">
        <v>Firm plan 30.3</v>
      </c>
      <c r="E117" t="str">
        <v>BDB-000209</v>
      </c>
      <c r="F117" t="str">
        <v>PVN-003537</v>
      </c>
      <c r="G117" t="str">
        <v>OrthoLite HybridPlus-Recycled MINT GREEN/11-4805TPX Hybrid 0.12D 25+/-4 Asker C 1.1M 2M 4.5mm</v>
      </c>
      <c r="H117">
        <v>2500</v>
      </c>
      <c r="I117">
        <v>81</v>
      </c>
      <c r="J117">
        <v>81</v>
      </c>
      <c r="K117" t="str">
        <v>ON RUNNING</v>
      </c>
      <c r="L117" t="str">
        <v>Forecast</v>
      </c>
      <c r="M117" t="str">
        <v>MOLDED</v>
      </c>
      <c r="N117">
        <v>127</v>
      </c>
      <c r="Q117">
        <v>46134</v>
      </c>
      <c r="R117">
        <f>S117-1</f>
        <v>46136</v>
      </c>
      <c r="S117">
        <v>46137</v>
      </c>
      <c r="T117" t="str">
        <v>l1</v>
      </c>
      <c r="U117">
        <f>46-5+86</f>
        <v>127</v>
      </c>
      <c r="V117">
        <f>U117-N117</f>
        <v>0</v>
      </c>
      <c r="W117">
        <v>0</v>
      </c>
      <c r="X117">
        <v>0</v>
      </c>
      <c r="Y117">
        <v>2500</v>
      </c>
      <c r="Z117" t="b">
        <v>0</v>
      </c>
      <c r="AA117" t="str">
        <v>keep ETD</v>
      </c>
      <c r="AF117">
        <f>ROUNDUP(VLOOKUP(F117,'[5]Production BOM'!$F:$R,13,0)*H117,0)</f>
        <v>81</v>
      </c>
      <c r="AG117" t="b">
        <f>AF117=J117</f>
        <v>1</v>
      </c>
      <c r="AH117" t="str">
        <f>VLOOKUP(F117,'[5]Production BOM'!$F:$P,11,0)</f>
        <v>BDB-000209</v>
      </c>
      <c r="AI117" t="b">
        <f>AH117=E117</f>
        <v>1</v>
      </c>
    </row>
    <row r="118">
      <c r="A118" t="str">
        <v>F-2026-04-58</v>
      </c>
      <c r="B118" t="str">
        <v>FPRO-260401-0006</v>
      </c>
      <c r="C118" t="str">
        <v>20/4</v>
      </c>
      <c r="D118" t="str">
        <v>Firm plan 01.04</v>
      </c>
      <c r="E118" t="str">
        <v>BDB-000209</v>
      </c>
      <c r="F118" t="str">
        <v>PVN-003462</v>
      </c>
      <c r="G118" t="str">
        <v>OrthoLite HybridPlus-Recycled MINT GREEN/11-4805TPX Hybrid 0.12D 25+/-4 Asker C 1.1M 2M 12mm</v>
      </c>
      <c r="H118">
        <v>500</v>
      </c>
      <c r="I118">
        <v>46</v>
      </c>
      <c r="J118">
        <v>46</v>
      </c>
      <c r="K118" t="str">
        <v>BROOKS</v>
      </c>
      <c r="L118" t="str">
        <v>Forecast</v>
      </c>
      <c r="M118" t="str">
        <v>MOLDED</v>
      </c>
      <c r="Q118">
        <v>46134</v>
      </c>
      <c r="R118">
        <f>S118-1</f>
        <v>46136</v>
      </c>
      <c r="S118">
        <v>46137</v>
      </c>
      <c r="T118" t="str">
        <v>l1</v>
      </c>
      <c r="V118">
        <f>U118-N118</f>
        <v>0</v>
      </c>
      <c r="W118">
        <v>0</v>
      </c>
      <c r="X118">
        <v>0</v>
      </c>
      <c r="Y118">
        <v>500</v>
      </c>
      <c r="Z118" t="b">
        <v>0</v>
      </c>
      <c r="AA118" t="str">
        <v>Don't keep -hết demand</v>
      </c>
      <c r="AF118">
        <f>ROUNDUP(VLOOKUP(F118,'[5]Production BOM'!$F:$R,13,0)*H118,0)</f>
        <v>46</v>
      </c>
      <c r="AG118" t="b">
        <f>AF118=J118</f>
        <v>1</v>
      </c>
      <c r="AH118" t="str">
        <f>VLOOKUP(F118,'[5]Production BOM'!$F:$P,11,0)</f>
        <v>BDB-000209</v>
      </c>
      <c r="AI118" t="b">
        <f>AH118=E118</f>
        <v>1</v>
      </c>
    </row>
    <row r="119">
      <c r="V119">
        <f>U119-N119</f>
        <v>0</v>
      </c>
    </row>
    <row r="120">
      <c r="A120" t="str">
        <v>F-2026-04-190</v>
      </c>
      <c r="B120" t="str">
        <v>RPRO-260416-0262</v>
      </c>
      <c r="C120" t="str">
        <v>20/4</v>
      </c>
      <c r="D120" t="str">
        <v>MPS 14.04</v>
      </c>
      <c r="E120" t="str">
        <v>BDB-000180</v>
      </c>
      <c r="F120" t="str">
        <v>PVN-003236</v>
      </c>
      <c r="G120" t="str">
        <v>OrthoLite Eco LT-Hybrid-Converse SEEDPEARL/12-0703TPX Hybrid 0.13D 25+/-4 Asker C 1.1M 2M 5mm</v>
      </c>
      <c r="H120">
        <v>2069</v>
      </c>
      <c r="I120">
        <v>74</v>
      </c>
      <c r="J120">
        <v>74</v>
      </c>
      <c r="L120" t="str">
        <v>MPS</v>
      </c>
      <c r="M120" t="str">
        <v>SPLITTING</v>
      </c>
      <c r="N120">
        <f>105-5</f>
        <v>100</v>
      </c>
      <c r="O120" t="str">
        <v xml:space="preserve">W16 đổ dư 5 bun </v>
      </c>
      <c r="Q120">
        <v>46134</v>
      </c>
      <c r="R120">
        <f>S120-1</f>
        <v>46136</v>
      </c>
      <c r="S120">
        <v>46137</v>
      </c>
      <c r="T120" t="str">
        <v>l1</v>
      </c>
      <c r="U120">
        <f>74+12+82</f>
        <v>168</v>
      </c>
      <c r="V120">
        <f>U120-N120</f>
        <v>68</v>
      </c>
      <c r="W120">
        <v>0</v>
      </c>
      <c r="X120">
        <v>0</v>
      </c>
      <c r="Y120">
        <v>2069</v>
      </c>
      <c r="Z120" t="b">
        <v>0</v>
      </c>
      <c r="AF120">
        <f>ROUNDUP(VLOOKUP(F120,'[5]Production BOM'!$F:$R,13,0)*H120,0)</f>
        <v>74</v>
      </c>
      <c r="AG120" t="b">
        <f>AF120=J120</f>
        <v>1</v>
      </c>
      <c r="AH120" t="str">
        <f>VLOOKUP(F120,'[5]Production BOM'!$F:$P,11,0)</f>
        <v>BDB-000180</v>
      </c>
      <c r="AI120" t="b">
        <f>AH120=E120</f>
        <v>1</v>
      </c>
    </row>
    <row r="121">
      <c r="A121" t="str">
        <v>F-2026-04-272</v>
      </c>
      <c r="B121" t="str">
        <v>FPRO-260418-0002</v>
      </c>
      <c r="C121" t="str">
        <v>20/4</v>
      </c>
      <c r="D121" t="str">
        <v>Firm plan 20.04</v>
      </c>
      <c r="E121" t="str">
        <v>BDB-000180</v>
      </c>
      <c r="F121" t="str">
        <v>PVN-003236</v>
      </c>
      <c r="G121" t="str">
        <v>OrthoLite Eco LT-Hybrid-Converse SEEDPEARL/12-0703TPX Hybrid 0.13D 25+/-4 Asker C 1.1M 2M 5mm</v>
      </c>
      <c r="H121">
        <v>855</v>
      </c>
      <c r="I121">
        <v>31</v>
      </c>
      <c r="J121">
        <v>31</v>
      </c>
      <c r="K121" t="str">
        <v>CONVERSE</v>
      </c>
      <c r="L121" t="str">
        <v>Forecast</v>
      </c>
      <c r="M121" t="str">
        <v>DIE CUT</v>
      </c>
      <c r="N121" t="str">
        <v>105-5</v>
      </c>
      <c r="Q121">
        <v>46135</v>
      </c>
      <c r="R121">
        <f>S121-1</f>
        <v>46140</v>
      </c>
      <c r="S121">
        <v>46141</v>
      </c>
      <c r="T121" t="str">
        <v>l1-add</v>
      </c>
      <c r="V121" t="e">
        <f>U121-N121</f>
        <v>#VALUE!</v>
      </c>
      <c r="W121" t="str">
        <f>IFNA(VLOOKUP($A121,'[6]master plan '!$A:$AD,30,0),"")</f>
        <v/>
      </c>
      <c r="X121" t="str">
        <f>IFNA(VLOOKUP(A121,'[6]master plan '!$A:$J,10,0),"")</f>
        <v/>
      </c>
      <c r="Y121" t="str">
        <f>IFNA(VLOOKUP($A121,'[6]master plan '!$A:$K,11,0),"")</f>
        <v/>
      </c>
      <c r="Z121" t="b">
        <f>R121=S121</f>
        <v>0</v>
      </c>
      <c r="AF121">
        <f>ROUNDUP(VLOOKUP(F121,'[5]Production BOM'!$F:$R,13,0)*H121,0)</f>
        <v>31</v>
      </c>
      <c r="AG121" t="b">
        <f>AF121=J121</f>
        <v>1</v>
      </c>
      <c r="AH121" t="str">
        <f>VLOOKUP(F121,'[5]Production BOM'!$F:$P,11,0)</f>
        <v>BDB-000180</v>
      </c>
      <c r="AI121" t="b">
        <f>AH121=E121</f>
        <v>1</v>
      </c>
    </row>
    <row r="122">
      <c r="V122">
        <f>U122-N122</f>
        <v>0</v>
      </c>
    </row>
    <row r="123">
      <c r="A123" t="str">
        <v>F-2026-04-200</v>
      </c>
      <c r="B123" t="str">
        <v>RPRO-260416-0272</v>
      </c>
      <c r="C123" t="str">
        <v>20/4</v>
      </c>
      <c r="D123" t="str">
        <v>Pro.sche.report 14.04</v>
      </c>
      <c r="E123" t="str">
        <v>BDB-000097</v>
      </c>
      <c r="F123" t="str">
        <v>PVN-003671</v>
      </c>
      <c r="G123" t="str">
        <v>OrthoLite Eco LT-Hybrid SEEDPEARL/12-0703TPX Hybrid Flat Sheet 0.11D 25+/-4 Asker C 1.1M 2M 13mm</v>
      </c>
      <c r="H123">
        <v>10</v>
      </c>
      <c r="I123">
        <v>1</v>
      </c>
      <c r="J123">
        <v>1</v>
      </c>
      <c r="K123" t="str">
        <v>NEW BALANCE</v>
      </c>
      <c r="L123" t="str">
        <v>Pr.Sch.R</v>
      </c>
      <c r="M123" t="str">
        <v>MOLDED</v>
      </c>
      <c r="N123">
        <v>117</v>
      </c>
      <c r="Q123">
        <v>46134</v>
      </c>
      <c r="R123">
        <f>S123-1</f>
        <v>46136</v>
      </c>
      <c r="S123">
        <v>46137</v>
      </c>
      <c r="T123" t="str">
        <v>l1</v>
      </c>
      <c r="U123">
        <f>107+10</f>
        <v>117</v>
      </c>
      <c r="V123">
        <f>U123-N123</f>
        <v>0</v>
      </c>
      <c r="W123">
        <v>0</v>
      </c>
      <c r="X123">
        <v>0</v>
      </c>
      <c r="Y123">
        <v>10</v>
      </c>
      <c r="Z123" t="b">
        <v>0</v>
      </c>
      <c r="AF123">
        <f>ROUNDUP(VLOOKUP(F123,'[5]Production BOM'!$F:$R,13,0)*H123,0)</f>
        <v>1</v>
      </c>
      <c r="AG123" t="b">
        <f>AF123=J123</f>
        <v>1</v>
      </c>
      <c r="AH123" t="str">
        <f>VLOOKUP(F123,'[5]Production BOM'!$F:$P,11,0)</f>
        <v>BDB-000097</v>
      </c>
      <c r="AI123" t="b">
        <f>AH123=E123</f>
        <v>1</v>
      </c>
    </row>
    <row r="124">
      <c r="A124" t="str">
        <v>F-2026-03-188-1</v>
      </c>
      <c r="B124" t="str">
        <v>FPRO-260310-0025</v>
      </c>
      <c r="C124" t="str">
        <v>20/4-21/4</v>
      </c>
      <c r="D124" t="str">
        <v>Firm plan 10.3</v>
      </c>
      <c r="E124" t="str">
        <v>BDB-000097</v>
      </c>
      <c r="F124" t="str">
        <v>PVN-002478</v>
      </c>
      <c r="G124" t="str">
        <v>OrthoLite Eco LT-Hybrid SEEDPEARL/12-0703TPX Hybrid 0.11D 25+/-4 Asker C 1.1M 2M 4mm</v>
      </c>
      <c r="H124">
        <v>2000</v>
      </c>
      <c r="I124">
        <v>58</v>
      </c>
      <c r="J124">
        <v>58</v>
      </c>
      <c r="K124" t="str">
        <v>NEW BALANCE</v>
      </c>
      <c r="L124" t="str">
        <v>Forecast</v>
      </c>
      <c r="M124" t="str">
        <v>MOLDED</v>
      </c>
      <c r="Q124">
        <v>46134</v>
      </c>
      <c r="R124">
        <f>S124-1</f>
        <v>46136</v>
      </c>
      <c r="S124">
        <v>46137</v>
      </c>
      <c r="T124" t="str">
        <v>l1</v>
      </c>
      <c r="V124">
        <f>U124-N124</f>
        <v>0</v>
      </c>
      <c r="W124">
        <v>0</v>
      </c>
      <c r="X124">
        <v>0</v>
      </c>
      <c r="Y124">
        <v>2000</v>
      </c>
      <c r="Z124" t="b">
        <v>0</v>
      </c>
      <c r="AA124" t="str">
        <v>keep ETD</v>
      </c>
      <c r="AF124">
        <f>ROUNDUP(VLOOKUP(F124,'[5]Production BOM'!$F:$R,13,0)*H124,0)</f>
        <v>58</v>
      </c>
      <c r="AG124" t="b">
        <f>AF124=J124</f>
        <v>1</v>
      </c>
      <c r="AH124" t="str">
        <f>VLOOKUP(F124,'[5]Production BOM'!$F:$P,11,0)</f>
        <v>BDB-000097</v>
      </c>
      <c r="AI124" t="b">
        <f>AH124=E124</f>
        <v>1</v>
      </c>
    </row>
    <row r="125">
      <c r="A125" t="str">
        <v>F-2026-03-188-2</v>
      </c>
      <c r="B125" t="str">
        <v>FPRO-260416-0001</v>
      </c>
      <c r="C125" t="str">
        <v>21/4</v>
      </c>
      <c r="D125" t="str">
        <v>Firm plan 10.3</v>
      </c>
      <c r="E125" t="str">
        <v>BDB-000097</v>
      </c>
      <c r="F125" t="str">
        <v>PVN-002478</v>
      </c>
      <c r="G125" t="str">
        <v>OrthoLite Eco LT-Hybrid SEEDPEARL/12-0703TPX Hybrid 0.11D 25+/-4 Asker C 1.1M 2M 4mm</v>
      </c>
      <c r="H125">
        <v>2000</v>
      </c>
      <c r="I125">
        <v>58</v>
      </c>
      <c r="J125">
        <v>58</v>
      </c>
      <c r="K125" t="str">
        <v>NEW BALANCE</v>
      </c>
      <c r="L125" t="str">
        <v>Forecast</v>
      </c>
      <c r="M125" t="str">
        <v>MOLDED</v>
      </c>
      <c r="Q125">
        <v>46137</v>
      </c>
      <c r="R125">
        <f>S125-5</f>
        <v>46141</v>
      </c>
      <c r="S125">
        <v>46146</v>
      </c>
      <c r="T125" t="str">
        <v>l1</v>
      </c>
      <c r="V125">
        <f>U125-N125</f>
        <v>0</v>
      </c>
      <c r="W125">
        <v>0</v>
      </c>
      <c r="X125">
        <v>0</v>
      </c>
      <c r="Y125">
        <v>2000</v>
      </c>
      <c r="Z125" t="b">
        <v>0</v>
      </c>
      <c r="AA125" t="str">
        <v>keep ETD</v>
      </c>
      <c r="AB125" t="str">
        <v>keep ETD</v>
      </c>
      <c r="AF125">
        <f>ROUNDUP(VLOOKUP(F125,'[5]Production BOM'!$F:$R,13,0)*H125,0)</f>
        <v>58</v>
      </c>
      <c r="AG125" t="b">
        <f>AF125=J125</f>
        <v>1</v>
      </c>
      <c r="AH125" t="str">
        <f>VLOOKUP(F125,'[5]Production BOM'!$F:$P,11,0)</f>
        <v>BDB-000097</v>
      </c>
      <c r="AI125" t="b">
        <f>AH125=E125</f>
        <v>1</v>
      </c>
    </row>
    <row r="126">
      <c r="V126">
        <f>U126-N126</f>
        <v>0</v>
      </c>
    </row>
    <row r="127">
      <c r="A127" t="str">
        <v>F-2026-01-500</v>
      </c>
      <c r="B127" t="str">
        <v>FPRO-260130-0023</v>
      </c>
      <c r="C127" t="str">
        <v>21/4</v>
      </c>
      <c r="D127" t="str">
        <v>Firm plan 30.01</v>
      </c>
      <c r="E127" t="str">
        <v>BDB-000113</v>
      </c>
      <c r="F127" t="str">
        <v>PVN-002501</v>
      </c>
      <c r="G127" t="str">
        <v>OrthoLite Regular-Hybrid SEEDPEARL/12-0703TPX Hybrid Flat Sheet 0.11D 25+/-4 Asker C 1.1M 2M 2mm</v>
      </c>
      <c r="H127">
        <v>1000</v>
      </c>
      <c r="I127">
        <v>15</v>
      </c>
      <c r="J127">
        <v>15</v>
      </c>
      <c r="K127" t="str">
        <v>ASICS</v>
      </c>
      <c r="L127" t="str">
        <v>Forecast</v>
      </c>
      <c r="M127" t="str">
        <v>SPLITTING</v>
      </c>
      <c r="N127">
        <v>233</v>
      </c>
      <c r="Q127">
        <v>46134</v>
      </c>
      <c r="R127">
        <f>S127-1</f>
        <v>46136</v>
      </c>
      <c r="S127">
        <v>46137</v>
      </c>
      <c r="T127" t="str">
        <v>l1</v>
      </c>
      <c r="U127">
        <f>67-58+9-3+135+83</f>
        <v>233</v>
      </c>
      <c r="V127">
        <f>U127-N127</f>
        <v>0</v>
      </c>
      <c r="W127">
        <v>0</v>
      </c>
      <c r="X127">
        <v>0</v>
      </c>
      <c r="Y127">
        <v>1000</v>
      </c>
      <c r="Z127" t="b">
        <v>0</v>
      </c>
      <c r="AA127" t="str">
        <v>Keep ETD</v>
      </c>
      <c r="AF127">
        <f>ROUNDUP(VLOOKUP(F127,'[5]Production BOM'!$F:$R,13,0)*H127,0)</f>
        <v>15</v>
      </c>
      <c r="AG127" t="b">
        <f>AF127=J127</f>
        <v>1</v>
      </c>
      <c r="AH127" t="str">
        <f>VLOOKUP(F127,'[5]Production BOM'!$F:$P,11,0)</f>
        <v>BDB-000113</v>
      </c>
      <c r="AI127" t="b">
        <f>AH127=E127</f>
        <v>1</v>
      </c>
    </row>
    <row r="128">
      <c r="A128" t="str">
        <v>F-2026-03-379</v>
      </c>
      <c r="B128" t="str">
        <v>FPRO-260318-0023</v>
      </c>
      <c r="C128" t="str">
        <v>21/4</v>
      </c>
      <c r="D128" t="str">
        <v>Firm plan 18.3</v>
      </c>
      <c r="E128" t="str">
        <v>BDB-000113</v>
      </c>
      <c r="F128" t="str">
        <v>PVN-003414</v>
      </c>
      <c r="G128" t="str">
        <v>OrthoLite Regular-Hybrid SEEDPEARL/12-0703TPX Hybrid Flat Sheet 0.11D 25+/-4 Asker C 1.1M 2M 12mm</v>
      </c>
      <c r="H128">
        <v>2500</v>
      </c>
      <c r="I128">
        <v>218</v>
      </c>
      <c r="J128">
        <v>218</v>
      </c>
      <c r="K128" t="str">
        <v>ASICS</v>
      </c>
      <c r="L128" t="str">
        <v>Forecast</v>
      </c>
      <c r="M128" t="str">
        <v>MOLDED</v>
      </c>
      <c r="Q128">
        <v>46135</v>
      </c>
      <c r="R128">
        <f>S128-3</f>
        <v>46137</v>
      </c>
      <c r="S128">
        <v>46140</v>
      </c>
      <c r="T128" t="str">
        <v>l1</v>
      </c>
      <c r="V128">
        <f>U128-N128</f>
        <v>0</v>
      </c>
      <c r="W128">
        <v>0</v>
      </c>
      <c r="X128">
        <v>0</v>
      </c>
      <c r="Y128">
        <v>2500</v>
      </c>
      <c r="Z128" t="b">
        <v>0</v>
      </c>
      <c r="AF128">
        <f>ROUNDUP(VLOOKUP(F128,'[5]Production BOM'!$F:$R,13,0)*H128,0)</f>
        <v>218</v>
      </c>
      <c r="AG128" t="b">
        <f>AF128=J128</f>
        <v>1</v>
      </c>
      <c r="AH128" t="str">
        <f>VLOOKUP(F128,'[5]Production BOM'!$F:$P,11,0)</f>
        <v>BDB-000113</v>
      </c>
      <c r="AI128" t="b">
        <f>AH128=E128</f>
        <v>1</v>
      </c>
    </row>
    <row r="129">
      <c r="V129">
        <f>U129-N129</f>
        <v>0</v>
      </c>
    </row>
    <row r="130">
      <c r="A130" t="str">
        <v>F-2026-04-158</v>
      </c>
      <c r="B130" t="str">
        <v>RPRO-260413-0276</v>
      </c>
      <c r="C130" t="str">
        <v>21/4</v>
      </c>
      <c r="D130" t="str">
        <v>Pro.sche.report 10.4+11.04+12.04</v>
      </c>
      <c r="E130" t="str">
        <v>BDB-000229</v>
      </c>
      <c r="F130" t="str">
        <v>PVN-003692</v>
      </c>
      <c r="G130" t="str">
        <v>OrthoLite Ultra-Hybrid SEEDPEARL/12-0703TPX Hybrid Flat Sheet 0.095D 33+/-4 Asker C 1.1M 2M 15.5mm</v>
      </c>
      <c r="H130">
        <v>40</v>
      </c>
      <c r="I130">
        <v>5</v>
      </c>
      <c r="J130">
        <v>5</v>
      </c>
      <c r="K130" t="str">
        <v>GARMONT</v>
      </c>
      <c r="L130" t="str">
        <v>Pr.Sch.R</v>
      </c>
      <c r="M130" t="str">
        <v>MOLDED</v>
      </c>
      <c r="N130">
        <v>5</v>
      </c>
      <c r="Q130">
        <v>46135</v>
      </c>
      <c r="R130">
        <f>S130-3</f>
        <v>46137</v>
      </c>
      <c r="S130">
        <v>46140</v>
      </c>
      <c r="T130" t="str">
        <v>l1</v>
      </c>
      <c r="U130">
        <v>5</v>
      </c>
      <c r="V130">
        <f>U130-N130</f>
        <v>0</v>
      </c>
      <c r="W130">
        <v>0</v>
      </c>
      <c r="X130">
        <v>0</v>
      </c>
      <c r="Y130">
        <v>40</v>
      </c>
      <c r="Z130" t="b">
        <v>1</v>
      </c>
      <c r="AF130">
        <f>ROUNDUP(VLOOKUP(F130,'[5]Production BOM'!$F:$R,13,0)*H130,0)</f>
        <v>5</v>
      </c>
      <c r="AG130" t="b">
        <f>AF130=J130</f>
        <v>1</v>
      </c>
      <c r="AH130" t="str">
        <f>VLOOKUP(F130,'[5]Production BOM'!$F:$P,11,0)</f>
        <v>BDB-000229</v>
      </c>
      <c r="AI130" t="b">
        <f>AH130=E130</f>
        <v>1</v>
      </c>
    </row>
    <row r="131">
      <c r="V131">
        <f>U131-N131</f>
        <v>0</v>
      </c>
    </row>
    <row r="132">
      <c r="A132" t="str">
        <v>F-2026-04-150</v>
      </c>
      <c r="B132" t="str">
        <v>RPRO-260413-0268</v>
      </c>
      <c r="C132" t="str">
        <v>21/4</v>
      </c>
      <c r="D132" t="str">
        <v>MPS 10.4+11.04+12.04</v>
      </c>
      <c r="E132" t="str">
        <v>BDB-000286</v>
      </c>
      <c r="F132" t="str">
        <v>PVN-003863</v>
      </c>
      <c r="G132" t="str">
        <v>OrthoLite Regular-Hybrid SEEDPEARL/12-0703TPX Hybrid Flat Sheet 0.13D 25+/-4 Asker C 1.1M 1.7M 2mm</v>
      </c>
      <c r="H132">
        <v>70</v>
      </c>
      <c r="I132">
        <v>2</v>
      </c>
      <c r="J132">
        <v>2</v>
      </c>
      <c r="L132" t="str">
        <v>MPS</v>
      </c>
      <c r="M132" t="str">
        <v>SPLITTING</v>
      </c>
      <c r="N132">
        <v>2</v>
      </c>
      <c r="Q132">
        <v>46135</v>
      </c>
      <c r="R132">
        <f>S132-3</f>
        <v>46137</v>
      </c>
      <c r="S132">
        <v>46140</v>
      </c>
      <c r="T132" t="str">
        <v>l1</v>
      </c>
      <c r="U132">
        <v>2</v>
      </c>
      <c r="V132">
        <f>U132-N132</f>
        <v>0</v>
      </c>
      <c r="W132">
        <v>0</v>
      </c>
      <c r="X132">
        <v>0</v>
      </c>
      <c r="Y132">
        <v>70</v>
      </c>
      <c r="Z132" t="b">
        <v>1</v>
      </c>
      <c r="AF132">
        <f>ROUNDUP(VLOOKUP(F132,'[5]Production BOM'!$F:$R,13,0)*H132,0)</f>
        <v>2</v>
      </c>
      <c r="AG132" t="b">
        <f>AF132=J132</f>
        <v>1</v>
      </c>
      <c r="AH132" t="str">
        <f>VLOOKUP(F132,'[5]Production BOM'!$F:$P,11,0)</f>
        <v>BDB-000286</v>
      </c>
      <c r="AI132" t="b">
        <f>AH132=E132</f>
        <v>1</v>
      </c>
    </row>
    <row r="133">
      <c r="V133">
        <f>U133-N133</f>
        <v>0</v>
      </c>
    </row>
    <row r="134">
      <c r="A134" t="str">
        <v>F-2026-03-487</v>
      </c>
      <c r="B134" t="str">
        <v>FPRO-260324-0059</v>
      </c>
      <c r="C134" t="str">
        <v>21/4</v>
      </c>
      <c r="D134" t="str">
        <v>Firm plan 24.3</v>
      </c>
      <c r="E134" t="str">
        <v>BDB-000175</v>
      </c>
      <c r="F134" t="str">
        <v>PVN-002875</v>
      </c>
      <c r="G134" t="str">
        <v>OrthoLite Ultra-Hybrid-Nike SEEDPEARL/12-0703TPX Hybrid 0.085D 25+/-4 Asker C 1.1M 2M 3mm</v>
      </c>
      <c r="H134">
        <v>1000</v>
      </c>
      <c r="I134">
        <v>22</v>
      </c>
      <c r="J134">
        <v>22</v>
      </c>
      <c r="K134" t="str">
        <v>NIKE</v>
      </c>
      <c r="L134" t="str">
        <v>Forecast</v>
      </c>
      <c r="M134" t="str">
        <v>DIE CUT</v>
      </c>
      <c r="N134">
        <f>22-5</f>
        <v>17</v>
      </c>
      <c r="O134" t="str">
        <v xml:space="preserve">W16 đổ dư 5 bun </v>
      </c>
      <c r="Q134">
        <v>46137</v>
      </c>
      <c r="R134">
        <f>S134-5</f>
        <v>46141</v>
      </c>
      <c r="S134">
        <v>46146</v>
      </c>
      <c r="T134" t="str">
        <v>l1</v>
      </c>
      <c r="U134">
        <f>21-4</f>
        <v>17</v>
      </c>
      <c r="V134">
        <f>U134-N134</f>
        <v>0</v>
      </c>
      <c r="W134">
        <v>0</v>
      </c>
      <c r="X134">
        <v>0</v>
      </c>
      <c r="Y134">
        <v>1000</v>
      </c>
      <c r="Z134" t="b">
        <v>0</v>
      </c>
      <c r="AA134" t="str">
        <v>Keep ETD</v>
      </c>
      <c r="AB134" t="str">
        <v>keep ETD</v>
      </c>
      <c r="AF134">
        <f>ROUNDUP(VLOOKUP(F134,'[5]Production BOM'!$F:$R,13,0)*H134,0)</f>
        <v>22</v>
      </c>
      <c r="AG134" t="b">
        <f>AF134=J134</f>
        <v>1</v>
      </c>
      <c r="AH134" t="str">
        <f>VLOOKUP(F134,'[5]Production BOM'!$F:$P,11,0)</f>
        <v>BDB-000175</v>
      </c>
      <c r="AI134" t="b">
        <f>AH134=E134</f>
        <v>1</v>
      </c>
    </row>
    <row r="135">
      <c r="V135">
        <f>U135-N135</f>
        <v>0</v>
      </c>
    </row>
    <row r="136">
      <c r="A136" t="str">
        <v>F-2026-03-365</v>
      </c>
      <c r="B136" t="str">
        <v>FPRO-260318-0009</v>
      </c>
      <c r="C136" t="str">
        <v>21/4-22/4</v>
      </c>
      <c r="D136" t="str">
        <v>Firm plan 18.3</v>
      </c>
      <c r="E136" t="str">
        <v>BDB-000113</v>
      </c>
      <c r="F136" t="str">
        <v>PVN-002465</v>
      </c>
      <c r="G136" t="str">
        <v>OrthoLite Regular-Hybrid SEEDPEARL/12-0703TPX Hybrid Flat Sheet 0.11D 25+/-4 Asker C 1.1M 2M 5mm</v>
      </c>
      <c r="H136">
        <v>2500</v>
      </c>
      <c r="I136">
        <v>90</v>
      </c>
      <c r="J136">
        <v>90</v>
      </c>
      <c r="K136" t="str">
        <v>ASICS</v>
      </c>
      <c r="L136" t="str">
        <v>Forecast</v>
      </c>
      <c r="M136" t="str">
        <v>DIE CUT</v>
      </c>
      <c r="N136">
        <v>308</v>
      </c>
      <c r="Q136">
        <v>46137</v>
      </c>
      <c r="R136">
        <f>S136-5</f>
        <v>46141</v>
      </c>
      <c r="S136">
        <v>46146</v>
      </c>
      <c r="T136" t="str">
        <v>l1</v>
      </c>
      <c r="U136">
        <f>117-83+151+123</f>
        <v>308</v>
      </c>
      <c r="V136">
        <f>U136-N136</f>
        <v>0</v>
      </c>
      <c r="W136">
        <v>0</v>
      </c>
      <c r="X136">
        <v>0</v>
      </c>
      <c r="Y136">
        <v>2500</v>
      </c>
      <c r="Z136" t="b">
        <v>0</v>
      </c>
      <c r="AB136" t="str">
        <v>keep ETD</v>
      </c>
      <c r="AF136">
        <f>ROUNDUP(VLOOKUP(F136,'[5]Production BOM'!$F:$R,13,0)*H136,0)</f>
        <v>90</v>
      </c>
      <c r="AG136" t="b">
        <f>AF136=J136</f>
        <v>1</v>
      </c>
      <c r="AH136" t="str">
        <f>VLOOKUP(F136,'[5]Production BOM'!$F:$P,11,0)</f>
        <v>BDB-000113</v>
      </c>
      <c r="AI136" t="b">
        <f>AH136=E136</f>
        <v>1</v>
      </c>
    </row>
    <row r="137">
      <c r="A137" t="str">
        <v>F-2026-03-380</v>
      </c>
      <c r="B137" t="str">
        <v>FPRO-260318-0024</v>
      </c>
      <c r="C137" t="str">
        <v>22/4</v>
      </c>
      <c r="D137" t="str">
        <v>Firm plan 18.3</v>
      </c>
      <c r="E137" t="str">
        <v>BDB-000113</v>
      </c>
      <c r="F137" t="str">
        <v>PVN-003414</v>
      </c>
      <c r="G137" t="str">
        <v>OrthoLite Regular-Hybrid SEEDPEARL/12-0703TPX Hybrid Flat Sheet 0.11D 25+/-4 Asker C 1.1M 2M 12mm</v>
      </c>
      <c r="H137">
        <v>2500</v>
      </c>
      <c r="I137">
        <v>218</v>
      </c>
      <c r="J137">
        <v>218</v>
      </c>
      <c r="K137" t="str">
        <v>ASICS</v>
      </c>
      <c r="L137" t="str">
        <v>Forecast</v>
      </c>
      <c r="M137" t="str">
        <v>MOLDED</v>
      </c>
      <c r="Q137">
        <v>46137</v>
      </c>
      <c r="R137">
        <f>S137-5</f>
        <v>46141</v>
      </c>
      <c r="S137">
        <v>46146</v>
      </c>
      <c r="T137" t="str">
        <v>l1</v>
      </c>
      <c r="V137">
        <f>U137-N137</f>
        <v>0</v>
      </c>
      <c r="W137">
        <v>0</v>
      </c>
      <c r="X137">
        <v>0</v>
      </c>
      <c r="Y137">
        <v>2500</v>
      </c>
      <c r="Z137" t="b">
        <v>0</v>
      </c>
      <c r="AB137" t="str">
        <v>keep ETD</v>
      </c>
      <c r="AF137">
        <f>ROUNDUP(VLOOKUP(F137,'[5]Production BOM'!$F:$R,13,0)*H137,0)</f>
        <v>218</v>
      </c>
      <c r="AG137" t="b">
        <f>AF137=J137</f>
        <v>1</v>
      </c>
      <c r="AH137" t="str">
        <f>VLOOKUP(F137,'[5]Production BOM'!$F:$P,11,0)</f>
        <v>BDB-000113</v>
      </c>
      <c r="AI137" t="b">
        <f>AH137=E137</f>
        <v>1</v>
      </c>
    </row>
    <row r="138">
      <c r="V138">
        <f>U138-N138</f>
        <v>0</v>
      </c>
    </row>
    <row r="139">
      <c r="A139" t="str">
        <v>F-2026-02-221</v>
      </c>
      <c r="B139" t="str">
        <v>FPRO-260211-0041</v>
      </c>
      <c r="C139" t="str">
        <v>22/4-23/4</v>
      </c>
      <c r="D139" t="str">
        <v>Firm plan 11.2</v>
      </c>
      <c r="E139" t="str">
        <v>BDB-000123</v>
      </c>
      <c r="F139" t="str">
        <v>PVN-003298</v>
      </c>
      <c r="G139" t="str">
        <v>OrthoLite Ultra-Hybrid SEEDPEARL/12-0703TPX Hybrid 0.085D 25+/-4 Asker C 1.1M 2M 4mm</v>
      </c>
      <c r="H139">
        <v>7000</v>
      </c>
      <c r="I139">
        <v>200</v>
      </c>
      <c r="J139">
        <v>200</v>
      </c>
      <c r="K139" t="str">
        <v>ADIDAS</v>
      </c>
      <c r="L139" t="str">
        <v>Forecast</v>
      </c>
      <c r="M139" t="str">
        <v>SPLITTING</v>
      </c>
      <c r="N139">
        <v>200</v>
      </c>
      <c r="Q139">
        <v>46137</v>
      </c>
      <c r="R139">
        <f>S139-5</f>
        <v>46141</v>
      </c>
      <c r="S139">
        <v>46146</v>
      </c>
      <c r="T139" t="str">
        <v>l1</v>
      </c>
      <c r="U139">
        <f>82-7-6-9+19+52-9+84-9+3</f>
        <v>200</v>
      </c>
      <c r="V139">
        <f>U139-N139</f>
        <v>0</v>
      </c>
      <c r="W139">
        <v>0</v>
      </c>
      <c r="X139">
        <v>0</v>
      </c>
      <c r="Y139">
        <v>7000</v>
      </c>
      <c r="Z139" t="b">
        <v>0</v>
      </c>
      <c r="AB139" t="str">
        <v>keep ETD</v>
      </c>
      <c r="AF139">
        <f>ROUNDUP(VLOOKUP(F139,'[5]Production BOM'!$F:$R,13,0)*H139,0)</f>
        <v>200</v>
      </c>
      <c r="AG139" t="b">
        <f>AF139=J139</f>
        <v>1</v>
      </c>
      <c r="AH139" t="str">
        <f>VLOOKUP(F139,'[5]Production BOM'!$F:$P,11,0)</f>
        <v>BDB-000123</v>
      </c>
      <c r="AI139" t="b">
        <f>AH139=E139</f>
        <v>1</v>
      </c>
    </row>
    <row r="140">
      <c r="V140">
        <f>U140-N140</f>
        <v>0</v>
      </c>
    </row>
    <row r="141">
      <c r="A141" t="str">
        <v>F-2026-04-273</v>
      </c>
      <c r="B141" t="str">
        <v>FPRO-260418-0003</v>
      </c>
      <c r="C141" t="str">
        <v>23/4</v>
      </c>
      <c r="D141" t="str">
        <v>Firm plan 20.04</v>
      </c>
      <c r="E141" t="str">
        <v>BDB-000181</v>
      </c>
      <c r="F141" t="str">
        <v>PVN-003238</v>
      </c>
      <c r="G141" t="str">
        <v>OrthoLite Eco LT-Hybrid-Converse SEEDPEARL/12-0703TPX Hybrid 0.11D 25+/-4 Asker C 1.1M 2M 5mm</v>
      </c>
      <c r="H141">
        <v>2000</v>
      </c>
      <c r="I141">
        <v>72</v>
      </c>
      <c r="J141">
        <v>72</v>
      </c>
      <c r="K141" t="str">
        <v>CONVERSE</v>
      </c>
      <c r="L141" t="str">
        <v>Forecast</v>
      </c>
      <c r="M141" t="str">
        <v>DIE CUT</v>
      </c>
      <c r="N141">
        <v>101</v>
      </c>
      <c r="Q141">
        <v>46137</v>
      </c>
      <c r="R141">
        <f>S141-5</f>
        <v>46141</v>
      </c>
      <c r="S141">
        <v>46146</v>
      </c>
      <c r="T141" t="str">
        <v>l1-add</v>
      </c>
      <c r="U141">
        <f>19+82</f>
        <v>101</v>
      </c>
      <c r="V141">
        <f>U141-N141</f>
        <v>0</v>
      </c>
      <c r="W141" t="str">
        <f>IFNA(VLOOKUP($A141,'[6]master plan '!$A:$AD,30,0),"")</f>
        <v/>
      </c>
      <c r="X141" t="str">
        <f>IFNA(VLOOKUP(A141,'[6]master plan '!$A:$J,10,0),"")</f>
        <v/>
      </c>
      <c r="Y141" t="str">
        <f>IFNA(VLOOKUP($A141,'[6]master plan '!$A:$K,11,0),"")</f>
        <v/>
      </c>
      <c r="Z141" t="b">
        <f>R141=S141</f>
        <v>0</v>
      </c>
      <c r="AA141" t="str">
        <v>PVN-003238: 2000pcs ETD 4/5 FPRO-260418-0003 - này sẽ keep</v>
      </c>
      <c r="AF141">
        <f>ROUNDUP(VLOOKUP(F141,'[5]Production BOM'!$F:$R,13,0)*H141,0)</f>
        <v>72</v>
      </c>
      <c r="AG141" t="b">
        <f>AF141=J141</f>
        <v>1</v>
      </c>
      <c r="AH141" t="str">
        <f>VLOOKUP(F141,'[5]Production BOM'!$F:$P,11,0)</f>
        <v>BDB-000181</v>
      </c>
      <c r="AI141" t="b">
        <f>AH141=E141</f>
        <v>1</v>
      </c>
    </row>
    <row r="142">
      <c r="A142" t="str">
        <v>F-2026-04-80-1</v>
      </c>
      <c r="B142" t="str">
        <v>FPRO-260406-0011</v>
      </c>
      <c r="C142" t="str">
        <v>23/4</v>
      </c>
      <c r="D142" t="str">
        <v>Firm plan 06.4</v>
      </c>
      <c r="E142" t="str">
        <v>BDB-000181</v>
      </c>
      <c r="F142" t="str">
        <v>PVN-003238</v>
      </c>
      <c r="G142" t="str">
        <v>OrthoLite Eco LT-Hybrid-Converse SEEDPEARL/12-0703TPX Hybrid 0.11D 25+/-4 Asker C 1.1M 2M 5mm</v>
      </c>
      <c r="H142">
        <v>800</v>
      </c>
      <c r="I142">
        <v>29</v>
      </c>
      <c r="J142">
        <v>29</v>
      </c>
      <c r="K142" t="str">
        <v>CONVERSE</v>
      </c>
      <c r="L142" t="str">
        <v>Forecast</v>
      </c>
      <c r="M142" t="str">
        <v>DIE CUT</v>
      </c>
      <c r="Q142">
        <v>46140</v>
      </c>
      <c r="R142">
        <f>S142-1</f>
        <v>46146</v>
      </c>
      <c r="S142">
        <v>46147</v>
      </c>
      <c r="T142" t="str">
        <v>l1</v>
      </c>
      <c r="V142">
        <f>U142-N142</f>
        <v>0</v>
      </c>
      <c r="W142">
        <v>0</v>
      </c>
      <c r="X142">
        <v>0</v>
      </c>
      <c r="Y142">
        <v>800</v>
      </c>
      <c r="Z142" t="b">
        <v>0</v>
      </c>
      <c r="AB142" t="str">
        <v>keep ETD</v>
      </c>
      <c r="AF142">
        <f>ROUNDUP(VLOOKUP(F142,'[5]Production BOM'!$F:$R,13,0)*H142,0)</f>
        <v>29</v>
      </c>
      <c r="AG142" t="b">
        <f>AF142=J142</f>
        <v>1</v>
      </c>
      <c r="AH142" t="str">
        <f>VLOOKUP(F142,'[5]Production BOM'!$F:$P,11,0)</f>
        <v>BDB-000181</v>
      </c>
      <c r="AI142" t="b">
        <f>AH142=E142</f>
        <v>1</v>
      </c>
    </row>
    <row r="143">
      <c r="G143" t="str">
        <v>RELEASE ĐỢT 1</v>
      </c>
      <c r="V143">
        <f>U143-N143</f>
        <v>0</v>
      </c>
    </row>
    <row r="144">
      <c r="A144" t="str">
        <v>F-2026-04-294</v>
      </c>
      <c r="B144" t="str">
        <v>RPRO-260421-0641</v>
      </c>
      <c r="C144" t="str">
        <v>23/4</v>
      </c>
      <c r="D144" t="str">
        <v>Pro.sche.report 20.04</v>
      </c>
      <c r="E144" t="str">
        <v>BDB-000363</v>
      </c>
      <c r="F144" t="str">
        <v>PVN-004260</v>
      </c>
      <c r="G144" t="str">
        <v>OrthoLite HybridPlus-Recycled MINT GREEN/11-4805TPX Hybrid Flat Sheet 0.12D 35+/-4 Asker C 1.1M 2M 5.5mm</v>
      </c>
      <c r="H144">
        <v>175</v>
      </c>
      <c r="I144">
        <v>7</v>
      </c>
      <c r="J144">
        <v>7</v>
      </c>
      <c r="K144" t="str">
        <v>ON RUNNING</v>
      </c>
      <c r="L144" t="str">
        <v>Pr.Sch.R</v>
      </c>
      <c r="M144" t="str">
        <v>MOLDED</v>
      </c>
      <c r="N144">
        <v>7</v>
      </c>
      <c r="Q144">
        <v>46137</v>
      </c>
      <c r="R144">
        <f>S144-1-4</f>
        <v>46141</v>
      </c>
      <c r="S144">
        <v>46146</v>
      </c>
      <c r="T144" t="str">
        <v>l2</v>
      </c>
      <c r="U144">
        <v>7</v>
      </c>
      <c r="V144">
        <f>U144-N144</f>
        <v>0</v>
      </c>
      <c r="W144">
        <v>0</v>
      </c>
      <c r="X144">
        <v>0</v>
      </c>
      <c r="Y144">
        <v>175</v>
      </c>
      <c r="Z144" t="b">
        <v>0</v>
      </c>
      <c r="AA144" t="e">
        <v>#N/A</v>
      </c>
      <c r="AF144">
        <f>ROUNDUP(VLOOKUP(F144,'[5]Production BOM'!$F:$R,13,0)*H144,0)</f>
        <v>7</v>
      </c>
      <c r="AG144" t="b">
        <f>AF144=J144</f>
        <v>1</v>
      </c>
      <c r="AH144" t="str">
        <f>VLOOKUP(F144,'[5]Production BOM'!$F:$P,11,0)</f>
        <v>BDB-000363</v>
      </c>
      <c r="AI144" t="b">
        <f>AH144=E144</f>
        <v>1</v>
      </c>
    </row>
    <row r="145">
      <c r="V145">
        <f>U145-N145</f>
        <v>0</v>
      </c>
    </row>
    <row r="146">
      <c r="A146" t="str">
        <v>F-2026-03-542</v>
      </c>
      <c r="B146" t="str">
        <v>FPRO-260326-0003</v>
      </c>
      <c r="C146" t="str">
        <v>23/4-24/4</v>
      </c>
      <c r="D146" t="str">
        <v>Firm plan 26.3</v>
      </c>
      <c r="E146" t="str">
        <v>BDB-000209</v>
      </c>
      <c r="F146" t="str">
        <v>PVN-003537</v>
      </c>
      <c r="G146" t="str">
        <v>OrthoLite HybridPlus-Recycled MINT GREEN/11-4805TPX Hybrid 0.12D 25+/-4 Asker C 1.1M 2M 4.5mm</v>
      </c>
      <c r="H146">
        <v>2500</v>
      </c>
      <c r="I146">
        <v>81</v>
      </c>
      <c r="J146">
        <v>81</v>
      </c>
      <c r="K146" t="str">
        <v>ON RUNNING</v>
      </c>
      <c r="L146" t="str">
        <v>Forecast</v>
      </c>
      <c r="M146" t="str">
        <v>MOLDED</v>
      </c>
      <c r="N146">
        <v>81</v>
      </c>
      <c r="Q146">
        <v>46137</v>
      </c>
      <c r="R146">
        <f>S146-1-4</f>
        <v>46141</v>
      </c>
      <c r="S146">
        <v>46146</v>
      </c>
      <c r="T146" t="str">
        <v>l2</v>
      </c>
      <c r="U146">
        <f>84-3</f>
        <v>81</v>
      </c>
      <c r="V146">
        <f>U146-N146</f>
        <v>0</v>
      </c>
      <c r="W146">
        <v>0</v>
      </c>
      <c r="X146">
        <v>0</v>
      </c>
      <c r="Y146">
        <v>2500</v>
      </c>
      <c r="Z146" t="b">
        <v>0</v>
      </c>
      <c r="AA146" t="str">
        <v>keep ETD 5/5</v>
      </c>
      <c r="AB146" t="str">
        <v>Don't keep</v>
      </c>
      <c r="AF146">
        <f>ROUNDUP(VLOOKUP(F146,'[5]Production BOM'!$F:$R,13,0)*H146,0)</f>
        <v>81</v>
      </c>
      <c r="AG146" t="b">
        <f>AF146=J146</f>
        <v>1</v>
      </c>
      <c r="AH146" t="str">
        <f>VLOOKUP(F146,'[5]Production BOM'!$F:$P,11,0)</f>
        <v>BDB-000209</v>
      </c>
      <c r="AI146" t="b">
        <f>AH146=E146</f>
        <v>1</v>
      </c>
    </row>
    <row r="147">
      <c r="V147">
        <f>U147-N147</f>
        <v>0</v>
      </c>
    </row>
    <row r="148">
      <c r="A148" t="str">
        <v>F-2026-01-501</v>
      </c>
      <c r="B148" t="str">
        <v>FPRO-260130-0024</v>
      </c>
      <c r="C148" t="str">
        <v>24/4</v>
      </c>
      <c r="D148" t="str">
        <v>Firm plan 30.01</v>
      </c>
      <c r="E148" t="str">
        <v>BDB-000113</v>
      </c>
      <c r="F148" t="str">
        <v>PVN-002501</v>
      </c>
      <c r="G148" t="str">
        <v>OrthoLite Regular-Hybrid SEEDPEARL/12-0703TPX Hybrid Flat Sheet 0.11D 25+/-4 Asker C 1.1M 2M 2mm</v>
      </c>
      <c r="H148">
        <v>1000</v>
      </c>
      <c r="I148">
        <v>15</v>
      </c>
      <c r="J148">
        <v>15</v>
      </c>
      <c r="K148" t="str">
        <v>ASICS</v>
      </c>
      <c r="L148" t="str">
        <v>Forecast</v>
      </c>
      <c r="M148" t="str">
        <v>SPLITTING</v>
      </c>
      <c r="N148">
        <v>15</v>
      </c>
      <c r="Q148">
        <v>46137</v>
      </c>
      <c r="R148">
        <f>S148-1-4</f>
        <v>46141</v>
      </c>
      <c r="S148">
        <v>46146</v>
      </c>
      <c r="T148" t="str">
        <v>l2</v>
      </c>
      <c r="U148">
        <f>58+35</f>
        <v>93</v>
      </c>
      <c r="V148">
        <f>U148-N148</f>
        <v>78</v>
      </c>
      <c r="W148">
        <v>0</v>
      </c>
      <c r="X148">
        <v>0</v>
      </c>
      <c r="Y148">
        <v>1000</v>
      </c>
      <c r="Z148" t="b">
        <v>0</v>
      </c>
      <c r="AA148" t="str">
        <v>keep ETD 5/5</v>
      </c>
      <c r="AB148" t="str">
        <v>Don't keep</v>
      </c>
      <c r="AF148">
        <f>ROUNDUP(VLOOKUP(F148,'[5]Production BOM'!$F:$R,13,0)*H148,0)</f>
        <v>15</v>
      </c>
      <c r="AG148" t="b">
        <f>AF148=J148</f>
        <v>1</v>
      </c>
      <c r="AH148" t="str">
        <f>VLOOKUP(F148,'[5]Production BOM'!$F:$P,11,0)</f>
        <v>BDB-000113</v>
      </c>
      <c r="AI148" t="b">
        <f>AH148=E148</f>
        <v>1</v>
      </c>
    </row>
    <row r="149">
      <c r="V149">
        <f>U149-N149</f>
        <v>0</v>
      </c>
    </row>
    <row r="150">
      <c r="A150" t="str">
        <v>F-2026-04-287</v>
      </c>
      <c r="B150" t="str">
        <v>RPRO-260420-0516</v>
      </c>
      <c r="C150" t="str">
        <v>24/4</v>
      </c>
      <c r="D150" t="str">
        <v>Pro.sche.report 17.04+18.04+19.04</v>
      </c>
      <c r="E150" t="str">
        <v>BDB-000123</v>
      </c>
      <c r="F150" t="str">
        <v>PVN-003011</v>
      </c>
      <c r="G150" t="str">
        <v>OrthoLite Ultra-Hybrid SEEDPEARL/12-0703TPX Hybrid Flat Sheet 0.085D 25+/-4 Asker C 1.1M 2M 16mm</v>
      </c>
      <c r="H150">
        <v>8</v>
      </c>
      <c r="I150">
        <v>1</v>
      </c>
      <c r="J150">
        <v>1</v>
      </c>
      <c r="K150" t="str">
        <v>CLARKS</v>
      </c>
      <c r="L150" t="str">
        <v>Pr.Sch.R</v>
      </c>
      <c r="M150" t="str">
        <v>MOLDED</v>
      </c>
      <c r="N150">
        <v>307</v>
      </c>
      <c r="Q150">
        <v>46137</v>
      </c>
      <c r="R150">
        <f>S150-1-4</f>
        <v>46141</v>
      </c>
      <c r="S150">
        <v>46146</v>
      </c>
      <c r="T150" t="str">
        <v>l2</v>
      </c>
      <c r="U150">
        <f>11-3</f>
        <v>8</v>
      </c>
      <c r="V150">
        <f>U150-N150</f>
        <v>-299</v>
      </c>
      <c r="W150">
        <v>0</v>
      </c>
      <c r="X150">
        <v>0</v>
      </c>
      <c r="Y150">
        <v>8</v>
      </c>
      <c r="Z150" t="b">
        <v>0</v>
      </c>
      <c r="AA150" t="e">
        <v>#N/A</v>
      </c>
      <c r="AF150">
        <f>ROUNDUP(VLOOKUP(F150,'[5]Production BOM'!$F:$R,13,0)*H150,0)</f>
        <v>1</v>
      </c>
      <c r="AG150" t="b">
        <f>AF150=J150</f>
        <v>1</v>
      </c>
      <c r="AH150" t="str">
        <f>VLOOKUP(F150,'[5]Production BOM'!$F:$P,11,0)</f>
        <v>BDB-000123</v>
      </c>
      <c r="AI150" t="b">
        <f>AH150=E150</f>
        <v>1</v>
      </c>
    </row>
    <row r="151">
      <c r="A151" t="str">
        <v>F-2026-02-234</v>
      </c>
      <c r="B151" t="str">
        <v>FPRO-260211-0054</v>
      </c>
      <c r="C151" t="str">
        <v>24/4</v>
      </c>
      <c r="D151" t="str">
        <v>Firm plan 11.2</v>
      </c>
      <c r="E151" t="str">
        <v>BDB-000123</v>
      </c>
      <c r="F151" t="str">
        <v>PVN-003299</v>
      </c>
      <c r="G151" t="str">
        <v>OrthoLite Ultra-Hybrid SEEDPEARL/12-0703TPX Hybrid 0.085D 25+/-4 Asker C 1.1M 2M 3mm</v>
      </c>
      <c r="H151">
        <v>7000</v>
      </c>
      <c r="I151">
        <v>153</v>
      </c>
      <c r="J151">
        <v>153</v>
      </c>
      <c r="K151" t="str">
        <v>ADIDAS</v>
      </c>
      <c r="L151" t="str">
        <v>Forecast</v>
      </c>
      <c r="M151" t="str">
        <v>SPLITTING</v>
      </c>
      <c r="Q151">
        <v>46137</v>
      </c>
      <c r="R151">
        <f>S151-1-4</f>
        <v>46141</v>
      </c>
      <c r="S151">
        <v>46146</v>
      </c>
      <c r="T151" t="str">
        <v>l2</v>
      </c>
      <c r="V151">
        <f>U151-N151</f>
        <v>0</v>
      </c>
      <c r="W151">
        <v>0</v>
      </c>
      <c r="X151">
        <v>0</v>
      </c>
      <c r="Y151">
        <v>7000</v>
      </c>
      <c r="Z151" t="b">
        <v>0</v>
      </c>
      <c r="AA151" t="str">
        <v>keep ETD 5/5</v>
      </c>
      <c r="AB151" t="str">
        <v>keep ETD</v>
      </c>
      <c r="AF151">
        <f>ROUNDUP(VLOOKUP(F151,'[5]Production BOM'!$F:$R,13,0)*H151,0)</f>
        <v>153</v>
      </c>
      <c r="AG151" t="b">
        <f>AF151=J151</f>
        <v>1</v>
      </c>
      <c r="AH151" t="str">
        <f>VLOOKUP(F151,'[5]Production BOM'!$F:$P,11,0)</f>
        <v>BDB-000123</v>
      </c>
      <c r="AI151" t="b">
        <f>AH151=E151</f>
        <v>1</v>
      </c>
    </row>
    <row r="152">
      <c r="A152" t="str">
        <v>F-2026-02-236</v>
      </c>
      <c r="B152" t="str">
        <v>FPRO-260211-0056</v>
      </c>
      <c r="C152" t="str">
        <v>24/4-25/4</v>
      </c>
      <c r="D152" t="str">
        <v>Firm plan 11.2</v>
      </c>
      <c r="E152" t="str">
        <v>BDB-000123</v>
      </c>
      <c r="F152" t="str">
        <v>PVN-003299</v>
      </c>
      <c r="G152" t="str">
        <v>OrthoLite Ultra-Hybrid SEEDPEARL/12-0703TPX Hybrid 0.085D 25+/-4 Asker C 1.1M 2M 3mm</v>
      </c>
      <c r="H152">
        <v>7000</v>
      </c>
      <c r="I152">
        <v>153</v>
      </c>
      <c r="J152">
        <v>153</v>
      </c>
      <c r="K152" t="str">
        <v>ADIDAS</v>
      </c>
      <c r="L152" t="str">
        <v>Forecast</v>
      </c>
      <c r="M152" t="str">
        <v>SPLITTING</v>
      </c>
      <c r="Q152">
        <v>46146</v>
      </c>
      <c r="R152">
        <f>S152-1</f>
        <v>46148</v>
      </c>
      <c r="S152">
        <v>46149</v>
      </c>
      <c r="T152" t="str">
        <v>l2</v>
      </c>
      <c r="V152">
        <f>U152-N152</f>
        <v>0</v>
      </c>
      <c r="W152">
        <v>0</v>
      </c>
      <c r="X152">
        <v>0</v>
      </c>
      <c r="Y152">
        <v>7000</v>
      </c>
      <c r="Z152" t="b">
        <v>0</v>
      </c>
      <c r="AA152" t="str">
        <v>keep ETD 5/5</v>
      </c>
      <c r="AF152">
        <f>ROUNDUP(VLOOKUP(F152,'[5]Production BOM'!$F:$R,13,0)*H152,0)</f>
        <v>153</v>
      </c>
      <c r="AG152" t="b">
        <f>AF152=J152</f>
        <v>1</v>
      </c>
      <c r="AH152" t="str">
        <f>VLOOKUP(F152,'[5]Production BOM'!$F:$P,11,0)</f>
        <v>BDB-000123</v>
      </c>
      <c r="AI152" t="b">
        <f>AH152=E152</f>
        <v>1</v>
      </c>
    </row>
    <row r="153">
      <c r="V153">
        <f>U153-N153</f>
        <v>0</v>
      </c>
    </row>
    <row r="154">
      <c r="A154" t="str">
        <v>OIN-2026.04.16-04</v>
      </c>
      <c r="B154" t="str">
        <v>RPRO-260421-0646</v>
      </c>
      <c r="C154" t="str">
        <v>25/4</v>
      </c>
      <c r="D154" t="str">
        <v>OIN</v>
      </c>
      <c r="E154" t="str">
        <v>BDB-000101</v>
      </c>
      <c r="F154" t="str">
        <v>PVN-004395</v>
      </c>
      <c r="G154" t="str">
        <v>[116-17889] Eco Lite Hybrid 35+/-4 Asker C 0.13D Fossil 17-0909 Tpx 1.10M X 2.00M 47mm</v>
      </c>
      <c r="H154">
        <v>11</v>
      </c>
      <c r="I154">
        <v>4</v>
      </c>
      <c r="J154">
        <v>4</v>
      </c>
      <c r="K154" t="str">
        <v>GEOX</v>
      </c>
      <c r="L154" t="str">
        <v>PO-7115-SO-260417-0052</v>
      </c>
      <c r="M154" t="str">
        <v>FLAT SHEET</v>
      </c>
      <c r="N154">
        <v>4</v>
      </c>
      <c r="O154" t="str">
        <v>HANG CONT</v>
      </c>
      <c r="Q154">
        <v>46148</v>
      </c>
      <c r="R154">
        <f>S154-1</f>
        <v>46150</v>
      </c>
      <c r="S154">
        <v>46151</v>
      </c>
      <c r="T154" t="str">
        <v>l2</v>
      </c>
      <c r="V154">
        <f>U154-N154</f>
        <v>-4</v>
      </c>
      <c r="W154">
        <v>0</v>
      </c>
      <c r="X154">
        <v>0</v>
      </c>
      <c r="Y154">
        <v>11</v>
      </c>
      <c r="Z154" t="b">
        <v>1</v>
      </c>
      <c r="AF154">
        <f>ROUNDUP(VLOOKUP(F154,'[5]Production BOM'!$F:$R,13,0)*H154,0)</f>
        <v>4</v>
      </c>
      <c r="AG154" t="b">
        <f>AF154=J154</f>
        <v>1</v>
      </c>
      <c r="AH154" t="str">
        <f>VLOOKUP(F154,'[5]Production BOM'!$F:$P,11,0)</f>
        <v>BDB-000101</v>
      </c>
      <c r="AI154" t="b">
        <f>AH154=E154</f>
        <v>1</v>
      </c>
    </row>
    <row r="155">
      <c r="V155">
        <f>U155-N155</f>
        <v>0</v>
      </c>
    </row>
    <row r="156">
      <c r="A156" t="str">
        <v>OIN-2026.04.16-03</v>
      </c>
      <c r="B156" t="str">
        <v>RPRO-260421-0645</v>
      </c>
      <c r="C156" t="str">
        <v>25/4</v>
      </c>
      <c r="D156" t="str">
        <v>OIN</v>
      </c>
      <c r="E156" t="str">
        <v>BDB-000102</v>
      </c>
      <c r="F156" t="str">
        <v>PVN-003821</v>
      </c>
      <c r="G156" t="str">
        <v>[118-467] Eco Lite Hybrid 35+/-4 Asker C 0.13D Lime Green 14-0452 Tpx 1.10M X 2.00M 47mm</v>
      </c>
      <c r="H156">
        <v>21</v>
      </c>
      <c r="I156">
        <v>7</v>
      </c>
      <c r="J156">
        <v>7</v>
      </c>
      <c r="K156" t="str">
        <v>GEOX</v>
      </c>
      <c r="L156" t="str">
        <v>PO-7115-SO-260417-0051</v>
      </c>
      <c r="M156" t="str">
        <v>FLAT SHEET</v>
      </c>
      <c r="N156">
        <v>7</v>
      </c>
      <c r="O156" t="str">
        <v>HANG CONT</v>
      </c>
      <c r="Q156">
        <v>46148</v>
      </c>
      <c r="R156">
        <f>S156-1</f>
        <v>46150</v>
      </c>
      <c r="S156">
        <v>46151</v>
      </c>
      <c r="T156" t="str">
        <v>l2</v>
      </c>
      <c r="V156">
        <f>U156-N156</f>
        <v>-7</v>
      </c>
      <c r="W156">
        <v>0</v>
      </c>
      <c r="X156">
        <v>0</v>
      </c>
      <c r="Y156">
        <v>21</v>
      </c>
      <c r="Z156" t="b">
        <v>1</v>
      </c>
      <c r="AF156">
        <f>ROUNDUP(VLOOKUP(F156,'[5]Production BOM'!$F:$R,13,0)*H156,0)</f>
        <v>7</v>
      </c>
      <c r="AG156" t="b">
        <f>AF156=J156</f>
        <v>1</v>
      </c>
      <c r="AH156" t="str">
        <f>VLOOKUP(F156,'[5]Production BOM'!$F:$P,11,0)</f>
        <v>BDB-000102</v>
      </c>
      <c r="AI156" t="b">
        <f>AH156=E156</f>
        <v>1</v>
      </c>
    </row>
    <row r="157">
      <c r="G157" t="str">
        <v>RELEASE ĐỢT 2</v>
      </c>
      <c r="V157">
        <f>U157-N157</f>
        <v>0</v>
      </c>
    </row>
    <row r="158">
      <c r="H158">
        <f>SUM(H107:H156)</f>
        <v>50152</v>
      </c>
      <c r="I158">
        <f>SUM(I107:I156)</f>
        <v>1753</v>
      </c>
      <c r="J158">
        <f>SUM(J107:J156)</f>
        <v>1753</v>
      </c>
      <c r="N158">
        <f>SUM(N107:N156)</f>
        <v>1711</v>
      </c>
      <c r="O158">
        <f>N158-G7</f>
        <v>-10</v>
      </c>
      <c r="V158">
        <f>U158-N158</f>
        <v>-1711</v>
      </c>
    </row>
    <row r="159">
      <c r="A159" t="str">
        <v>F-2026-04-182</v>
      </c>
      <c r="B159" t="str">
        <v>RPRO-260415-0107</v>
      </c>
      <c r="C159" t="str">
        <v>20/4</v>
      </c>
      <c r="D159" t="str">
        <v>Pro.sche.report 14.04</v>
      </c>
      <c r="E159" t="str">
        <v>BDB-000317</v>
      </c>
      <c r="F159" t="str">
        <v>PVN-004076</v>
      </c>
      <c r="G159" t="str">
        <v>OrthoLite Regular NEUTRAL GRAY/17-4402TPX Flat Sheet 0.13D 15+/-4 Asker C 1.1M 2M 24mm</v>
      </c>
      <c r="H159">
        <v>5</v>
      </c>
      <c r="I159">
        <v>1</v>
      </c>
      <c r="J159">
        <v>1</v>
      </c>
      <c r="K159" t="str">
        <v>ASICS</v>
      </c>
      <c r="L159" t="str">
        <v>Pr.Sch.R</v>
      </c>
      <c r="M159" t="str">
        <v>MOLDED</v>
      </c>
      <c r="N159">
        <v>1</v>
      </c>
      <c r="Q159">
        <v>46134</v>
      </c>
      <c r="R159">
        <f>S159-1</f>
        <v>46136</v>
      </c>
      <c r="S159">
        <v>46137</v>
      </c>
      <c r="T159" t="str">
        <v>l1</v>
      </c>
      <c r="U159">
        <v>1</v>
      </c>
      <c r="V159">
        <f>U159-N159</f>
        <v>0</v>
      </c>
      <c r="W159">
        <v>0</v>
      </c>
      <c r="X159">
        <v>0</v>
      </c>
      <c r="Y159">
        <v>5</v>
      </c>
      <c r="Z159" t="b">
        <v>0</v>
      </c>
      <c r="AF159">
        <f>ROUNDUP(VLOOKUP(F159,'[5]Production BOM'!$F:$R,13,0)*H159,0)</f>
        <v>1</v>
      </c>
      <c r="AG159" t="b">
        <f>AF159=J159</f>
        <v>1</v>
      </c>
      <c r="AH159" t="str">
        <f>VLOOKUP(F159,'[5]Production BOM'!$F:$P,11,0)</f>
        <v>BDB-000317</v>
      </c>
      <c r="AI159" t="b">
        <f>AH159=E159</f>
        <v>1</v>
      </c>
    </row>
    <row r="160">
      <c r="V160">
        <f>U160-N160</f>
        <v>0</v>
      </c>
    </row>
    <row r="161">
      <c r="A161" t="str">
        <v>F-2026-04-191</v>
      </c>
      <c r="B161" t="str">
        <v>RPRO-260416-0263</v>
      </c>
      <c r="C161" t="str">
        <v>20/4</v>
      </c>
      <c r="D161" t="str">
        <v>MPS 14.04</v>
      </c>
      <c r="E161" t="str">
        <v>BDB-000010</v>
      </c>
      <c r="F161" t="str">
        <v>PVN-000101</v>
      </c>
      <c r="G161" t="str">
        <v>OrthoLite Regular AIR BLUE/16-4134TPX Flat Sheet 0.11D 25+/-4 Asker C 1.1M 2M 3mm</v>
      </c>
      <c r="H161">
        <v>92</v>
      </c>
      <c r="I161">
        <v>3</v>
      </c>
      <c r="J161">
        <v>3</v>
      </c>
      <c r="L161" t="str">
        <v>MPS</v>
      </c>
      <c r="M161" t="str">
        <v>SPLITTING</v>
      </c>
      <c r="N161">
        <v>3</v>
      </c>
      <c r="Q161">
        <v>46134</v>
      </c>
      <c r="R161">
        <f>S161-1</f>
        <v>46136</v>
      </c>
      <c r="S161">
        <v>46137</v>
      </c>
      <c r="T161" t="str">
        <v>l1</v>
      </c>
      <c r="U161">
        <f>2+1</f>
        <v>3</v>
      </c>
      <c r="V161">
        <f>U161-N161</f>
        <v>0</v>
      </c>
      <c r="W161">
        <v>0</v>
      </c>
      <c r="X161">
        <v>0</v>
      </c>
      <c r="Y161">
        <v>92</v>
      </c>
      <c r="Z161" t="b">
        <v>0</v>
      </c>
      <c r="AF161">
        <f>ROUNDUP(VLOOKUP(F161,'[5]Production BOM'!$F:$R,13,0)*H161,0)</f>
        <v>3</v>
      </c>
      <c r="AG161" t="b">
        <f>AF161=J161</f>
        <v>1</v>
      </c>
      <c r="AH161" t="str">
        <f>VLOOKUP(F161,'[5]Production BOM'!$F:$P,11,0)</f>
        <v>BDB-000010</v>
      </c>
      <c r="AI161" t="b">
        <f>AH161=E161</f>
        <v>1</v>
      </c>
    </row>
    <row r="162">
      <c r="V162">
        <f>U162-N162</f>
        <v>0</v>
      </c>
    </row>
    <row r="163">
      <c r="A163" t="str">
        <v>F-2026-01-490-2</v>
      </c>
      <c r="B163" t="str">
        <v>FPRO-260406-0013</v>
      </c>
      <c r="C163" t="str">
        <v>20/4</v>
      </c>
      <c r="D163" t="str">
        <v>Firm plan 30.01</v>
      </c>
      <c r="E163" t="str">
        <v>BDB-000011</v>
      </c>
      <c r="F163" t="str">
        <v>PVN-000258</v>
      </c>
      <c r="G163" t="str">
        <v>OrthoLite Regular AIR BLUE/16-4134TPX Flat Sheet 0.13D 35+/-4 Asker C 1.1M 2M 2.5mm</v>
      </c>
      <c r="H163">
        <v>1500</v>
      </c>
      <c r="I163">
        <v>27</v>
      </c>
      <c r="J163">
        <v>27</v>
      </c>
      <c r="K163" t="str">
        <v>ASICS</v>
      </c>
      <c r="L163" t="str">
        <v>Forecast</v>
      </c>
      <c r="M163" t="str">
        <v>SPLITTING</v>
      </c>
      <c r="N163">
        <v>27</v>
      </c>
      <c r="Q163">
        <v>46134</v>
      </c>
      <c r="R163">
        <f>S163-1</f>
        <v>46136</v>
      </c>
      <c r="S163">
        <v>46137</v>
      </c>
      <c r="T163" t="str">
        <v>l1</v>
      </c>
      <c r="U163">
        <v>27</v>
      </c>
      <c r="V163">
        <f>U163-N163</f>
        <v>0</v>
      </c>
      <c r="W163">
        <v>0</v>
      </c>
      <c r="X163">
        <v>0</v>
      </c>
      <c r="Y163">
        <v>1500</v>
      </c>
      <c r="Z163" t="b">
        <v>0</v>
      </c>
      <c r="AA163" t="str">
        <v>keep ETD</v>
      </c>
      <c r="AF163">
        <f>ROUNDUP(VLOOKUP(F163,'[5]Production BOM'!$F:$R,13,0)*H163,0)</f>
        <v>27</v>
      </c>
      <c r="AG163" t="b">
        <f>AF163=J163</f>
        <v>1</v>
      </c>
      <c r="AH163" t="str">
        <f>VLOOKUP(F163,'[5]Production BOM'!$F:$P,11,0)</f>
        <v>BDB-000011</v>
      </c>
      <c r="AI163" t="b">
        <f>AH163=E163</f>
        <v>1</v>
      </c>
    </row>
    <row r="164">
      <c r="V164">
        <f>U164-N164</f>
        <v>0</v>
      </c>
    </row>
    <row r="165">
      <c r="A165" t="str">
        <v>F-2026-03-474</v>
      </c>
      <c r="B165" t="str">
        <v>FPRO-260324-0046</v>
      </c>
      <c r="C165" t="str">
        <v>20/4</v>
      </c>
      <c r="D165" t="str">
        <v>Firm plan 24.3</v>
      </c>
      <c r="E165" t="str">
        <v>BDB-000131</v>
      </c>
      <c r="F165" t="str">
        <v>PVN-001565</v>
      </c>
      <c r="G165" t="str">
        <v>OrthoLite Regular-Nike AIR BLUE/16-4134TPX 0.11D 15+/-4 Asker C 1.1M 2M 4mm</v>
      </c>
      <c r="H165">
        <v>1000</v>
      </c>
      <c r="I165">
        <v>29</v>
      </c>
      <c r="J165">
        <v>29</v>
      </c>
      <c r="K165" t="str">
        <v>NIKE</v>
      </c>
      <c r="L165" t="str">
        <v>Forecast</v>
      </c>
      <c r="M165" t="str">
        <v>DIE CUT</v>
      </c>
      <c r="N165">
        <v>29</v>
      </c>
      <c r="Q165">
        <v>46134</v>
      </c>
      <c r="R165">
        <f>S165-1</f>
        <v>46136</v>
      </c>
      <c r="S165">
        <v>46137</v>
      </c>
      <c r="T165" t="str">
        <v>l1</v>
      </c>
      <c r="U165">
        <v>29</v>
      </c>
      <c r="V165">
        <f>U165-N165</f>
        <v>0</v>
      </c>
      <c r="W165">
        <v>0</v>
      </c>
      <c r="X165">
        <v>0</v>
      </c>
      <c r="Y165">
        <v>1000</v>
      </c>
      <c r="Z165" t="b">
        <v>0</v>
      </c>
      <c r="AA165" t="str">
        <v>Don't keep- stock đnag nhiều hơn demand</v>
      </c>
      <c r="AF165">
        <f>ROUNDUP(VLOOKUP(F165,'[5]Production BOM'!$F:$R,13,0)*H165,0)</f>
        <v>29</v>
      </c>
      <c r="AG165" t="b">
        <f>AF165=J165</f>
        <v>1</v>
      </c>
      <c r="AH165" t="str">
        <f>VLOOKUP(F165,'[5]Production BOM'!$F:$P,11,0)</f>
        <v>BDB-000131</v>
      </c>
      <c r="AI165" t="b">
        <f>AH165=E165</f>
        <v>1</v>
      </c>
    </row>
    <row r="166">
      <c r="V166">
        <f>U166-N166</f>
        <v>0</v>
      </c>
    </row>
    <row r="167">
      <c r="A167" t="str">
        <v>F-2026-04-202</v>
      </c>
      <c r="B167" t="str">
        <v>RPRO-260416-0274</v>
      </c>
      <c r="C167" t="str">
        <v>20/4</v>
      </c>
      <c r="D167" t="str">
        <v>Pro.sche.report 14.04</v>
      </c>
      <c r="E167" t="str">
        <v>BDB-000158</v>
      </c>
      <c r="F167" t="str">
        <v>PVN-001554</v>
      </c>
      <c r="G167" t="str">
        <v>OrthoLite Ultra-Nike YELLOW/13-0858TPX Flat Sheet 0.085D 15+/-4 Asker C 1.1M 2M 3mm</v>
      </c>
      <c r="H167">
        <v>46</v>
      </c>
      <c r="I167">
        <v>2</v>
      </c>
      <c r="J167">
        <v>2</v>
      </c>
      <c r="K167" t="str">
        <v>NIKE</v>
      </c>
      <c r="L167" t="str">
        <v>Pr.Sch.R</v>
      </c>
      <c r="M167" t="str">
        <v>DIE CUT</v>
      </c>
      <c r="N167">
        <v>2</v>
      </c>
      <c r="Q167">
        <v>46134</v>
      </c>
      <c r="R167">
        <f>S167-1</f>
        <v>46136</v>
      </c>
      <c r="S167">
        <v>46137</v>
      </c>
      <c r="T167" t="str">
        <v>l1</v>
      </c>
      <c r="U167">
        <v>2</v>
      </c>
      <c r="V167">
        <f>U167-N167</f>
        <v>0</v>
      </c>
      <c r="W167">
        <v>0</v>
      </c>
      <c r="X167">
        <v>0</v>
      </c>
      <c r="Y167">
        <v>46</v>
      </c>
      <c r="Z167" t="b">
        <v>0</v>
      </c>
      <c r="AF167">
        <f>ROUNDUP(VLOOKUP(F167,'[5]Production BOM'!$F:$R,13,0)*H167,0)</f>
        <v>2</v>
      </c>
      <c r="AG167" t="b">
        <f>AF167=J167</f>
        <v>1</v>
      </c>
      <c r="AH167" t="str">
        <f>VLOOKUP(F167,'[5]Production BOM'!$F:$P,11,0)</f>
        <v>BDB-000158</v>
      </c>
      <c r="AI167" t="b">
        <f>AH167=E167</f>
        <v>1</v>
      </c>
    </row>
    <row r="168">
      <c r="V168">
        <f>U168-N168</f>
        <v>0</v>
      </c>
    </row>
    <row r="169">
      <c r="A169" t="str">
        <v>F-2026-03-438</v>
      </c>
      <c r="B169" t="str">
        <v>FPRO-260324-0009</v>
      </c>
      <c r="C169" t="str">
        <v>20/4</v>
      </c>
      <c r="D169" t="str">
        <v>Firm plan 24.3</v>
      </c>
      <c r="E169" t="str">
        <v>BDB-000162</v>
      </c>
      <c r="F169" t="str">
        <v>PVN-001566</v>
      </c>
      <c r="G169" t="str">
        <v>OrthoLite Ultra-Nike SEEDPEARL/12-0703TPX 0.085D 25+/-4 Asker C 1.1M 2M 4mm</v>
      </c>
      <c r="H169">
        <v>600</v>
      </c>
      <c r="I169">
        <v>18</v>
      </c>
      <c r="J169">
        <v>18</v>
      </c>
      <c r="K169" t="str">
        <v>NIKE</v>
      </c>
      <c r="L169" t="str">
        <v>Forecast</v>
      </c>
      <c r="M169" t="str">
        <v>DIE CUT</v>
      </c>
      <c r="N169">
        <v>76</v>
      </c>
      <c r="O169" t="str">
        <v>MOVE ETD_đã báo SX</v>
      </c>
      <c r="Q169">
        <v>46137</v>
      </c>
      <c r="R169">
        <f>S169-1</f>
        <v>46145</v>
      </c>
      <c r="S169">
        <v>46146</v>
      </c>
      <c r="T169" t="str">
        <v>l1</v>
      </c>
      <c r="U169">
        <f>72+4</f>
        <v>76</v>
      </c>
      <c r="V169">
        <f>U169-N169</f>
        <v>0</v>
      </c>
      <c r="W169">
        <v>0</v>
      </c>
      <c r="X169">
        <v>0</v>
      </c>
      <c r="Y169">
        <v>600</v>
      </c>
      <c r="Z169" t="b">
        <v>0</v>
      </c>
      <c r="AA169" t="str">
        <v>Don't keep</v>
      </c>
      <c r="AF169">
        <f>ROUNDUP(VLOOKUP(F169,'[5]Production BOM'!$F:$R,13,0)*H169,0)</f>
        <v>18</v>
      </c>
      <c r="AG169" t="b">
        <f>AF169=J169</f>
        <v>1</v>
      </c>
      <c r="AH169" t="str">
        <f>VLOOKUP(F169,'[5]Production BOM'!$F:$P,11,0)</f>
        <v>BDB-000162</v>
      </c>
      <c r="AI169" t="b">
        <f>AH169=E169</f>
        <v>1</v>
      </c>
    </row>
    <row r="170">
      <c r="A170" t="str">
        <v>F-2026-03-431</v>
      </c>
      <c r="B170" t="str">
        <v>FPRO-260324-0002</v>
      </c>
      <c r="C170" t="str">
        <v>20/4</v>
      </c>
      <c r="D170" t="str">
        <v>Firm plan 24.3</v>
      </c>
      <c r="E170" t="str">
        <v>BDB-000162</v>
      </c>
      <c r="F170" t="str">
        <v>PVN-001566</v>
      </c>
      <c r="G170" t="str">
        <v>OrthoLite Ultra-Nike SEEDPEARL/12-0703TPX 0.085D 25+/-4 Asker C 1.1M 2M 4mm</v>
      </c>
      <c r="H170">
        <v>2000</v>
      </c>
      <c r="I170">
        <v>58</v>
      </c>
      <c r="J170">
        <v>58</v>
      </c>
      <c r="K170" t="str">
        <v>NIKE</v>
      </c>
      <c r="L170" t="str">
        <v>Forecast</v>
      </c>
      <c r="M170" t="str">
        <v>DIE CUT</v>
      </c>
      <c r="O170" t="str">
        <v>MOVE ETD_đã báo SX</v>
      </c>
      <c r="Q170">
        <v>46137</v>
      </c>
      <c r="R170">
        <f>S170-1</f>
        <v>46145</v>
      </c>
      <c r="S170">
        <v>46146</v>
      </c>
      <c r="T170" t="str">
        <v>l1</v>
      </c>
      <c r="V170">
        <f>U170-N170</f>
        <v>0</v>
      </c>
      <c r="W170">
        <v>0</v>
      </c>
      <c r="X170">
        <v>0</v>
      </c>
      <c r="Y170">
        <v>2000</v>
      </c>
      <c r="Z170" t="b">
        <v>1</v>
      </c>
      <c r="AA170" t="str">
        <v>Don't keep</v>
      </c>
      <c r="AF170">
        <f>ROUNDUP(VLOOKUP(F170,'[5]Production BOM'!$F:$R,13,0)*H170,0)</f>
        <v>58</v>
      </c>
      <c r="AG170" t="b">
        <f>AF170=J170</f>
        <v>1</v>
      </c>
      <c r="AH170" t="str">
        <f>VLOOKUP(F170,'[5]Production BOM'!$F:$P,11,0)</f>
        <v>BDB-000162</v>
      </c>
      <c r="AI170" t="b">
        <f>AH170=E170</f>
        <v>1</v>
      </c>
    </row>
    <row r="171">
      <c r="V171">
        <f>U171-N171</f>
        <v>0</v>
      </c>
    </row>
    <row r="172">
      <c r="A172" t="str">
        <v>F-2026-04-174</v>
      </c>
      <c r="B172" t="str">
        <v>RPRO-260415-0099</v>
      </c>
      <c r="C172" t="str">
        <v>20/4</v>
      </c>
      <c r="D172" t="str">
        <v>MPS 14.04</v>
      </c>
      <c r="E172" t="str">
        <v>BDB-000123</v>
      </c>
      <c r="F172" t="str">
        <v>PVN-003300</v>
      </c>
      <c r="G172" t="str">
        <v>OrthoLite Ultra-Hybrid SEEDPEARL/12-0703TPX Hybrid Flat Sheet 0.085D 25+/-4 Asker C 1.1M 2M 2mm</v>
      </c>
      <c r="H172">
        <v>1540</v>
      </c>
      <c r="I172">
        <v>23</v>
      </c>
      <c r="J172">
        <v>23</v>
      </c>
      <c r="L172" t="str">
        <v>MPS</v>
      </c>
      <c r="M172" t="str">
        <v>SPLITTING</v>
      </c>
      <c r="N172">
        <v>290</v>
      </c>
      <c r="Q172">
        <v>46134</v>
      </c>
      <c r="R172">
        <f>S172-1</f>
        <v>46136</v>
      </c>
      <c r="S172">
        <v>46137</v>
      </c>
      <c r="T172" t="str">
        <v>l1</v>
      </c>
      <c r="U172">
        <f>139-103+120+46-2+90</f>
        <v>290</v>
      </c>
      <c r="V172">
        <f>U172-N172</f>
        <v>0</v>
      </c>
      <c r="W172">
        <v>0</v>
      </c>
      <c r="X172">
        <v>0</v>
      </c>
      <c r="Y172">
        <v>1540</v>
      </c>
      <c r="Z172" t="b">
        <v>0</v>
      </c>
      <c r="AF172">
        <f>ROUNDUP(VLOOKUP(F172,'[5]Production BOM'!$F:$R,13,0)*H172,0)</f>
        <v>23</v>
      </c>
      <c r="AG172" t="b">
        <f>AF172=J172</f>
        <v>1</v>
      </c>
      <c r="AH172" t="str">
        <f>VLOOKUP(F172,'[5]Production BOM'!$F:$P,11,0)</f>
        <v>BDB-000123</v>
      </c>
      <c r="AI172" t="b">
        <f>AH172=E172</f>
        <v>1</v>
      </c>
    </row>
    <row r="173">
      <c r="A173" t="str">
        <v>F-2026-02-218</v>
      </c>
      <c r="B173" t="str">
        <v>FPRO-260211-0038</v>
      </c>
      <c r="C173" t="str">
        <v>20/4-21/4</v>
      </c>
      <c r="D173" t="str">
        <v>Firm plan 11.2</v>
      </c>
      <c r="E173" t="str">
        <v>BDB-000123</v>
      </c>
      <c r="F173" t="str">
        <v>PVN-003298</v>
      </c>
      <c r="G173" t="str">
        <v>OrthoLite Ultra-Hybrid SEEDPEARL/12-0703TPX Hybrid 0.085D 25+/-4 Asker C 1.1M 2M 4mm</v>
      </c>
      <c r="H173">
        <v>7000</v>
      </c>
      <c r="I173">
        <v>200</v>
      </c>
      <c r="J173">
        <v>200</v>
      </c>
      <c r="K173" t="str">
        <v>ADIDAS</v>
      </c>
      <c r="L173" t="str">
        <v>Forecast</v>
      </c>
      <c r="M173" t="str">
        <v>SPLITTING</v>
      </c>
      <c r="Q173">
        <v>46134</v>
      </c>
      <c r="R173">
        <f>S173-1</f>
        <v>46136</v>
      </c>
      <c r="S173">
        <v>46137</v>
      </c>
      <c r="T173" t="str">
        <v>l1</v>
      </c>
      <c r="V173">
        <f>U173-N173</f>
        <v>0</v>
      </c>
      <c r="W173">
        <v>0</v>
      </c>
      <c r="X173">
        <v>0</v>
      </c>
      <c r="Y173">
        <v>7000</v>
      </c>
      <c r="Z173" t="b">
        <v>0</v>
      </c>
      <c r="AA173" t="str">
        <v>Don't keep -chưa biết PPC có xếp đc hết theo rq CS Salomon k</v>
      </c>
      <c r="AF173">
        <f>ROUNDUP(VLOOKUP(F173,'[5]Production BOM'!$F:$R,13,0)*H173,0)</f>
        <v>200</v>
      </c>
      <c r="AG173" t="b">
        <f>AF173=J173</f>
        <v>1</v>
      </c>
      <c r="AH173" t="str">
        <f>VLOOKUP(F173,'[5]Production BOM'!$F:$P,11,0)</f>
        <v>BDB-000123</v>
      </c>
      <c r="AI173" t="b">
        <f>AH173=E173</f>
        <v>1</v>
      </c>
    </row>
    <row r="174">
      <c r="A174" t="str">
        <v>F-2026-04-149</v>
      </c>
      <c r="B174" t="str">
        <v>RPRO-260413-0267</v>
      </c>
      <c r="C174" t="str">
        <v>21/4</v>
      </c>
      <c r="D174" t="str">
        <v>MPS 10.4+11.04+12.04</v>
      </c>
      <c r="E174" t="str">
        <v>BDB-000123</v>
      </c>
      <c r="F174" t="str">
        <v>PVN-003315</v>
      </c>
      <c r="G174" t="str">
        <v>OrthoLite Ultra-Hybrid SEEDPEARL/12-0703TPX Hybrid 0.085D 25+/-4 Asker C 1.1M 2M 3.5mm</v>
      </c>
      <c r="H174">
        <v>40</v>
      </c>
      <c r="I174">
        <v>1</v>
      </c>
      <c r="J174">
        <v>1</v>
      </c>
      <c r="L174" t="str">
        <v>MPS</v>
      </c>
      <c r="M174" t="str">
        <v>SPLITTING</v>
      </c>
      <c r="Q174">
        <v>46135</v>
      </c>
      <c r="R174">
        <f>S174-3</f>
        <v>46137</v>
      </c>
      <c r="S174">
        <v>46140</v>
      </c>
      <c r="T174" t="str">
        <v>l1</v>
      </c>
      <c r="V174">
        <f>U174-N174</f>
        <v>0</v>
      </c>
      <c r="W174">
        <v>0</v>
      </c>
      <c r="X174">
        <v>0</v>
      </c>
      <c r="Y174">
        <v>40</v>
      </c>
      <c r="Z174" t="b">
        <v>1</v>
      </c>
      <c r="AF174">
        <f>ROUNDUP(VLOOKUP(F174,'[5]Production BOM'!$F:$R,13,0)*H174,0)</f>
        <v>1</v>
      </c>
      <c r="AG174" t="b">
        <f>AF174=J174</f>
        <v>1</v>
      </c>
      <c r="AH174" t="str">
        <f>VLOOKUP(F174,'[5]Production BOM'!$F:$P,11,0)</f>
        <v>BDB-000123</v>
      </c>
      <c r="AI174" t="b">
        <f>AH174=E174</f>
        <v>1</v>
      </c>
    </row>
    <row r="175">
      <c r="A175" t="str">
        <v>F-2026-02-237-1</v>
      </c>
      <c r="B175" t="str">
        <v>FPRO-260211-0057</v>
      </c>
      <c r="C175" t="str">
        <v>21/4-22/4</v>
      </c>
      <c r="D175" t="str">
        <v>Firm plan 11.2</v>
      </c>
      <c r="E175" t="str">
        <v>BDB-000123</v>
      </c>
      <c r="F175" t="str">
        <v>PVN-003299</v>
      </c>
      <c r="G175" t="str">
        <v>OrthoLite Ultra-Hybrid SEEDPEARL/12-0703TPX Hybrid 0.085D 25+/-4 Asker C 1.1M 2M 3mm</v>
      </c>
      <c r="H175">
        <v>3000</v>
      </c>
      <c r="I175">
        <v>66</v>
      </c>
      <c r="J175">
        <v>66</v>
      </c>
      <c r="K175" t="str">
        <v>ADIDAS</v>
      </c>
      <c r="L175" t="str">
        <v>Forecast</v>
      </c>
      <c r="M175" t="str">
        <v>SPLITTING</v>
      </c>
      <c r="Q175">
        <v>46135</v>
      </c>
      <c r="R175">
        <f>S175-3</f>
        <v>46137</v>
      </c>
      <c r="S175">
        <v>46140</v>
      </c>
      <c r="T175" t="str">
        <v>l1</v>
      </c>
      <c r="V175">
        <f>U175-N175</f>
        <v>0</v>
      </c>
      <c r="W175">
        <v>0</v>
      </c>
      <c r="X175">
        <v>0</v>
      </c>
      <c r="Y175">
        <v>3000</v>
      </c>
      <c r="Z175" t="b">
        <v>0</v>
      </c>
      <c r="AF175">
        <f>ROUNDUP(VLOOKUP(F175,'[5]Production BOM'!$F:$R,13,0)*H175,0)</f>
        <v>66</v>
      </c>
      <c r="AG175" t="b">
        <f>AF175=J175</f>
        <v>1</v>
      </c>
      <c r="AH175" t="str">
        <f>VLOOKUP(F175,'[5]Production BOM'!$F:$P,11,0)</f>
        <v>BDB-000123</v>
      </c>
      <c r="AI175" t="b">
        <f>AH175=E175</f>
        <v>1</v>
      </c>
    </row>
    <row r="176">
      <c r="V176">
        <f>U176-N176</f>
        <v>0</v>
      </c>
    </row>
    <row r="177">
      <c r="A177" t="str">
        <v>F-2026-04-193</v>
      </c>
      <c r="B177" t="str">
        <v>RPRO-260416-0265</v>
      </c>
      <c r="C177" t="str">
        <v>22/4</v>
      </c>
      <c r="D177" t="str">
        <v>MPS 14.04</v>
      </c>
      <c r="E177" t="str">
        <v>BDB-000058</v>
      </c>
      <c r="F177" t="str">
        <v>PVN-001319</v>
      </c>
      <c r="G177" t="str">
        <v>OrthoLite Ultra GREEN/16-5932TPX 0.085D 25+/-4 Asker C 1.1M 2M 5mm</v>
      </c>
      <c r="H177">
        <v>224</v>
      </c>
      <c r="I177">
        <v>8</v>
      </c>
      <c r="J177">
        <v>8</v>
      </c>
      <c r="L177" t="str">
        <v>MPS</v>
      </c>
      <c r="M177" t="str">
        <v>SPLITTING</v>
      </c>
      <c r="N177">
        <f>93-7</f>
        <v>86</v>
      </c>
      <c r="O177" t="str">
        <v xml:space="preserve">W16 đổ dư 7 bun </v>
      </c>
      <c r="P177" t="str">
        <v xml:space="preserve">gấp </v>
      </c>
      <c r="Q177">
        <v>46135</v>
      </c>
      <c r="R177">
        <f>S177-1</f>
        <v>46136</v>
      </c>
      <c r="S177">
        <v>46137</v>
      </c>
      <c r="T177" t="str">
        <v>l1</v>
      </c>
      <c r="U177">
        <f>12+75-8</f>
        <v>79</v>
      </c>
      <c r="V177">
        <f>U177-N177</f>
        <v>-7</v>
      </c>
      <c r="W177">
        <v>0</v>
      </c>
      <c r="X177">
        <v>0</v>
      </c>
      <c r="Y177">
        <v>224</v>
      </c>
      <c r="Z177" t="b">
        <v>0</v>
      </c>
      <c r="AF177">
        <f>ROUNDUP(VLOOKUP(F177,'[5]Production BOM'!$F:$R,13,0)*H177,0)</f>
        <v>8</v>
      </c>
      <c r="AG177" t="b">
        <f>AF177=J177</f>
        <v>1</v>
      </c>
      <c r="AH177" t="str">
        <f>VLOOKUP(F177,'[5]Production BOM'!$F:$P,11,0)</f>
        <v>BDB-000058</v>
      </c>
      <c r="AI177" t="b">
        <f>AH177=E177</f>
        <v>1</v>
      </c>
    </row>
    <row r="178">
      <c r="A178" t="str">
        <v>F-2026-04-147</v>
      </c>
      <c r="B178" t="str">
        <v>RPRO-260413-0265</v>
      </c>
      <c r="C178" t="str">
        <v>22/4</v>
      </c>
      <c r="D178" t="str">
        <v>MPS 10.4+11.04+12.04</v>
      </c>
      <c r="E178" t="str">
        <v>BDB-000058</v>
      </c>
      <c r="F178" t="str">
        <v>PVN-001277</v>
      </c>
      <c r="G178" t="str">
        <v>OrthoLite Ultra GREEN/16-5932TPX Flat Sheet 0.085D 25+/-4 Asker C 1.1M 2M 4mm</v>
      </c>
      <c r="H178">
        <v>1645</v>
      </c>
      <c r="I178">
        <v>47</v>
      </c>
      <c r="J178">
        <v>47</v>
      </c>
      <c r="L178" t="str">
        <v>MPS</v>
      </c>
      <c r="M178" t="str">
        <v>SPLITTING</v>
      </c>
      <c r="N178" t="str">
        <v>93-7</v>
      </c>
      <c r="Q178">
        <v>46135</v>
      </c>
      <c r="R178">
        <f>S178-3</f>
        <v>46137</v>
      </c>
      <c r="S178">
        <v>46140</v>
      </c>
      <c r="T178" t="str">
        <v>l1</v>
      </c>
      <c r="V178" t="e">
        <f>U178-N178</f>
        <v>#VALUE!</v>
      </c>
      <c r="W178">
        <v>0</v>
      </c>
      <c r="X178">
        <v>0</v>
      </c>
      <c r="Y178">
        <v>1645</v>
      </c>
      <c r="Z178" t="b">
        <v>1</v>
      </c>
      <c r="AF178">
        <f>ROUNDUP(VLOOKUP(F178,'[5]Production BOM'!$F:$R,13,0)*H178,0)</f>
        <v>47</v>
      </c>
      <c r="AG178" t="b">
        <f>AF178=J178</f>
        <v>1</v>
      </c>
      <c r="AH178" t="str">
        <f>VLOOKUP(F178,'[5]Production BOM'!$F:$P,11,0)</f>
        <v>BDB-000058</v>
      </c>
      <c r="AI178" t="b">
        <f>AH178=E178</f>
        <v>1</v>
      </c>
    </row>
    <row r="179">
      <c r="A179" t="str">
        <v>F-2026-04-192</v>
      </c>
      <c r="B179" t="str">
        <v>RPRO-260416-0264</v>
      </c>
      <c r="C179" t="str">
        <v>22/4</v>
      </c>
      <c r="D179" t="str">
        <v>MPS 14.04</v>
      </c>
      <c r="E179" t="str">
        <v>BDB-000058</v>
      </c>
      <c r="F179" t="str">
        <v>PVN-001277</v>
      </c>
      <c r="G179" t="str">
        <v>OrthoLite Ultra GREEN/16-5932TPX Flat Sheet 0.085D 25+/-4 Asker C 1.1M 2M 4mm</v>
      </c>
      <c r="H179">
        <v>1330</v>
      </c>
      <c r="I179">
        <v>38</v>
      </c>
      <c r="J179">
        <v>38</v>
      </c>
      <c r="L179" t="str">
        <v>MPS</v>
      </c>
      <c r="M179" t="str">
        <v>SPLITTING</v>
      </c>
      <c r="Q179">
        <v>46140</v>
      </c>
      <c r="R179">
        <f>S179-1</f>
        <v>46146</v>
      </c>
      <c r="S179">
        <v>46147</v>
      </c>
      <c r="T179" t="str">
        <v>l1</v>
      </c>
      <c r="V179">
        <f>U179-N179</f>
        <v>0</v>
      </c>
      <c r="W179">
        <v>0</v>
      </c>
      <c r="X179">
        <v>0</v>
      </c>
      <c r="Y179">
        <v>1330</v>
      </c>
      <c r="Z179" t="b">
        <v>1</v>
      </c>
      <c r="AF179">
        <f>ROUNDUP(VLOOKUP(F179,'[5]Production BOM'!$F:$R,13,0)*H179,0)</f>
        <v>38</v>
      </c>
      <c r="AG179" t="b">
        <f>AF179=J179</f>
        <v>1</v>
      </c>
      <c r="AH179" t="str">
        <f>VLOOKUP(F179,'[5]Production BOM'!$F:$P,11,0)</f>
        <v>BDB-000058</v>
      </c>
      <c r="AI179" t="b">
        <f>AH179=E179</f>
        <v>1</v>
      </c>
    </row>
    <row r="180">
      <c r="V180">
        <f>U180-N180</f>
        <v>0</v>
      </c>
    </row>
    <row r="181">
      <c r="A181" t="str">
        <v>F-2026-04-145</v>
      </c>
      <c r="B181" t="str">
        <v>RPRO-260413-0263</v>
      </c>
      <c r="C181" t="str">
        <v>22/4</v>
      </c>
      <c r="D181" t="str">
        <v>MPS 10.4+11.04+12.04</v>
      </c>
      <c r="E181" t="str">
        <v>BDB-000057</v>
      </c>
      <c r="F181" t="str">
        <v>PVN-000981</v>
      </c>
      <c r="G181" t="str">
        <v>OrthoLite Ultra YELLOW/13-0858TPX Flat Sheet 0.085D 25+/-4 Asker C 1.1M 2M 3mm</v>
      </c>
      <c r="H181">
        <v>184</v>
      </c>
      <c r="I181">
        <v>5</v>
      </c>
      <c r="J181">
        <v>5</v>
      </c>
      <c r="L181" t="str">
        <v>MPS</v>
      </c>
      <c r="M181" t="str">
        <v>SPLITTING</v>
      </c>
      <c r="N181">
        <v>5</v>
      </c>
      <c r="Q181">
        <v>46135</v>
      </c>
      <c r="R181">
        <f>S181-3</f>
        <v>46137</v>
      </c>
      <c r="S181">
        <v>46140</v>
      </c>
      <c r="T181" t="str">
        <v>l1</v>
      </c>
      <c r="U181">
        <v>5</v>
      </c>
      <c r="V181">
        <f>U181-N181</f>
        <v>0</v>
      </c>
      <c r="W181">
        <v>0</v>
      </c>
      <c r="X181">
        <v>0</v>
      </c>
      <c r="Y181">
        <v>184</v>
      </c>
      <c r="Z181" t="b">
        <v>1</v>
      </c>
      <c r="AF181">
        <f>ROUNDUP(VLOOKUP(F181,'[5]Production BOM'!$F:$R,13,0)*H181,0)</f>
        <v>5</v>
      </c>
      <c r="AG181" t="b">
        <f>AF181=J181</f>
        <v>1</v>
      </c>
      <c r="AH181" t="str">
        <f>VLOOKUP(F181,'[5]Production BOM'!$F:$P,11,0)</f>
        <v>BDB-000057</v>
      </c>
      <c r="AI181" t="b">
        <f>AH181=E181</f>
        <v>1</v>
      </c>
    </row>
    <row r="182">
      <c r="V182">
        <f>U182-N182</f>
        <v>0</v>
      </c>
    </row>
    <row r="183">
      <c r="A183" t="str">
        <v>F-2026-04-146</v>
      </c>
      <c r="B183" t="str">
        <v>RPRO-260413-0264</v>
      </c>
      <c r="C183" t="str">
        <v>22/4</v>
      </c>
      <c r="D183" t="str">
        <v>MPS 10.4+11.04+12.04</v>
      </c>
      <c r="E183" t="str">
        <v>BDB-000085</v>
      </c>
      <c r="F183" t="str">
        <v>PVN-001091</v>
      </c>
      <c r="G183" t="str">
        <v>OrthoLite Eco LT GREY/17-1501TPX Flat Sheet 0.11D 25+/-4 Asker C 1.1M 2M 4mm</v>
      </c>
      <c r="H183">
        <v>70</v>
      </c>
      <c r="I183">
        <v>2</v>
      </c>
      <c r="J183">
        <v>2</v>
      </c>
      <c r="L183" t="str">
        <v>MPS</v>
      </c>
      <c r="M183" t="str">
        <v>SPLITTING</v>
      </c>
      <c r="N183">
        <v>2</v>
      </c>
      <c r="Q183">
        <v>46135</v>
      </c>
      <c r="R183">
        <f>S183-3</f>
        <v>46137</v>
      </c>
      <c r="S183">
        <v>46140</v>
      </c>
      <c r="T183" t="str">
        <v>l1</v>
      </c>
      <c r="U183">
        <v>2</v>
      </c>
      <c r="V183">
        <f>U183-N183</f>
        <v>0</v>
      </c>
      <c r="W183">
        <v>0</v>
      </c>
      <c r="X183">
        <v>0</v>
      </c>
      <c r="Y183">
        <v>70</v>
      </c>
      <c r="Z183" t="b">
        <v>1</v>
      </c>
      <c r="AF183">
        <f>ROUNDUP(VLOOKUP(F183,'[5]Production BOM'!$F:$R,13,0)*H183,0)</f>
        <v>2</v>
      </c>
      <c r="AG183" t="b">
        <f>AF183=J183</f>
        <v>1</v>
      </c>
      <c r="AH183" t="str">
        <f>VLOOKUP(F183,'[5]Production BOM'!$F:$P,11,0)</f>
        <v>BDB-000085</v>
      </c>
      <c r="AI183" t="b">
        <f>AH183=E183</f>
        <v>1</v>
      </c>
    </row>
    <row r="184">
      <c r="V184">
        <f>U184-N184</f>
        <v>0</v>
      </c>
    </row>
    <row r="185">
      <c r="A185" t="str">
        <v>F-2026-04-196</v>
      </c>
      <c r="B185" t="str">
        <v>RPRO-260416-0268</v>
      </c>
      <c r="C185" t="str">
        <v>22/4</v>
      </c>
      <c r="D185" t="str">
        <v>Pro.sche.report 14.04</v>
      </c>
      <c r="E185" t="str">
        <v>BDB-000008</v>
      </c>
      <c r="F185" t="str">
        <v>PVN-000505</v>
      </c>
      <c r="G185" t="str">
        <v>OrthoLite Regular LIME GREEN/14-0452TPX Flat Sheet 0.11D 25+/-4 Asker C 1.1M 2M 12mm</v>
      </c>
      <c r="H185">
        <v>22</v>
      </c>
      <c r="I185">
        <v>2</v>
      </c>
      <c r="J185">
        <v>2</v>
      </c>
      <c r="K185" t="str">
        <v>ASICS</v>
      </c>
      <c r="L185" t="str">
        <v>Pr.Sch.R</v>
      </c>
      <c r="M185" t="str">
        <v>MOLDED</v>
      </c>
      <c r="N185">
        <v>2</v>
      </c>
      <c r="Q185">
        <v>46140</v>
      </c>
      <c r="R185">
        <f>S185-1</f>
        <v>46146</v>
      </c>
      <c r="S185">
        <v>46147</v>
      </c>
      <c r="T185" t="str">
        <v>l1</v>
      </c>
      <c r="U185">
        <v>2</v>
      </c>
      <c r="V185">
        <f>U185-N185</f>
        <v>0</v>
      </c>
      <c r="W185">
        <v>0</v>
      </c>
      <c r="X185">
        <v>0</v>
      </c>
      <c r="Y185">
        <v>22</v>
      </c>
      <c r="Z185" t="b">
        <v>1</v>
      </c>
      <c r="AF185">
        <f>ROUNDUP(VLOOKUP(F185,'[5]Production BOM'!$F:$R,13,0)*H185,0)</f>
        <v>2</v>
      </c>
      <c r="AG185" t="b">
        <f>AF185=J185</f>
        <v>1</v>
      </c>
      <c r="AH185" t="str">
        <f>VLOOKUP(F185,'[5]Production BOM'!$F:$P,11,0)</f>
        <v>BDB-000008</v>
      </c>
      <c r="AI185" t="b">
        <f>AH185=E185</f>
        <v>1</v>
      </c>
    </row>
    <row r="186">
      <c r="V186">
        <f>U186-N186</f>
        <v>0</v>
      </c>
    </row>
    <row r="187">
      <c r="A187" t="str">
        <v>F-2026-04-199</v>
      </c>
      <c r="B187" t="str">
        <v>RPRO-260416-0271</v>
      </c>
      <c r="C187" t="str">
        <v>22/4</v>
      </c>
      <c r="D187" t="str">
        <v>Pro.sche.report 14.04</v>
      </c>
      <c r="E187" t="str">
        <v>BDB-000130</v>
      </c>
      <c r="F187" t="str">
        <v>PVN-001585</v>
      </c>
      <c r="G187" t="str">
        <v>OrthoLite Regular-Nike AIR BLUE/16-4134TPX Flat Sheet 0.13D 35+/-4 Asker C 1.1M 2M 6mm</v>
      </c>
      <c r="H187">
        <v>851</v>
      </c>
      <c r="I187">
        <v>38</v>
      </c>
      <c r="J187">
        <v>38</v>
      </c>
      <c r="K187" t="str">
        <v>NIKE</v>
      </c>
      <c r="L187" t="str">
        <v>Pr.Sch.R</v>
      </c>
      <c r="M187" t="str">
        <v>MOLDED</v>
      </c>
      <c r="N187">
        <v>38</v>
      </c>
      <c r="Q187">
        <v>46135</v>
      </c>
      <c r="R187">
        <f>S187-3</f>
        <v>46137</v>
      </c>
      <c r="S187">
        <v>46140</v>
      </c>
      <c r="T187" t="str">
        <v>l1</v>
      </c>
      <c r="U187">
        <v>38</v>
      </c>
      <c r="V187">
        <f>U187-N187</f>
        <v>0</v>
      </c>
      <c r="W187">
        <v>0</v>
      </c>
      <c r="X187">
        <v>0</v>
      </c>
      <c r="Y187">
        <v>851</v>
      </c>
      <c r="Z187" t="b">
        <v>0</v>
      </c>
      <c r="AF187">
        <f>ROUNDUP(VLOOKUP(F187,'[5]Production BOM'!$F:$R,13,0)*H187,0)</f>
        <v>38</v>
      </c>
      <c r="AG187" t="b">
        <f>AF187=J187</f>
        <v>1</v>
      </c>
      <c r="AH187" t="str">
        <f>VLOOKUP(F187,'[5]Production BOM'!$F:$P,11,0)</f>
        <v>BDB-000130</v>
      </c>
      <c r="AI187" t="b">
        <f>AH187=E187</f>
        <v>1</v>
      </c>
    </row>
    <row r="188">
      <c r="V188">
        <f>U188-N188</f>
        <v>0</v>
      </c>
    </row>
    <row r="189">
      <c r="A189" t="str">
        <v>F-2026-03-471</v>
      </c>
      <c r="B189" t="str">
        <v>FPRO-260324-0043</v>
      </c>
      <c r="C189" t="str">
        <v>22/4-23/4</v>
      </c>
      <c r="D189" t="str">
        <v>Firm plan 24.3</v>
      </c>
      <c r="E189" t="str">
        <v>BDB-000129</v>
      </c>
      <c r="F189" t="str">
        <v>PVN-001550</v>
      </c>
      <c r="G189" t="str">
        <v>OrthoLite Regular-Nike AIR BLUE/16-4134TPX 0.11D 25+/-4 Asker C 1.1M 1.7M 2mm</v>
      </c>
      <c r="H189">
        <v>2500</v>
      </c>
      <c r="I189">
        <v>36</v>
      </c>
      <c r="J189">
        <v>36</v>
      </c>
      <c r="K189" t="str">
        <v>NIKE</v>
      </c>
      <c r="L189" t="str">
        <v>Forecast</v>
      </c>
      <c r="M189" t="str">
        <v>DIE CUT</v>
      </c>
      <c r="N189">
        <v>72</v>
      </c>
      <c r="P189" t="str">
        <v xml:space="preserve">gấp </v>
      </c>
      <c r="Q189">
        <v>46136</v>
      </c>
      <c r="R189">
        <f>S189-3</f>
        <v>46137</v>
      </c>
      <c r="S189">
        <v>46140</v>
      </c>
      <c r="T189" t="str">
        <v>l1</v>
      </c>
      <c r="U189">
        <v>72</v>
      </c>
      <c r="V189">
        <f>U189-N189</f>
        <v>0</v>
      </c>
      <c r="W189">
        <v>0</v>
      </c>
      <c r="X189">
        <v>0</v>
      </c>
      <c r="Y189">
        <v>2500</v>
      </c>
      <c r="Z189" t="b">
        <v>1</v>
      </c>
      <c r="AF189">
        <f>ROUNDUP(VLOOKUP(F189,'[5]Production BOM'!$F:$R,13,0)*H189,0)</f>
        <v>36</v>
      </c>
      <c r="AG189" t="b">
        <f>AF189=J189</f>
        <v>1</v>
      </c>
      <c r="AH189" t="str">
        <f>VLOOKUP(F189,'[5]Production BOM'!$F:$P,11,0)</f>
        <v>BDB-000129</v>
      </c>
      <c r="AI189" t="b">
        <f>AH189=E189</f>
        <v>1</v>
      </c>
    </row>
    <row r="190">
      <c r="A190" t="str">
        <v>F-2026-03-470</v>
      </c>
      <c r="B190" t="str">
        <v>FPRO-260324-0042</v>
      </c>
      <c r="C190" t="str">
        <v>23/4</v>
      </c>
      <c r="D190" t="str">
        <v>Firm plan 24.3</v>
      </c>
      <c r="E190" t="str">
        <v>BDB-000129</v>
      </c>
      <c r="F190" t="str">
        <v>PVN-001550</v>
      </c>
      <c r="G190" t="str">
        <v>OrthoLite Regular-Nike AIR BLUE/16-4134TPX 0.11D 25+/-4 Asker C 1.1M 1.7M 2mm</v>
      </c>
      <c r="H190">
        <v>2500</v>
      </c>
      <c r="I190">
        <v>36</v>
      </c>
      <c r="J190">
        <v>36</v>
      </c>
      <c r="K190" t="str">
        <v>NIKE</v>
      </c>
      <c r="L190" t="str">
        <v>Forecast</v>
      </c>
      <c r="M190" t="str">
        <v>DIE CUT</v>
      </c>
      <c r="Q190">
        <v>46137</v>
      </c>
      <c r="R190">
        <f>S190-5</f>
        <v>46141</v>
      </c>
      <c r="S190">
        <v>46146</v>
      </c>
      <c r="T190" t="str">
        <v>l1</v>
      </c>
      <c r="V190">
        <f>U190-N190</f>
        <v>0</v>
      </c>
      <c r="W190">
        <v>0</v>
      </c>
      <c r="X190">
        <v>0</v>
      </c>
      <c r="Y190">
        <v>2500</v>
      </c>
      <c r="Z190" t="b">
        <v>0</v>
      </c>
      <c r="AB190" t="str">
        <v>keep ETD</v>
      </c>
      <c r="AF190">
        <f>ROUNDUP(VLOOKUP(F190,'[5]Production BOM'!$F:$R,13,0)*H190,0)</f>
        <v>36</v>
      </c>
      <c r="AG190" t="b">
        <f>AF190=J190</f>
        <v>1</v>
      </c>
      <c r="AH190" t="str">
        <f>VLOOKUP(F190,'[5]Production BOM'!$F:$P,11,0)</f>
        <v>BDB-000129</v>
      </c>
      <c r="AI190" t="b">
        <f>AH190=E190</f>
        <v>1</v>
      </c>
    </row>
    <row r="191">
      <c r="V191">
        <f>U191-N191</f>
        <v>0</v>
      </c>
    </row>
    <row r="192">
      <c r="A192" t="str">
        <v>F-2026-01-395-2</v>
      </c>
      <c r="B192" t="str">
        <v>FPRO-260401-0013</v>
      </c>
      <c r="C192" t="str">
        <v>23/4</v>
      </c>
      <c r="D192" t="str">
        <v>Firm plan 28.01</v>
      </c>
      <c r="E192" t="str">
        <v>BDB-000160</v>
      </c>
      <c r="F192" t="str">
        <v>PVN-001562</v>
      </c>
      <c r="G192" t="str">
        <v>OrthoLite Ultra-Nike LIME GREEN/14-0452TPX 0.085D 25+/-4 Asker C 1.1M 2M 4mm</v>
      </c>
      <c r="H192">
        <v>1500</v>
      </c>
      <c r="I192">
        <v>43</v>
      </c>
      <c r="J192">
        <v>43</v>
      </c>
      <c r="K192" t="str">
        <v>NIKE</v>
      </c>
      <c r="L192" t="str">
        <v>Forecast</v>
      </c>
      <c r="M192" t="str">
        <v>DIE CUT</v>
      </c>
      <c r="N192">
        <v>43</v>
      </c>
      <c r="Q192">
        <v>46137</v>
      </c>
      <c r="R192">
        <f>S192-5</f>
        <v>46141</v>
      </c>
      <c r="S192">
        <v>46146</v>
      </c>
      <c r="T192" t="str">
        <v>l1</v>
      </c>
      <c r="U192">
        <f>47-2-2</f>
        <v>43</v>
      </c>
      <c r="V192">
        <f>U192-N192</f>
        <v>0</v>
      </c>
      <c r="W192">
        <v>0</v>
      </c>
      <c r="X192">
        <v>0</v>
      </c>
      <c r="Y192">
        <v>1500</v>
      </c>
      <c r="Z192" t="b">
        <v>0</v>
      </c>
      <c r="AB192" t="str">
        <v>keep ETD</v>
      </c>
      <c r="AF192">
        <f>ROUNDUP(VLOOKUP(F192,'[5]Production BOM'!$F:$R,13,0)*H192,0)</f>
        <v>43</v>
      </c>
      <c r="AG192" t="b">
        <f>AF192=J192</f>
        <v>1</v>
      </c>
      <c r="AH192" t="str">
        <f>VLOOKUP(F192,'[5]Production BOM'!$F:$P,11,0)</f>
        <v>BDB-000160</v>
      </c>
      <c r="AI192" t="b">
        <f>AH192=E192</f>
        <v>1</v>
      </c>
    </row>
    <row r="193">
      <c r="V193">
        <f>U193-N193</f>
        <v>0</v>
      </c>
    </row>
    <row r="194">
      <c r="A194" t="str">
        <v>F-2026-02-296</v>
      </c>
      <c r="B194" t="str">
        <v>FPRO-260212-0047</v>
      </c>
      <c r="C194" t="str">
        <v>23/4</v>
      </c>
      <c r="D194" t="str">
        <v>Firm plan 12.02</v>
      </c>
      <c r="E194" t="str">
        <v>BDB-000164</v>
      </c>
      <c r="F194" t="str">
        <v>PVN-001618</v>
      </c>
      <c r="G194" t="str">
        <v>OrthoLite Ultra-Nike GREY/17-1501TPX 0.085D 25+/-4 Asker C 1.1M 2M 4mm</v>
      </c>
      <c r="H194">
        <v>500</v>
      </c>
      <c r="I194">
        <v>15</v>
      </c>
      <c r="J194">
        <v>15</v>
      </c>
      <c r="K194" t="str">
        <v>NIKE</v>
      </c>
      <c r="L194" t="str">
        <v>Forecast</v>
      </c>
      <c r="M194" t="str">
        <v>DIE CUT</v>
      </c>
      <c r="N194">
        <v>15</v>
      </c>
      <c r="Q194">
        <v>46137</v>
      </c>
      <c r="R194">
        <f>S194-5</f>
        <v>46141</v>
      </c>
      <c r="S194">
        <v>46146</v>
      </c>
      <c r="T194" t="str">
        <v>l1</v>
      </c>
      <c r="U194">
        <v>15</v>
      </c>
      <c r="V194">
        <f>U194-N194</f>
        <v>0</v>
      </c>
      <c r="W194">
        <v>0</v>
      </c>
      <c r="X194">
        <v>0</v>
      </c>
      <c r="Y194">
        <v>500</v>
      </c>
      <c r="Z194" t="b">
        <v>0</v>
      </c>
      <c r="AB194" t="str">
        <v>keep ETD</v>
      </c>
      <c r="AF194">
        <f>ROUNDUP(VLOOKUP(F194,'[5]Production BOM'!$F:$R,13,0)*H194,0)</f>
        <v>15</v>
      </c>
      <c r="AG194" t="b">
        <f>AF194=J194</f>
        <v>1</v>
      </c>
      <c r="AH194" t="str">
        <f>VLOOKUP(F194,'[5]Production BOM'!$F:$P,11,0)</f>
        <v>BDB-000164</v>
      </c>
      <c r="AI194" t="b">
        <f>AH194=E194</f>
        <v>1</v>
      </c>
    </row>
    <row r="195">
      <c r="V195">
        <f>U195-N195</f>
        <v>0</v>
      </c>
    </row>
    <row r="196">
      <c r="A196" t="str">
        <v>F-2026-04-261</v>
      </c>
      <c r="B196" t="str">
        <v>RPRO-260417-0234</v>
      </c>
      <c r="C196" t="str">
        <v>23/4</v>
      </c>
      <c r="D196" t="str">
        <v>Pro.sche.report 16.4</v>
      </c>
      <c r="E196" t="str">
        <v>BDB-000126</v>
      </c>
      <c r="F196" t="str">
        <v>PVN-002325</v>
      </c>
      <c r="G196" t="str">
        <v>OrthoLite Regular-Nike RED/19-1764TPX Flat Sheet 0.11D 25+/-4 Asker C 1.1M 2M 5.2mm</v>
      </c>
      <c r="H196">
        <v>260</v>
      </c>
      <c r="I196">
        <v>10</v>
      </c>
      <c r="J196">
        <v>10</v>
      </c>
      <c r="K196" t="str">
        <v>NIKE</v>
      </c>
      <c r="L196" t="str">
        <v>Pr.Sch.R</v>
      </c>
      <c r="M196" t="str">
        <v>MOLDED</v>
      </c>
      <c r="N196">
        <v>10</v>
      </c>
      <c r="Q196">
        <v>46141</v>
      </c>
      <c r="R196">
        <f>S196-1</f>
        <v>46147</v>
      </c>
      <c r="S196">
        <v>46148</v>
      </c>
      <c r="T196" t="str">
        <v>l1</v>
      </c>
      <c r="U196">
        <v>10</v>
      </c>
      <c r="V196">
        <f>U196-N196</f>
        <v>0</v>
      </c>
      <c r="W196">
        <v>0</v>
      </c>
      <c r="X196">
        <v>0</v>
      </c>
      <c r="Y196">
        <v>260</v>
      </c>
      <c r="Z196" t="b">
        <v>1</v>
      </c>
      <c r="AF196">
        <f>ROUNDUP(VLOOKUP(F196,'[5]Production BOM'!$F:$R,13,0)*H196,0)</f>
        <v>10</v>
      </c>
      <c r="AG196" t="b">
        <f>AF196=J196</f>
        <v>1</v>
      </c>
      <c r="AH196" t="str">
        <f>VLOOKUP(F196,'[5]Production BOM'!$F:$P,11,0)</f>
        <v>BDB-000126</v>
      </c>
      <c r="AI196" t="b">
        <f>AH196=E196</f>
        <v>1</v>
      </c>
    </row>
    <row r="197">
      <c r="V197">
        <f>U197-N197</f>
        <v>0</v>
      </c>
    </row>
    <row r="198">
      <c r="A198" t="str">
        <v>F-2026-04-201</v>
      </c>
      <c r="B198" t="str">
        <v>RPRO-260416-0273</v>
      </c>
      <c r="C198" t="str">
        <v>23/4</v>
      </c>
      <c r="D198" t="str">
        <v>Pro.sche.report 14.04</v>
      </c>
      <c r="E198" t="str">
        <v>BDB-000004</v>
      </c>
      <c r="F198" t="str">
        <v>PVN-000060</v>
      </c>
      <c r="G198" t="str">
        <v>OrthoLite Regular GREY/17-1501TPX Flat Sheet 0.11D 25+/-4 Asker C 1.1M 2M 14mm</v>
      </c>
      <c r="H198">
        <v>180</v>
      </c>
      <c r="I198">
        <v>20</v>
      </c>
      <c r="J198">
        <v>20</v>
      </c>
      <c r="K198" t="str">
        <v>DANNER</v>
      </c>
      <c r="L198" t="str">
        <v>Pr.Sch.R</v>
      </c>
      <c r="M198" t="str">
        <v>MOLDED</v>
      </c>
      <c r="N198">
        <v>21</v>
      </c>
      <c r="Q198">
        <v>46140</v>
      </c>
      <c r="R198">
        <f>S198-1</f>
        <v>46146</v>
      </c>
      <c r="S198">
        <v>46147</v>
      </c>
      <c r="T198" t="str">
        <v>l1</v>
      </c>
      <c r="U198">
        <v>21</v>
      </c>
      <c r="V198">
        <f>U198-N198</f>
        <v>0</v>
      </c>
      <c r="W198">
        <v>0</v>
      </c>
      <c r="X198">
        <v>0</v>
      </c>
      <c r="Y198">
        <v>180</v>
      </c>
      <c r="Z198" t="b">
        <v>1</v>
      </c>
      <c r="AF198">
        <f>ROUNDUP(VLOOKUP(F198,'[5]Production BOM'!$F:$R,13,0)*H198,0)</f>
        <v>20</v>
      </c>
      <c r="AG198" t="b">
        <f>AF198=J198</f>
        <v>1</v>
      </c>
      <c r="AH198" t="str">
        <f>VLOOKUP(F198,'[5]Production BOM'!$F:$P,11,0)</f>
        <v>BDB-000004</v>
      </c>
      <c r="AI198" t="b">
        <f>AH198=E198</f>
        <v>1</v>
      </c>
    </row>
    <row r="199">
      <c r="A199" t="str">
        <v>F-2026-04-269</v>
      </c>
      <c r="B199" t="str">
        <v>RPRO-260417-0242</v>
      </c>
      <c r="C199" t="str">
        <v>23/4</v>
      </c>
      <c r="D199" t="str">
        <v>Pro.sche.report 16.4</v>
      </c>
      <c r="E199" t="str">
        <v>BDB-000004</v>
      </c>
      <c r="F199" t="str">
        <v>PVN-004003</v>
      </c>
      <c r="G199" t="str">
        <v>OrthoLite Regular GREY/17-1501TPX Flat Sheet 0.11D 25+/-4 Asker C 1.1M 2M 11mm</v>
      </c>
      <c r="H199">
        <v>12</v>
      </c>
      <c r="I199">
        <v>1</v>
      </c>
      <c r="J199">
        <v>1</v>
      </c>
      <c r="K199" t="str">
        <v>DANNER</v>
      </c>
      <c r="L199" t="str">
        <v>Pr.Sch.R</v>
      </c>
      <c r="M199" t="str">
        <v>MOLDED</v>
      </c>
      <c r="O199" t="str">
        <v>ppc/pur imp-đã nhắc sx</v>
      </c>
      <c r="Q199">
        <v>46137</v>
      </c>
      <c r="R199">
        <f>S199-1</f>
        <v>46140</v>
      </c>
      <c r="S199">
        <v>46141</v>
      </c>
      <c r="T199" t="str">
        <v>l1</v>
      </c>
      <c r="V199">
        <f>U199-N199</f>
        <v>0</v>
      </c>
      <c r="W199">
        <v>0</v>
      </c>
      <c r="X199">
        <v>0</v>
      </c>
      <c r="Y199">
        <v>12</v>
      </c>
      <c r="Z199" t="b">
        <v>1</v>
      </c>
      <c r="AF199">
        <f>ROUNDUP(VLOOKUP(F199,'[5]Production BOM'!$F:$R,13,0)*H199,0)</f>
        <v>1</v>
      </c>
      <c r="AG199" t="b">
        <f>AF199=J199</f>
        <v>1</v>
      </c>
      <c r="AH199" t="str">
        <f>VLOOKUP(F199,'[5]Production BOM'!$F:$P,11,0)</f>
        <v>BDB-000004</v>
      </c>
      <c r="AI199" t="b">
        <f>AH199=E199</f>
        <v>1</v>
      </c>
    </row>
    <row r="200">
      <c r="V200">
        <f>U200-N200</f>
        <v>0</v>
      </c>
    </row>
    <row r="201">
      <c r="A201" t="str">
        <v>F-2026-04-268</v>
      </c>
      <c r="B201" t="str">
        <v>RPRO-260417-0241</v>
      </c>
      <c r="C201" t="str">
        <v>23/4</v>
      </c>
      <c r="D201" t="str">
        <v>Pro.sche.report 16.4</v>
      </c>
      <c r="E201" t="str">
        <v>BDB-000349</v>
      </c>
      <c r="F201" t="str">
        <v>PVN-004352</v>
      </c>
      <c r="G201" t="str">
        <v>OrthoLite Ultra GREEN/16-5932TPX Flat Sheet 0.085D 15+/-4 Asker C 1.1M 2M 11mm</v>
      </c>
      <c r="H201">
        <v>168</v>
      </c>
      <c r="I201">
        <v>14</v>
      </c>
      <c r="J201">
        <v>14</v>
      </c>
      <c r="K201" t="str">
        <v>BLACKYAK</v>
      </c>
      <c r="L201" t="str">
        <v>Pr.Sch.R</v>
      </c>
      <c r="M201" t="str">
        <v>MOLDED</v>
      </c>
      <c r="N201">
        <v>14</v>
      </c>
      <c r="Q201">
        <v>46141</v>
      </c>
      <c r="R201">
        <f>S201-1</f>
        <v>46147</v>
      </c>
      <c r="S201">
        <v>46148</v>
      </c>
      <c r="T201" t="str">
        <v>l1</v>
      </c>
      <c r="U201">
        <v>14</v>
      </c>
      <c r="V201">
        <f>U201-N201</f>
        <v>0</v>
      </c>
      <c r="W201">
        <v>0</v>
      </c>
      <c r="X201">
        <v>0</v>
      </c>
      <c r="Y201">
        <v>168</v>
      </c>
      <c r="Z201" t="b">
        <v>1</v>
      </c>
      <c r="AF201">
        <f>ROUNDUP(VLOOKUP(F201,'[5]Production BOM'!$F:$R,13,0)*H201,0)</f>
        <v>14</v>
      </c>
      <c r="AG201" t="b">
        <f>AF201=J201</f>
        <v>1</v>
      </c>
      <c r="AH201" t="str">
        <f>VLOOKUP(F201,'[5]Production BOM'!$F:$P,11,0)</f>
        <v>BDB-000349</v>
      </c>
      <c r="AI201" t="b">
        <f>AH201=E201</f>
        <v>1</v>
      </c>
    </row>
    <row r="202">
      <c r="V202">
        <f>U202-N202</f>
        <v>0</v>
      </c>
    </row>
    <row r="203">
      <c r="A203" t="str">
        <v>F-2026-04-258</v>
      </c>
      <c r="B203" t="str">
        <v>RPRO-260417-0231</v>
      </c>
      <c r="C203" t="str">
        <v>23/4</v>
      </c>
      <c r="D203" t="str">
        <v>MPS 16.4</v>
      </c>
      <c r="E203" t="str">
        <v>BDB-000200</v>
      </c>
      <c r="F203" t="str">
        <v>PVN-003418</v>
      </c>
      <c r="G203" t="str">
        <v>OrthoLite Ultra SEEDPEARL/12-0703TPX Flat Sheet 0.085D 78-90 Asker F 1.1M 2M 5mm</v>
      </c>
      <c r="H203">
        <v>140</v>
      </c>
      <c r="I203">
        <v>5</v>
      </c>
      <c r="J203">
        <v>5</v>
      </c>
      <c r="L203" t="str">
        <v>MPS</v>
      </c>
      <c r="M203" t="str">
        <v>SPLITTING</v>
      </c>
      <c r="N203">
        <v>37</v>
      </c>
      <c r="O203" t="str">
        <v>ppc/pur imp-đã nhắc sx</v>
      </c>
      <c r="Q203">
        <v>46137</v>
      </c>
      <c r="R203">
        <f>S203-1</f>
        <v>46140</v>
      </c>
      <c r="S203">
        <v>46141</v>
      </c>
      <c r="T203" t="str">
        <v>l1</v>
      </c>
      <c r="U203">
        <f>24+13</f>
        <v>37</v>
      </c>
      <c r="V203">
        <f>U203-N203</f>
        <v>0</v>
      </c>
      <c r="W203">
        <v>0</v>
      </c>
      <c r="X203">
        <v>0</v>
      </c>
      <c r="Y203">
        <v>140</v>
      </c>
      <c r="Z203" t="b">
        <v>1</v>
      </c>
      <c r="AF203">
        <f>ROUNDUP(VLOOKUP(F203,'[5]Production BOM'!$F:$R,13,0)*H203,0)</f>
        <v>5</v>
      </c>
      <c r="AG203" t="b">
        <f>AF203=J203</f>
        <v>1</v>
      </c>
      <c r="AH203" t="str">
        <f>VLOOKUP(F203,'[5]Production BOM'!$F:$P,11,0)</f>
        <v>BDB-000200</v>
      </c>
      <c r="AI203" t="b">
        <f>AH203=E203</f>
        <v>1</v>
      </c>
    </row>
    <row r="204">
      <c r="A204" t="str">
        <v>F-2026-04-259</v>
      </c>
      <c r="B204" t="str">
        <v>RPRO-260417-0232</v>
      </c>
      <c r="C204" t="str">
        <v>23/4-24/4</v>
      </c>
      <c r="D204" t="str">
        <v>MPS 16.4</v>
      </c>
      <c r="E204" t="str">
        <v>BDB-000200</v>
      </c>
      <c r="F204" t="str">
        <v>PVN-003425</v>
      </c>
      <c r="G204" t="str">
        <v>OrthoLite Ultra SEEDPEARL/12-0703TPX Flat Sheet 0.085D 78-90 Asker F 1.1M 2M 4mm</v>
      </c>
      <c r="H204">
        <v>1120</v>
      </c>
      <c r="I204">
        <v>32</v>
      </c>
      <c r="J204">
        <v>32</v>
      </c>
      <c r="L204" t="str">
        <v>MPS</v>
      </c>
      <c r="M204" t="str">
        <v>SPLITTING</v>
      </c>
      <c r="O204" t="str">
        <v>ppc/pur imp-đã nhắc sx</v>
      </c>
      <c r="Q204">
        <v>46137</v>
      </c>
      <c r="R204">
        <f>S204-1</f>
        <v>46140</v>
      </c>
      <c r="S204">
        <v>46141</v>
      </c>
      <c r="T204" t="str">
        <v>l1</v>
      </c>
      <c r="V204">
        <f>U204-N204</f>
        <v>0</v>
      </c>
      <c r="W204">
        <v>0</v>
      </c>
      <c r="X204">
        <v>0</v>
      </c>
      <c r="Y204">
        <v>1120</v>
      </c>
      <c r="Z204" t="b">
        <v>1</v>
      </c>
      <c r="AF204">
        <f>ROUNDUP(VLOOKUP(F204,'[5]Production BOM'!$F:$R,13,0)*H204,0)</f>
        <v>32</v>
      </c>
      <c r="AG204" t="b">
        <f>AF204=J204</f>
        <v>1</v>
      </c>
      <c r="AH204" t="str">
        <f>VLOOKUP(F204,'[5]Production BOM'!$F:$P,11,0)</f>
        <v>BDB-000200</v>
      </c>
      <c r="AI204" t="b">
        <f>AH204=E204</f>
        <v>1</v>
      </c>
    </row>
    <row r="205">
      <c r="G205" t="str">
        <v>RELEASE ĐỢT 1</v>
      </c>
      <c r="V205">
        <f>U205-N205</f>
        <v>0</v>
      </c>
    </row>
    <row r="206">
      <c r="A206" t="str">
        <v>OIN-2026.04.17-01</v>
      </c>
      <c r="B206" t="str">
        <v>RPRO-260421-0647</v>
      </c>
      <c r="C206" t="str">
        <v>24/4</v>
      </c>
      <c r="D206" t="str">
        <v>OIN</v>
      </c>
      <c r="E206" t="str">
        <v>BDB-000060</v>
      </c>
      <c r="F206" t="str">
        <v>PVN-003782</v>
      </c>
      <c r="G206" t="str">
        <v>[116-446] Ultra 25+/-4 Asker C 0.085D Burnt Sienna 17-1544 Tpx 1.10M X 2.00M 47mm</v>
      </c>
      <c r="H206">
        <v>21</v>
      </c>
      <c r="I206">
        <v>7</v>
      </c>
      <c r="J206">
        <v>7</v>
      </c>
      <c r="K206" t="str">
        <v>CLARKS</v>
      </c>
      <c r="L206" t="str">
        <v>PO-7121</v>
      </c>
      <c r="M206" t="str">
        <v>FLAT SHEET</v>
      </c>
      <c r="N206">
        <v>7</v>
      </c>
      <c r="O206" t="str">
        <v>HANG CONT</v>
      </c>
      <c r="Q206">
        <v>46148</v>
      </c>
      <c r="R206">
        <f>S206-1</f>
        <v>46150</v>
      </c>
      <c r="S206">
        <v>46151</v>
      </c>
      <c r="T206" t="str">
        <v>l2</v>
      </c>
      <c r="V206">
        <f>U206-N206</f>
        <v>-7</v>
      </c>
      <c r="W206">
        <v>0</v>
      </c>
      <c r="X206">
        <v>0</v>
      </c>
      <c r="Y206">
        <v>21</v>
      </c>
      <c r="Z206" t="b">
        <v>1</v>
      </c>
      <c r="AF206">
        <f>ROUNDUP(VLOOKUP(F206,'[5]Production BOM'!$F:$R,13,0)*H206,0)</f>
        <v>7</v>
      </c>
      <c r="AG206" t="b">
        <f>AF206=J206</f>
        <v>1</v>
      </c>
      <c r="AH206" t="str">
        <f>VLOOKUP(F206,'[5]Production BOM'!$F:$P,11,0)</f>
        <v>BDB-000060</v>
      </c>
      <c r="AI206" t="b">
        <f>AH206=E206</f>
        <v>1</v>
      </c>
    </row>
    <row r="207">
      <c r="V207">
        <f>U207-N207</f>
        <v>0</v>
      </c>
    </row>
    <row r="208">
      <c r="A208" t="str">
        <v>OIN-2026.04.16-01</v>
      </c>
      <c r="B208" t="str">
        <v>RPRO-260421-0643</v>
      </c>
      <c r="C208" t="str">
        <v>24/4-28/4</v>
      </c>
      <c r="D208" t="str">
        <v>OIN</v>
      </c>
      <c r="E208" t="str">
        <v>BDB-000058</v>
      </c>
      <c r="F208" t="str">
        <v>PVN-003780</v>
      </c>
      <c r="G208" t="str">
        <v>[116-361] Ultra 25+/-4 Asker C 0.085D Green 16-5932 Tpx 1.10M X 2.00M 47mm</v>
      </c>
      <c r="H208">
        <v>532</v>
      </c>
      <c r="I208">
        <v>178</v>
      </c>
      <c r="J208">
        <v>178</v>
      </c>
      <c r="K208" t="str">
        <v>ADIDAS</v>
      </c>
      <c r="L208" t="str">
        <v>PO-7115-SO-260417-0049</v>
      </c>
      <c r="M208" t="str">
        <v>FLAT SHEET</v>
      </c>
      <c r="N208">
        <v>178</v>
      </c>
      <c r="O208" t="str">
        <v>HANG CONT</v>
      </c>
      <c r="Q208">
        <v>46148</v>
      </c>
      <c r="R208">
        <f>S208-1</f>
        <v>46150</v>
      </c>
      <c r="S208">
        <v>46151</v>
      </c>
      <c r="T208" t="str">
        <v>l2</v>
      </c>
      <c r="V208">
        <f>U208-N208</f>
        <v>-178</v>
      </c>
      <c r="W208">
        <v>0</v>
      </c>
      <c r="X208">
        <v>0</v>
      </c>
      <c r="Y208">
        <v>532</v>
      </c>
      <c r="Z208" t="b">
        <v>1</v>
      </c>
      <c r="AF208">
        <f>ROUNDUP(VLOOKUP(F208,'[5]Production BOM'!$F:$R,13,0)*H208,0)</f>
        <v>178</v>
      </c>
      <c r="AG208" t="b">
        <f>AF208=J208</f>
        <v>1</v>
      </c>
      <c r="AH208" t="str">
        <f>VLOOKUP(F208,'[5]Production BOM'!$F:$P,11,0)</f>
        <v>BDB-000058</v>
      </c>
      <c r="AI208" t="b">
        <f>AH208=E208</f>
        <v>1</v>
      </c>
    </row>
    <row r="209">
      <c r="G209" t="str">
        <v>RELEASE ĐỢT 2</v>
      </c>
      <c r="V209">
        <f>U209-N209</f>
        <v>0</v>
      </c>
    </row>
    <row r="210">
      <c r="H210">
        <f>SUM(H159:H208)</f>
        <v>30582</v>
      </c>
      <c r="I210">
        <f>SUM(I159:I208)</f>
        <v>965</v>
      </c>
      <c r="J210">
        <f>SUM(J159:J208)</f>
        <v>965</v>
      </c>
      <c r="N210">
        <f>SUM(N159:N208)</f>
        <v>958</v>
      </c>
      <c r="O210">
        <f>N210-S7</f>
        <v>38</v>
      </c>
      <c r="V210">
        <f>U210-N210</f>
        <v>-958</v>
      </c>
    </row>
  </sheetData>
  <autoFilter ref="A10:AG220"/>
  <pageMargins left="0.18" right="0.17" top="0.24" bottom="0.17" header="0.17" footer="0.17"/>
  <ignoredErrors>
    <ignoredError numberStoredAsText="1" sqref="A1:AP873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Y8613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19 - L2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4/5-9/5</v>
      </c>
    </row>
    <row r="4">
      <c r="A4" t="str">
        <v>F-2026-04-90-2</v>
      </c>
      <c r="B4" t="str">
        <v>FPRO-260429-0001</v>
      </c>
      <c r="C4" t="str">
        <v>8/5</v>
      </c>
      <c r="D4" t="str">
        <v>Firm plan 06.4</v>
      </c>
      <c r="E4" t="str">
        <v>BDB-000123</v>
      </c>
      <c r="F4" t="str">
        <v>PVN-002973</v>
      </c>
      <c r="G4" t="str">
        <v>OrthoLite Ultra-Hybrid SEEDPEARL/12-0703TPX Hybrid 0.085D 25+/-4 Asker C 1.1M 2M 4.5mm</v>
      </c>
      <c r="H4">
        <v>850</v>
      </c>
      <c r="I4">
        <v>28</v>
      </c>
      <c r="J4">
        <v>28</v>
      </c>
      <c r="K4" t="str">
        <v>SALOMON</v>
      </c>
      <c r="L4" t="str">
        <v>Forecast</v>
      </c>
      <c r="M4" t="str">
        <v>MOLDED</v>
      </c>
      <c r="N4">
        <v>217</v>
      </c>
      <c r="Q4">
        <v>46151</v>
      </c>
    </row>
    <row r="5">
      <c r="A5" t="str">
        <v>F-2026-02-237-2</v>
      </c>
      <c r="B5" t="str">
        <v>FPRO-260420-0001</v>
      </c>
      <c r="C5" t="str">
        <v>8/5</v>
      </c>
      <c r="D5" t="str">
        <v>Firm plan 11.2</v>
      </c>
      <c r="E5" t="str">
        <v>BDB-000123</v>
      </c>
      <c r="F5" t="str">
        <v>PVN-003299</v>
      </c>
      <c r="G5" t="str">
        <v>OrthoLite Ultra-Hybrid SEEDPEARL/12-0703TPX Hybrid 0.085D 25+/-4 Asker C 1.1M 2M 3mm</v>
      </c>
      <c r="H5">
        <v>4000</v>
      </c>
      <c r="I5">
        <v>87</v>
      </c>
      <c r="J5">
        <v>87</v>
      </c>
      <c r="K5" t="str">
        <v>ADIDAS</v>
      </c>
      <c r="L5" t="str">
        <v>Forecast</v>
      </c>
      <c r="M5" t="str">
        <v>SPLITTING</v>
      </c>
      <c r="Q5">
        <v>46153</v>
      </c>
    </row>
    <row r="6">
      <c r="A6" t="str">
        <v>F-2026-02-225</v>
      </c>
      <c r="B6" t="str">
        <v>FPRO-260211-0045</v>
      </c>
      <c r="C6" t="str">
        <v>8/5</v>
      </c>
      <c r="D6" t="str">
        <v>Firm plan 11.2</v>
      </c>
      <c r="E6" t="str">
        <v>BDB-000123</v>
      </c>
      <c r="F6" t="str">
        <v>PVN-003298</v>
      </c>
      <c r="G6" t="str">
        <v>OrthoLite Ultra-Hybrid SEEDPEARL/12-0703TPX Hybrid 0.085D 25+/-4 Asker C 1.1M 2M 4mm</v>
      </c>
      <c r="H6">
        <v>3000</v>
      </c>
      <c r="I6">
        <v>86</v>
      </c>
      <c r="J6">
        <v>86</v>
      </c>
      <c r="K6" t="str">
        <v>ADIDAS</v>
      </c>
      <c r="L6" t="str">
        <v>Forecast</v>
      </c>
      <c r="M6" t="str">
        <v>SPLITTING</v>
      </c>
      <c r="Q6">
        <v>46153</v>
      </c>
    </row>
    <row r="7">
      <c r="A7" t="str">
        <v>F-2026-05-06</v>
      </c>
      <c r="B7" t="str">
        <v>RPRO-260504-0918</v>
      </c>
      <c r="C7" t="str">
        <v>8/5</v>
      </c>
      <c r="D7" t="str">
        <v>MPS 29.04+02.05</v>
      </c>
      <c r="E7" t="str">
        <v>BDB-000123</v>
      </c>
      <c r="F7" t="str">
        <v>PVN-003300</v>
      </c>
      <c r="G7" t="str">
        <v>OrthoLite Ultra-Hybrid SEEDPEARL/12-0703TPX Hybrid Flat Sheet 0.085D 25+/-4 Asker C 1.1M 2M 2mm</v>
      </c>
      <c r="H7">
        <v>560</v>
      </c>
      <c r="I7">
        <v>9</v>
      </c>
      <c r="J7">
        <v>9</v>
      </c>
      <c r="L7" t="str">
        <v>MPS</v>
      </c>
      <c r="M7" t="str">
        <v>SPLITTING</v>
      </c>
      <c r="Q7">
        <v>46153</v>
      </c>
    </row>
    <row r="8">
      <c r="A8" t="str">
        <v>F-2026-04-360</v>
      </c>
      <c r="B8" t="str">
        <v>RPRO-260429-0448</v>
      </c>
      <c r="C8" t="str">
        <v>8/5</v>
      </c>
      <c r="D8" t="str">
        <v>MPS 28.04</v>
      </c>
      <c r="E8" t="str">
        <v>BDB-000123</v>
      </c>
      <c r="F8" t="str">
        <v>PVN-003300</v>
      </c>
      <c r="G8" t="str">
        <v>OrthoLite Ultra-Hybrid SEEDPEARL/12-0703TPX Hybrid Flat Sheet 0.085D 25+/-4 Asker C 1.1M 2M 2mm</v>
      </c>
      <c r="H8">
        <v>280</v>
      </c>
      <c r="I8">
        <v>5</v>
      </c>
      <c r="J8">
        <v>5</v>
      </c>
      <c r="L8" t="str">
        <v>MPS</v>
      </c>
      <c r="M8" t="str">
        <v>SPLITTING</v>
      </c>
      <c r="Q8">
        <v>46153</v>
      </c>
    </row>
    <row r="9">
      <c r="A9" t="str">
        <v>F-2026-04-378</v>
      </c>
      <c r="B9" t="str">
        <v>RPRO-260429-0468</v>
      </c>
      <c r="C9" t="str">
        <v>8/5</v>
      </c>
      <c r="D9" t="str">
        <v>Pro.sche.report 28.04</v>
      </c>
      <c r="E9" t="str">
        <v>BDB-000123</v>
      </c>
      <c r="F9" t="str">
        <v>PVN-003987</v>
      </c>
      <c r="G9" t="str">
        <v>OrthoLite Ultra-Hybrid SEEDPEARL/12-0703TPX Hybrid Flat Sheet 0.085D 25+/-4 Asker C 1.1M 2M 6.2mm</v>
      </c>
      <c r="H9">
        <v>44</v>
      </c>
      <c r="I9">
        <v>2</v>
      </c>
      <c r="J9">
        <v>2</v>
      </c>
      <c r="K9" t="str">
        <v>ADIDAS</v>
      </c>
      <c r="L9" t="str">
        <v>Pr.Sch.R</v>
      </c>
      <c r="M9" t="str">
        <v>MOLDED</v>
      </c>
      <c r="Q9">
        <v>46153</v>
      </c>
    </row>
    <row r="11">
      <c r="A11" t="str">
        <v>F-2026-05-37</v>
      </c>
      <c r="B11" t="str">
        <v>RPRO-260505-0676</v>
      </c>
      <c r="C11" t="str">
        <v>8/5</v>
      </c>
      <c r="D11" t="str">
        <v>Pro.sche.report 04.5</v>
      </c>
      <c r="E11" t="str">
        <v>BDB-000157</v>
      </c>
      <c r="F11" t="str">
        <v>PVN-003244</v>
      </c>
      <c r="G11" t="str">
        <v>OrthoLite X-35-Hybrid-Nike SEEDPEARL/12-0703TPX Hybrid Flat Sheet 0.145D 25+/-4 Asker C 1.1M 2M 5.2mm (SLT)</v>
      </c>
      <c r="H11">
        <v>78</v>
      </c>
      <c r="I11">
        <v>3</v>
      </c>
      <c r="J11">
        <v>3</v>
      </c>
      <c r="K11" t="str">
        <v>NIKE</v>
      </c>
      <c r="L11" t="str">
        <v>Pr.Sch.R</v>
      </c>
      <c r="M11" t="str">
        <v>MOLDED</v>
      </c>
      <c r="N11">
        <v>3</v>
      </c>
      <c r="Q11">
        <v>46153</v>
      </c>
    </row>
    <row r="13">
      <c r="A13" t="str">
        <v>F-2026-05-33</v>
      </c>
      <c r="B13" t="str">
        <v>RPRO-260505-0672</v>
      </c>
      <c r="C13" t="str">
        <v>8/5</v>
      </c>
      <c r="D13" t="str">
        <v>MPS 04.5</v>
      </c>
      <c r="E13" t="str">
        <v>BDB-000117</v>
      </c>
      <c r="F13" t="str">
        <v>PVN-003596</v>
      </c>
      <c r="G13" t="str">
        <v>OrthoLite X-35-Hybrid SEEDPEARL/12-0703TPX Hybrid Flat Sheet 0.145D 25+/-4 Asker C 1.1M 2M 3mm</v>
      </c>
      <c r="H13">
        <v>46</v>
      </c>
      <c r="I13">
        <v>2</v>
      </c>
      <c r="J13">
        <v>2</v>
      </c>
      <c r="L13" t="str">
        <v>MPS</v>
      </c>
      <c r="M13" t="str">
        <v>SPLITTING</v>
      </c>
      <c r="N13">
        <v>2</v>
      </c>
      <c r="Q13">
        <v>46153</v>
      </c>
    </row>
    <row r="15">
      <c r="A15" t="str">
        <v>F-2026-05-46</v>
      </c>
      <c r="B15" t="str">
        <v>RPRO-260505-0686</v>
      </c>
      <c r="C15" t="str">
        <v>8/5</v>
      </c>
      <c r="D15" t="str">
        <v>Pro.sche.report 04.5</v>
      </c>
      <c r="E15" t="str">
        <v>BDB-000212</v>
      </c>
      <c r="F15" t="str">
        <v>PVN-003460</v>
      </c>
      <c r="G15" t="str">
        <v>OrthoLite X-25-Hybrid SEEDPEARL/12-0703TPX Hybrid Flat Sheet 0.12D 20+/-4 Asker C 1.1M 2M 5.5mm</v>
      </c>
      <c r="H15">
        <v>225</v>
      </c>
      <c r="I15">
        <v>9</v>
      </c>
      <c r="J15">
        <v>9</v>
      </c>
      <c r="K15" t="str">
        <v>ON RUNNING</v>
      </c>
      <c r="L15" t="str">
        <v>Pr.Sch.R</v>
      </c>
      <c r="M15" t="str">
        <v>MOLDED</v>
      </c>
      <c r="N15">
        <v>9</v>
      </c>
      <c r="Q15">
        <v>46153</v>
      </c>
    </row>
    <row r="17">
      <c r="A17" t="str">
        <v>F-2026-04-369</v>
      </c>
      <c r="B17" t="str">
        <v>RPRO-260429-0459</v>
      </c>
      <c r="C17" t="str">
        <v>8/5</v>
      </c>
      <c r="D17" t="str">
        <v>Pro.sche.report 28.04</v>
      </c>
      <c r="E17" t="str">
        <v>BDB-000055</v>
      </c>
      <c r="F17" t="str">
        <v>PVN-003326</v>
      </c>
      <c r="G17" t="str">
        <v>OrthoLite X-40 TRUE BLUE/19-4057TPX Flat Sheet 0.16D 35+/-4 Asker C 1.1M 1.7M 14mm</v>
      </c>
      <c r="H17">
        <v>18</v>
      </c>
      <c r="I17">
        <v>2</v>
      </c>
      <c r="J17">
        <v>2</v>
      </c>
      <c r="K17" t="str">
        <v>ADIDAS</v>
      </c>
      <c r="L17" t="str">
        <v>Pr.Sch.R</v>
      </c>
      <c r="M17" t="str">
        <v>MOLDED</v>
      </c>
      <c r="N17">
        <v>9</v>
      </c>
      <c r="Q17">
        <v>46153</v>
      </c>
    </row>
    <row r="18">
      <c r="A18" t="str">
        <v>F-2026-04-371</v>
      </c>
      <c r="B18" t="str">
        <v>RPRO-260429-0461</v>
      </c>
      <c r="C18" t="str">
        <v>8/5</v>
      </c>
      <c r="D18" t="str">
        <v>Pro.sche.report 28.04</v>
      </c>
      <c r="E18" t="str">
        <v>BDB-000055</v>
      </c>
      <c r="F18" t="str">
        <v>PVN-003387</v>
      </c>
      <c r="G18" t="str">
        <v>OrthoLite X-40 TRUE BLUE/19-4057TPX Flat Sheet 0.16D 35+/-4 Asker C 1.1M 1.7M 13.5mm</v>
      </c>
      <c r="H18">
        <v>63</v>
      </c>
      <c r="I18">
        <v>7</v>
      </c>
      <c r="J18">
        <v>7</v>
      </c>
      <c r="K18" t="str">
        <v>ADIDAS</v>
      </c>
      <c r="L18" t="str">
        <v>Pr.Sch.R</v>
      </c>
      <c r="M18" t="str">
        <v>MOLDED</v>
      </c>
      <c r="Q18">
        <v>46154</v>
      </c>
    </row>
    <row r="20">
      <c r="A20" t="str">
        <v>F-2026-04-363</v>
      </c>
      <c r="B20" t="str">
        <v>RPRO-260429-0451</v>
      </c>
      <c r="C20" t="str">
        <v>8/5</v>
      </c>
      <c r="D20" t="str">
        <v>MPS 28.04</v>
      </c>
      <c r="E20" t="str">
        <v>BDB-000077</v>
      </c>
      <c r="F20" t="str">
        <v>PVN-003478</v>
      </c>
      <c r="G20" t="str">
        <v>Ortholite X-25 SEEDPEARL/12-0703TPX Flat Sheet 0.12D 20+/-4 Asker C 1.1M 2M 4mm</v>
      </c>
      <c r="H20">
        <v>455</v>
      </c>
      <c r="I20">
        <v>13</v>
      </c>
      <c r="J20">
        <v>13</v>
      </c>
      <c r="L20" t="str">
        <v>MPS</v>
      </c>
      <c r="M20" t="str">
        <v>SPLITTING</v>
      </c>
      <c r="N20">
        <v>14</v>
      </c>
      <c r="Q20">
        <v>46153</v>
      </c>
    </row>
    <row r="21">
      <c r="A21" t="str">
        <v>F-2026-05-21</v>
      </c>
      <c r="B21" t="str">
        <v>RPRO-260504-0933</v>
      </c>
      <c r="C21" t="str">
        <v>8/5</v>
      </c>
      <c r="D21" t="str">
        <v>Pro.sche.report 29.04+02.05</v>
      </c>
      <c r="E21" t="str">
        <v>BDB-000077</v>
      </c>
      <c r="F21" t="str">
        <v>PVN-003478</v>
      </c>
      <c r="G21" t="str">
        <v>Ortholite X-25 SEEDPEARL/12-0703TPX Flat Sheet 0.12D 20+/-4 Asker C 1.1M 2M 4mm</v>
      </c>
      <c r="H21">
        <v>35</v>
      </c>
      <c r="I21">
        <v>1</v>
      </c>
      <c r="J21">
        <v>1</v>
      </c>
      <c r="K21" t="str">
        <v>SOLEWORKS</v>
      </c>
      <c r="L21" t="str">
        <v>Pr.Sch.R</v>
      </c>
      <c r="M21" t="str">
        <v>DIE CUT</v>
      </c>
      <c r="Q21">
        <v>46154</v>
      </c>
    </row>
    <row r="23">
      <c r="A23" t="str">
        <v>F-2026-03-388</v>
      </c>
      <c r="B23" t="str">
        <v>FPRO-260318-0032</v>
      </c>
      <c r="C23" t="str">
        <v>8/5</v>
      </c>
      <c r="D23" t="str">
        <v>Firm plan 18.3</v>
      </c>
      <c r="E23" t="str">
        <v>BDB-000234</v>
      </c>
      <c r="F23" t="str">
        <v>PVN-003581</v>
      </c>
      <c r="G23" t="str">
        <v>OrthoLite X-30-Hybrid BROWN SUGAR/17-1134TPX Hybrid Flat Sheet 0.13D 25+/-4 Asker C 1.1M 2M 12mm</v>
      </c>
      <c r="H23">
        <v>700</v>
      </c>
      <c r="I23">
        <v>61</v>
      </c>
      <c r="J23">
        <v>61</v>
      </c>
      <c r="K23" t="str">
        <v>ASICS</v>
      </c>
      <c r="L23" t="str">
        <v>Forecast</v>
      </c>
      <c r="M23" t="str">
        <v>MOLDED</v>
      </c>
      <c r="N23">
        <v>61</v>
      </c>
      <c r="Q23">
        <v>46153</v>
      </c>
    </row>
    <row r="25">
      <c r="A25" t="str">
        <v>F-2026-04-341</v>
      </c>
      <c r="B25" t="str">
        <v>RPRO-260428-1297</v>
      </c>
      <c r="C25" t="str">
        <v>8/5-9/5</v>
      </c>
      <c r="D25" t="str">
        <v>Pro.sche.report 24.4+25.4</v>
      </c>
      <c r="E25" t="str">
        <v>BDB-000156</v>
      </c>
      <c r="F25" t="str">
        <v>PVN-003243</v>
      </c>
      <c r="G25" t="str">
        <v>OrthoLite X-35-Hybrid-Nike AMAZON/18-6024TPX Hybrid Flat Sheet 0.145D 25+/-4 Asker C 1.1M 2M 5.2mm</v>
      </c>
      <c r="H25">
        <v>910</v>
      </c>
      <c r="I25">
        <v>35</v>
      </c>
      <c r="J25">
        <v>35</v>
      </c>
      <c r="K25" t="str">
        <v>NIKE</v>
      </c>
      <c r="L25" t="str">
        <v>Pr.Sch.R</v>
      </c>
      <c r="M25" t="str">
        <v>MOLDED</v>
      </c>
      <c r="N25">
        <v>35</v>
      </c>
      <c r="Q25">
        <v>46153</v>
      </c>
    </row>
    <row r="27">
      <c r="A27" t="str">
        <v>F-2026-05-39</v>
      </c>
      <c r="B27" t="str">
        <v>RPRO-260505-0678</v>
      </c>
      <c r="C27" t="str">
        <v>9/5</v>
      </c>
      <c r="D27" t="str">
        <v>Pro.sche.report 04.5</v>
      </c>
      <c r="E27" t="str">
        <v>BDB-000336</v>
      </c>
      <c r="F27" t="str">
        <v>PVN-004168</v>
      </c>
      <c r="G27" t="str">
        <v>OrthoLite X-40-Nike SEEDPEARL/12-0703TPX Flat Sheet 0.16D 35+/-4 Asker C 1.1M 2M 4.5mm</v>
      </c>
      <c r="H27">
        <v>186</v>
      </c>
      <c r="I27">
        <v>7</v>
      </c>
      <c r="J27">
        <v>7</v>
      </c>
      <c r="K27" t="str">
        <v>NIKE</v>
      </c>
      <c r="L27" t="str">
        <v>Pr.Sch.R</v>
      </c>
      <c r="M27" t="str">
        <v>MOLDED</v>
      </c>
      <c r="N27">
        <v>7</v>
      </c>
      <c r="Q27">
        <v>46154</v>
      </c>
    </row>
    <row r="29">
      <c r="A29" t="str">
        <v>OIN-2026.05.01-01</v>
      </c>
      <c r="B29" t="str">
        <v>RPRO-260507-0008</v>
      </c>
      <c r="C29" t="str">
        <v>9/5</v>
      </c>
      <c r="D29" t="str">
        <v>OIN</v>
      </c>
      <c r="E29" t="str">
        <v>BDB-000330</v>
      </c>
      <c r="F29" t="str">
        <v>PVN-004275</v>
      </c>
      <c r="G29" t="str">
        <v>[116-13102] X 40 25+/-4 Asker C 0.16D Castlerock 18-0201 Tpx 1.10M X 2.00M 47mm</v>
      </c>
      <c r="H29">
        <v>11</v>
      </c>
      <c r="I29">
        <v>4</v>
      </c>
      <c r="J29">
        <v>4</v>
      </c>
      <c r="K29" t="str">
        <v>CLARKS</v>
      </c>
      <c r="L29" t="str">
        <v>PO-7224</v>
      </c>
      <c r="M29" t="str">
        <v>FLAT SHEET</v>
      </c>
      <c r="N29">
        <v>4</v>
      </c>
      <c r="O29" t="str">
        <v>HANG CONT</v>
      </c>
      <c r="Q29">
        <v>46155</v>
      </c>
    </row>
    <row r="31">
      <c r="A31" t="str">
        <v>F-2026-05-16</v>
      </c>
      <c r="B31" t="str">
        <v>RPRO-260504-0928</v>
      </c>
      <c r="C31" t="str">
        <v>9/5</v>
      </c>
      <c r="D31" t="str">
        <v>Pro.sche.report 29.04+02.05</v>
      </c>
      <c r="E31" t="str">
        <v>BDB-000076</v>
      </c>
      <c r="F31" t="str">
        <v>PVN-003745</v>
      </c>
      <c r="G31" t="str">
        <v>OrthoLite X-25 BILLIARD/16-5427TPX Flat Sheet 0.12D 20+/-4 Asker C 1.1M 2M 16mm</v>
      </c>
      <c r="H31">
        <v>112</v>
      </c>
      <c r="I31">
        <v>14</v>
      </c>
      <c r="J31">
        <v>14</v>
      </c>
      <c r="K31" t="str">
        <v>FOOTJOY</v>
      </c>
      <c r="L31" t="str">
        <v>Pr.Sch.R</v>
      </c>
      <c r="M31" t="str">
        <v>MOLDED</v>
      </c>
      <c r="N31">
        <v>22</v>
      </c>
      <c r="Q31">
        <v>46154</v>
      </c>
    </row>
    <row r="32">
      <c r="A32" t="str">
        <v>F-2026-04-366</v>
      </c>
      <c r="B32" t="str">
        <v>RPRO-260429-0456</v>
      </c>
      <c r="C32" t="str">
        <v>9/5</v>
      </c>
      <c r="D32" t="str">
        <v>Pro.sche.report 28.04</v>
      </c>
      <c r="E32" t="str">
        <v>BDB-000076</v>
      </c>
      <c r="F32" t="str">
        <v>PVN-003448</v>
      </c>
      <c r="G32" t="str">
        <v>OrthoLite X-25 BILLIARD/16-5427TPX Flat Sheet 0.12D 20+/-4 Asker C 1.1M 2M 6.2mm</v>
      </c>
      <c r="H32">
        <v>154</v>
      </c>
      <c r="I32">
        <v>7</v>
      </c>
      <c r="J32">
        <v>7</v>
      </c>
      <c r="K32" t="str">
        <v>ADIDAS</v>
      </c>
      <c r="L32" t="str">
        <v>Pr.Sch.R</v>
      </c>
      <c r="M32" t="str">
        <v>MOLDED</v>
      </c>
      <c r="Q32">
        <v>46154</v>
      </c>
    </row>
    <row r="33">
      <c r="A33" t="str">
        <v>F-2026-05-41</v>
      </c>
      <c r="B33" t="str">
        <v>RPRO-260505-0680</v>
      </c>
      <c r="C33" t="str">
        <v>9/5</v>
      </c>
      <c r="D33" t="str">
        <v>Pro.sche.report 04.5</v>
      </c>
      <c r="E33" t="str">
        <v>BDB-000076</v>
      </c>
      <c r="F33" t="str">
        <v>PVN-003745</v>
      </c>
      <c r="G33" t="str">
        <v>OrthoLite X-25 BILLIARD/16-5427TPX Flat Sheet 0.12D 20+/-4 Asker C 1.1M 2M 16mm</v>
      </c>
      <c r="H33">
        <v>8</v>
      </c>
      <c r="I33">
        <v>1</v>
      </c>
      <c r="J33">
        <v>1</v>
      </c>
      <c r="K33" t="str">
        <v>FOOTJOY</v>
      </c>
      <c r="L33" t="str">
        <v>Pr.Sch.R</v>
      </c>
      <c r="M33" t="str">
        <v>MOLDED</v>
      </c>
      <c r="Q33">
        <v>46154</v>
      </c>
    </row>
    <row r="35">
      <c r="A35" t="str">
        <v>F-2026-04-93</v>
      </c>
      <c r="B35" t="str">
        <v>FPRO-260406-0018</v>
      </c>
      <c r="C35" t="str">
        <v>9/5</v>
      </c>
      <c r="D35" t="str">
        <v>Firm plan 06.4</v>
      </c>
      <c r="E35" t="str">
        <v>BDB-000123</v>
      </c>
      <c r="F35" t="str">
        <v>PVN-003298</v>
      </c>
      <c r="G35" t="str">
        <v>OrthoLite Ultra-Hybrid SEEDPEARL/12-0703TPX Hybrid 0.085D 25+/-4 Asker C 1.1M 2M 4mm</v>
      </c>
      <c r="H35">
        <v>7000</v>
      </c>
      <c r="I35">
        <v>200</v>
      </c>
      <c r="J35">
        <v>200</v>
      </c>
      <c r="K35" t="str">
        <v>SALOMON</v>
      </c>
      <c r="L35" t="str">
        <v>Forecast</v>
      </c>
      <c r="M35" t="str">
        <v>LAMINATING</v>
      </c>
      <c r="N35">
        <v>218</v>
      </c>
      <c r="Q35">
        <v>46154</v>
      </c>
    </row>
    <row r="36">
      <c r="A36" t="str">
        <v>F-2026-04-372</v>
      </c>
      <c r="B36" t="str">
        <v>RPRO-260429-0462</v>
      </c>
      <c r="C36" t="str">
        <v>9/5</v>
      </c>
      <c r="D36" t="str">
        <v>Pro.sche.report 28.04</v>
      </c>
      <c r="E36" t="str">
        <v>BDB-000123</v>
      </c>
      <c r="F36" t="str">
        <v>PVN-002884</v>
      </c>
      <c r="G36" t="str">
        <v>OrthoLite Ultra-Hybrid SEEDPEARL/12-0703TPX Hybrid Flat Sheet 0.085D 25+/-4 Asker C 1.1M 2M 10mm</v>
      </c>
      <c r="H36">
        <v>234</v>
      </c>
      <c r="I36">
        <v>18</v>
      </c>
      <c r="J36">
        <v>18</v>
      </c>
      <c r="K36" t="str">
        <v>ADIDAS</v>
      </c>
      <c r="L36" t="str">
        <v>Pr.Sch.R</v>
      </c>
      <c r="M36" t="str">
        <v>MOLDED</v>
      </c>
      <c r="Q36">
        <v>46154</v>
      </c>
    </row>
    <row r="37">
      <c r="G37" t="str">
        <v>RELEASE ĐỢT 2</v>
      </c>
    </row>
    <row r="38">
      <c r="H38">
        <v>30890</v>
      </c>
      <c r="I38">
        <v>1338</v>
      </c>
      <c r="J38">
        <v>1338</v>
      </c>
      <c r="N38">
        <v>1315</v>
      </c>
      <c r="O38">
        <v>-25.5</v>
      </c>
    </row>
    <row r="39">
      <c r="A39" t="str">
        <v>Máy 2</v>
      </c>
      <c r="G39" t="str">
        <v>4/5-9/5</v>
      </c>
    </row>
    <row r="40">
      <c r="A40" t="str">
        <v>F-2026-03-296</v>
      </c>
      <c r="B40" t="str">
        <v>FPRO-260317-0005</v>
      </c>
      <c r="C40" t="str">
        <v>8/5</v>
      </c>
      <c r="D40" t="str">
        <v>Firm plan 17.03</v>
      </c>
      <c r="E40" t="str">
        <v>BDB-000113</v>
      </c>
      <c r="F40" t="str">
        <v>PVN-002465</v>
      </c>
      <c r="G40" t="str">
        <v>OrthoLite Regular-Hybrid SEEDPEARL/12-0703TPX Hybrid Flat Sheet 0.11D 25+/-4 Asker C 1.1M 2M 5mm</v>
      </c>
      <c r="H40">
        <v>2500</v>
      </c>
      <c r="I40">
        <v>90</v>
      </c>
      <c r="J40">
        <v>90</v>
      </c>
      <c r="K40" t="str">
        <v>ASICS</v>
      </c>
      <c r="L40" t="str">
        <v>Forecast</v>
      </c>
      <c r="M40" t="str">
        <v>DIE CUT</v>
      </c>
      <c r="N40">
        <v>196</v>
      </c>
      <c r="Q40">
        <v>46151</v>
      </c>
    </row>
    <row r="41">
      <c r="A41" t="str">
        <v>F-2026-04-138</v>
      </c>
      <c r="B41" t="str">
        <v>FPRO-260410-0008</v>
      </c>
      <c r="C41" t="str">
        <v>8/5</v>
      </c>
      <c r="D41" t="str">
        <v>Firm plan 10.4</v>
      </c>
      <c r="E41" t="str">
        <v>BDB-000113</v>
      </c>
      <c r="F41" t="str">
        <v>PVN-002501</v>
      </c>
      <c r="G41" t="str">
        <v>OrthoLite Regular-Hybrid SEEDPEARL/12-0703TPX Hybrid Flat Sheet 0.11D 25+/-4 Asker C 1.1M 2M 2mm</v>
      </c>
      <c r="H41">
        <v>675</v>
      </c>
      <c r="I41">
        <v>10</v>
      </c>
      <c r="J41">
        <v>10</v>
      </c>
      <c r="K41" t="str">
        <v>ASICS</v>
      </c>
      <c r="L41" t="str">
        <v>Forecast</v>
      </c>
      <c r="M41" t="str">
        <v>SPLITTING</v>
      </c>
      <c r="Q41">
        <v>46153</v>
      </c>
    </row>
    <row r="42">
      <c r="A42" t="str">
        <v>F-2026-03-364</v>
      </c>
      <c r="B42" t="str">
        <v>FPRO-260318-0008</v>
      </c>
      <c r="C42" t="str">
        <v>8/5</v>
      </c>
      <c r="D42" t="str">
        <v>Firm plan 18.3</v>
      </c>
      <c r="E42" t="str">
        <v>BDB-000113</v>
      </c>
      <c r="F42" t="str">
        <v>PVN-002465</v>
      </c>
      <c r="G42" t="str">
        <v>OrthoLite Regular-Hybrid SEEDPEARL/12-0703TPX Hybrid Flat Sheet 0.11D 25+/-4 Asker C 1.1M 2M 5mm</v>
      </c>
      <c r="H42">
        <v>2500</v>
      </c>
      <c r="I42">
        <v>90</v>
      </c>
      <c r="J42">
        <v>90</v>
      </c>
      <c r="K42" t="str">
        <v>ASICS</v>
      </c>
      <c r="L42" t="str">
        <v>Forecast</v>
      </c>
      <c r="M42" t="str">
        <v>DIE CUT</v>
      </c>
      <c r="Q42">
        <v>46154</v>
      </c>
    </row>
    <row r="43">
      <c r="A43" t="str">
        <v>F-2026-04-137</v>
      </c>
      <c r="B43" t="str">
        <v>FPRO-260410-0007</v>
      </c>
      <c r="C43" t="str">
        <v>8/5</v>
      </c>
      <c r="D43" t="str">
        <v>Firm plan 10.4</v>
      </c>
      <c r="E43" t="str">
        <v>BDB-000113</v>
      </c>
      <c r="F43" t="str">
        <v>PVN-002501</v>
      </c>
      <c r="G43" t="str">
        <v>OrthoLite Regular-Hybrid SEEDPEARL/12-0703TPX Hybrid Flat Sheet 0.11D 25+/-4 Asker C 1.1M 2M 2mm</v>
      </c>
      <c r="H43">
        <v>380</v>
      </c>
      <c r="I43">
        <v>6</v>
      </c>
      <c r="J43">
        <v>6</v>
      </c>
      <c r="K43" t="str">
        <v>ASICS</v>
      </c>
      <c r="L43" t="str">
        <v>Forecast</v>
      </c>
      <c r="M43" t="str">
        <v>SPLITTING</v>
      </c>
      <c r="Q43">
        <v>46154</v>
      </c>
    </row>
    <row r="45">
      <c r="A45" t="str">
        <v>F-2026-04-348</v>
      </c>
      <c r="B45" t="str">
        <v>RPRO-260428-1304</v>
      </c>
      <c r="C45" t="str">
        <v>8/5</v>
      </c>
      <c r="D45" t="str">
        <v>Pro.sche.report 24.4+25.4</v>
      </c>
      <c r="E45" t="str">
        <v>BDB-000188</v>
      </c>
      <c r="F45" t="str">
        <v>PVN-003479</v>
      </c>
      <c r="G45" t="str">
        <v>OrthoLite Ultra-Hybrid SEEDPEARL/12-0703TPX Hybrid Flat Sheet 0.085D 25+/-4 Asker C 1.1M 1.47M 4mm</v>
      </c>
      <c r="H45">
        <v>595</v>
      </c>
      <c r="I45">
        <v>17</v>
      </c>
      <c r="J45">
        <v>17</v>
      </c>
      <c r="K45" t="str">
        <v>SALOMON</v>
      </c>
      <c r="L45" t="str">
        <v>Pr.Sch.R</v>
      </c>
      <c r="M45" t="str">
        <v>LAMINATING</v>
      </c>
      <c r="N45">
        <v>17</v>
      </c>
      <c r="Q45">
        <v>46153</v>
      </c>
    </row>
    <row r="47">
      <c r="A47" t="str">
        <v>F-2026-05-24</v>
      </c>
      <c r="B47" t="str">
        <v>RPRO-260504-0936</v>
      </c>
      <c r="C47" t="str">
        <v>8/5</v>
      </c>
      <c r="D47" t="str">
        <v>Pro.sche.report 29.04+02.05</v>
      </c>
      <c r="E47" t="str">
        <v>BDB-000180</v>
      </c>
      <c r="F47" t="str">
        <v>PVN-003236</v>
      </c>
      <c r="G47" t="str">
        <v>OrthoLite Eco LT-Hybrid-Converse SEEDPEARL/12-0703TPX Hybrid Flat Sheet 0.13D 25+/-4 Asker C 1.1M 2M 5mm</v>
      </c>
      <c r="H47">
        <v>2081</v>
      </c>
      <c r="I47">
        <v>75</v>
      </c>
      <c r="J47">
        <v>75</v>
      </c>
      <c r="K47" t="str">
        <v>CONVERSE</v>
      </c>
      <c r="L47" t="str">
        <v>Pr.Sch.R</v>
      </c>
      <c r="M47" t="str">
        <v>DIE CUT</v>
      </c>
      <c r="N47">
        <v>75</v>
      </c>
      <c r="Q47">
        <v>46153</v>
      </c>
    </row>
    <row r="49">
      <c r="A49" t="str">
        <v>F-2026-03-543</v>
      </c>
      <c r="B49" t="str">
        <v>FPRO-260326-0004</v>
      </c>
      <c r="C49" t="str">
        <v>8/5-9/5</v>
      </c>
      <c r="D49" t="str">
        <v>Firm plan 26.3</v>
      </c>
      <c r="E49" t="str">
        <v>BDB-000209</v>
      </c>
      <c r="F49" t="str">
        <v>PVN-003537</v>
      </c>
      <c r="G49" t="str">
        <v>OrthoLite HybridPlus-Recycled MINT GREEN/11-4805TPX Hybrid 0.12D 25+/-4 Asker C 1.1M 2M 4.5mm</v>
      </c>
      <c r="H49">
        <v>2500</v>
      </c>
      <c r="I49">
        <v>81</v>
      </c>
      <c r="J49">
        <v>81</v>
      </c>
      <c r="K49" t="str">
        <v>ON RUNNING</v>
      </c>
      <c r="L49" t="str">
        <v>Forecast</v>
      </c>
      <c r="M49" t="str">
        <v>MOLDED</v>
      </c>
      <c r="N49">
        <v>81</v>
      </c>
      <c r="Q49">
        <v>46153</v>
      </c>
    </row>
    <row r="51">
      <c r="A51" t="str">
        <v>F-2026-05-22</v>
      </c>
      <c r="B51" t="str">
        <v>RPRO-260504-0934</v>
      </c>
      <c r="C51" t="str">
        <v>9/5</v>
      </c>
      <c r="D51" t="str">
        <v>Pro.sche.report 29.04+02.05</v>
      </c>
      <c r="E51" t="str">
        <v>BDB-000174</v>
      </c>
      <c r="F51" t="str">
        <v>PVN-003503</v>
      </c>
      <c r="G51" t="str">
        <v>OrthoLite Ultra-Hybrid-Nike SEEDPEARL/12-0703TPX Hybrid Flat Sheet 0.085D 15+/-4 Asker C 1.1M 2M 3mm</v>
      </c>
      <c r="H51">
        <v>276</v>
      </c>
      <c r="I51">
        <v>7</v>
      </c>
      <c r="J51">
        <v>7</v>
      </c>
      <c r="K51" t="str">
        <v>NIKE</v>
      </c>
      <c r="L51" t="str">
        <v>Pr.Sch.R</v>
      </c>
      <c r="M51" t="str">
        <v>DIE CUT</v>
      </c>
      <c r="N51">
        <v>11</v>
      </c>
      <c r="Q51">
        <v>46153</v>
      </c>
    </row>
    <row r="52">
      <c r="A52" t="str">
        <v>F-2026-04-377</v>
      </c>
      <c r="B52" t="str">
        <v>RPRO-260429-0467</v>
      </c>
      <c r="C52" t="str">
        <v>9/5</v>
      </c>
      <c r="D52" t="str">
        <v>Pro.sche.report 28.04</v>
      </c>
      <c r="E52" t="str">
        <v>BDB-000174</v>
      </c>
      <c r="F52" t="str">
        <v>PVN-003503</v>
      </c>
      <c r="G52" t="str">
        <v>OrthoLite Ultra-Hybrid-Nike SEEDPEARL/12-0703TPX Hybrid Flat Sheet 0.085D 15+/-4 Asker C 1.1M 2M 3mm</v>
      </c>
      <c r="H52">
        <v>138</v>
      </c>
      <c r="I52">
        <v>4</v>
      </c>
      <c r="J52">
        <v>4</v>
      </c>
      <c r="K52" t="str">
        <v>NIKE</v>
      </c>
      <c r="L52" t="str">
        <v>Pr.Sch.R</v>
      </c>
      <c r="M52" t="str">
        <v>DIE CUT</v>
      </c>
      <c r="Q52">
        <v>46153</v>
      </c>
    </row>
    <row r="54">
      <c r="A54" t="str">
        <v>F-2026-05-19</v>
      </c>
      <c r="B54" t="str">
        <v>RPRO-260504-0931</v>
      </c>
      <c r="C54" t="str">
        <v>9/5</v>
      </c>
      <c r="D54" t="str">
        <v>Pro.sche.report 29.04+02.05</v>
      </c>
      <c r="E54" t="str">
        <v>BDB-000130</v>
      </c>
      <c r="F54" t="str">
        <v>PVN-001585</v>
      </c>
      <c r="G54" t="str">
        <v>OrthoLite Regular-Nike AIR BLUE/16-4134TPX Flat Sheet 0.13D 35+/-4 Asker C 1.1M 2M 6mm</v>
      </c>
      <c r="H54">
        <v>345</v>
      </c>
      <c r="I54">
        <v>16</v>
      </c>
      <c r="J54">
        <v>16</v>
      </c>
      <c r="K54" t="str">
        <v>NIKE</v>
      </c>
      <c r="L54" t="str">
        <v>Pr.Sch.R</v>
      </c>
      <c r="M54" t="str">
        <v>MOLDED</v>
      </c>
      <c r="N54">
        <v>103</v>
      </c>
      <c r="Q54">
        <v>46153</v>
      </c>
    </row>
    <row r="55">
      <c r="A55" t="str">
        <v>F-2026-04-375</v>
      </c>
      <c r="B55" t="str">
        <v>RPRO-260429-0465</v>
      </c>
      <c r="C55" t="str">
        <v>9/5</v>
      </c>
      <c r="D55" t="str">
        <v>Pro.sche.report 28.04</v>
      </c>
      <c r="E55" t="str">
        <v>BDB-000130</v>
      </c>
      <c r="F55" t="str">
        <v>PVN-001585</v>
      </c>
      <c r="G55" t="str">
        <v>OrthoLite Regular-Nike AIR BLUE/16-4134TPX Flat Sheet 0.13D 35+/-4 Asker C 1.1M 2M 6mm</v>
      </c>
      <c r="H55">
        <v>1978</v>
      </c>
      <c r="I55">
        <v>87</v>
      </c>
      <c r="J55">
        <v>87</v>
      </c>
      <c r="K55" t="str">
        <v>NIKE</v>
      </c>
      <c r="L55" t="str">
        <v>Pr.Sch.R</v>
      </c>
      <c r="M55" t="str">
        <v>MOLDED</v>
      </c>
      <c r="Q55">
        <v>46154</v>
      </c>
    </row>
    <row r="57">
      <c r="A57" t="str">
        <v>F-2026-04-376</v>
      </c>
      <c r="B57" t="str">
        <v>RPRO-260429-0466</v>
      </c>
      <c r="C57" t="str">
        <v>9/5</v>
      </c>
      <c r="D57" t="str">
        <v>Pro.sche.report 28.04</v>
      </c>
      <c r="E57" t="str">
        <v>BDB-000149</v>
      </c>
      <c r="F57" t="str">
        <v>PVN-002773</v>
      </c>
      <c r="G57" t="str">
        <v>OrthoLite Regular-Hybrid-Nike SEEDPEARL/12-0703TPX Hybrid Flat Sheet 0.11D 25+/-4 Asker C 1.1M 2M 4mm</v>
      </c>
      <c r="H57">
        <v>35</v>
      </c>
      <c r="I57">
        <v>1</v>
      </c>
      <c r="J57">
        <v>1</v>
      </c>
      <c r="K57" t="str">
        <v>NIKE</v>
      </c>
      <c r="L57" t="str">
        <v>Pr.Sch.R</v>
      </c>
      <c r="M57" t="str">
        <v>DIE CUT</v>
      </c>
      <c r="N57">
        <v>1</v>
      </c>
      <c r="Q57">
        <v>46154</v>
      </c>
    </row>
    <row r="59">
      <c r="A59" t="str">
        <v>F-2026-05-38</v>
      </c>
      <c r="B59" t="str">
        <v>RPRO-260505-0677</v>
      </c>
      <c r="C59" t="str">
        <v>9/5</v>
      </c>
      <c r="D59" t="str">
        <v>Pro.sche.report 04.5</v>
      </c>
      <c r="E59" t="str">
        <v>BDB-000363</v>
      </c>
      <c r="F59" t="str">
        <v>PVN-004260</v>
      </c>
      <c r="G59" t="str">
        <v>OrthoLite HybridPlus-Recycled MINT GREEN/11-4805TPX Hybrid Flat Sheet 0.12D 35+/-4 Asker C 1.1M 2M 5.5mm</v>
      </c>
      <c r="H59">
        <v>450</v>
      </c>
      <c r="I59">
        <v>18</v>
      </c>
      <c r="J59">
        <v>18</v>
      </c>
      <c r="K59" t="str">
        <v>ON RUNNING</v>
      </c>
      <c r="L59" t="str">
        <v>Pr.Sch.R</v>
      </c>
      <c r="M59" t="str">
        <v>MOLDED</v>
      </c>
      <c r="N59">
        <v>18</v>
      </c>
      <c r="Q59">
        <v>46154</v>
      </c>
    </row>
    <row r="61">
      <c r="A61" t="str">
        <v>F-2026-03-374</v>
      </c>
      <c r="B61" t="str">
        <v>FPRO-260318-0018</v>
      </c>
      <c r="C61" t="str">
        <v>9/5-11/5</v>
      </c>
      <c r="D61" t="str">
        <v>Firm plan 18.3</v>
      </c>
      <c r="E61" t="str">
        <v>BDB-000113</v>
      </c>
      <c r="F61" t="str">
        <v>PVN-003414</v>
      </c>
      <c r="G61" t="str">
        <v>OrthoLite Regular-Hybrid SEEDPEARL/12-0703TPX Hybrid Flat Sheet 0.11D 25+/-4 Asker C 1.1M 2M 12mm</v>
      </c>
      <c r="H61">
        <v>2500</v>
      </c>
      <c r="I61">
        <v>218</v>
      </c>
      <c r="J61">
        <v>218</v>
      </c>
      <c r="K61" t="str">
        <v>ASICS</v>
      </c>
      <c r="L61" t="str">
        <v>Forecast</v>
      </c>
      <c r="M61" t="str">
        <v>MOLDED</v>
      </c>
      <c r="N61">
        <v>218</v>
      </c>
      <c r="Q61">
        <v>46155</v>
      </c>
    </row>
    <row r="62">
      <c r="G62" t="str">
        <v>RELEASE ĐỢT 2</v>
      </c>
    </row>
    <row r="63">
      <c r="H63">
        <v>52315</v>
      </c>
      <c r="I63">
        <v>1614</v>
      </c>
      <c r="J63">
        <v>1614</v>
      </c>
      <c r="N63">
        <v>1525</v>
      </c>
      <c r="O63">
        <v>25</v>
      </c>
    </row>
    <row r="64">
      <c r="A64" t="str">
        <v>Máy 3</v>
      </c>
      <c r="G64" t="str">
        <v>4/5-9/5</v>
      </c>
    </row>
    <row r="65">
      <c r="A65" t="str">
        <v>F-2026-04-379</v>
      </c>
      <c r="B65" t="str">
        <v>RPRO-260429-0469</v>
      </c>
      <c r="C65" t="str">
        <v>8/5</v>
      </c>
      <c r="D65" t="str">
        <v>Pro.sche.report 28.04</v>
      </c>
      <c r="E65" t="str">
        <v>BDB-000158</v>
      </c>
      <c r="F65" t="str">
        <v>PVN-001554</v>
      </c>
      <c r="G65" t="str">
        <v>OrthoLite Ultra-Nike YELLOW/13-0858TPX Flat Sheet 0.085D 15+/-4 Asker C 1.1M 2M 3mm</v>
      </c>
      <c r="H65">
        <v>184</v>
      </c>
      <c r="I65">
        <v>5</v>
      </c>
      <c r="J65">
        <v>5</v>
      </c>
      <c r="K65" t="str">
        <v>NIKE</v>
      </c>
      <c r="L65" t="str">
        <v>Pr.Sch.R</v>
      </c>
      <c r="M65" t="str">
        <v>DIE CUT</v>
      </c>
      <c r="N65">
        <v>7</v>
      </c>
      <c r="O65" t="str">
        <v>SÁNG 11/5 GIAO KHO GẤP (cs ĐI AIR)-uu tien list 2</v>
      </c>
      <c r="Q65">
        <v>46151</v>
      </c>
    </row>
    <row r="66">
      <c r="A66" t="str">
        <v>F-2026-05-26</v>
      </c>
      <c r="B66" t="str">
        <v>RPRO-260504-0938</v>
      </c>
      <c r="C66" t="str">
        <v>8/5</v>
      </c>
      <c r="D66" t="str">
        <v>Pro.sche.report 29.04+02.05</v>
      </c>
      <c r="E66" t="str">
        <v>BDB-000158</v>
      </c>
      <c r="F66" t="str">
        <v>PVN-001554</v>
      </c>
      <c r="G66" t="str">
        <v>OrthoLite Ultra-Nike YELLOW/13-0858TPX Flat Sheet 0.085D 15+/-4 Asker C 1.1M 2M 3mm</v>
      </c>
      <c r="H66">
        <v>46</v>
      </c>
      <c r="I66">
        <v>2</v>
      </c>
      <c r="J66">
        <v>2</v>
      </c>
      <c r="K66" t="str">
        <v>NIKE</v>
      </c>
      <c r="L66" t="str">
        <v>Pr.Sch.R</v>
      </c>
      <c r="M66" t="str">
        <v>DIE CUT</v>
      </c>
      <c r="Q66">
        <v>46153</v>
      </c>
    </row>
    <row r="68">
      <c r="A68" t="str">
        <v>F-2026-04-356</v>
      </c>
      <c r="B68" t="str">
        <v>RPRO-260429-0444</v>
      </c>
      <c r="C68" t="str">
        <v>8/5</v>
      </c>
      <c r="D68" t="str">
        <v>MPS 28.04</v>
      </c>
      <c r="E68" t="str">
        <v>BDB-000083</v>
      </c>
      <c r="F68" t="str">
        <v>PVN-000930</v>
      </c>
      <c r="G68" t="str">
        <v>OrthoLite Eco LT 300C(ADIDAS BLUEBIRD) Flat Sheet 0.11D 25+/-4 Asker C 1.1M 2M 3mm</v>
      </c>
      <c r="H68">
        <v>966</v>
      </c>
      <c r="I68">
        <v>22</v>
      </c>
      <c r="J68">
        <v>22</v>
      </c>
      <c r="L68" t="str">
        <v>MPS</v>
      </c>
      <c r="M68" t="str">
        <v>SPLITTING</v>
      </c>
      <c r="N68">
        <v>26</v>
      </c>
      <c r="Q68">
        <v>46151</v>
      </c>
    </row>
    <row r="69">
      <c r="A69" t="str">
        <v>F-2026-05-30</v>
      </c>
      <c r="B69" t="str">
        <v>RPRO-260505-0669</v>
      </c>
      <c r="C69" t="str">
        <v>8/5</v>
      </c>
      <c r="D69" t="str">
        <v>MPS 04.5</v>
      </c>
      <c r="E69" t="str">
        <v>BDB-000083</v>
      </c>
      <c r="F69" t="str">
        <v>PVN-000930</v>
      </c>
      <c r="G69" t="str">
        <v>OrthoLite Eco LT 300C(ADIDAS BLUEBIRD) Flat Sheet 0.11D 25+/-4 Asker C 1.1M 2M 3mm</v>
      </c>
      <c r="H69">
        <v>138</v>
      </c>
      <c r="I69">
        <v>4</v>
      </c>
      <c r="J69">
        <v>4</v>
      </c>
      <c r="L69" t="str">
        <v>MPS</v>
      </c>
      <c r="M69" t="str">
        <v>SPLITTING</v>
      </c>
      <c r="Q69">
        <v>46154</v>
      </c>
    </row>
    <row r="71">
      <c r="A71" t="str">
        <v>F-2026-04-353</v>
      </c>
      <c r="B71" t="str">
        <v>RPRO-260428-1309</v>
      </c>
      <c r="C71" t="str">
        <v>8/5</v>
      </c>
      <c r="D71" t="str">
        <v>Pro.sche.report 24.4+25.4</v>
      </c>
      <c r="E71" t="str">
        <v>BDB-000201</v>
      </c>
      <c r="F71" t="str">
        <v>PVN-003415</v>
      </c>
      <c r="G71" t="str">
        <v>OrthoLite Ultra YELLOW/13-0858TPX Flat Sheet 0.085D 5-10 Asker C 1.1M 2M 2.5mm</v>
      </c>
      <c r="H71">
        <v>56</v>
      </c>
      <c r="I71">
        <v>2</v>
      </c>
      <c r="J71">
        <v>2</v>
      </c>
      <c r="K71" t="str">
        <v>CLARKS</v>
      </c>
      <c r="L71" t="str">
        <v>Pr.Sch.R</v>
      </c>
      <c r="M71" t="str">
        <v>MOLDED</v>
      </c>
      <c r="N71">
        <v>2</v>
      </c>
      <c r="Q71">
        <v>46153</v>
      </c>
    </row>
    <row r="73">
      <c r="A73" t="str">
        <v>F-2026-05-17</v>
      </c>
      <c r="B73" t="str">
        <v>RPRO-260504-0929</v>
      </c>
      <c r="C73" t="str">
        <v>8/5</v>
      </c>
      <c r="D73" t="str">
        <v>Pro.sche.report 29.04+02.05</v>
      </c>
      <c r="E73" t="str">
        <v>BDB-000314</v>
      </c>
      <c r="F73" t="str">
        <v>PVN-004066</v>
      </c>
      <c r="G73" t="str">
        <v>OrthoLite Regular NEUTRAL GRAY/17-4402TPX Flat Sheet 0.16D 51+/-4 Asker C 1.1M 1.7M 9.5mm</v>
      </c>
      <c r="H73">
        <v>14</v>
      </c>
      <c r="I73">
        <v>2</v>
      </c>
      <c r="J73">
        <v>2</v>
      </c>
      <c r="K73" t="str">
        <v>FOOTJOY</v>
      </c>
      <c r="L73" t="str">
        <v>Pr.Sch.R</v>
      </c>
      <c r="M73" t="str">
        <v>MOLDED</v>
      </c>
      <c r="N73">
        <v>2</v>
      </c>
      <c r="Q73">
        <v>46153</v>
      </c>
    </row>
    <row r="75">
      <c r="A75" t="str">
        <v>F-2026-04-355</v>
      </c>
      <c r="B75" t="str">
        <v>RPRO-260429-0443</v>
      </c>
      <c r="C75" t="str">
        <v>8/5</v>
      </c>
      <c r="D75" t="str">
        <v>MPS 28.04</v>
      </c>
      <c r="E75" t="str">
        <v>BDB-000010</v>
      </c>
      <c r="F75" t="str">
        <v>PVN-000101</v>
      </c>
      <c r="G75" t="str">
        <v>OrthoLite Regular AIR BLUE/16-4134TPX Flat Sheet 0.11D 25+/-4 Asker C 1.1M 2M 3mm</v>
      </c>
      <c r="H75">
        <v>46</v>
      </c>
      <c r="I75">
        <v>2</v>
      </c>
      <c r="J75">
        <v>2</v>
      </c>
      <c r="L75" t="str">
        <v>MPS</v>
      </c>
      <c r="M75" t="str">
        <v>SPLITTING</v>
      </c>
      <c r="N75">
        <v>2</v>
      </c>
      <c r="Q75">
        <v>46153</v>
      </c>
    </row>
    <row r="77">
      <c r="A77" t="str">
        <v>F-2026-03-358-1</v>
      </c>
      <c r="B77" t="str">
        <v>FPRO-260318-0002</v>
      </c>
      <c r="C77" t="str">
        <v>8/5</v>
      </c>
      <c r="D77" t="str">
        <v>Firm plan 18.3</v>
      </c>
      <c r="E77" t="str">
        <v>BDB-000011</v>
      </c>
      <c r="F77" t="str">
        <v>PVN-000242</v>
      </c>
      <c r="G77" t="str">
        <v>OrthoLite Regular AIR BLUE/16-4134TPX Flat Sheet 0.13D 35+/-4 Asker C 1.1M 2M 2mm</v>
      </c>
      <c r="H77">
        <v>500</v>
      </c>
      <c r="I77">
        <v>8</v>
      </c>
      <c r="J77">
        <v>8</v>
      </c>
      <c r="K77" t="str">
        <v>ASICS</v>
      </c>
      <c r="L77" t="str">
        <v>Forecast</v>
      </c>
      <c r="M77" t="str">
        <v>SPLITTING</v>
      </c>
      <c r="N77">
        <v>8</v>
      </c>
      <c r="Q77">
        <v>46153</v>
      </c>
    </row>
    <row r="79">
      <c r="A79" t="str">
        <v>F-2026-04-338</v>
      </c>
      <c r="B79" t="str">
        <v>RPRO-260428-1294</v>
      </c>
      <c r="C79" t="str">
        <v>8/5</v>
      </c>
      <c r="D79" t="str">
        <v>Pro.sche.report 24.4+25.4</v>
      </c>
      <c r="E79" t="str">
        <v>BDB-000008</v>
      </c>
      <c r="F79" t="str">
        <v>PVN-000505</v>
      </c>
      <c r="G79" t="str">
        <v>OrthoLite Regular LIME GREEN/14-0452TPX Flat Sheet 0.11D 25+/-4 Asker C 1.1M 2M 12mm</v>
      </c>
      <c r="H79">
        <v>242</v>
      </c>
      <c r="I79">
        <v>22</v>
      </c>
      <c r="J79">
        <v>22</v>
      </c>
      <c r="K79" t="str">
        <v>ASICS</v>
      </c>
      <c r="L79" t="str">
        <v>Pr.Sch.R</v>
      </c>
      <c r="M79" t="str">
        <v>MOLDED</v>
      </c>
      <c r="N79">
        <v>22</v>
      </c>
      <c r="Q79">
        <v>46153</v>
      </c>
    </row>
    <row r="81">
      <c r="A81" t="str">
        <v>F-2026-05-07</v>
      </c>
      <c r="B81" t="str">
        <v>RPRO-260504-0919</v>
      </c>
      <c r="C81" t="str">
        <v>8/5</v>
      </c>
      <c r="D81" t="str">
        <v>MPS 29.04+02.05</v>
      </c>
      <c r="E81" t="str">
        <v>BDB-000200</v>
      </c>
      <c r="F81" t="str">
        <v>PVN-003418</v>
      </c>
      <c r="G81" t="str">
        <v>OrthoLite Ultra SEEDPEARL/12-0703TPX Flat Sheet 0.085D 78-90 Asker F 1.1M 2M 5mm</v>
      </c>
      <c r="H81">
        <v>364</v>
      </c>
      <c r="I81">
        <v>13</v>
      </c>
      <c r="J81">
        <v>13</v>
      </c>
      <c r="L81" t="str">
        <v>MPS</v>
      </c>
      <c r="M81" t="str">
        <v>SPLITTING</v>
      </c>
      <c r="N81">
        <v>35</v>
      </c>
      <c r="Q81">
        <v>46153</v>
      </c>
    </row>
    <row r="82">
      <c r="A82" t="str">
        <v>F-2026-05-08</v>
      </c>
      <c r="B82" t="str">
        <v>RPRO-260504-0920</v>
      </c>
      <c r="C82" t="str">
        <v>8/5-9/5</v>
      </c>
      <c r="D82" t="str">
        <v>MPS 29.04+02.05</v>
      </c>
      <c r="E82" t="str">
        <v>BDB-000200</v>
      </c>
      <c r="F82" t="str">
        <v>PVN-003425</v>
      </c>
      <c r="G82" t="str">
        <v>OrthoLite Ultra SEEDPEARL/12-0703TPX Flat Sheet 0.085D 78-90 Asker F 1.1M 2M 4mm</v>
      </c>
      <c r="H82">
        <v>595</v>
      </c>
      <c r="I82">
        <v>17</v>
      </c>
      <c r="J82">
        <v>17</v>
      </c>
      <c r="L82" t="str">
        <v>MPS</v>
      </c>
      <c r="M82" t="str">
        <v>SPLITTING</v>
      </c>
      <c r="Q82">
        <v>46153</v>
      </c>
    </row>
    <row r="83">
      <c r="A83" t="str">
        <v>F-2026-04-362</v>
      </c>
      <c r="B83" t="str">
        <v>RPRO-260429-0450</v>
      </c>
      <c r="C83" t="str">
        <v>9/5</v>
      </c>
      <c r="D83" t="str">
        <v>MPS 28.04</v>
      </c>
      <c r="E83" t="str">
        <v>BDB-000200</v>
      </c>
      <c r="F83" t="str">
        <v>PVN-003425</v>
      </c>
      <c r="G83" t="str">
        <v>OrthoLite Ultra SEEDPEARL/12-0703TPX Flat Sheet 0.085D 78-90 Asker F 1.1M 2M 4mm</v>
      </c>
      <c r="H83">
        <v>175</v>
      </c>
      <c r="I83">
        <v>5</v>
      </c>
      <c r="J83">
        <v>5</v>
      </c>
      <c r="L83" t="str">
        <v>MPS</v>
      </c>
      <c r="M83" t="str">
        <v>SPLITTING</v>
      </c>
      <c r="Q83">
        <v>46153</v>
      </c>
    </row>
    <row r="85">
      <c r="A85" t="str">
        <v>F-2026-02-298</v>
      </c>
      <c r="B85" t="str">
        <v>FPRO-260212-0049</v>
      </c>
      <c r="C85" t="str">
        <v>9/5</v>
      </c>
      <c r="D85" t="str">
        <v>Firm plan 12.02</v>
      </c>
      <c r="E85" t="str">
        <v>BDB-000164</v>
      </c>
      <c r="F85" t="str">
        <v>PVN-001618</v>
      </c>
      <c r="G85" t="str">
        <v>OrthoLite Ultra-Nike GREY/17-1501TPX 0.085D 25+/-4 Asker C 1.1M 2M 4mm</v>
      </c>
      <c r="H85">
        <v>500</v>
      </c>
      <c r="I85">
        <v>15</v>
      </c>
      <c r="J85">
        <v>15</v>
      </c>
      <c r="K85" t="str">
        <v>NIKE</v>
      </c>
      <c r="L85" t="str">
        <v>Forecast</v>
      </c>
      <c r="M85" t="str">
        <v>DIE CUT</v>
      </c>
      <c r="N85">
        <v>15</v>
      </c>
      <c r="Q85">
        <v>46153</v>
      </c>
    </row>
    <row r="87">
      <c r="A87" t="str">
        <v>F-2026-05-69</v>
      </c>
      <c r="B87" t="str">
        <v>FPRO-260505-0004</v>
      </c>
      <c r="C87" t="str">
        <v>9/5</v>
      </c>
      <c r="D87" t="str">
        <v>Firm plan 05.05</v>
      </c>
      <c r="E87" t="str">
        <v>BDB-000004</v>
      </c>
      <c r="F87" t="str">
        <v>PVN-000060</v>
      </c>
      <c r="G87" t="str">
        <v>OrthoLite Regular GREY/17-1501TPX 0.11D 25+/-4 Asker C 1.1M 2M 14mm</v>
      </c>
      <c r="H87">
        <v>18</v>
      </c>
      <c r="I87">
        <v>2</v>
      </c>
      <c r="J87">
        <v>2</v>
      </c>
      <c r="K87" t="str">
        <v>DANNER</v>
      </c>
      <c r="L87" t="str">
        <v>Forecast</v>
      </c>
      <c r="M87" t="str">
        <v>MOLDED</v>
      </c>
      <c r="N87">
        <v>2</v>
      </c>
      <c r="Q87">
        <v>46154</v>
      </c>
    </row>
    <row r="89">
      <c r="A89" t="str">
        <v>F-2026-04-373</v>
      </c>
      <c r="B89" t="str">
        <v>RPRO-260429-0463</v>
      </c>
      <c r="C89" t="str">
        <v>9/5</v>
      </c>
      <c r="D89" t="str">
        <v>Pro.sche.report 28.04</v>
      </c>
      <c r="E89" t="str">
        <v>BDB-000094</v>
      </c>
      <c r="F89" t="str">
        <v>PVN-004255</v>
      </c>
      <c r="G89" t="str">
        <v>OrthoLite Eco LT 300C(ADIDAS BLUEBIRD) Flat Sheet 0.11D 25+/-4 Asker C 1.1M 1.47M 12mm</v>
      </c>
      <c r="H89">
        <v>33</v>
      </c>
      <c r="I89">
        <v>4</v>
      </c>
      <c r="J89">
        <v>4</v>
      </c>
      <c r="K89" t="str">
        <v>ADIDAS</v>
      </c>
      <c r="L89" t="str">
        <v>Pr.Sch.R</v>
      </c>
      <c r="M89" t="str">
        <v>MOLDED</v>
      </c>
      <c r="N89">
        <v>4</v>
      </c>
      <c r="Q89">
        <v>46154</v>
      </c>
    </row>
    <row r="91">
      <c r="A91" t="str">
        <v>OIN-2026.05.05-01</v>
      </c>
      <c r="B91" t="str">
        <v>RPRO-260507-0011</v>
      </c>
      <c r="C91" t="str">
        <v>9/5</v>
      </c>
      <c r="D91" t="str">
        <v>OIN</v>
      </c>
      <c r="E91" t="str">
        <v>BDB-000001</v>
      </c>
      <c r="F91" t="str">
        <v>PVN-003935</v>
      </c>
      <c r="G91" t="str">
        <v>[116-205] Regular 15+/-4 Asker C 0.11D Burnt Sienna 17-1544 Tpx 1.10M X 2.00M 47mm</v>
      </c>
      <c r="H91">
        <v>10</v>
      </c>
      <c r="I91">
        <v>4</v>
      </c>
      <c r="J91">
        <v>4</v>
      </c>
      <c r="K91" t="str">
        <v>Clarks</v>
      </c>
      <c r="L91" t="str">
        <v>PO-7239-SO-260506-0016</v>
      </c>
      <c r="M91" t="str">
        <v>FLAT SHEET</v>
      </c>
      <c r="N91">
        <v>4</v>
      </c>
      <c r="O91" t="str">
        <v>HANG CONT</v>
      </c>
      <c r="Q91">
        <v>46155</v>
      </c>
    </row>
    <row r="93">
      <c r="A93" t="str">
        <v>OIN-2026.04.28-01</v>
      </c>
      <c r="B93" t="str">
        <v>RPRO-260507-0005</v>
      </c>
      <c r="C93" t="str">
        <v>9/5</v>
      </c>
      <c r="D93" t="str">
        <v>OIN</v>
      </c>
      <c r="E93" t="str">
        <v>BDB-000060</v>
      </c>
      <c r="F93" t="str">
        <v>PVN-003782</v>
      </c>
      <c r="G93" t="str">
        <v>[116-446] Ultra 25+/-4 Asker C 0.085D Burnt Sienna 17-1544 Tpx 1.10M X 2.00M 47mm</v>
      </c>
      <c r="H93">
        <v>3</v>
      </c>
      <c r="I93">
        <v>1</v>
      </c>
      <c r="J93">
        <v>1</v>
      </c>
      <c r="K93" t="str">
        <v>CLARKS</v>
      </c>
      <c r="L93" t="str">
        <v>PO-7201-SO-260429-0012</v>
      </c>
      <c r="M93" t="str">
        <v>FLAT SHEET</v>
      </c>
      <c r="N93">
        <v>1</v>
      </c>
      <c r="O93" t="str">
        <v>HANG CONT</v>
      </c>
      <c r="Q93">
        <v>46155</v>
      </c>
    </row>
    <row r="95">
      <c r="A95" t="str">
        <v>OIN-2026.05.05-02</v>
      </c>
      <c r="B95" t="str">
        <v>RPRO-260507-0014</v>
      </c>
      <c r="C95" t="str">
        <v>9/5</v>
      </c>
      <c r="D95" t="str">
        <v>OIN</v>
      </c>
      <c r="E95" t="str">
        <v>BDB-000374</v>
      </c>
      <c r="F95" t="str">
        <v>PVN-004318</v>
      </c>
      <c r="G95" t="str">
        <v>[116-15588] Regular 45+/-4 Asker C 0.15D Fossil 17-0909 Tpx 1.10M X 2.00M 47mm</v>
      </c>
      <c r="H95">
        <v>13</v>
      </c>
      <c r="I95">
        <v>5</v>
      </c>
      <c r="J95">
        <v>5</v>
      </c>
      <c r="K95" t="str">
        <v>Clarks</v>
      </c>
      <c r="L95" t="str">
        <v>PO-7239-SO-260506-0017</v>
      </c>
      <c r="M95" t="str">
        <v>FLAT SHEET</v>
      </c>
      <c r="N95">
        <v>5</v>
      </c>
      <c r="O95" t="str">
        <v>HANG CONT</v>
      </c>
      <c r="Q95">
        <v>46155</v>
      </c>
    </row>
    <row r="97">
      <c r="A97" t="str">
        <v>OIN-2026.04.27-01</v>
      </c>
      <c r="B97" t="str">
        <v>RPRO-260507-0002</v>
      </c>
      <c r="C97" t="str">
        <v>9/5</v>
      </c>
      <c r="D97" t="str">
        <v>OIN</v>
      </c>
      <c r="E97" t="str">
        <v>BDB-000356</v>
      </c>
      <c r="F97" t="str">
        <v>PVN-004232</v>
      </c>
      <c r="G97" t="str">
        <v>[116-12300] Eco Lite 15+/-4 Asker C 0.11D Lime Green 14-0452 Tpx 1.10M X 2.00M 47mm</v>
      </c>
      <c r="H97">
        <v>32</v>
      </c>
      <c r="I97">
        <v>11</v>
      </c>
      <c r="J97">
        <v>11</v>
      </c>
      <c r="K97" t="str">
        <v>JOOP</v>
      </c>
      <c r="L97" t="str">
        <v>PO-7183-SO-260429-0011</v>
      </c>
      <c r="M97" t="str">
        <v>FLAT SHEET</v>
      </c>
      <c r="N97">
        <v>11</v>
      </c>
      <c r="O97" t="str">
        <v>HANG CONT</v>
      </c>
      <c r="Q97">
        <v>46155</v>
      </c>
    </row>
    <row r="98">
      <c r="G98" t="str">
        <v>RELEASE ĐỢT 2</v>
      </c>
    </row>
    <row r="99">
      <c r="H99">
        <v>3935</v>
      </c>
      <c r="I99">
        <v>146</v>
      </c>
      <c r="J99">
        <v>146</v>
      </c>
      <c r="N99">
        <v>146</v>
      </c>
      <c r="O99">
        <v>-24</v>
      </c>
    </row>
  </sheetData>
  <autoFilter ref="A2:Q101"/>
  <pageMargins left="0.18" right="0.17" top="0.24" bottom="0.17" header="0.17" footer="0.17"/>
  <ignoredErrors>
    <ignoredError numberStoredAsText="1" sqref="A1:Y86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S8725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20 - L1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11/5-16/5</v>
      </c>
    </row>
    <row r="4">
      <c r="A4" t="str">
        <v>F-2026-04-341</v>
      </c>
      <c r="B4" t="str">
        <v>RPRO-260428-1297</v>
      </c>
      <c r="C4" t="str">
        <v>11/5</v>
      </c>
      <c r="D4" t="str">
        <v>Pro.sche.report 24.4+25.4</v>
      </c>
      <c r="E4" t="str">
        <v>BDB-000156</v>
      </c>
      <c r="F4" t="str">
        <v>PVN-003243</v>
      </c>
      <c r="G4" t="str">
        <v>OrthoLite X-35-Hybrid-Nike AMAZON/18-6024TPX Hybrid Flat Sheet 0.145D 25+/-4 Asker C 1.1M 2M 5.2mm</v>
      </c>
      <c r="H4">
        <v>910</v>
      </c>
      <c r="I4">
        <v>35</v>
      </c>
      <c r="J4">
        <v>35</v>
      </c>
      <c r="K4" t="str">
        <v>NIKE</v>
      </c>
      <c r="L4" t="str">
        <v>Pr.Sch.R</v>
      </c>
      <c r="M4" t="str">
        <v>MOLDED</v>
      </c>
      <c r="N4">
        <v>35</v>
      </c>
      <c r="O4" t="str">
        <v>Đơn cũ W19</v>
      </c>
      <c r="P4">
        <v>35</v>
      </c>
      <c r="Q4">
        <v>46153</v>
      </c>
    </row>
    <row r="6">
      <c r="A6" t="str">
        <v>F-2026-05-39</v>
      </c>
      <c r="B6" t="str">
        <v>RPRO-260505-0678</v>
      </c>
      <c r="C6" t="str">
        <v>11/5</v>
      </c>
      <c r="D6" t="str">
        <v>Pro.sche.report 04.5</v>
      </c>
      <c r="E6" t="str">
        <v>BDB-000336</v>
      </c>
      <c r="F6" t="str">
        <v>PVN-004168</v>
      </c>
      <c r="G6" t="str">
        <v>OrthoLite X-40-Nike SEEDPEARL/12-0703TPX Flat Sheet 0.16D 35+/-4 Asker C 1.1M 2M 4.5mm</v>
      </c>
      <c r="H6">
        <v>186</v>
      </c>
      <c r="I6">
        <v>7</v>
      </c>
      <c r="J6">
        <v>7</v>
      </c>
      <c r="K6" t="str">
        <v>NIKE</v>
      </c>
      <c r="L6" t="str">
        <v>Pr.Sch.R</v>
      </c>
      <c r="M6" t="str">
        <v>MOLDED</v>
      </c>
      <c r="N6">
        <v>7</v>
      </c>
      <c r="O6" t="str">
        <v>Đơn cũ W19</v>
      </c>
      <c r="P6">
        <v>7</v>
      </c>
      <c r="Q6">
        <v>46154</v>
      </c>
    </row>
    <row r="8">
      <c r="A8" t="str">
        <v>OIN-2026.05.01-01</v>
      </c>
      <c r="B8" t="str">
        <v>RPRO-260507-0008</v>
      </c>
      <c r="C8" t="str">
        <v>11/5</v>
      </c>
      <c r="D8" t="str">
        <v>OIN</v>
      </c>
      <c r="E8" t="str">
        <v>BDB-000330</v>
      </c>
      <c r="F8" t="str">
        <v>PVN-004275</v>
      </c>
      <c r="G8" t="str">
        <v>[116-13102] X 40 25+/-4 Asker C 0.16D Castlerock 18-0201 Tpx 1.10M X 2.00M 47mm</v>
      </c>
      <c r="H8">
        <v>11</v>
      </c>
      <c r="I8">
        <v>4</v>
      </c>
      <c r="J8">
        <v>4</v>
      </c>
      <c r="K8" t="str">
        <v>CLARKS</v>
      </c>
      <c r="L8" t="str">
        <v>PO-7224</v>
      </c>
      <c r="M8" t="str">
        <v>FLAT SHEET</v>
      </c>
      <c r="N8">
        <v>4</v>
      </c>
      <c r="O8" t="str">
        <v xml:space="preserve"> Đơn cũ W19 - HANG Cont</v>
      </c>
      <c r="P8">
        <v>4</v>
      </c>
      <c r="Q8">
        <v>46155</v>
      </c>
    </row>
    <row r="10">
      <c r="A10" t="str">
        <v>OIN-2026.05.08-02</v>
      </c>
      <c r="B10" t="str">
        <v>RPRO-260511-0354</v>
      </c>
      <c r="C10" t="str">
        <v>11/5</v>
      </c>
      <c r="D10" t="str">
        <v>OIN</v>
      </c>
      <c r="E10" t="str">
        <v>BDB-000339</v>
      </c>
      <c r="F10" t="str">
        <v>PVN-004178</v>
      </c>
      <c r="G10" t="str">
        <v>[116-18286] Float 21+/-4 Asker C 0.12D Neutral Grey 17-4402 TPX 1.10M X 2.00M 5.5mm</v>
      </c>
      <c r="H10">
        <v>10</v>
      </c>
      <c r="I10">
        <v>1</v>
      </c>
      <c r="J10">
        <v>1</v>
      </c>
      <c r="K10" t="str">
        <v>Puma</v>
      </c>
      <c r="L10" t="str">
        <v>PO-7260-SO-260508-0173</v>
      </c>
      <c r="M10" t="str">
        <v>FLAT SHEET</v>
      </c>
      <c r="N10">
        <v>1</v>
      </c>
      <c r="O10" t="str">
        <v>HANG CONT_Đi máy bay_gấp, ưu tiên 1</v>
      </c>
      <c r="Q10">
        <v>46154</v>
      </c>
    </row>
    <row r="12">
      <c r="A12" t="str">
        <v>F-2026-05-35</v>
      </c>
      <c r="B12" t="str">
        <v>RPRO-260505-0674</v>
      </c>
      <c r="C12" t="str">
        <v>11/5</v>
      </c>
      <c r="D12" t="str">
        <v>Pro.sche.report 04.5</v>
      </c>
      <c r="E12" t="str">
        <v>BDB-000054</v>
      </c>
      <c r="F12" t="str">
        <v>PVN-003895</v>
      </c>
      <c r="G12" t="str">
        <v>OrthoLite X-40 RED/19-1764TPX Flat Sheet 0.16D 25+/-4 Asker C 1.1M 1.7M 5mm</v>
      </c>
      <c r="H12">
        <v>28</v>
      </c>
      <c r="I12">
        <v>1</v>
      </c>
      <c r="J12">
        <v>1</v>
      </c>
      <c r="K12" t="str">
        <v>PAYNTR</v>
      </c>
      <c r="L12" t="str">
        <v>Pr.Sch.R</v>
      </c>
      <c r="M12" t="str">
        <v>MOLDED</v>
      </c>
      <c r="N12">
        <v>5</v>
      </c>
      <c r="Q12">
        <v>46154</v>
      </c>
    </row>
    <row r="13">
      <c r="A13" t="str">
        <v>F-2026-05-79</v>
      </c>
      <c r="B13" t="str">
        <v>RPRO-260506-0360</v>
      </c>
      <c r="C13" t="str">
        <v>11/5</v>
      </c>
      <c r="D13" t="str">
        <v>Pro.sche.report 05.05</v>
      </c>
      <c r="E13" t="str">
        <v>BDB-000054</v>
      </c>
      <c r="F13" t="str">
        <v>PVN-003895</v>
      </c>
      <c r="G13" t="str">
        <v>OrthoLite X-40 RED/19-1764TPX Flat Sheet 0.16D 25+/-4 Asker C 1.1M 1.7M 5mm</v>
      </c>
      <c r="H13">
        <v>112</v>
      </c>
      <c r="I13">
        <v>4</v>
      </c>
      <c r="J13">
        <v>4</v>
      </c>
      <c r="K13" t="str">
        <v>PAYNTR</v>
      </c>
      <c r="L13" t="str">
        <v>Pr.Sch.R</v>
      </c>
      <c r="M13" t="str">
        <v>MOLDED</v>
      </c>
      <c r="Q13">
        <v>46156</v>
      </c>
    </row>
    <row r="15">
      <c r="A15" t="str">
        <v>F-2026-05-18</v>
      </c>
      <c r="B15" t="str">
        <v>RPRO-260504-0930</v>
      </c>
      <c r="C15" t="str">
        <v>11/5</v>
      </c>
      <c r="D15" t="str">
        <v>Pro.sche.report 29.04+02.05</v>
      </c>
      <c r="E15" t="str">
        <v>BDB-000212</v>
      </c>
      <c r="F15" t="str">
        <v>PVN-003764</v>
      </c>
      <c r="G15" t="str">
        <v>OrthoLite X-25-Hybrid SEEDPEARL/12-0703TPX Hybrid Flat Sheet 0.12D 20+/-4 Asker C 1.1M 2M 5mm</v>
      </c>
      <c r="H15">
        <v>84</v>
      </c>
      <c r="I15">
        <v>3</v>
      </c>
      <c r="J15">
        <v>3</v>
      </c>
      <c r="K15" t="str">
        <v>FOOTJOY</v>
      </c>
      <c r="L15" t="str">
        <v>Pr.Sch.R</v>
      </c>
      <c r="M15" t="str">
        <v>OTHERS</v>
      </c>
      <c r="N15">
        <v>5</v>
      </c>
      <c r="Q15">
        <v>46154</v>
      </c>
    </row>
    <row r="16">
      <c r="A16" t="str">
        <v>F-2026-05-96</v>
      </c>
      <c r="B16" t="str">
        <v>RPRO-260507-0672</v>
      </c>
      <c r="C16" t="str">
        <v>11/5</v>
      </c>
      <c r="D16" t="str">
        <v>Pro.sche.report 06.05</v>
      </c>
      <c r="E16" t="str">
        <v>BDB-000212</v>
      </c>
      <c r="F16" t="str">
        <v>PVN-003458</v>
      </c>
      <c r="G16" t="str">
        <v>OrthoLite X-25-Hybrid SEEDPEARL/12-0703TPX Hybrid Flat Sheet 0.12D 20+/-4 Asker C 1.1M 2M 4mm</v>
      </c>
      <c r="H16">
        <v>70</v>
      </c>
      <c r="I16">
        <v>2</v>
      </c>
      <c r="J16">
        <v>2</v>
      </c>
      <c r="K16" t="str">
        <v>ON RUNNING</v>
      </c>
      <c r="L16" t="str">
        <v>Pr.Sch.R</v>
      </c>
      <c r="M16" t="str">
        <v>DIE CUT</v>
      </c>
      <c r="Q16">
        <v>46161</v>
      </c>
    </row>
    <row r="18">
      <c r="A18" t="str">
        <v>F-2026-05-80</v>
      </c>
      <c r="B18" t="str">
        <v>RPRO-260506-0361</v>
      </c>
      <c r="C18" t="str">
        <v>11/5</v>
      </c>
      <c r="D18" t="str">
        <v>Pro.sche.report 05.05</v>
      </c>
      <c r="E18" t="str">
        <v>BDB-000157</v>
      </c>
      <c r="F18" t="str">
        <v>PVN-003642</v>
      </c>
      <c r="G18" t="str">
        <v>OrthoLite X-35-Hybrid-Nike SEEDPEARL/12-0703TPX Hybrid Flat Sheet 0.145D 25+/-4 Asker C 1.1M 2M 6.2mm</v>
      </c>
      <c r="H18">
        <v>22</v>
      </c>
      <c r="I18">
        <v>1</v>
      </c>
      <c r="J18">
        <v>1</v>
      </c>
      <c r="K18" t="str">
        <v>NIKE</v>
      </c>
      <c r="L18" t="str">
        <v>Pr.Sch.R</v>
      </c>
      <c r="M18" t="str">
        <v>MOLDED</v>
      </c>
      <c r="N18">
        <v>20</v>
      </c>
      <c r="Q18">
        <v>46154</v>
      </c>
    </row>
    <row r="19">
      <c r="A19" t="str">
        <v>F-2026-05-105</v>
      </c>
      <c r="B19" t="str">
        <v>RPRO-260508-0416</v>
      </c>
      <c r="C19" t="str">
        <v>11/5</v>
      </c>
      <c r="D19" t="str">
        <v>Pro.sche.report 07.5</v>
      </c>
      <c r="E19" t="str">
        <v>BDB-000157</v>
      </c>
      <c r="F19" t="str">
        <v>PVN-003642</v>
      </c>
      <c r="G19" t="str">
        <v>OrthoLite X-35-Hybrid-Nike SEEDPEARL/12-0703TPX Hybrid Flat Sheet 0.145D 25+/-4 Asker C 1.1M 2M 6.2mm</v>
      </c>
      <c r="H19">
        <v>418</v>
      </c>
      <c r="I19">
        <v>19</v>
      </c>
      <c r="J19">
        <v>19</v>
      </c>
      <c r="K19" t="str">
        <v>NIKE</v>
      </c>
      <c r="L19" t="str">
        <v>Pr.Sch.R</v>
      </c>
      <c r="M19" t="str">
        <v>MOLDED</v>
      </c>
      <c r="Q19">
        <v>46162</v>
      </c>
    </row>
    <row r="21">
      <c r="A21" t="str">
        <v>F-2026-04-349</v>
      </c>
      <c r="B21" t="str">
        <v>RPRO-260428-1305</v>
      </c>
      <c r="C21" t="str">
        <v>11/5</v>
      </c>
      <c r="D21" t="str">
        <v>Pro.sche.report 24.4+25.4</v>
      </c>
      <c r="E21" t="str">
        <v>BDB-000076</v>
      </c>
      <c r="F21" t="str">
        <v>PVN-003494</v>
      </c>
      <c r="G21" t="str">
        <v>OrthoLite X-25 BILLIARD/16-5427TPX Flat Sheet 0.12D 20+/-4 Asker C 1.1M 2M 5.5mm</v>
      </c>
      <c r="H21">
        <v>25</v>
      </c>
      <c r="I21">
        <v>1</v>
      </c>
      <c r="J21">
        <v>1</v>
      </c>
      <c r="K21" t="str">
        <v>LOTTO</v>
      </c>
      <c r="L21" t="str">
        <v>Pr.Sch.R</v>
      </c>
      <c r="M21" t="str">
        <v>MOLDED</v>
      </c>
      <c r="N21">
        <v>44</v>
      </c>
      <c r="Q21">
        <v>46154</v>
      </c>
    </row>
    <row r="22">
      <c r="A22" t="str">
        <v>F-2026-04-340</v>
      </c>
      <c r="B22" t="str">
        <v>RPRO-260428-1296</v>
      </c>
      <c r="C22" t="str">
        <v>11/5</v>
      </c>
      <c r="D22" t="str">
        <v>Pro.sche.report 24.4+25.4</v>
      </c>
      <c r="E22" t="str">
        <v>BDB-000076</v>
      </c>
      <c r="F22" t="str">
        <v>PVN-004091</v>
      </c>
      <c r="G22" t="str">
        <v>OrthoLite X-25 BILLIARD/16-5427TPX Flat Sheet 0.12D 20+/-4 Asker C 1.1M 2M 3.5mm</v>
      </c>
      <c r="H22">
        <v>40</v>
      </c>
      <c r="I22">
        <v>1</v>
      </c>
      <c r="J22">
        <v>1</v>
      </c>
      <c r="K22" t="str">
        <v>BROOKS</v>
      </c>
      <c r="L22" t="str">
        <v>Pr.Sch.R</v>
      </c>
      <c r="M22" t="str">
        <v>MOLDED</v>
      </c>
      <c r="Q22">
        <v>46156</v>
      </c>
    </row>
    <row r="23">
      <c r="A23" t="str">
        <v>F-2026-05-25</v>
      </c>
      <c r="B23" t="str">
        <v>RPRO-260504-0937</v>
      </c>
      <c r="C23" t="str">
        <v>11/5</v>
      </c>
      <c r="D23" t="str">
        <v>Pro.sche.report 29.04+02.05</v>
      </c>
      <c r="E23" t="str">
        <v>BDB-000076</v>
      </c>
      <c r="F23" t="str">
        <v>PVN-003341</v>
      </c>
      <c r="G23" t="str">
        <v>OrthoLite X-25 BILLIARD/16-5427TPX Flat Sheet 0.12D 20+/-4 Asker C 1.1M 2M 6mm</v>
      </c>
      <c r="H23">
        <v>92</v>
      </c>
      <c r="I23">
        <v>5</v>
      </c>
      <c r="J23">
        <v>5</v>
      </c>
      <c r="K23" t="str">
        <v>LOTTO</v>
      </c>
      <c r="L23" t="str">
        <v>Pr.Sch.R</v>
      </c>
      <c r="M23" t="str">
        <v>MOLDED</v>
      </c>
      <c r="Q23">
        <v>46158</v>
      </c>
    </row>
    <row r="24">
      <c r="A24" t="str">
        <v>F-2026-05-11</v>
      </c>
      <c r="B24" t="str">
        <v>RPRO-260504-0923</v>
      </c>
      <c r="C24" t="str">
        <v>11/5-12/5</v>
      </c>
      <c r="D24" t="str">
        <v>Pro.sche.report 29.04+02.05</v>
      </c>
      <c r="E24" t="str">
        <v>BDB-000076</v>
      </c>
      <c r="F24" t="str">
        <v>PVN-003448</v>
      </c>
      <c r="G24" t="str">
        <v>OrthoLite X-25 BILLIARD/16-5427TPX Flat Sheet 0.12D 20+/-4 Asker C 1.1M 2M 6.2mm</v>
      </c>
      <c r="H24">
        <v>814</v>
      </c>
      <c r="I24">
        <v>37</v>
      </c>
      <c r="J24">
        <v>37</v>
      </c>
      <c r="K24" t="str">
        <v>ADIDAS</v>
      </c>
      <c r="L24" t="str">
        <v>Pr.Sch.R</v>
      </c>
      <c r="M24" t="str">
        <v>MOLDED</v>
      </c>
      <c r="Q24">
        <v>46158</v>
      </c>
    </row>
    <row r="26">
      <c r="A26" t="str">
        <v>F-2026-04-342-1</v>
      </c>
      <c r="B26" t="str">
        <v>RPRO-260428-1298</v>
      </c>
      <c r="C26" t="str">
        <v>12/5</v>
      </c>
      <c r="D26" t="str">
        <v>Pro.sche.report 24.4+25.4</v>
      </c>
      <c r="E26" t="str">
        <v>BDB-000339</v>
      </c>
      <c r="F26" t="str">
        <v>PVN-004178</v>
      </c>
      <c r="G26" t="str">
        <v>OrthoLite Float NEUTRAL GRAY/17-4402TPX Flat Sheet 0.12D 21+/-4 Asker C 1.1M 2M 5.5mm</v>
      </c>
      <c r="H26">
        <v>500</v>
      </c>
      <c r="I26">
        <v>20</v>
      </c>
      <c r="J26">
        <v>20</v>
      </c>
      <c r="K26" t="str">
        <v>PUMA</v>
      </c>
      <c r="L26" t="str">
        <v>Pr.Sch.R</v>
      </c>
      <c r="M26" t="str">
        <v>MOLDED</v>
      </c>
      <c r="N26">
        <v>139</v>
      </c>
      <c r="Q26">
        <v>46155</v>
      </c>
    </row>
    <row r="27">
      <c r="A27" t="str">
        <v>F-2026-04-342-2</v>
      </c>
      <c r="B27" t="str">
        <v>RPRO-260509-0212</v>
      </c>
      <c r="C27" t="str">
        <v>12/5</v>
      </c>
      <c r="D27" t="str">
        <v>Pro.sche.report 24.4+25.4</v>
      </c>
      <c r="E27" t="str">
        <v>BDB-000339</v>
      </c>
      <c r="F27" t="str">
        <v>PVN-004178</v>
      </c>
      <c r="G27" t="str">
        <v>OrthoLite Float NEUTRAL GRAY/17-4402TPX Flat Sheet 0.12D 21+/-4 Asker C 1.1M 2M 5.5mm</v>
      </c>
      <c r="H27">
        <v>675</v>
      </c>
      <c r="I27">
        <v>27</v>
      </c>
      <c r="J27">
        <v>27</v>
      </c>
      <c r="K27" t="str">
        <v>PUMA</v>
      </c>
      <c r="L27" t="str">
        <v>Pr.Sch.R</v>
      </c>
      <c r="M27" t="str">
        <v>MOLDED</v>
      </c>
      <c r="Q27">
        <v>46155</v>
      </c>
    </row>
    <row r="28">
      <c r="A28" t="str">
        <v>OIN-2026.05.08-01</v>
      </c>
      <c r="B28" t="str">
        <v>RPRO-260511-0353</v>
      </c>
      <c r="C28" t="str">
        <v>12/5</v>
      </c>
      <c r="D28" t="str">
        <v>OIN</v>
      </c>
      <c r="E28" t="str">
        <v>BDB-000339</v>
      </c>
      <c r="F28" t="str">
        <v>PVN-004411</v>
      </c>
      <c r="G28" t="str">
        <v>[116-18285] Float 21+/-4 Asker C 0.12D Neutral Grey 17-4402 TPX 1.10M X 2.00M 47mm</v>
      </c>
      <c r="H28">
        <v>10</v>
      </c>
      <c r="I28">
        <v>4</v>
      </c>
      <c r="J28">
        <v>4</v>
      </c>
      <c r="K28" t="str">
        <v>Puma</v>
      </c>
      <c r="L28" t="str">
        <v>PO-7260-SO-260508-0172</v>
      </c>
      <c r="M28" t="str">
        <v>FLAT SHEET</v>
      </c>
      <c r="O28" t="str">
        <v>HANG CONT</v>
      </c>
      <c r="Q28">
        <v>46155</v>
      </c>
    </row>
    <row r="29">
      <c r="A29" t="str">
        <v>F-2026-05-36</v>
      </c>
      <c r="B29" t="str">
        <v>RPRO-260505-0675</v>
      </c>
      <c r="C29" t="str">
        <v>12/5</v>
      </c>
      <c r="D29" t="str">
        <v>Pro.sche.report 04.5</v>
      </c>
      <c r="E29" t="str">
        <v>BDB-000339</v>
      </c>
      <c r="F29" t="str">
        <v>PVN-004178</v>
      </c>
      <c r="G29" t="str">
        <v>OrthoLite Float NEUTRAL GRAY/17-4402TPX Flat Sheet 0.12D 21+/-4 Asker C 1.1M 2M 5.5mm</v>
      </c>
      <c r="H29">
        <v>2200</v>
      </c>
      <c r="I29">
        <v>88</v>
      </c>
      <c r="J29">
        <v>88</v>
      </c>
      <c r="K29" t="str">
        <v>PUMA</v>
      </c>
      <c r="L29" t="str">
        <v>Pr.Sch.R</v>
      </c>
      <c r="M29" t="str">
        <v>MOLDED</v>
      </c>
      <c r="Q29">
        <v>46158</v>
      </c>
    </row>
    <row r="31">
      <c r="A31" t="str">
        <v>OIN-2026.05.08-03</v>
      </c>
      <c r="B31" t="str">
        <v>RPRO-260511-0355</v>
      </c>
      <c r="C31" t="str">
        <v>12/5</v>
      </c>
      <c r="D31" t="str">
        <v>OIN</v>
      </c>
      <c r="E31" t="str">
        <v>BDB-000321</v>
      </c>
      <c r="F31" t="str">
        <v>PVN-004412</v>
      </c>
      <c r="G31" t="str">
        <v xml:space="preserve">[116-18348] Float 21+/-4 Asker C 0.12D Blue Atoll 16-4535 Tpx 1.10M X 2.00M 47mm </v>
      </c>
      <c r="H31">
        <v>10</v>
      </c>
      <c r="I31">
        <v>4</v>
      </c>
      <c r="J31">
        <v>4</v>
      </c>
      <c r="K31" t="str">
        <v>OIN Marketing</v>
      </c>
      <c r="L31" t="str">
        <v>PO-7260-SO-260508-0174</v>
      </c>
      <c r="M31" t="str">
        <v>FLAT SHEET</v>
      </c>
      <c r="N31">
        <v>9</v>
      </c>
      <c r="O31" t="str">
        <v>HANG CONT</v>
      </c>
      <c r="Q31">
        <v>46155</v>
      </c>
    </row>
    <row r="32">
      <c r="A32" t="str">
        <v>F-2026-05-42</v>
      </c>
      <c r="B32" t="str">
        <v>RPRO-260505-0681</v>
      </c>
      <c r="C32" t="str">
        <v>12/5</v>
      </c>
      <c r="D32" t="str">
        <v>Pro.sche.report 04.5</v>
      </c>
      <c r="E32" t="str">
        <v>BDB-000321</v>
      </c>
      <c r="F32" t="str">
        <v>PVN-004104</v>
      </c>
      <c r="G32" t="str">
        <v>OrthoLite Float BLUE ATOLL/16-4535TPX Flat Sheet 0.12D 21+/-4 Asker C 1.1M 2M 5mm</v>
      </c>
      <c r="H32">
        <v>56</v>
      </c>
      <c r="I32">
        <v>2</v>
      </c>
      <c r="J32">
        <v>2</v>
      </c>
      <c r="K32" t="str">
        <v>DESCENTE</v>
      </c>
      <c r="L32" t="str">
        <v>Pr.Sch.R</v>
      </c>
      <c r="M32" t="str">
        <v>DIE CUT</v>
      </c>
      <c r="Q32">
        <v>46158</v>
      </c>
    </row>
    <row r="33">
      <c r="A33" t="str">
        <v>F-2026-05-45</v>
      </c>
      <c r="B33" t="str">
        <v>RPRO-260505-0684</v>
      </c>
      <c r="C33" t="str">
        <v>12/5</v>
      </c>
      <c r="D33" t="str">
        <v>Pro.sche.report 04.5</v>
      </c>
      <c r="E33" t="str">
        <v>BDB-000321</v>
      </c>
      <c r="F33" t="str">
        <v>PVN-004092</v>
      </c>
      <c r="G33" t="str">
        <v>OrthoLite Float BLUE ATOLL/16-4535TPX Flat Sheet 0.12D 21+/-4 Asker C 1.1M 2M 14.5mm</v>
      </c>
      <c r="H33">
        <v>27</v>
      </c>
      <c r="I33">
        <v>3</v>
      </c>
      <c r="J33">
        <v>3</v>
      </c>
      <c r="K33" t="str">
        <v>LOWA</v>
      </c>
      <c r="L33" t="str">
        <v>Pr.Sch.R</v>
      </c>
      <c r="M33" t="str">
        <v>MOLDED</v>
      </c>
      <c r="Q33">
        <v>46158</v>
      </c>
    </row>
    <row r="35">
      <c r="A35" t="str">
        <v>F-2026-04-359</v>
      </c>
      <c r="B35" t="str">
        <v>RPRO-260429-0447</v>
      </c>
      <c r="C35" t="str">
        <v>12/5</v>
      </c>
      <c r="D35" t="str">
        <v>MPS 28.04</v>
      </c>
      <c r="E35" t="str">
        <v>BDB-000056</v>
      </c>
      <c r="F35" t="str">
        <v>PVN-001983</v>
      </c>
      <c r="G35" t="str">
        <v>OrthoLite X-40 SEEDPEARL/12-0703TPX Flat Sheet 0.16D 25+/-4 Asker C 1.1M 1.7M 5mm</v>
      </c>
      <c r="H35">
        <v>168</v>
      </c>
      <c r="I35">
        <v>6</v>
      </c>
      <c r="J35">
        <v>6</v>
      </c>
      <c r="L35" t="str">
        <v>MPS</v>
      </c>
      <c r="M35" t="str">
        <v>SPLITTING</v>
      </c>
      <c r="N35">
        <v>19</v>
      </c>
      <c r="Q35">
        <v>46155</v>
      </c>
    </row>
    <row r="36">
      <c r="A36" t="str">
        <v>F-2026-04-364</v>
      </c>
      <c r="B36" t="str">
        <v>RPRO-260429-0452</v>
      </c>
      <c r="C36" t="str">
        <v>12/5</v>
      </c>
      <c r="D36" t="str">
        <v>MPS 28.04</v>
      </c>
      <c r="E36" t="str">
        <v>BDB-000056</v>
      </c>
      <c r="F36" t="str">
        <v>PVN-003954</v>
      </c>
      <c r="G36" t="str">
        <v>OrthoLite X-40 SEEDPEARL/12-0703TPX Flat Sheet 0.16D 25+/-4 Asker C 1.1M 1.7M 4mm</v>
      </c>
      <c r="H36">
        <v>455</v>
      </c>
      <c r="I36">
        <v>13</v>
      </c>
      <c r="J36">
        <v>13</v>
      </c>
      <c r="L36" t="str">
        <v>MPS</v>
      </c>
      <c r="M36" t="str">
        <v>SPLITTING</v>
      </c>
      <c r="Q36">
        <v>46158</v>
      </c>
    </row>
    <row r="38">
      <c r="A38" t="str">
        <v>F-2026-05-76</v>
      </c>
      <c r="B38" t="str">
        <v>RPRO-260506-0357</v>
      </c>
      <c r="C38" t="str">
        <v>12/5</v>
      </c>
      <c r="D38" t="str">
        <v>Pro.sche.report 05.05</v>
      </c>
      <c r="E38" t="str">
        <v>BDB-000051</v>
      </c>
      <c r="F38" t="str">
        <v>PVN-003319</v>
      </c>
      <c r="G38" t="str">
        <v>OrthoLite X-40 TRUE BLUE/19-4057TPX Flat Sheet 0.16D 25+/-4 Asker C 1.1M 1.7M 12mm</v>
      </c>
      <c r="H38">
        <v>11</v>
      </c>
      <c r="I38">
        <v>1</v>
      </c>
      <c r="J38">
        <v>1</v>
      </c>
      <c r="K38" t="str">
        <v>ASICS</v>
      </c>
      <c r="L38" t="str">
        <v>Pr.Sch.R</v>
      </c>
      <c r="M38" t="str">
        <v>MOLDED</v>
      </c>
      <c r="N38">
        <v>1</v>
      </c>
      <c r="Q38">
        <v>46156</v>
      </c>
    </row>
    <row r="40">
      <c r="A40" t="str">
        <v>F-2026-05-77</v>
      </c>
      <c r="B40" t="str">
        <v>RPRO-260506-0358</v>
      </c>
      <c r="C40" t="str">
        <v>12/5</v>
      </c>
      <c r="D40" t="str">
        <v>Pro.sche.report 05.05</v>
      </c>
      <c r="E40" t="str">
        <v>BDB-000052</v>
      </c>
      <c r="F40" t="str">
        <v>PVN-003603</v>
      </c>
      <c r="G40" t="str">
        <v>OrthoLite X-40 TRUE BLUE/19-4057TPX Flat Sheet 0.16D 25+/-4 Asker C 1.1M 1.47M 12mm</v>
      </c>
      <c r="H40">
        <v>11</v>
      </c>
      <c r="I40">
        <v>1</v>
      </c>
      <c r="J40">
        <v>1</v>
      </c>
      <c r="K40" t="str">
        <v>ASICS</v>
      </c>
      <c r="L40" t="str">
        <v>Pr.Sch.R</v>
      </c>
      <c r="M40" t="str">
        <v>MOLDED</v>
      </c>
      <c r="N40">
        <v>1</v>
      </c>
      <c r="Q40">
        <v>46156</v>
      </c>
    </row>
    <row r="42">
      <c r="A42" t="str">
        <v>F-2026-05-27</v>
      </c>
      <c r="B42" t="str">
        <v>RPRO-260504-0939</v>
      </c>
      <c r="C42" t="str">
        <v>12/5</v>
      </c>
      <c r="D42" t="str">
        <v>Pro.sche.report 29.04+02.05</v>
      </c>
      <c r="E42" t="str">
        <v>BDB-000055</v>
      </c>
      <c r="F42" t="str">
        <v>PVN-004155</v>
      </c>
      <c r="G42" t="str">
        <v>OrthoLite X-40 TRUE BLUE/19-4057TPX Flat Sheet 0.16D 35+/-4 Asker C 1.1M 1.7M 3.2mm</v>
      </c>
      <c r="H42">
        <v>129</v>
      </c>
      <c r="I42">
        <v>4</v>
      </c>
      <c r="J42">
        <v>4</v>
      </c>
      <c r="K42" t="str">
        <v>ADIDAS</v>
      </c>
      <c r="L42" t="str">
        <v>Pr.Sch.R</v>
      </c>
      <c r="M42" t="str">
        <v>MOLDED</v>
      </c>
      <c r="N42">
        <v>4</v>
      </c>
      <c r="Q42">
        <v>46158</v>
      </c>
    </row>
    <row r="44">
      <c r="A44" t="str">
        <v>F-2026-04-374</v>
      </c>
      <c r="B44" t="str">
        <v>RPRO-260429-0464</v>
      </c>
      <c r="C44" t="str">
        <v>12/5</v>
      </c>
      <c r="D44" t="str">
        <v>Pro.sche.report 28.04</v>
      </c>
      <c r="E44" t="str">
        <v>BDB-000154</v>
      </c>
      <c r="F44" t="str">
        <v>PVN-003347</v>
      </c>
      <c r="G44" t="str">
        <v>OrthoLite X-40-Nike TRUE BLUE/19-4057TPX Flat Sheet 0.16D 35+/-4 Asker C 1.1M 1.7M 4mm</v>
      </c>
      <c r="H44">
        <v>70</v>
      </c>
      <c r="I44">
        <v>2</v>
      </c>
      <c r="J44">
        <v>2</v>
      </c>
      <c r="K44" t="str">
        <v>NIKE</v>
      </c>
      <c r="L44" t="str">
        <v>Pr.Sch.R</v>
      </c>
      <c r="M44" t="str">
        <v>LAMINATING</v>
      </c>
      <c r="N44">
        <v>15</v>
      </c>
      <c r="Q44">
        <v>46158</v>
      </c>
    </row>
    <row r="45">
      <c r="A45" t="str">
        <v>F-2026-05-40</v>
      </c>
      <c r="B45" t="str">
        <v>RPRO-260505-0679</v>
      </c>
      <c r="C45" t="str">
        <v>12/5</v>
      </c>
      <c r="D45" t="str">
        <v>Pro.sche.report 04.5</v>
      </c>
      <c r="E45" t="str">
        <v>BDB-000154</v>
      </c>
      <c r="F45" t="str">
        <v>PVN-003347</v>
      </c>
      <c r="G45" t="str">
        <v>OrthoLite X-40-Nike TRUE BLUE/19-4057TPX Flat Sheet 0.16D 35+/-4 Asker C 1.1M 1.7M 4mm</v>
      </c>
      <c r="H45">
        <v>455</v>
      </c>
      <c r="I45">
        <v>13</v>
      </c>
      <c r="J45">
        <v>13</v>
      </c>
      <c r="K45" t="str">
        <v>NIKE</v>
      </c>
      <c r="L45" t="str">
        <v>Pr.Sch.R</v>
      </c>
      <c r="M45" t="str">
        <v>LAMINATING</v>
      </c>
      <c r="Q45">
        <v>46158</v>
      </c>
    </row>
    <row r="47">
      <c r="A47" t="str">
        <v>F-2026-04-345</v>
      </c>
      <c r="B47" t="str">
        <v>RPRO-260428-1301</v>
      </c>
      <c r="C47" t="str">
        <v>12/5</v>
      </c>
      <c r="D47" t="str">
        <v>Pro.sche.report 24.4+25.4</v>
      </c>
      <c r="E47" t="str">
        <v>BDB-000334</v>
      </c>
      <c r="F47" t="str">
        <v>PVN-004327</v>
      </c>
      <c r="G47" t="str">
        <v>OrthoLite X-55-Hybrid FOSSIL/17-0909TPX Hybrid Flat Sheet 0.16D 25+/-4 Asker C 1.1M 2M 6mm</v>
      </c>
      <c r="H47">
        <v>46</v>
      </c>
      <c r="I47">
        <v>2</v>
      </c>
      <c r="J47">
        <v>2</v>
      </c>
      <c r="K47" t="str">
        <v>ASICS</v>
      </c>
      <c r="L47" t="str">
        <v>Pr.Sch.R</v>
      </c>
      <c r="M47" t="str">
        <v>MOLDED</v>
      </c>
      <c r="N47">
        <v>4</v>
      </c>
      <c r="Q47">
        <v>46156</v>
      </c>
    </row>
    <row r="48">
      <c r="A48" t="str">
        <v>F-2026-05-14</v>
      </c>
      <c r="B48" t="str">
        <v>RPRO-260504-0926</v>
      </c>
      <c r="C48" t="str">
        <v>12/5-13/5</v>
      </c>
      <c r="D48" t="str">
        <v>Pro.sche.report 29.04+02.05</v>
      </c>
      <c r="E48" t="str">
        <v>BDB-000334</v>
      </c>
      <c r="F48" t="str">
        <v>PVN-004327</v>
      </c>
      <c r="G48" t="str">
        <v>OrthoLite X-55-Hybrid FOSSIL/17-0909TPX Hybrid Flat Sheet 0.16D 25+/-4 Asker C 1.1M 2M 6mm</v>
      </c>
      <c r="H48">
        <v>46</v>
      </c>
      <c r="I48">
        <v>2</v>
      </c>
      <c r="J48">
        <v>2</v>
      </c>
      <c r="K48" t="str">
        <v>ASICS</v>
      </c>
      <c r="L48" t="str">
        <v>Pr.Sch.R</v>
      </c>
      <c r="M48" t="str">
        <v>MOLDED</v>
      </c>
      <c r="Q48">
        <v>46158</v>
      </c>
    </row>
    <row r="50">
      <c r="A50" t="str">
        <v>F-2026-04-134</v>
      </c>
      <c r="B50" t="str">
        <v>FPRO-260409-0008</v>
      </c>
      <c r="C50" t="str">
        <v>13/5</v>
      </c>
      <c r="D50" t="str">
        <v>Firm plan 09.04</v>
      </c>
      <c r="E50" t="str">
        <v>BDB-000077</v>
      </c>
      <c r="F50" t="str">
        <v>PVN-004147</v>
      </c>
      <c r="G50" t="str">
        <v>OrthoLite X-25 SEEDPEARL/12-0703TPX Flat Sheet 0.12D 20+/-4 Asker C 1.1M 2M 5.5mm</v>
      </c>
      <c r="H50">
        <v>200</v>
      </c>
      <c r="I50">
        <v>8</v>
      </c>
      <c r="J50">
        <v>8</v>
      </c>
      <c r="K50" t="str">
        <v>ON RUNNING</v>
      </c>
      <c r="L50" t="str">
        <v>Forecast</v>
      </c>
      <c r="M50" t="str">
        <v>MOLDED</v>
      </c>
      <c r="N50">
        <v>8</v>
      </c>
      <c r="Q50">
        <v>46156</v>
      </c>
    </row>
    <row r="52">
      <c r="A52" t="str">
        <v>F-2026-04-350</v>
      </c>
      <c r="B52" t="str">
        <v>RPRO-260428-1306</v>
      </c>
      <c r="C52" t="str">
        <v>13/5</v>
      </c>
      <c r="D52" t="str">
        <v>Pro.sche.report 24.4+25.4</v>
      </c>
      <c r="E52" t="str">
        <v>BDB-000117</v>
      </c>
      <c r="F52" t="str">
        <v>PVN-003148</v>
      </c>
      <c r="G52" t="str">
        <v>OrthoLite X-35-Hybrid SEEDPEARL/12-0703TPX Hybrid Flat Sheet 0.145D 25+/-4 Asker C 1.1M 2M 4.5mm</v>
      </c>
      <c r="H52">
        <v>31</v>
      </c>
      <c r="I52">
        <v>2</v>
      </c>
      <c r="J52">
        <v>2</v>
      </c>
      <c r="K52" t="str">
        <v>WILSON</v>
      </c>
      <c r="L52" t="str">
        <v>Pr.Sch.R</v>
      </c>
      <c r="M52" t="str">
        <v>MOLDED</v>
      </c>
      <c r="N52">
        <v>12</v>
      </c>
      <c r="Q52">
        <v>46156</v>
      </c>
    </row>
    <row r="53">
      <c r="A53" t="str">
        <v>F-2026-05-103</v>
      </c>
      <c r="B53" t="str">
        <v>RPRO-260508-0414</v>
      </c>
      <c r="C53" t="str">
        <v>13/5</v>
      </c>
      <c r="D53" t="str">
        <v>Pro.sche.report 07.5</v>
      </c>
      <c r="E53" t="str">
        <v>BDB-000117</v>
      </c>
      <c r="F53" t="str">
        <v>PVN-003234</v>
      </c>
      <c r="G53" t="str">
        <v>OrthoLite X-35-Hybrid SEEDPEARL/12-0703TPX Hybrid Flat Sheet 0.145D 25+/-4 Asker C 1.1M 2M 5.5mm</v>
      </c>
      <c r="H53">
        <v>250</v>
      </c>
      <c r="I53">
        <v>10</v>
      </c>
      <c r="J53">
        <v>10</v>
      </c>
      <c r="K53" t="str">
        <v>PUMA</v>
      </c>
      <c r="L53" t="str">
        <v>Pr.Sch.R</v>
      </c>
      <c r="M53" t="str">
        <v>MOLDED</v>
      </c>
      <c r="Q53">
        <v>46162</v>
      </c>
    </row>
    <row r="55">
      <c r="A55" t="str">
        <v>F-2026-04-347</v>
      </c>
      <c r="B55" t="str">
        <v>RPRO-260428-1303</v>
      </c>
      <c r="C55" t="str">
        <v>13/5</v>
      </c>
      <c r="D55" t="str">
        <v>Pro.sche.report 24.4+25.4</v>
      </c>
      <c r="E55" t="str">
        <v>BDB-000313</v>
      </c>
      <c r="F55" t="str">
        <v>PVN-004061</v>
      </c>
      <c r="G55" t="str">
        <v>OrthoLite X-55 RED/19-1764TPX Flat Sheet 0.16D 25+/-4 Asker C 1.1M 1.47M 18mm</v>
      </c>
      <c r="H55">
        <v>112</v>
      </c>
      <c r="I55">
        <v>17</v>
      </c>
      <c r="J55">
        <v>17</v>
      </c>
      <c r="K55" t="str">
        <v>WILSON</v>
      </c>
      <c r="L55" t="str">
        <v>Pr.Sch.R</v>
      </c>
      <c r="M55" t="str">
        <v>MOLDED</v>
      </c>
      <c r="N55">
        <v>19</v>
      </c>
      <c r="O55" t="str">
        <v xml:space="preserve">W19 đổ dư 2 bun </v>
      </c>
      <c r="Q55">
        <v>46156</v>
      </c>
    </row>
    <row r="56">
      <c r="A56" t="str">
        <v>F-2026-05-15</v>
      </c>
      <c r="B56" t="str">
        <v>RPRO-260504-0927</v>
      </c>
      <c r="C56" t="str">
        <v>13/5</v>
      </c>
      <c r="D56" t="str">
        <v>Pro.sche.report 29.04+02.05</v>
      </c>
      <c r="E56" t="str">
        <v>BDB-000313</v>
      </c>
      <c r="F56" t="str">
        <v>PVN-004061</v>
      </c>
      <c r="G56" t="str">
        <v>OrthoLite X-55 RED/19-1764TPX Flat Sheet 0.16D 25+/-4 Asker C 1.1M 1.47M 18mm</v>
      </c>
      <c r="H56">
        <v>7</v>
      </c>
      <c r="I56">
        <v>2</v>
      </c>
      <c r="J56">
        <v>2</v>
      </c>
      <c r="K56" t="str">
        <v>WILSON</v>
      </c>
      <c r="L56" t="str">
        <v>Pr.Sch.R</v>
      </c>
      <c r="M56" t="str">
        <v>MOLDED</v>
      </c>
      <c r="N56" t="str">
        <v>21-2</v>
      </c>
      <c r="Q56">
        <v>46158</v>
      </c>
    </row>
    <row r="57">
      <c r="A57" t="str">
        <v>F-2026-05-106</v>
      </c>
      <c r="B57" t="str">
        <v>RPRO-260508-0417</v>
      </c>
      <c r="C57" t="str">
        <v>13/5</v>
      </c>
      <c r="D57" t="str">
        <v>Pro.sche.report 07.5</v>
      </c>
      <c r="E57" t="str">
        <v>BDB-000313</v>
      </c>
      <c r="F57" t="str">
        <v>PVN-004061</v>
      </c>
      <c r="G57" t="str">
        <v>OrthoLite X-55 RED/19-1764TPX Flat Sheet 0.16D 25+/-4 Asker C 1.1M 1.47M 18mm</v>
      </c>
      <c r="H57">
        <v>7</v>
      </c>
      <c r="I57">
        <v>2</v>
      </c>
      <c r="J57">
        <v>2</v>
      </c>
      <c r="K57" t="str">
        <v>WILSON</v>
      </c>
      <c r="L57" t="str">
        <v>Pr.Sch.R</v>
      </c>
      <c r="M57" t="str">
        <v>MOLDED</v>
      </c>
      <c r="Q57">
        <v>46162</v>
      </c>
    </row>
    <row r="59">
      <c r="A59" t="str">
        <v>F-2026-05-64</v>
      </c>
      <c r="B59" t="str">
        <v>FPRO-260504-0015</v>
      </c>
      <c r="C59" t="str">
        <v>13/5</v>
      </c>
      <c r="D59" t="str">
        <v>Firm plan 04.05</v>
      </c>
      <c r="E59" t="str">
        <v>BDB-000332</v>
      </c>
      <c r="F59" t="str">
        <v>PVN-004146</v>
      </c>
      <c r="G59" t="str">
        <v>OrthoLite X-25 CASTLEROCK/18-0201TPX Flat Sheet 0.12D 20+/-4 Asker C 1.1M 2M 5.5mm</v>
      </c>
      <c r="H59">
        <v>600</v>
      </c>
      <c r="I59">
        <v>24</v>
      </c>
      <c r="J59">
        <v>24</v>
      </c>
      <c r="K59" t="str">
        <v>ON RUNNING</v>
      </c>
      <c r="L59" t="str">
        <v>Forecast</v>
      </c>
      <c r="M59" t="str">
        <v>MOLDED</v>
      </c>
      <c r="N59">
        <v>20</v>
      </c>
      <c r="O59" t="str">
        <v xml:space="preserve">W19 đổ dư 4 bun </v>
      </c>
      <c r="Q59">
        <v>46156</v>
      </c>
    </row>
    <row r="61">
      <c r="A61" t="str">
        <v>F-2026-04-242</v>
      </c>
      <c r="B61" t="str">
        <v>FPRO-260416-0027</v>
      </c>
      <c r="C61" t="str">
        <v>13/5</v>
      </c>
      <c r="D61" t="str">
        <v>Firm plan 16.4</v>
      </c>
      <c r="E61" t="str">
        <v>BDB-000235</v>
      </c>
      <c r="F61" t="str">
        <v>PVN-003576</v>
      </c>
      <c r="G61" t="str">
        <v>OrthoLite X-55-Hybrid FOSSIL/17-0909TPX Hybrid Flat Sheet 0.16D 25+/-4 Asker C 1.1M 1.7M 12mm</v>
      </c>
      <c r="H61">
        <v>500</v>
      </c>
      <c r="I61">
        <v>44</v>
      </c>
      <c r="J61">
        <v>44</v>
      </c>
      <c r="K61" t="str">
        <v>ASICS</v>
      </c>
      <c r="L61" t="str">
        <v>Forecast</v>
      </c>
      <c r="M61" t="str">
        <v>MOLDED</v>
      </c>
      <c r="N61">
        <v>22</v>
      </c>
      <c r="O61" t="str">
        <v xml:space="preserve">W19 đổ dư 22 bun </v>
      </c>
      <c r="Q61">
        <v>46156</v>
      </c>
    </row>
    <row r="63">
      <c r="A63" t="str">
        <v>F-2026-04-334</v>
      </c>
      <c r="B63" t="str">
        <v>RPRO-260428-1290</v>
      </c>
      <c r="C63" t="str">
        <v>13/5</v>
      </c>
      <c r="D63" t="str">
        <v>MPS 24.4+25.4</v>
      </c>
      <c r="E63" t="str">
        <v>BDB-000348</v>
      </c>
      <c r="F63" t="str">
        <v>PVN-004210</v>
      </c>
      <c r="G63" t="str">
        <v>OrthoLite IMPERIAL SEEDPEARL/12-0703TPX Flat Sheet 0.22D 25+/-4 Asker C 1.1M 1.47M 5mm</v>
      </c>
      <c r="H63">
        <v>28</v>
      </c>
      <c r="I63">
        <v>1</v>
      </c>
      <c r="J63">
        <v>1</v>
      </c>
      <c r="L63" t="str">
        <v>MPS</v>
      </c>
      <c r="M63" t="str">
        <v>SPLITTING</v>
      </c>
      <c r="N63">
        <v>56</v>
      </c>
      <c r="Q63">
        <v>46156</v>
      </c>
    </row>
    <row r="64">
      <c r="A64" t="str">
        <v>F-2026-05-01</v>
      </c>
      <c r="B64" t="str">
        <v>RPRO-260504-0913</v>
      </c>
      <c r="C64" t="str">
        <v>13/5</v>
      </c>
      <c r="D64" t="str">
        <v>MPS 29.04+02.05</v>
      </c>
      <c r="E64" t="str">
        <v>BDB-000348</v>
      </c>
      <c r="F64" t="str">
        <v>PVN-004195</v>
      </c>
      <c r="G64" t="str">
        <v>OrthoLite IMPERIAL SEEDPEARL/12-0703TPX Flat Sheet 0.22D 25+/-4 Asker C 1.1M 1.47M 4mm</v>
      </c>
      <c r="H64">
        <v>44</v>
      </c>
      <c r="I64">
        <v>2</v>
      </c>
      <c r="J64">
        <v>2</v>
      </c>
      <c r="L64" t="str">
        <v>MPS</v>
      </c>
      <c r="M64" t="str">
        <v>SPLITTING</v>
      </c>
      <c r="Q64">
        <v>46158</v>
      </c>
    </row>
    <row r="65">
      <c r="A65" t="str">
        <v>F-2026-05-09</v>
      </c>
      <c r="B65" t="str">
        <v>RPRO-260504-0921</v>
      </c>
      <c r="C65" t="str">
        <v>13/5</v>
      </c>
      <c r="D65" t="str">
        <v>MPS 29.04+02.05</v>
      </c>
      <c r="E65" t="str">
        <v>BDB-000348</v>
      </c>
      <c r="F65" t="str">
        <v>PVN-004210</v>
      </c>
      <c r="G65" t="str">
        <v>OrthoLite IMPERIAL SEEDPEARL/12-0703TPX Flat Sheet 0.22D 25+/-4 Asker C 1.1M 1.47M 5mm</v>
      </c>
      <c r="H65">
        <v>28</v>
      </c>
      <c r="I65">
        <v>1</v>
      </c>
      <c r="J65">
        <v>1</v>
      </c>
      <c r="L65" t="str">
        <v>MPS</v>
      </c>
      <c r="M65" t="str">
        <v>SPLITTING</v>
      </c>
      <c r="Q65">
        <v>46158</v>
      </c>
    </row>
    <row r="66">
      <c r="A66" t="str">
        <v>F-2026-04-354</v>
      </c>
      <c r="B66" t="str">
        <v>RPRO-260429-0442</v>
      </c>
      <c r="C66" t="str">
        <v>13/5</v>
      </c>
      <c r="D66" t="str">
        <v>MPS 28.04</v>
      </c>
      <c r="E66" t="str">
        <v>BDB-000348</v>
      </c>
      <c r="F66" t="str">
        <v>PVN-004195</v>
      </c>
      <c r="G66" t="str">
        <v>OrthoLite IMPERIAL SEEDPEARL/12-0703TPX Flat Sheet 0.22D 25+/-4 Asker C 1.1M 1.47M 4mm</v>
      </c>
      <c r="H66">
        <v>700</v>
      </c>
      <c r="I66">
        <v>20</v>
      </c>
      <c r="J66">
        <v>20</v>
      </c>
      <c r="L66" t="str">
        <v>MPS</v>
      </c>
      <c r="M66" t="str">
        <v>SPLITTING</v>
      </c>
      <c r="Q66">
        <v>46158</v>
      </c>
    </row>
    <row r="67">
      <c r="A67" t="str">
        <v>F-2026-04-365</v>
      </c>
      <c r="B67" t="str">
        <v>RPRO-260429-0453</v>
      </c>
      <c r="C67" t="str">
        <v>13/5</v>
      </c>
      <c r="D67" t="str">
        <v>MPS 28.04</v>
      </c>
      <c r="E67" t="str">
        <v>BDB-000348</v>
      </c>
      <c r="F67" t="str">
        <v>PVN-004210</v>
      </c>
      <c r="G67" t="str">
        <v>OrthoLite IMPERIAL SEEDPEARL/12-0703TPX Flat Sheet 0.22D 25+/-4 Asker C 1.1M 1.47M 5mm</v>
      </c>
      <c r="H67">
        <v>420</v>
      </c>
      <c r="I67">
        <v>15</v>
      </c>
      <c r="J67">
        <v>15</v>
      </c>
      <c r="L67" t="str">
        <v>MPS</v>
      </c>
      <c r="M67" t="str">
        <v>SPLITTING</v>
      </c>
      <c r="Q67">
        <v>46158</v>
      </c>
    </row>
    <row r="68">
      <c r="A68" t="str">
        <v>F-2026-05-29</v>
      </c>
      <c r="B68" t="str">
        <v>RPRO-260505-0668</v>
      </c>
      <c r="C68" t="str">
        <v>13/5</v>
      </c>
      <c r="D68" t="str">
        <v>MPS 04.5</v>
      </c>
      <c r="E68" t="str">
        <v>BDB-000348</v>
      </c>
      <c r="F68" t="str">
        <v>PVN-004195</v>
      </c>
      <c r="G68" t="str">
        <v>OrthoLite IMPERIAL SEEDPEARL/12-0703TPX Flat Sheet 0.22D 25+/-4 Asker C 1.1M 1.47M 4mm</v>
      </c>
      <c r="H68">
        <v>92</v>
      </c>
      <c r="I68">
        <v>3</v>
      </c>
      <c r="J68">
        <v>3</v>
      </c>
      <c r="L68" t="str">
        <v>MPS</v>
      </c>
      <c r="M68" t="str">
        <v>SPLITTING</v>
      </c>
      <c r="Q68">
        <v>46158</v>
      </c>
    </row>
    <row r="69">
      <c r="A69" t="str">
        <v>F-2026-05-34</v>
      </c>
      <c r="B69" t="str">
        <v>RPRO-260505-0673</v>
      </c>
      <c r="C69" t="str">
        <v>13/5</v>
      </c>
      <c r="D69" t="str">
        <v>MPS 04.5</v>
      </c>
      <c r="E69" t="str">
        <v>BDB-000348</v>
      </c>
      <c r="F69" t="str">
        <v>PVN-004210</v>
      </c>
      <c r="G69" t="str">
        <v>OrthoLite IMPERIAL SEEDPEARL/12-0703TPX Flat Sheet 0.22D 25+/-4 Asker C 1.1M 1.47M 5mm</v>
      </c>
      <c r="H69">
        <v>28</v>
      </c>
      <c r="I69">
        <v>1</v>
      </c>
      <c r="J69">
        <v>1</v>
      </c>
      <c r="L69" t="str">
        <v>MPS</v>
      </c>
      <c r="M69" t="str">
        <v>SPLITTING</v>
      </c>
      <c r="Q69">
        <v>46158</v>
      </c>
    </row>
    <row r="70">
      <c r="A70" t="str">
        <v>F-2026-05-70</v>
      </c>
      <c r="B70" t="str">
        <v>RPRO-260506-0351</v>
      </c>
      <c r="C70" t="str">
        <v>13/5</v>
      </c>
      <c r="D70" t="str">
        <v>MPS 05.05</v>
      </c>
      <c r="E70" t="str">
        <v>BDB-000348</v>
      </c>
      <c r="F70" t="str">
        <v>PVN-004195</v>
      </c>
      <c r="G70" t="str">
        <v>OrthoLite IMPERIAL SEEDPEARL/12-0703TPX Flat Sheet 0.22D 25+/-4 Asker C 1.1M 1.47M 4mm</v>
      </c>
      <c r="H70">
        <v>455</v>
      </c>
      <c r="I70">
        <v>13</v>
      </c>
      <c r="J70">
        <v>13</v>
      </c>
      <c r="L70" t="str">
        <v>MPS</v>
      </c>
      <c r="M70" t="str">
        <v>SPLITTING</v>
      </c>
      <c r="Q70">
        <v>46160</v>
      </c>
    </row>
    <row r="72">
      <c r="A72" t="str">
        <v>F-2026-05-49</v>
      </c>
      <c r="B72" t="str">
        <v>RPRO-260505-0689</v>
      </c>
      <c r="C72" t="str">
        <v>13/5</v>
      </c>
      <c r="D72" t="str">
        <v>Pro.sche.report 04.5</v>
      </c>
      <c r="E72" t="str">
        <v>BDB-000234</v>
      </c>
      <c r="F72" t="str">
        <v>PVN-003575</v>
      </c>
      <c r="G72" t="str">
        <v>OrthoLite X-30-Hybrid BROWN SUGAR/17-1134TPX Hybrid Flat Sheet 0.13D 25+/-4 Asker C 1.1M 2M 10mm</v>
      </c>
      <c r="H72">
        <v>52</v>
      </c>
      <c r="I72">
        <v>4</v>
      </c>
      <c r="J72">
        <v>4</v>
      </c>
      <c r="K72" t="str">
        <v>ASICS</v>
      </c>
      <c r="L72" t="str">
        <v>Pr.Sch.R</v>
      </c>
      <c r="M72" t="str">
        <v>MOLDED</v>
      </c>
      <c r="N72">
        <v>4</v>
      </c>
      <c r="Q72">
        <v>46158</v>
      </c>
    </row>
    <row r="74">
      <c r="A74" t="str">
        <v>F-2026-04-367</v>
      </c>
      <c r="B74" t="str">
        <v>RPRO-260429-0457</v>
      </c>
      <c r="C74" t="str">
        <v>13/5</v>
      </c>
      <c r="D74" t="str">
        <v>Pro.sche.report 28.04</v>
      </c>
      <c r="E74" t="str">
        <v>BDB-000248</v>
      </c>
      <c r="F74" t="str">
        <v>PVN-003931</v>
      </c>
      <c r="G74" t="str">
        <v>OrthoLite X-40-Hybrid RED/19-1764TPX Hybrid Flat Sheet 0.16D 25+/-4 Asker C 1.1M 1.7M 6.5mm</v>
      </c>
      <c r="H74">
        <v>84</v>
      </c>
      <c r="I74">
        <v>5</v>
      </c>
      <c r="J74">
        <v>5</v>
      </c>
      <c r="K74" t="str">
        <v>REDWING</v>
      </c>
      <c r="L74" t="str">
        <v>Pr.Sch.R</v>
      </c>
      <c r="M74" t="str">
        <v>MOLDED</v>
      </c>
      <c r="N74">
        <v>5</v>
      </c>
      <c r="Q74">
        <v>46158</v>
      </c>
    </row>
    <row r="76">
      <c r="A76" t="str">
        <v>F-2026-04-368</v>
      </c>
      <c r="B76" t="str">
        <v>RPRO-260429-0458</v>
      </c>
      <c r="C76" t="str">
        <v>13/5</v>
      </c>
      <c r="D76" t="str">
        <v>Pro.sche.report 28.04</v>
      </c>
      <c r="E76" t="str">
        <v>BDB-000309</v>
      </c>
      <c r="F76" t="str">
        <v>PVN-004033</v>
      </c>
      <c r="G76" t="str">
        <v>OrthoLite X-40-Hybrid NEUTRAL GRAY/17-4402TPX Hybrid Flat Sheet 0.16D 35+/-4 Asker C 1.1M 2M 2mm</v>
      </c>
      <c r="H76">
        <v>70</v>
      </c>
      <c r="I76">
        <v>2</v>
      </c>
      <c r="J76">
        <v>2</v>
      </c>
      <c r="K76" t="str">
        <v>REDWING</v>
      </c>
      <c r="L76" t="str">
        <v>Pr.Sch.R</v>
      </c>
      <c r="M76" t="str">
        <v>MOLDED</v>
      </c>
      <c r="N76">
        <v>2</v>
      </c>
      <c r="Q76">
        <v>46158</v>
      </c>
    </row>
    <row r="78">
      <c r="A78" t="str">
        <v>F-2026-05-94</v>
      </c>
      <c r="B78" t="str">
        <v>RPRO-260507-0670</v>
      </c>
      <c r="C78" t="str">
        <v>13/5</v>
      </c>
      <c r="D78" t="str">
        <v>Pro.sche.report 06.05</v>
      </c>
      <c r="E78" t="str">
        <v>BDB-000340</v>
      </c>
      <c r="F78" t="str">
        <v>PVN-004177</v>
      </c>
      <c r="G78" t="str">
        <v>OrthoLite Float SEEDPEARL/12-0703TPX Flat Sheet 0.12D 21+/-4 Asker C 1.1M 2M 5.5mm</v>
      </c>
      <c r="H78">
        <v>25</v>
      </c>
      <c r="I78">
        <v>1</v>
      </c>
      <c r="J78">
        <v>1</v>
      </c>
      <c r="K78" t="str">
        <v>ON RUNNING</v>
      </c>
      <c r="L78" t="str">
        <v>Pr.Sch.R</v>
      </c>
      <c r="M78" t="str">
        <v>MOLDED</v>
      </c>
      <c r="N78">
        <v>1</v>
      </c>
      <c r="Q78">
        <v>46161</v>
      </c>
    </row>
    <row r="80">
      <c r="A80" t="str">
        <v>F-2026-05-75</v>
      </c>
      <c r="B80" t="str">
        <v>RPRO-260506-0356</v>
      </c>
      <c r="C80" t="str">
        <v>13/5</v>
      </c>
      <c r="D80" t="str">
        <v>MPS 05.05</v>
      </c>
      <c r="E80" t="str">
        <v>BDB-000305</v>
      </c>
      <c r="F80" t="str">
        <v>PVN-004000</v>
      </c>
      <c r="G80" t="str">
        <v>OrthoLite X-35-Nike YELLOW/13-0858TPX Flat Sheet 0.145D 25+/-4 Asker C 1.1M 2M 5.5mm</v>
      </c>
      <c r="H80">
        <v>25</v>
      </c>
      <c r="I80">
        <v>1</v>
      </c>
      <c r="J80">
        <v>1</v>
      </c>
      <c r="L80" t="str">
        <v>MPS</v>
      </c>
      <c r="M80" t="str">
        <v>SPLITTING</v>
      </c>
      <c r="N80">
        <v>1</v>
      </c>
      <c r="Q80">
        <v>46160</v>
      </c>
    </row>
    <row r="82">
      <c r="A82" t="str">
        <v>F-2026-05-81</v>
      </c>
      <c r="B82" t="str">
        <v>RPRO-260506-0362</v>
      </c>
      <c r="C82" t="str">
        <v>13/5</v>
      </c>
      <c r="D82" t="str">
        <v>Pro.sche.report 05.05</v>
      </c>
      <c r="E82" t="str">
        <v>BDB-000336</v>
      </c>
      <c r="F82" t="str">
        <v>PVN-004168</v>
      </c>
      <c r="G82" t="str">
        <v>OrthoLite X-40-Nike SEEDPEARL/12-0703TPX Flat Sheet 0.16D 35+/-4 Asker C 1.1M 2M 4.5mm</v>
      </c>
      <c r="H82">
        <v>155</v>
      </c>
      <c r="I82">
        <v>6</v>
      </c>
      <c r="J82">
        <v>6</v>
      </c>
      <c r="K82" t="str">
        <v>NIKE</v>
      </c>
      <c r="L82" t="str">
        <v>Pr.Sch.R</v>
      </c>
      <c r="M82" t="str">
        <v>MOLDED</v>
      </c>
      <c r="N82">
        <v>6</v>
      </c>
      <c r="Q82">
        <v>46160</v>
      </c>
    </row>
    <row r="84">
      <c r="A84" t="str">
        <v>F-2026-05-78</v>
      </c>
      <c r="B84" t="str">
        <v>RPRO-260506-0359</v>
      </c>
      <c r="C84" t="str">
        <v>13/5</v>
      </c>
      <c r="D84" t="str">
        <v>Pro.sche.report 05.05</v>
      </c>
      <c r="E84" t="str">
        <v>BDB-000319</v>
      </c>
      <c r="F84" t="str">
        <v>PVN-004247</v>
      </c>
      <c r="G84" t="str">
        <v>OrthoLite X-40-Hybrid-Nike SEEDPEARL/12-0703TPX Hybrid Flat Sheet 0.16D 25+/-4 Asker C 1.1M 2M 4.2mm</v>
      </c>
      <c r="H84">
        <v>33</v>
      </c>
      <c r="I84">
        <v>1</v>
      </c>
      <c r="J84">
        <v>1</v>
      </c>
      <c r="K84" t="str">
        <v>NIKE</v>
      </c>
      <c r="L84" t="str">
        <v>Pr.Sch.R</v>
      </c>
      <c r="M84" t="str">
        <v>MOLDED</v>
      </c>
      <c r="N84">
        <v>10</v>
      </c>
      <c r="Q84">
        <v>46160</v>
      </c>
    </row>
    <row r="85">
      <c r="A85" t="str">
        <v>F-2026-05-104</v>
      </c>
      <c r="B85" t="str">
        <v>RPRO-260508-0415</v>
      </c>
      <c r="C85" t="str">
        <v>13/5</v>
      </c>
      <c r="D85" t="str">
        <v>Pro.sche.report 07.5</v>
      </c>
      <c r="E85" t="str">
        <v>BDB-000319</v>
      </c>
      <c r="F85" t="str">
        <v>PVN-004247</v>
      </c>
      <c r="G85" t="str">
        <v>OrthoLite X-40-Hybrid-Nike SEEDPEARL/12-0703TPX Hybrid Flat Sheet 0.16D 25+/-4 Asker C 1.1M 2M 4.2mm</v>
      </c>
      <c r="H85">
        <v>297</v>
      </c>
      <c r="I85">
        <v>9</v>
      </c>
      <c r="J85">
        <v>9</v>
      </c>
      <c r="K85" t="str">
        <v>NIKE</v>
      </c>
      <c r="L85" t="str">
        <v>Pr.Sch.R</v>
      </c>
      <c r="M85" t="str">
        <v>MOLDED</v>
      </c>
      <c r="Q85">
        <v>46162</v>
      </c>
    </row>
    <row r="87">
      <c r="A87" t="str">
        <v>F-2026-05-95</v>
      </c>
      <c r="B87" t="str">
        <v>RPRO-260507-0671</v>
      </c>
      <c r="C87" t="str">
        <v>13/5</v>
      </c>
      <c r="D87" t="str">
        <v>Pro.sche.report 06.05</v>
      </c>
      <c r="E87" t="str">
        <v>BDB-000213</v>
      </c>
      <c r="F87" t="str">
        <v>PVN-003752</v>
      </c>
      <c r="G87" t="str">
        <v>OrthoLite X-25-Hybrid SEEDPEARL/12-0703TPX Hybrid Flat Sheet 0.12D 20+/-4 Asker C 1.1M 1.47M 4.5mm</v>
      </c>
      <c r="H87">
        <v>434</v>
      </c>
      <c r="I87">
        <v>15</v>
      </c>
      <c r="J87">
        <v>15</v>
      </c>
      <c r="K87" t="str">
        <v>ON RUNNING</v>
      </c>
      <c r="L87" t="str">
        <v>Pr.Sch.R</v>
      </c>
      <c r="M87" t="str">
        <v>MOLDED</v>
      </c>
      <c r="N87">
        <v>15</v>
      </c>
      <c r="Q87">
        <v>46161</v>
      </c>
    </row>
    <row r="89">
      <c r="A89" t="str">
        <v>F-2026-05-12</v>
      </c>
      <c r="B89" t="str">
        <v>RPRO-260504-0924</v>
      </c>
      <c r="C89" t="str">
        <v>13/5-14/5</v>
      </c>
      <c r="D89" t="str">
        <v>Pro.sche.report 29.04+02.05</v>
      </c>
      <c r="E89" t="str">
        <v>BDB-000273</v>
      </c>
      <c r="F89" t="str">
        <v>PVN-004138</v>
      </c>
      <c r="G89" t="str">
        <v>OrthoLite X-40-Hybrid SEEDPEARL/12-0703TPX Hybrid Flat Sheet 0.16D 25+/-4 Asker C 1.1M 2M 5.5mm</v>
      </c>
      <c r="H89">
        <v>1650</v>
      </c>
      <c r="I89">
        <v>66</v>
      </c>
      <c r="J89">
        <v>66</v>
      </c>
      <c r="K89" t="str">
        <v>ON RUNNING</v>
      </c>
      <c r="L89" t="str">
        <v>Pr.Sch.R</v>
      </c>
      <c r="M89" t="str">
        <v>MOLDED</v>
      </c>
      <c r="N89">
        <v>66</v>
      </c>
      <c r="Q89">
        <v>46158</v>
      </c>
    </row>
    <row r="91">
      <c r="A91" t="str">
        <v>F-2026-04-215-2</v>
      </c>
      <c r="B91" t="str">
        <v>FPRO-260507-0006</v>
      </c>
      <c r="C91" t="str">
        <v>14/5</v>
      </c>
      <c r="D91" t="str">
        <v>Firm plan 15.4</v>
      </c>
      <c r="E91" t="str">
        <v>BDB-000209</v>
      </c>
      <c r="F91" t="str">
        <v>PVN-003550</v>
      </c>
      <c r="G91" t="str">
        <v>OrthoLite HybridPlus-Recycled MINT GREEN/11-4805TPX Hybrid 0.12D 25+/-4 Asker C 1.1M 2M 6mm</v>
      </c>
      <c r="H91">
        <v>1400</v>
      </c>
      <c r="I91">
        <v>61</v>
      </c>
      <c r="J91">
        <v>61</v>
      </c>
      <c r="K91" t="str">
        <v>ON RUNNING</v>
      </c>
      <c r="L91" t="str">
        <v>Forecast</v>
      </c>
      <c r="M91" t="str">
        <v>MOLDED</v>
      </c>
      <c r="N91">
        <v>214</v>
      </c>
      <c r="Q91">
        <v>46158</v>
      </c>
    </row>
    <row r="92">
      <c r="A92" t="str">
        <v>F-2026-05-108</v>
      </c>
      <c r="B92" t="str">
        <v>RPRO-260508-0419</v>
      </c>
      <c r="C92" t="str">
        <v>14/5-15/5</v>
      </c>
      <c r="D92" t="str">
        <v>Pro.sche.report 07.5</v>
      </c>
      <c r="E92" t="str">
        <v>BDB-000209</v>
      </c>
      <c r="F92" t="str">
        <v>PVN-003462</v>
      </c>
      <c r="G92" t="str">
        <v>OrthoLite HybridPlus-Recycled MINT GREEN/11-4805TPX Hybrid Flat Sheet 0.12D 25+/-4 Asker C 1.1M 2M 12mm</v>
      </c>
      <c r="H92">
        <v>1672</v>
      </c>
      <c r="I92">
        <v>153</v>
      </c>
      <c r="J92">
        <v>153</v>
      </c>
      <c r="K92" t="str">
        <v>BROOKS</v>
      </c>
      <c r="L92" t="str">
        <v>Pr.Sch.R</v>
      </c>
      <c r="M92" t="str">
        <v>MOLDED</v>
      </c>
      <c r="Q92">
        <v>46162</v>
      </c>
    </row>
    <row r="93">
      <c r="G93" t="str">
        <v>RELEASE ĐỢT 1</v>
      </c>
    </row>
    <row r="94">
      <c r="H94">
        <v>17090</v>
      </c>
      <c r="I94">
        <v>802</v>
      </c>
      <c r="J94">
        <v>802</v>
      </c>
      <c r="N94">
        <v>774</v>
      </c>
      <c r="O94">
        <v>46</v>
      </c>
    </row>
    <row r="95">
      <c r="A95" t="str">
        <v>Máy 2</v>
      </c>
      <c r="G95" t="str">
        <v>11/5-16/5</v>
      </c>
    </row>
    <row r="96">
      <c r="A96" t="str">
        <v>F-2026-04-375</v>
      </c>
      <c r="B96" t="str">
        <v>RPRO-260429-0465</v>
      </c>
      <c r="C96" t="str">
        <v>11/5</v>
      </c>
      <c r="D96" t="str">
        <v>Pro.sche.report 28.04</v>
      </c>
      <c r="E96" t="str">
        <v>BDB-000130</v>
      </c>
      <c r="F96" t="str">
        <v>PVN-001585</v>
      </c>
      <c r="G96" t="str">
        <v>OrthoLite Regular-Nike AIR BLUE/16-4134TPX Flat Sheet 0.13D 35+/-4 Asker C 1.1M 2M 6mm</v>
      </c>
      <c r="H96">
        <v>1978</v>
      </c>
      <c r="I96">
        <v>87</v>
      </c>
      <c r="J96">
        <v>87</v>
      </c>
      <c r="K96" t="str">
        <v>NIKE</v>
      </c>
      <c r="L96" t="str">
        <v>Pr.Sch.R</v>
      </c>
      <c r="M96" t="str">
        <v>MOLDED</v>
      </c>
      <c r="N96">
        <v>8</v>
      </c>
      <c r="O96" t="str">
        <v>Đơn cũ W19</v>
      </c>
      <c r="P96">
        <v>8</v>
      </c>
      <c r="Q96">
        <v>46153</v>
      </c>
    </row>
    <row r="98">
      <c r="A98" t="str">
        <v>F-2026-03-374</v>
      </c>
      <c r="B98" t="str">
        <v>FPRO-260318-0018</v>
      </c>
      <c r="C98" t="str">
        <v>11/5</v>
      </c>
      <c r="D98" t="str">
        <v>Firm plan 18.3</v>
      </c>
      <c r="E98" t="str">
        <v>BDB-000113</v>
      </c>
      <c r="F98" t="str">
        <v>PVN-003414</v>
      </c>
      <c r="G98" t="str">
        <v>OrthoLite Regular-Hybrid SEEDPEARL/12-0703TPX Hybrid Flat Sheet 0.11D 25+/-4 Asker C 1.1M 2M 12mm</v>
      </c>
      <c r="H98">
        <v>2500</v>
      </c>
      <c r="I98">
        <v>218</v>
      </c>
      <c r="J98">
        <v>218</v>
      </c>
      <c r="K98" t="str">
        <v>ASICS</v>
      </c>
      <c r="L98" t="str">
        <v>Forecast</v>
      </c>
      <c r="M98" t="str">
        <v>MOLDED</v>
      </c>
      <c r="N98">
        <v>7</v>
      </c>
      <c r="O98" t="str">
        <v>Đơn cũ W19</v>
      </c>
      <c r="P98">
        <v>7</v>
      </c>
      <c r="Q98">
        <v>46154</v>
      </c>
    </row>
    <row r="100">
      <c r="A100" t="str">
        <v>F-2026-05-28</v>
      </c>
      <c r="B100" t="str">
        <v>RPRO-260504-0940</v>
      </c>
      <c r="C100" t="str">
        <v>11/5</v>
      </c>
      <c r="D100" t="str">
        <v>Pro.sche.report 29.04+02.05</v>
      </c>
      <c r="E100" t="str">
        <v>BDB-000174</v>
      </c>
      <c r="F100" t="str">
        <v>PVN-003502</v>
      </c>
      <c r="G100" t="str">
        <v>OrthoLite Ultra-Hybrid-Nike SEEDPEARL/12-0703TPX Hybrid Flat Sheet 0.085D 15+/-4 Asker C 1.1M 2M 2mm</v>
      </c>
      <c r="H100">
        <v>140</v>
      </c>
      <c r="I100">
        <v>3</v>
      </c>
      <c r="J100">
        <v>3</v>
      </c>
      <c r="K100" t="str">
        <v>NIKE</v>
      </c>
      <c r="L100" t="str">
        <v>Pr.Sch.R</v>
      </c>
      <c r="M100" t="str">
        <v>DIE CUT</v>
      </c>
      <c r="N100">
        <v>3</v>
      </c>
      <c r="Q100">
        <v>46154</v>
      </c>
    </row>
    <row r="102">
      <c r="A102" t="str">
        <v>F-2026-05-43</v>
      </c>
      <c r="B102" t="str">
        <v>RPRO-260505-0682</v>
      </c>
      <c r="C102" t="str">
        <v>11/5</v>
      </c>
      <c r="D102" t="str">
        <v>Pro.sche.report 04.5</v>
      </c>
      <c r="E102" t="str">
        <v>BDB-000097</v>
      </c>
      <c r="F102" t="str">
        <v>PVN-003671</v>
      </c>
      <c r="G102" t="str">
        <v>OrthoLite Eco LT-Hybrid SEEDPEARL/12-0703TPX Hybrid Flat Sheet 0.11D 25+/-4 Asker C 1.1M 2M 13mm</v>
      </c>
      <c r="H102">
        <v>340</v>
      </c>
      <c r="I102">
        <v>34</v>
      </c>
      <c r="J102">
        <v>34</v>
      </c>
      <c r="K102" t="str">
        <v>NEW BALANCE</v>
      </c>
      <c r="L102" t="str">
        <v>Pr.Sch.R</v>
      </c>
      <c r="M102" t="str">
        <v>MOLDED</v>
      </c>
      <c r="N102">
        <v>45</v>
      </c>
      <c r="Q102">
        <v>46154</v>
      </c>
    </row>
    <row r="103">
      <c r="A103" t="str">
        <v>F-2026-05-20</v>
      </c>
      <c r="B103" t="str">
        <v>RPRO-260504-0932</v>
      </c>
      <c r="C103" t="str">
        <v>11/5</v>
      </c>
      <c r="D103" t="str">
        <v>Pro.sche.report 29.04+02.05</v>
      </c>
      <c r="E103" t="str">
        <v>BDB-000097</v>
      </c>
      <c r="F103" t="str">
        <v>PVN-002473</v>
      </c>
      <c r="G103" t="str">
        <v>OrthoLite Eco LT-Hybrid SEEDPEARL/12-0703TPX Hybrid Flat Sheet 0.11D 25+/-4 Asker C 1.1M 2M 5mm</v>
      </c>
      <c r="H103">
        <v>280</v>
      </c>
      <c r="I103">
        <v>10</v>
      </c>
      <c r="J103">
        <v>10</v>
      </c>
      <c r="K103" t="str">
        <v>NEW BALANCE</v>
      </c>
      <c r="L103" t="str">
        <v>Pr.Sch.R</v>
      </c>
      <c r="M103" t="str">
        <v>DIE CUT</v>
      </c>
      <c r="Q103">
        <v>46158</v>
      </c>
    </row>
    <row r="104">
      <c r="A104" t="str">
        <v>F-2026-05-44</v>
      </c>
      <c r="B104" t="str">
        <v>RPRO-260505-0683</v>
      </c>
      <c r="C104" t="str">
        <v>11/5</v>
      </c>
      <c r="D104" t="str">
        <v>Pro.sche.report 04.5</v>
      </c>
      <c r="E104" t="str">
        <v>BDB-000097</v>
      </c>
      <c r="F104" t="str">
        <v>PVN-002473</v>
      </c>
      <c r="G104" t="str">
        <v>OrthoLite Eco LT-Hybrid SEEDPEARL/12-0703TPX Hybrid Flat Sheet 0.11D 25+/-4 Asker C 1.1M 2M 5mm</v>
      </c>
      <c r="H104">
        <v>28</v>
      </c>
      <c r="I104">
        <v>1</v>
      </c>
      <c r="J104">
        <v>1</v>
      </c>
      <c r="K104" t="str">
        <v>NEW BALANCE</v>
      </c>
      <c r="L104" t="str">
        <v>Pr.Sch.R</v>
      </c>
      <c r="M104" t="str">
        <v>DIE CUT</v>
      </c>
      <c r="Q104">
        <v>46158</v>
      </c>
    </row>
    <row r="106">
      <c r="A106" t="str">
        <v>F-2026-05-91</v>
      </c>
      <c r="B106" t="str">
        <v>RPRO-260507-0667</v>
      </c>
      <c r="C106" t="str">
        <v>11/5</v>
      </c>
      <c r="D106" t="str">
        <v>Pro.sche.report 06.05</v>
      </c>
      <c r="E106" t="str">
        <v>BDB-000113</v>
      </c>
      <c r="F106" t="str">
        <v>PVN-002699</v>
      </c>
      <c r="G106" t="str">
        <v>OrthoLite Regular-Hybrid SEEDPEARL/12-0703TPX Hybrid Flat Sheet 0.11D 25+/-4 Asker C 1.1M 2M 4.5mm</v>
      </c>
      <c r="H106">
        <v>31</v>
      </c>
      <c r="I106">
        <v>2</v>
      </c>
      <c r="J106">
        <v>2</v>
      </c>
      <c r="K106" t="str">
        <v>ASICS</v>
      </c>
      <c r="L106" t="str">
        <v>Pr.Sch.R</v>
      </c>
      <c r="M106" t="str">
        <v>DIE CUT</v>
      </c>
      <c r="N106">
        <v>93</v>
      </c>
      <c r="Q106">
        <v>46154</v>
      </c>
    </row>
    <row r="107">
      <c r="A107" t="str">
        <v>F-2026-05-50</v>
      </c>
      <c r="B107" t="str">
        <v>FPRO-260504-0001</v>
      </c>
      <c r="C107" t="str">
        <v>11/5</v>
      </c>
      <c r="D107" t="str">
        <v>Firm plan 04.05</v>
      </c>
      <c r="E107" t="str">
        <v>BDB-000113</v>
      </c>
      <c r="F107" t="str">
        <v>PVN-002699</v>
      </c>
      <c r="G107" t="str">
        <v>OrthoLite Regular-Hybrid SEEDPEARL/12-0703TPX Hybrid Flat Sheet 0.11D 25+/-4 Asker C 1.1M 2M 4.5mm</v>
      </c>
      <c r="H107">
        <v>21</v>
      </c>
      <c r="I107">
        <v>1</v>
      </c>
      <c r="J107">
        <v>1</v>
      </c>
      <c r="K107" t="str">
        <v>ASICS</v>
      </c>
      <c r="L107" t="str">
        <v>Forecast</v>
      </c>
      <c r="M107" t="str">
        <v>DIE CUT</v>
      </c>
      <c r="Q107">
        <v>46154</v>
      </c>
    </row>
    <row r="108">
      <c r="A108" t="str">
        <v>F-2026-04-247</v>
      </c>
      <c r="B108" t="str">
        <v>FPRO-260416-0032</v>
      </c>
      <c r="C108" t="str">
        <v>11/5</v>
      </c>
      <c r="D108" t="str">
        <v>Firm plan 16.4</v>
      </c>
      <c r="E108" t="str">
        <v>BDB-000113</v>
      </c>
      <c r="F108" t="str">
        <v>PVN-002465</v>
      </c>
      <c r="G108" t="str">
        <v>OrthoLite Regular-Hybrid SEEDPEARL/12-0703TPX Hybrid Flat Sheet 0.11D 25+/-4 Asker C 1.1M 2M 5mm</v>
      </c>
      <c r="H108">
        <v>2500</v>
      </c>
      <c r="I108">
        <v>90</v>
      </c>
      <c r="J108">
        <v>90</v>
      </c>
      <c r="K108" t="str">
        <v>ASICS</v>
      </c>
      <c r="L108" t="str">
        <v>Forecast</v>
      </c>
      <c r="M108" t="str">
        <v>DIE CUT</v>
      </c>
      <c r="Q108">
        <v>46155</v>
      </c>
    </row>
    <row r="110">
      <c r="A110" t="str">
        <v>F-2026-05-74</v>
      </c>
      <c r="B110" t="str">
        <v>RPRO-260506-0355</v>
      </c>
      <c r="C110" t="str">
        <v>11/5</v>
      </c>
      <c r="D110" t="str">
        <v>MPS 05.05</v>
      </c>
      <c r="E110" t="str">
        <v>BDB-000123</v>
      </c>
      <c r="F110" t="str">
        <v>PVN-003300</v>
      </c>
      <c r="G110" t="str">
        <v>OrthoLite Ultra-Hybrid SEEDPEARL/12-0703TPX Hybrid Flat Sheet 0.085D 25+/-4 Asker C 1.1M 2M 2mm</v>
      </c>
      <c r="H110">
        <v>70</v>
      </c>
      <c r="I110">
        <v>2</v>
      </c>
      <c r="J110">
        <v>2</v>
      </c>
      <c r="L110" t="str">
        <v>MPS</v>
      </c>
      <c r="M110" t="str">
        <v>SPLITTING</v>
      </c>
      <c r="N110">
        <v>150</v>
      </c>
      <c r="O110" t="str">
        <v xml:space="preserve">W19 đổ dư 64 bun </v>
      </c>
      <c r="Q110">
        <v>46154</v>
      </c>
    </row>
    <row r="111">
      <c r="A111" t="str">
        <v>F-2026-05-100</v>
      </c>
      <c r="B111" t="str">
        <v>RPRO-260508-0411</v>
      </c>
      <c r="C111" t="str">
        <v>11/5</v>
      </c>
      <c r="D111" t="str">
        <v>MPS 07.5</v>
      </c>
      <c r="E111" t="str">
        <v>BDB-000123</v>
      </c>
      <c r="F111" t="str">
        <v>PVN-003300</v>
      </c>
      <c r="G111" t="str">
        <v>OrthoLite Ultra-Hybrid SEEDPEARL/12-0703TPX Hybrid Flat Sheet 0.085D 25+/-4 Asker C 1.1M 2M 2mm</v>
      </c>
      <c r="H111">
        <v>70</v>
      </c>
      <c r="I111">
        <v>2</v>
      </c>
      <c r="J111">
        <v>2</v>
      </c>
      <c r="L111" t="str">
        <v>MPS</v>
      </c>
      <c r="M111" t="str">
        <v>SPLITTING</v>
      </c>
      <c r="N111" t="str">
        <v>214-64</v>
      </c>
      <c r="Q111">
        <v>46154</v>
      </c>
    </row>
    <row r="112">
      <c r="A112" t="str">
        <v>F-2026-04-90-1</v>
      </c>
      <c r="B112" t="str">
        <v>FPRO-260406-0015</v>
      </c>
      <c r="C112" t="str">
        <v>11/5-12/5</v>
      </c>
      <c r="D112" t="str">
        <v>Firm plan 06.4</v>
      </c>
      <c r="E112" t="str">
        <v>BDB-000123</v>
      </c>
      <c r="F112" t="str">
        <v>PVN-002973</v>
      </c>
      <c r="G112" t="str">
        <v>OrthoLite Ultra-Hybrid SEEDPEARL/12-0703TPX Hybrid 0.085D 25+/-4 Asker C 1.1M 2M 4.5mm</v>
      </c>
      <c r="H112">
        <v>862</v>
      </c>
      <c r="I112">
        <v>28</v>
      </c>
      <c r="J112">
        <v>28</v>
      </c>
      <c r="K112" t="str">
        <v>SALOMON</v>
      </c>
      <c r="L112" t="str">
        <v>Forecast</v>
      </c>
      <c r="M112" t="str">
        <v>MOLDED</v>
      </c>
      <c r="Q112">
        <v>46155</v>
      </c>
    </row>
    <row r="113">
      <c r="A113" t="str">
        <v>F-2026-02-235</v>
      </c>
      <c r="B113" t="str">
        <v>FPRO-260211-0055</v>
      </c>
      <c r="C113" t="str">
        <v>12/5</v>
      </c>
      <c r="D113" t="str">
        <v>Firm plan 11.2</v>
      </c>
      <c r="E113" t="str">
        <v>BDB-000123</v>
      </c>
      <c r="F113" t="str">
        <v>PVN-003299</v>
      </c>
      <c r="G113" t="str">
        <v>OrthoLite Ultra-Hybrid SEEDPEARL/12-0703TPX Hybrid 0.085D 25+/-4 Asker C 1.1M 2M 3mm</v>
      </c>
      <c r="H113">
        <v>7000</v>
      </c>
      <c r="I113">
        <v>153</v>
      </c>
      <c r="J113">
        <v>153</v>
      </c>
      <c r="K113" t="str">
        <v>ADIDAS</v>
      </c>
      <c r="L113" t="str">
        <v>Forecast</v>
      </c>
      <c r="M113" t="str">
        <v>SPLITTING</v>
      </c>
      <c r="Q113">
        <v>46156</v>
      </c>
    </row>
    <row r="114">
      <c r="A114" t="str">
        <v>F-2026-04-57</v>
      </c>
      <c r="B114" t="str">
        <v>FPRO-260401-0005</v>
      </c>
      <c r="C114" t="str">
        <v>12/5</v>
      </c>
      <c r="D114" t="str">
        <v>Firm plan 01.04</v>
      </c>
      <c r="E114" t="str">
        <v>BDB-000123</v>
      </c>
      <c r="F114" t="str">
        <v>PVN-002539</v>
      </c>
      <c r="G114" t="str">
        <v>OrthoLite Ultra-Hybrid SEEDPEARL/12-0703TPX Hybrid Flat Sheet 0.085D 25+/-4 Asker C 1.1M 2M 5mm</v>
      </c>
      <c r="H114">
        <v>800</v>
      </c>
      <c r="I114">
        <v>29</v>
      </c>
      <c r="J114">
        <v>29</v>
      </c>
      <c r="K114" t="str">
        <v>BROOKS</v>
      </c>
      <c r="L114" t="str">
        <v>Forecast</v>
      </c>
      <c r="M114" t="str">
        <v>DIE CUT</v>
      </c>
      <c r="Q114">
        <v>46156</v>
      </c>
    </row>
    <row r="116">
      <c r="A116" t="str">
        <v>F-2026-04-215-1</v>
      </c>
      <c r="B116" t="str">
        <v>FPRO-260415-0012</v>
      </c>
      <c r="C116" t="str">
        <v>12/5</v>
      </c>
      <c r="D116" t="str">
        <v>Firm plan 15.4</v>
      </c>
      <c r="E116" t="str">
        <v>BDB-000209</v>
      </c>
      <c r="F116" t="str">
        <v>PVN-003550</v>
      </c>
      <c r="G116" t="str">
        <v>OrthoLite HybridPlus-Recycled MINT GREEN/11-4805TPX Hybrid 0.12D 25+/-4 Asker C 1.1M 2M 6mm</v>
      </c>
      <c r="H116">
        <v>500</v>
      </c>
      <c r="I116">
        <v>22</v>
      </c>
      <c r="J116">
        <v>22</v>
      </c>
      <c r="K116" t="str">
        <v>ON RUNNING</v>
      </c>
      <c r="L116" t="str">
        <v>Forecast</v>
      </c>
      <c r="M116" t="str">
        <v>MOLDED</v>
      </c>
      <c r="N116">
        <v>212</v>
      </c>
      <c r="Q116">
        <v>46155</v>
      </c>
    </row>
    <row r="117">
      <c r="A117" t="str">
        <v>F-2026-03-544</v>
      </c>
      <c r="B117" t="str">
        <v>FPRO-260326-0005</v>
      </c>
      <c r="C117" t="str">
        <v>12/5</v>
      </c>
      <c r="D117" t="str">
        <v>Firm plan 26.3</v>
      </c>
      <c r="E117" t="str">
        <v>BDB-000209</v>
      </c>
      <c r="F117" t="str">
        <v>PVN-003537</v>
      </c>
      <c r="G117" t="str">
        <v>OrthoLite HybridPlus-Recycled MINT GREEN/11-4805TPX Hybrid 0.12D 25+/-4 Asker C 1.1M 2M 4.5mm</v>
      </c>
      <c r="H117">
        <v>2500</v>
      </c>
      <c r="I117">
        <v>81</v>
      </c>
      <c r="J117">
        <v>81</v>
      </c>
      <c r="K117" t="str">
        <v>ON RUNNING</v>
      </c>
      <c r="L117" t="str">
        <v>Forecast</v>
      </c>
      <c r="M117" t="str">
        <v>MOLDED</v>
      </c>
      <c r="Q117">
        <v>46155</v>
      </c>
    </row>
    <row r="118">
      <c r="A118" t="str">
        <v>F-2026-04-60</v>
      </c>
      <c r="B118" t="str">
        <v>FPRO-260401-0008</v>
      </c>
      <c r="C118" t="str">
        <v>12/5</v>
      </c>
      <c r="D118" t="str">
        <v>Firm plan 01.04</v>
      </c>
      <c r="E118" t="str">
        <v>BDB-000209</v>
      </c>
      <c r="F118" t="str">
        <v>PVN-003462</v>
      </c>
      <c r="G118" t="str">
        <v>OrthoLite HybridPlus-Recycled MINT GREEN/11-4805TPX Hybrid 0.12D 25+/-4 Asker C 1.1M 2M 12mm</v>
      </c>
      <c r="H118">
        <v>300</v>
      </c>
      <c r="I118">
        <v>28</v>
      </c>
      <c r="J118">
        <v>28</v>
      </c>
      <c r="K118" t="str">
        <v>BROOKS</v>
      </c>
      <c r="L118" t="str">
        <v>Forecast</v>
      </c>
      <c r="M118" t="str">
        <v>MOLDED</v>
      </c>
      <c r="Q118">
        <v>46156</v>
      </c>
    </row>
    <row r="119">
      <c r="A119" t="str">
        <v>F-2026-03-545</v>
      </c>
      <c r="B119" t="str">
        <v>FPRO-260326-0006</v>
      </c>
      <c r="C119" t="str">
        <v>12/5-13/5</v>
      </c>
      <c r="D119" t="str">
        <v>Firm plan 26.3</v>
      </c>
      <c r="E119" t="str">
        <v>BDB-000209</v>
      </c>
      <c r="F119" t="str">
        <v>PVN-003537</v>
      </c>
      <c r="G119" t="str">
        <v>OrthoLite HybridPlus-Recycled MINT GREEN/11-4805TPX Hybrid 0.12D 25+/-4 Asker C 1.1M 2M 4.5mm</v>
      </c>
      <c r="H119">
        <v>2500</v>
      </c>
      <c r="I119">
        <v>81</v>
      </c>
      <c r="J119">
        <v>81</v>
      </c>
      <c r="K119" t="str">
        <v>ON RUNNING</v>
      </c>
      <c r="L119" t="str">
        <v>Forecast</v>
      </c>
      <c r="M119" t="str">
        <v>MOLDED</v>
      </c>
      <c r="Q119">
        <v>46156</v>
      </c>
    </row>
    <row r="121">
      <c r="A121" t="str">
        <v>F-2026-03-441</v>
      </c>
      <c r="B121" t="str">
        <v>FPRO-260324-0013</v>
      </c>
      <c r="C121" t="str">
        <v>13/5</v>
      </c>
      <c r="D121" t="str">
        <v>Firm plan 24.3</v>
      </c>
      <c r="E121" t="str">
        <v>BDB-000175</v>
      </c>
      <c r="F121" t="str">
        <v>PVN-002966</v>
      </c>
      <c r="G121" t="str">
        <v>OrthoLite Ultra-Hybrid-Nike SEEDPEARL/12-0703TPX Hybrid 0.085D 25+/-4 Asker C 1.1M 2M 4mm</v>
      </c>
      <c r="H121">
        <v>3500</v>
      </c>
      <c r="I121">
        <v>100</v>
      </c>
      <c r="J121">
        <v>100</v>
      </c>
      <c r="K121" t="str">
        <v>NIKE</v>
      </c>
      <c r="L121" t="str">
        <v>Forecast</v>
      </c>
      <c r="M121" t="str">
        <v>DIE CUT</v>
      </c>
      <c r="N121">
        <v>100</v>
      </c>
      <c r="Q121">
        <v>46156</v>
      </c>
    </row>
    <row r="123">
      <c r="A123" t="str">
        <v>F-2026-04-224</v>
      </c>
      <c r="B123" t="str">
        <v>FPRO-260416-0009</v>
      </c>
      <c r="C123" t="str">
        <v>13/5</v>
      </c>
      <c r="D123" t="str">
        <v>Firm plan 16.4</v>
      </c>
      <c r="E123" t="str">
        <v>BDB-000113</v>
      </c>
      <c r="F123" t="str">
        <v>PVN-002501</v>
      </c>
      <c r="G123" t="str">
        <v>OrthoLite Regular-Hybrid SEEDPEARL/12-0703TPX Hybrid Flat Sheet 0.11D 25+/-4 Asker C 1.1M 2M 2mm</v>
      </c>
      <c r="H123">
        <v>1000</v>
      </c>
      <c r="I123">
        <v>15</v>
      </c>
      <c r="J123">
        <v>15</v>
      </c>
      <c r="K123" t="str">
        <v>ASICS</v>
      </c>
      <c r="L123" t="str">
        <v>Forecast</v>
      </c>
      <c r="M123" t="str">
        <v>SPLITTING</v>
      </c>
      <c r="N123">
        <v>331</v>
      </c>
      <c r="Q123">
        <v>46156</v>
      </c>
    </row>
    <row r="124">
      <c r="A124" t="str">
        <v>F-2026-04-339</v>
      </c>
      <c r="B124" t="str">
        <v>RPRO-260428-1295</v>
      </c>
      <c r="C124" t="str">
        <v>13/5</v>
      </c>
      <c r="D124" t="str">
        <v>Pro.sche.report 24.4+25.4</v>
      </c>
      <c r="E124" t="str">
        <v>BDB-000113</v>
      </c>
      <c r="F124" t="str">
        <v>PVN-003601</v>
      </c>
      <c r="G124" t="str">
        <v>OrthoLite Regular-Hybrid SEEDPEARL/12-0703TPX Hybrid Flat Sheet 0.11D 25+/-4 Asker C 1.1M 2M 20mm</v>
      </c>
      <c r="H124">
        <v>42</v>
      </c>
      <c r="I124">
        <v>8</v>
      </c>
      <c r="J124">
        <v>8</v>
      </c>
      <c r="K124" t="str">
        <v>ASICS</v>
      </c>
      <c r="L124" t="str">
        <v>Pr.Sch.R</v>
      </c>
      <c r="M124" t="str">
        <v>MOLDED</v>
      </c>
      <c r="Q124">
        <v>46156</v>
      </c>
    </row>
    <row r="125">
      <c r="A125" t="str">
        <v>F-2026-04-255</v>
      </c>
      <c r="B125" t="str">
        <v>FPRO-260416-0040</v>
      </c>
      <c r="C125" t="str">
        <v>13/5</v>
      </c>
      <c r="D125" t="str">
        <v>Firm plan 16.4</v>
      </c>
      <c r="E125" t="str">
        <v>BDB-000113</v>
      </c>
      <c r="F125" t="str">
        <v>PVN-002465</v>
      </c>
      <c r="G125" t="str">
        <v>OrthoLite Regular-Hybrid SEEDPEARL/12-0703TPX Hybrid Flat Sheet 0.11D 25+/-4 Asker C 1.1M 2M 5mm</v>
      </c>
      <c r="H125">
        <v>2500</v>
      </c>
      <c r="I125">
        <v>90</v>
      </c>
      <c r="J125">
        <v>90</v>
      </c>
      <c r="K125" t="str">
        <v>ASICS</v>
      </c>
      <c r="L125" t="str">
        <v>Forecast</v>
      </c>
      <c r="M125" t="str">
        <v>DIE CUT</v>
      </c>
      <c r="Q125">
        <v>46156</v>
      </c>
    </row>
    <row r="126">
      <c r="A126" t="str">
        <v>F-2026-03-376</v>
      </c>
      <c r="B126" t="str">
        <v>FPRO-260318-0020</v>
      </c>
      <c r="C126" t="str">
        <v>13/5-14/5</v>
      </c>
      <c r="D126" t="str">
        <v>Firm plan 18.3</v>
      </c>
      <c r="E126" t="str">
        <v>BDB-000113</v>
      </c>
      <c r="F126" t="str">
        <v>PVN-003414</v>
      </c>
      <c r="G126" t="str">
        <v>OrthoLite Regular-Hybrid SEEDPEARL/12-0703TPX Hybrid Flat Sheet 0.11D 25+/-4 Asker C 1.1M 2M 12mm</v>
      </c>
      <c r="H126">
        <v>2500</v>
      </c>
      <c r="I126">
        <v>218</v>
      </c>
      <c r="J126">
        <v>218</v>
      </c>
      <c r="K126" t="str">
        <v>ASICS</v>
      </c>
      <c r="L126" t="str">
        <v>Forecast</v>
      </c>
      <c r="M126" t="str">
        <v>MOLDED</v>
      </c>
      <c r="P126" t="str">
        <v xml:space="preserve">gấp </v>
      </c>
      <c r="Q126">
        <v>46157</v>
      </c>
    </row>
    <row r="128">
      <c r="A128" t="str">
        <v>F-2026-03-602</v>
      </c>
      <c r="B128" t="str">
        <v>FPRO-260330-0024</v>
      </c>
      <c r="C128" t="str">
        <v>14/5</v>
      </c>
      <c r="D128" t="str">
        <v>Firm plan 30.3</v>
      </c>
      <c r="E128" t="str">
        <v>BDB-000355</v>
      </c>
      <c r="F128" t="str">
        <v>PVN-004231</v>
      </c>
      <c r="G128" t="str">
        <v>OrthoLite HybridPlus-Recycled CASTLEROCK/18-0201TPX Hybrid 0.12D 25+/-4 Asker C 1.1M 2M 4.5mm</v>
      </c>
      <c r="H128">
        <v>550</v>
      </c>
      <c r="I128">
        <v>18</v>
      </c>
      <c r="J128">
        <v>18</v>
      </c>
      <c r="K128" t="str">
        <v>ON RUNNING</v>
      </c>
      <c r="L128" t="str">
        <v>Forecast</v>
      </c>
      <c r="M128" t="str">
        <v>MOLDED</v>
      </c>
      <c r="N128">
        <v>18</v>
      </c>
      <c r="Q128">
        <v>46158</v>
      </c>
    </row>
    <row r="130">
      <c r="A130" t="str">
        <v>F-2026-05-23</v>
      </c>
      <c r="B130" t="str">
        <v>RPRO-260504-0935</v>
      </c>
      <c r="C130" t="str">
        <v>14/5</v>
      </c>
      <c r="D130" t="str">
        <v>Pro.sche.report 29.04+02.05</v>
      </c>
      <c r="E130" t="str">
        <v>BDB-000229</v>
      </c>
      <c r="F130" t="str">
        <v>PVN-003878</v>
      </c>
      <c r="G130" t="str">
        <v>OrthoLite Ultra-Hybrid SEEDPEARL/12-0703TPX Hybrid Flat Sheet 0.095D 33+/-4 Asker C 1.1M 2M 4mm</v>
      </c>
      <c r="H130">
        <v>35</v>
      </c>
      <c r="I130">
        <v>1</v>
      </c>
      <c r="J130">
        <v>1</v>
      </c>
      <c r="K130" t="str">
        <v>ON RUNNING</v>
      </c>
      <c r="L130" t="str">
        <v>Pr.Sch.R</v>
      </c>
      <c r="M130" t="str">
        <v>DIE CUT</v>
      </c>
      <c r="N130">
        <v>30</v>
      </c>
      <c r="Q130">
        <v>46158</v>
      </c>
    </row>
    <row r="131">
      <c r="A131" t="str">
        <v>F-2026-04-370</v>
      </c>
      <c r="B131" t="str">
        <v>RPRO-260429-0460</v>
      </c>
      <c r="C131" t="str">
        <v>14/5</v>
      </c>
      <c r="D131" t="str">
        <v>Pro.sche.report 28.04</v>
      </c>
      <c r="E131" t="str">
        <v>BDB-000229</v>
      </c>
      <c r="F131" t="str">
        <v>PVN-003692</v>
      </c>
      <c r="G131" t="str">
        <v>OrthoLite Ultra-Hybrid SEEDPEARL/12-0703TPX Hybrid Flat Sheet 0.095D 33+/-4 Asker C 1.1M 2M 15.5mm</v>
      </c>
      <c r="H131">
        <v>120</v>
      </c>
      <c r="I131">
        <v>15</v>
      </c>
      <c r="J131">
        <v>15</v>
      </c>
      <c r="K131" t="str">
        <v>GARMONT</v>
      </c>
      <c r="L131" t="str">
        <v>Pr.Sch.R</v>
      </c>
      <c r="M131" t="str">
        <v>MOLDED</v>
      </c>
      <c r="Q131">
        <v>46158</v>
      </c>
    </row>
    <row r="132">
      <c r="A132" t="str">
        <v>F-2026-05-90</v>
      </c>
      <c r="B132" t="str">
        <v>RPRO-260507-0666</v>
      </c>
      <c r="C132" t="str">
        <v>14/5</v>
      </c>
      <c r="D132" t="str">
        <v>Pro.sche.report 06.05</v>
      </c>
      <c r="E132" t="str">
        <v>BDB-000229</v>
      </c>
      <c r="F132" t="str">
        <v>PVN-003692</v>
      </c>
      <c r="G132" t="str">
        <v>OrthoLite Ultra-Hybrid SEEDPEARL/12-0703TPX Hybrid Flat Sheet 0.095D 33+/-4 Asker C 1.1M 2M 15.5mm</v>
      </c>
      <c r="H132">
        <v>112</v>
      </c>
      <c r="I132">
        <v>14</v>
      </c>
      <c r="J132">
        <v>14</v>
      </c>
      <c r="K132" t="str">
        <v>GARMONT</v>
      </c>
      <c r="L132" t="str">
        <v>Pr.Sch.R</v>
      </c>
      <c r="M132" t="str">
        <v>MOLDED</v>
      </c>
      <c r="Q132">
        <v>46161</v>
      </c>
    </row>
    <row r="134">
      <c r="A134" t="str">
        <v>F-2026-04-94</v>
      </c>
      <c r="B134" t="str">
        <v>FPRO-260406-0019</v>
      </c>
      <c r="C134" t="str">
        <v>14/5</v>
      </c>
      <c r="D134" t="str">
        <v>Firm plan 06.4</v>
      </c>
      <c r="E134" t="str">
        <v>BDB-000123</v>
      </c>
      <c r="F134" t="str">
        <v>PVN-003298</v>
      </c>
      <c r="G134" t="str">
        <v>OrthoLite Ultra-Hybrid SEEDPEARL/12-0703TPX Hybrid 0.085D 25+/-4 Asker C 1.1M 2M 4mm</v>
      </c>
      <c r="H134">
        <v>3100</v>
      </c>
      <c r="I134">
        <v>89</v>
      </c>
      <c r="J134">
        <v>89</v>
      </c>
      <c r="K134" t="str">
        <v>SALOMON</v>
      </c>
      <c r="L134" t="str">
        <v>Forecast</v>
      </c>
      <c r="M134" t="str">
        <v>LAMINATING</v>
      </c>
      <c r="N134">
        <v>141</v>
      </c>
      <c r="Q134">
        <v>46158</v>
      </c>
    </row>
    <row r="135">
      <c r="A135" t="str">
        <v>F-2026-04-361</v>
      </c>
      <c r="B135" t="str">
        <v>RPRO-260429-0449</v>
      </c>
      <c r="C135" t="str">
        <v>14/5</v>
      </c>
      <c r="D135" t="str">
        <v>MPS 28.04</v>
      </c>
      <c r="E135" t="str">
        <v>BDB-000123</v>
      </c>
      <c r="F135" t="str">
        <v>PVN-003315</v>
      </c>
      <c r="G135" t="str">
        <v>OrthoLite Ultra-Hybrid SEEDPEARL/12-0703TPX Hybrid 0.085D 25+/-4 Asker C 1.1M 2M 3.5mm</v>
      </c>
      <c r="H135">
        <v>280</v>
      </c>
      <c r="I135">
        <v>7</v>
      </c>
      <c r="J135">
        <v>7</v>
      </c>
      <c r="L135" t="str">
        <v>MPS</v>
      </c>
      <c r="M135" t="str">
        <v>SPLITTING</v>
      </c>
      <c r="Q135">
        <v>46158</v>
      </c>
    </row>
    <row r="136">
      <c r="A136" t="str">
        <v>F-2026-05-92</v>
      </c>
      <c r="B136" t="str">
        <v>RPRO-260507-0668</v>
      </c>
      <c r="C136" t="str">
        <v>14/5</v>
      </c>
      <c r="D136" t="str">
        <v>Pro.sche.report 06.05</v>
      </c>
      <c r="E136" t="str">
        <v>BDB-000123</v>
      </c>
      <c r="F136" t="str">
        <v>PVN-002973</v>
      </c>
      <c r="G136" t="str">
        <v>OrthoLite Ultra-Hybrid SEEDPEARL/12-0703TPX Hybrid Flat Sheet 0.085D 25+/-4 Asker C 1.1M 2M 4.5mm</v>
      </c>
      <c r="H136">
        <v>1364</v>
      </c>
      <c r="I136">
        <v>45</v>
      </c>
      <c r="J136">
        <v>45</v>
      </c>
      <c r="K136" t="str">
        <v>SALOMON</v>
      </c>
      <c r="L136" t="str">
        <v>Pr.Sch.R</v>
      </c>
      <c r="M136" t="str">
        <v>MOLDED</v>
      </c>
      <c r="Q136">
        <v>46158</v>
      </c>
    </row>
    <row r="137">
      <c r="G137" t="str">
        <v>RELEASE ĐỢT 1</v>
      </c>
    </row>
    <row r="138">
      <c r="H138">
        <v>37523</v>
      </c>
      <c r="I138">
        <v>1492</v>
      </c>
      <c r="J138">
        <v>1492</v>
      </c>
      <c r="N138">
        <v>1138</v>
      </c>
      <c r="O138">
        <v>-49</v>
      </c>
    </row>
    <row r="139">
      <c r="A139" t="str">
        <v>Máy 3</v>
      </c>
      <c r="G139" t="str">
        <v>11/5-16/5</v>
      </c>
    </row>
    <row r="140">
      <c r="A140" t="str">
        <v>F-2026-04-355</v>
      </c>
      <c r="B140" t="str">
        <v>RPRO-260429-0443</v>
      </c>
      <c r="C140" t="str">
        <v>11/5</v>
      </c>
      <c r="D140" t="str">
        <v>MPS 28.04</v>
      </c>
      <c r="E140" t="str">
        <v>BDB-000010</v>
      </c>
      <c r="F140" t="str">
        <v>PVN-000101</v>
      </c>
      <c r="G140" t="str">
        <v>OrthoLite Regular AIR BLUE/16-4134TPX Flat Sheet 0.11D 25+/-4 Asker C 1.1M 2M 3mm</v>
      </c>
      <c r="H140">
        <v>46</v>
      </c>
      <c r="I140">
        <v>2</v>
      </c>
      <c r="J140">
        <v>2</v>
      </c>
      <c r="L140" t="str">
        <v>MPS</v>
      </c>
      <c r="M140" t="str">
        <v>SPLITTING</v>
      </c>
      <c r="N140">
        <v>2</v>
      </c>
      <c r="O140" t="str">
        <v>Đơn cũ W19</v>
      </c>
      <c r="P140">
        <v>2</v>
      </c>
      <c r="Q140">
        <v>46153</v>
      </c>
    </row>
    <row r="142">
      <c r="A142" t="str">
        <v>F-2026-05-72</v>
      </c>
      <c r="B142" t="str">
        <v>RPRO-260506-0353</v>
      </c>
      <c r="C142" t="str">
        <v>11/5</v>
      </c>
      <c r="D142" t="str">
        <v>MPS 05.05</v>
      </c>
      <c r="E142" t="str">
        <v>BDB-000067</v>
      </c>
      <c r="F142" t="str">
        <v>PVN-001415</v>
      </c>
      <c r="G142" t="str">
        <v>OrthoLite Ultra SEEDPEARL/12-0703TPX Flat Sheet 0.085D 25+/-4 Asker C 1.1M 2M 4mm</v>
      </c>
      <c r="H142">
        <v>525</v>
      </c>
      <c r="I142">
        <v>15</v>
      </c>
      <c r="J142">
        <v>15</v>
      </c>
      <c r="L142" t="str">
        <v>MPS</v>
      </c>
      <c r="M142" t="str">
        <v>SPLITTING</v>
      </c>
      <c r="N142">
        <v>15</v>
      </c>
      <c r="O142" t="str">
        <v>GẤP_UU TIEN 1</v>
      </c>
      <c r="Q142">
        <v>46154</v>
      </c>
    </row>
    <row r="144">
      <c r="A144" t="str">
        <v>F-2026-05-84</v>
      </c>
      <c r="B144" t="str">
        <v>RPRO-260506-0365</v>
      </c>
      <c r="C144" t="str">
        <v>11/5</v>
      </c>
      <c r="D144" t="str">
        <v>Pro.sche.report 05.05</v>
      </c>
      <c r="E144" t="str">
        <v>BDB-000226</v>
      </c>
      <c r="F144" t="str">
        <v>PVN-003517</v>
      </c>
      <c r="G144" t="str">
        <v>OrthoLite Regular GREY/17-1501TPX Flat Sheet 0.16D 51+/-4 Asker C 1.1M 1.7M 12mm</v>
      </c>
      <c r="H144">
        <v>11</v>
      </c>
      <c r="I144">
        <v>2</v>
      </c>
      <c r="J144">
        <v>2</v>
      </c>
      <c r="K144" t="str">
        <v>CONVERSE</v>
      </c>
      <c r="L144" t="str">
        <v>Pr.Sch.R</v>
      </c>
      <c r="M144" t="str">
        <v>DIE CUT</v>
      </c>
      <c r="N144">
        <v>2</v>
      </c>
      <c r="Q144">
        <v>46154</v>
      </c>
    </row>
    <row r="146">
      <c r="A146" t="str">
        <v>F-2026-04-337</v>
      </c>
      <c r="B146" t="str">
        <v>RPRO-260428-1293</v>
      </c>
      <c r="C146" t="str">
        <v>11/5</v>
      </c>
      <c r="D146" t="str">
        <v>Pro.sche.report 24.4+25.4</v>
      </c>
      <c r="E146" t="str">
        <v>BDB-000011</v>
      </c>
      <c r="F146" t="str">
        <v>PVN-000121</v>
      </c>
      <c r="G146" t="str">
        <v>OrthoLite Regular AIR BLUE/16-4134TPX Flat Sheet 0.13D 35+/-4 Asker C 1.1M 2M 12mm</v>
      </c>
      <c r="H146">
        <v>214</v>
      </c>
      <c r="I146">
        <v>19</v>
      </c>
      <c r="J146">
        <v>19</v>
      </c>
      <c r="K146" t="str">
        <v>ASICS</v>
      </c>
      <c r="L146" t="str">
        <v>Pr.Sch.R</v>
      </c>
      <c r="M146" t="str">
        <v>MOLDED</v>
      </c>
      <c r="N146">
        <v>81</v>
      </c>
      <c r="Q146">
        <v>46154</v>
      </c>
    </row>
    <row r="147">
      <c r="A147" t="str">
        <v>F-2026-03-358-2</v>
      </c>
      <c r="B147" t="str">
        <v>FPRO-260507-0004</v>
      </c>
      <c r="C147" t="str">
        <v>11/5</v>
      </c>
      <c r="D147" t="str">
        <v>Firm plan 18.3</v>
      </c>
      <c r="E147" t="str">
        <v>BDB-000011</v>
      </c>
      <c r="F147" t="str">
        <v>PVN-000242</v>
      </c>
      <c r="G147" t="str">
        <v>OrthoLite Regular AIR BLUE/16-4134TPX Flat Sheet 0.13D 35+/-4 Asker C 1.1M 2M 2mm</v>
      </c>
      <c r="H147">
        <v>500</v>
      </c>
      <c r="I147">
        <v>8</v>
      </c>
      <c r="J147">
        <v>8</v>
      </c>
      <c r="K147" t="str">
        <v>ASICS</v>
      </c>
      <c r="L147" t="str">
        <v>Forecast</v>
      </c>
      <c r="M147" t="str">
        <v>SPLITTING</v>
      </c>
      <c r="Q147">
        <v>46154</v>
      </c>
    </row>
    <row r="148">
      <c r="A148" t="str">
        <v>F-2026-03-360</v>
      </c>
      <c r="B148" t="str">
        <v>FPRO-260318-0004</v>
      </c>
      <c r="C148" t="str">
        <v>11/5</v>
      </c>
      <c r="D148" t="str">
        <v>Firm plan 18.3</v>
      </c>
      <c r="E148" t="str">
        <v>BDB-000011</v>
      </c>
      <c r="F148" t="str">
        <v>PVN-000242</v>
      </c>
      <c r="G148" t="str">
        <v>OrthoLite Regular AIR BLUE/16-4134TPX Flat Sheet 0.13D 35+/-4 Asker C 1.1M 2M 2mm</v>
      </c>
      <c r="H148">
        <v>500</v>
      </c>
      <c r="I148">
        <v>8</v>
      </c>
      <c r="J148">
        <v>8</v>
      </c>
      <c r="K148" t="str">
        <v>ASICS</v>
      </c>
      <c r="L148" t="str">
        <v>Forecast</v>
      </c>
      <c r="M148" t="str">
        <v>SPLITTING</v>
      </c>
      <c r="Q148">
        <v>46156</v>
      </c>
    </row>
    <row r="149">
      <c r="A149" t="str">
        <v>F-2026-05-88</v>
      </c>
      <c r="B149" t="str">
        <v>RPRO-260507-0664</v>
      </c>
      <c r="C149" t="str">
        <v>11/5</v>
      </c>
      <c r="D149" t="str">
        <v>Pro.sche.report 06.05</v>
      </c>
      <c r="E149" t="str">
        <v>BDB-000011</v>
      </c>
      <c r="F149" t="str">
        <v>PVN-000121</v>
      </c>
      <c r="G149" t="str">
        <v>OrthoLite Regular AIR BLUE/16-4134TPX Flat Sheet 0.13D 35+/-4 Asker C 1.1M 2M 12mm</v>
      </c>
      <c r="H149">
        <v>11</v>
      </c>
      <c r="I149">
        <v>1</v>
      </c>
      <c r="J149">
        <v>1</v>
      </c>
      <c r="K149" t="str">
        <v>ASICS</v>
      </c>
      <c r="L149" t="str">
        <v>Pr.Sch.R</v>
      </c>
      <c r="M149" t="str">
        <v>MOLDED</v>
      </c>
      <c r="Q149">
        <v>46156</v>
      </c>
    </row>
    <row r="150">
      <c r="A150" t="str">
        <v>F-2026-01-486</v>
      </c>
      <c r="B150" t="str">
        <v>FPRO-260130-0009</v>
      </c>
      <c r="C150" t="str">
        <v>11/5-12/5</v>
      </c>
      <c r="D150" t="str">
        <v>Firm plan 30.01</v>
      </c>
      <c r="E150" t="str">
        <v>BDB-000011</v>
      </c>
      <c r="F150" t="str">
        <v>PVN-000258</v>
      </c>
      <c r="G150" t="str">
        <v>OrthoLite Regular AIR BLUE/16-4134TPX Flat Sheet 0.13D 35+/-4 Asker C 1.1M 2M 2.5mm</v>
      </c>
      <c r="H150">
        <v>2500</v>
      </c>
      <c r="I150">
        <v>45</v>
      </c>
      <c r="J150">
        <v>45</v>
      </c>
      <c r="K150" t="str">
        <v>ASICS</v>
      </c>
      <c r="L150" t="str">
        <v>Forecast</v>
      </c>
      <c r="M150" t="str">
        <v>SPLITTING</v>
      </c>
      <c r="Q150">
        <v>46156</v>
      </c>
    </row>
    <row r="152">
      <c r="A152" t="str">
        <v>F-2026-05-04</v>
      </c>
      <c r="B152" t="str">
        <v>RPRO-260504-0916</v>
      </c>
      <c r="C152" t="str">
        <v>12/5</v>
      </c>
      <c r="D152" t="str">
        <v>MPS 29.04+02.05</v>
      </c>
      <c r="E152" t="str">
        <v>BDB-000058</v>
      </c>
      <c r="F152" t="str">
        <v>PVN-001319</v>
      </c>
      <c r="G152" t="str">
        <v>OrthoLite Ultra GREEN/16-5932TPX 0.085D 25+/-4 Asker C 1.1M 2M 5mm</v>
      </c>
      <c r="H152">
        <v>196</v>
      </c>
      <c r="I152">
        <v>7</v>
      </c>
      <c r="J152">
        <v>7</v>
      </c>
      <c r="L152" t="str">
        <v>MPS</v>
      </c>
      <c r="M152" t="str">
        <v>SPLITTING</v>
      </c>
      <c r="N152">
        <v>15</v>
      </c>
      <c r="Q152">
        <v>46154</v>
      </c>
    </row>
    <row r="153">
      <c r="A153" t="str">
        <v>F-2026-05-32</v>
      </c>
      <c r="B153" t="str">
        <v>RPRO-260505-0671</v>
      </c>
      <c r="C153" t="str">
        <v>12/5</v>
      </c>
      <c r="D153" t="str">
        <v>MPS 04.5</v>
      </c>
      <c r="E153" t="str">
        <v>BDB-000058</v>
      </c>
      <c r="F153" t="str">
        <v>PVN-001319</v>
      </c>
      <c r="G153" t="str">
        <v>OrthoLite Ultra GREEN/16-5932TPX 0.085D 25+/-4 Asker C 1.1M 2M 5mm</v>
      </c>
      <c r="H153">
        <v>224</v>
      </c>
      <c r="I153">
        <v>8</v>
      </c>
      <c r="J153">
        <v>8</v>
      </c>
      <c r="L153" t="str">
        <v>MPS</v>
      </c>
      <c r="M153" t="str">
        <v>SPLITTING</v>
      </c>
      <c r="Q153">
        <v>46154</v>
      </c>
    </row>
    <row r="155">
      <c r="A155" t="str">
        <v>F-2026-05-85</v>
      </c>
      <c r="B155" t="str">
        <v>RPRO-260506-0366</v>
      </c>
      <c r="C155" t="str">
        <v>12/5</v>
      </c>
      <c r="D155" t="str">
        <v>Pro.sche.report 05.05</v>
      </c>
      <c r="E155" t="str">
        <v>BDB-000158</v>
      </c>
      <c r="F155" t="str">
        <v>PVN-001553</v>
      </c>
      <c r="G155" t="str">
        <v>OrthoLite Ultra-Nike YELLOW/13-0858TPX Flat Sheet 0.085D 15+/-4 Asker C 1.1M 2M 2mm</v>
      </c>
      <c r="H155">
        <v>210</v>
      </c>
      <c r="I155">
        <v>4</v>
      </c>
      <c r="J155">
        <v>4</v>
      </c>
      <c r="K155" t="str">
        <v>NIKE</v>
      </c>
      <c r="L155" t="str">
        <v>Pr.Sch.R</v>
      </c>
      <c r="M155" t="str">
        <v>DIE CUT</v>
      </c>
      <c r="N155">
        <v>4</v>
      </c>
      <c r="Q155">
        <v>46155</v>
      </c>
    </row>
    <row r="157">
      <c r="A157" t="str">
        <v>F-2026-03-475</v>
      </c>
      <c r="B157" t="str">
        <v>FPRO-260324-0047</v>
      </c>
      <c r="C157" t="str">
        <v>12/5</v>
      </c>
      <c r="D157" t="str">
        <v>Firm plan 24.3</v>
      </c>
      <c r="E157" t="str">
        <v>BDB-000131</v>
      </c>
      <c r="F157" t="str">
        <v>PVN-001565</v>
      </c>
      <c r="G157" t="str">
        <v>OrthoLite Regular-Nike AIR BLUE/16-4134TPX 0.11D 15+/-4 Asker C 1.1M 2M 4mm</v>
      </c>
      <c r="H157">
        <v>1000</v>
      </c>
      <c r="I157">
        <v>29</v>
      </c>
      <c r="J157">
        <v>29</v>
      </c>
      <c r="K157" t="str">
        <v>NIKE</v>
      </c>
      <c r="L157" t="str">
        <v>Forecast</v>
      </c>
      <c r="M157" t="str">
        <v>DIE CUT</v>
      </c>
      <c r="N157">
        <v>29</v>
      </c>
      <c r="Q157">
        <v>46155</v>
      </c>
    </row>
    <row r="159">
      <c r="A159" t="str">
        <v>F-2026-03-491-1</v>
      </c>
      <c r="B159" t="str">
        <v>FPRO-260324-0063</v>
      </c>
      <c r="C159" t="str">
        <v>12/5</v>
      </c>
      <c r="D159" t="str">
        <v>Firm plan 24.3</v>
      </c>
      <c r="E159" t="str">
        <v>BDB-000125</v>
      </c>
      <c r="F159" t="str">
        <v>PVN-001579</v>
      </c>
      <c r="G159" t="str">
        <v>OrthoLite Regular-Nike AIR BLUE/16-4134TPX Flat Sheet 0.11D 25+/-4 Asker C 1.1M 2M 4mm</v>
      </c>
      <c r="H159">
        <v>750</v>
      </c>
      <c r="I159">
        <v>22</v>
      </c>
      <c r="J159">
        <v>22</v>
      </c>
      <c r="K159" t="str">
        <v>NIKE</v>
      </c>
      <c r="L159" t="str">
        <v>Forecast</v>
      </c>
      <c r="M159" t="str">
        <v>DIE CUT</v>
      </c>
      <c r="N159">
        <v>182</v>
      </c>
      <c r="Q159">
        <v>46155</v>
      </c>
    </row>
    <row r="160">
      <c r="A160" t="str">
        <v>F-2026-03-447</v>
      </c>
      <c r="B160" t="str">
        <v>FPRO-260324-0019</v>
      </c>
      <c r="C160" t="str">
        <v>12/5</v>
      </c>
      <c r="D160" t="str">
        <v>Firm plan 24.3</v>
      </c>
      <c r="E160" t="str">
        <v>BDB-000125</v>
      </c>
      <c r="F160" t="str">
        <v>PVN-002413</v>
      </c>
      <c r="G160" t="str">
        <v>OrthoLite Regular-Nike AIR BLUE/16-4134TPX 0.11D 25+/-4 Asker C 1.1M 2M 4.2mm</v>
      </c>
      <c r="H160">
        <v>2500</v>
      </c>
      <c r="I160">
        <v>76</v>
      </c>
      <c r="J160">
        <v>76</v>
      </c>
      <c r="K160" t="str">
        <v>NIKE</v>
      </c>
      <c r="L160" t="str">
        <v>Forecast</v>
      </c>
      <c r="M160" t="str">
        <v>DIE CUT</v>
      </c>
      <c r="Q160">
        <v>46156</v>
      </c>
    </row>
    <row r="161">
      <c r="A161" t="str">
        <v>F-2026-03-450</v>
      </c>
      <c r="B161" t="str">
        <v>FPRO-260324-0022</v>
      </c>
      <c r="C161" t="str">
        <v>12/5-13/5</v>
      </c>
      <c r="D161" t="str">
        <v>Firm plan 24.3</v>
      </c>
      <c r="E161" t="str">
        <v>BDB-000125</v>
      </c>
      <c r="F161" t="str">
        <v>PVN-002413</v>
      </c>
      <c r="G161" t="str">
        <v>OrthoLite Regular-Nike AIR BLUE/16-4134TPX 0.11D 25+/-4 Asker C 1.1M 2M 4.2mm</v>
      </c>
      <c r="H161">
        <v>2500</v>
      </c>
      <c r="I161">
        <v>76</v>
      </c>
      <c r="J161">
        <v>76</v>
      </c>
      <c r="K161" t="str">
        <v>NIKE</v>
      </c>
      <c r="L161" t="str">
        <v>Forecast</v>
      </c>
      <c r="M161" t="str">
        <v>DIE CUT</v>
      </c>
      <c r="Q161">
        <v>46156</v>
      </c>
    </row>
    <row r="162">
      <c r="A162" t="str">
        <v>F-2026-05-86</v>
      </c>
      <c r="B162" t="str">
        <v>RPRO-260507-0662</v>
      </c>
      <c r="C162" t="str">
        <v>13/5</v>
      </c>
      <c r="D162" t="str">
        <v>MPS 06.05</v>
      </c>
      <c r="E162" t="str">
        <v>BDB-000125</v>
      </c>
      <c r="F162" t="str">
        <v>PVN-001662</v>
      </c>
      <c r="G162" t="str">
        <v>OrthoLite Regular-Nike AIR BLUE/16-4134TPX Flat Sheet 0.11D 25+/-4 Asker C 1.1M 2M 4.5mm</v>
      </c>
      <c r="H162">
        <v>217</v>
      </c>
      <c r="I162">
        <v>8</v>
      </c>
      <c r="J162">
        <v>8</v>
      </c>
      <c r="L162" t="str">
        <v>MPS</v>
      </c>
      <c r="M162" t="str">
        <v>SPLITTING</v>
      </c>
      <c r="Q162">
        <v>46161</v>
      </c>
    </row>
    <row r="164">
      <c r="A164" t="str">
        <v>F-2026-02-295</v>
      </c>
      <c r="B164" t="str">
        <v>FPRO-260212-0046</v>
      </c>
      <c r="C164" t="str">
        <v>13/5</v>
      </c>
      <c r="D164" t="str">
        <v>Firm plan 12.02</v>
      </c>
      <c r="E164" t="str">
        <v>BDB-000164</v>
      </c>
      <c r="F164" t="str">
        <v>PVN-001618</v>
      </c>
      <c r="G164" t="str">
        <v>OrthoLite Ultra-Nike GREY/17-1501TPX 0.085D 25+/-4 Asker C 1.1M 2M 4mm</v>
      </c>
      <c r="H164">
        <v>500</v>
      </c>
      <c r="I164">
        <v>15</v>
      </c>
      <c r="J164">
        <v>15</v>
      </c>
      <c r="K164" t="str">
        <v>NIKE</v>
      </c>
      <c r="L164" t="str">
        <v>Forecast</v>
      </c>
      <c r="M164" t="str">
        <v>DIE CUT</v>
      </c>
      <c r="N164">
        <v>0</v>
      </c>
      <c r="O164" t="str">
        <v xml:space="preserve">W19 đổ dư 15 bun </v>
      </c>
      <c r="Q164">
        <v>46156</v>
      </c>
    </row>
    <row r="166">
      <c r="A166" t="str">
        <v>F-2026-01-394-2-2</v>
      </c>
      <c r="B166" t="str">
        <v>FPRO-260406-0014</v>
      </c>
      <c r="C166" t="str">
        <v>13/5</v>
      </c>
      <c r="D166" t="str">
        <v>Firm plan 28.01</v>
      </c>
      <c r="E166" t="str">
        <v>BDB-000160</v>
      </c>
      <c r="F166" t="str">
        <v>PVN-001562</v>
      </c>
      <c r="G166" t="str">
        <v>OrthoLite Ultra-Nike LIME GREEN/14-0452TPX 0.085D 25+/-4 Asker C 1.1M 2M 4mm</v>
      </c>
      <c r="H166">
        <v>1000</v>
      </c>
      <c r="I166">
        <v>29</v>
      </c>
      <c r="J166">
        <v>29</v>
      </c>
      <c r="K166" t="str">
        <v>NIKE</v>
      </c>
      <c r="L166" t="str">
        <v>Forecast</v>
      </c>
      <c r="M166" t="str">
        <v>DIE CUT</v>
      </c>
      <c r="N166">
        <v>29</v>
      </c>
      <c r="Q166">
        <v>46156</v>
      </c>
    </row>
    <row r="168">
      <c r="A168" t="str">
        <v>F-2026-04-344</v>
      </c>
      <c r="B168" t="str">
        <v>RPRO-260428-1300</v>
      </c>
      <c r="C168" t="str">
        <v>13/5</v>
      </c>
      <c r="D168" t="str">
        <v>Pro.sche.report 24.4+25.4</v>
      </c>
      <c r="E168" t="str">
        <v>BDB-000008</v>
      </c>
      <c r="F168" t="str">
        <v>PVN-000412</v>
      </c>
      <c r="G168" t="str">
        <v>OrthoLite Regular LIME GREEN/14-0452TPX Flat Sheet 0.11D 25+/-4 Asker C 1.1M 2M 5mm</v>
      </c>
      <c r="H168">
        <v>84</v>
      </c>
      <c r="I168">
        <v>3</v>
      </c>
      <c r="J168">
        <v>3</v>
      </c>
      <c r="K168" t="str">
        <v>ASICS</v>
      </c>
      <c r="L168" t="str">
        <v>Pr.Sch.R</v>
      </c>
      <c r="M168" t="str">
        <v>DIE CUT</v>
      </c>
      <c r="N168">
        <v>15</v>
      </c>
      <c r="Q168">
        <v>46156</v>
      </c>
    </row>
    <row r="169">
      <c r="A169" t="str">
        <v>F-2026-05-89</v>
      </c>
      <c r="B169" t="str">
        <v>RPRO-260507-0665</v>
      </c>
      <c r="C169" t="str">
        <v>13/5</v>
      </c>
      <c r="D169" t="str">
        <v>Pro.sche.report 06.05</v>
      </c>
      <c r="E169" t="str">
        <v>BDB-000008</v>
      </c>
      <c r="F169" t="str">
        <v>PVN-000505</v>
      </c>
      <c r="G169" t="str">
        <v>OrthoLite Regular LIME GREEN/14-0452TPX Flat Sheet 0.11D 25+/-4 Asker C 1.1M 2M 12mm</v>
      </c>
      <c r="H169">
        <v>132</v>
      </c>
      <c r="I169">
        <v>12</v>
      </c>
      <c r="J169">
        <v>12</v>
      </c>
      <c r="K169" t="str">
        <v>ASICS</v>
      </c>
      <c r="L169" t="str">
        <v>Pr.Sch.R</v>
      </c>
      <c r="M169" t="str">
        <v>MOLDED</v>
      </c>
      <c r="Q169">
        <v>46156</v>
      </c>
    </row>
    <row r="171">
      <c r="A171" t="str">
        <v>F-2026-04-274</v>
      </c>
      <c r="B171" t="str">
        <v>FPRO-260418-0004</v>
      </c>
      <c r="C171" t="str">
        <v>13/5</v>
      </c>
      <c r="D171" t="str">
        <v>Firm plan 20.04</v>
      </c>
      <c r="E171" t="str">
        <v>BDB-000181</v>
      </c>
      <c r="F171" t="str">
        <v>PVN-003238</v>
      </c>
      <c r="G171" t="str">
        <v>OrthoLite Eco LT-Hybrid-Converse SEEDPEARL/12-0703TPX Hybrid 0.11D 25+/-4 Asker C 1.1M 2M 5mm</v>
      </c>
      <c r="H171">
        <v>2209</v>
      </c>
      <c r="I171">
        <v>79</v>
      </c>
      <c r="J171">
        <v>79</v>
      </c>
      <c r="K171" t="str">
        <v>CONVERSE</v>
      </c>
      <c r="L171" t="str">
        <v>Forecast</v>
      </c>
      <c r="M171" t="str">
        <v>SPLITTING</v>
      </c>
      <c r="N171">
        <v>93</v>
      </c>
      <c r="Q171">
        <v>46156</v>
      </c>
    </row>
    <row r="172">
      <c r="A172" t="str">
        <v>F-2026-04-351</v>
      </c>
      <c r="B172" t="str">
        <v>RPRO-260428-1307</v>
      </c>
      <c r="C172" t="str">
        <v>13/5</v>
      </c>
      <c r="D172" t="str">
        <v>Pro.sche.report 24.4+25.4</v>
      </c>
      <c r="E172" t="str">
        <v>BDB-000181</v>
      </c>
      <c r="F172" t="str">
        <v>PVN-003238</v>
      </c>
      <c r="G172" t="str">
        <v>OrthoLite Eco LT-Hybrid-Converse SEEDPEARL/12-0703TPX Hybrid Flat Sheet 0.11D 25+/-4 Asker C 1.1M 2M 5mm</v>
      </c>
      <c r="H172">
        <v>140</v>
      </c>
      <c r="I172">
        <v>5</v>
      </c>
      <c r="J172">
        <v>5</v>
      </c>
      <c r="K172" t="str">
        <v>CONVERSE</v>
      </c>
      <c r="L172" t="str">
        <v>Pr.Sch.R</v>
      </c>
      <c r="M172" t="str">
        <v>DIE CUT</v>
      </c>
      <c r="Q172">
        <v>46156</v>
      </c>
    </row>
    <row r="173">
      <c r="A173" t="str">
        <v>F-2026-05-83</v>
      </c>
      <c r="B173" t="str">
        <v>RPRO-260506-0364</v>
      </c>
      <c r="C173" t="str">
        <v>13/5</v>
      </c>
      <c r="D173" t="str">
        <v>Pro.sche.report 05.05</v>
      </c>
      <c r="E173" t="str">
        <v>BDB-000181</v>
      </c>
      <c r="F173" t="str">
        <v>PVN-003238</v>
      </c>
      <c r="G173" t="str">
        <v>OrthoLite Eco LT-Hybrid-Converse SEEDPEARL/12-0703TPX Hybrid Flat Sheet 0.11D 25+/-4 Asker C 1.1M 2M 5mm</v>
      </c>
      <c r="H173">
        <v>252</v>
      </c>
      <c r="I173">
        <v>9</v>
      </c>
      <c r="J173">
        <v>9</v>
      </c>
      <c r="K173" t="str">
        <v>CONVERSE</v>
      </c>
      <c r="L173" t="str">
        <v>Pr.Sch.R</v>
      </c>
      <c r="M173" t="str">
        <v>DIE CUT</v>
      </c>
      <c r="Q173">
        <v>46160</v>
      </c>
    </row>
    <row r="175">
      <c r="A175" t="str">
        <v>F-2026-05-48</v>
      </c>
      <c r="B175" t="str">
        <v>RPRO-260505-0688</v>
      </c>
      <c r="C175" t="str">
        <v>13/5</v>
      </c>
      <c r="D175" t="str">
        <v>Pro.sche.report 04.5</v>
      </c>
      <c r="E175" t="str">
        <v>BDB-000004</v>
      </c>
      <c r="F175" t="str">
        <v>PVN-003842</v>
      </c>
      <c r="G175" t="str">
        <v>OrthoLite Regular GREY/17-1501TPX Flat Sheet 0.11D 25+/-4 Asker C 1.1M 2M 7.5mm</v>
      </c>
      <c r="H175">
        <v>18</v>
      </c>
      <c r="I175">
        <v>2</v>
      </c>
      <c r="J175">
        <v>2</v>
      </c>
      <c r="K175" t="str">
        <v>VIOLET</v>
      </c>
      <c r="L175" t="str">
        <v>Pr.Sch.R</v>
      </c>
      <c r="M175" t="str">
        <v>MOLDED</v>
      </c>
      <c r="N175">
        <v>2</v>
      </c>
      <c r="Q175">
        <v>46158</v>
      </c>
    </row>
    <row r="177">
      <c r="A177" t="str">
        <v>F-2026-04-357</v>
      </c>
      <c r="B177" t="str">
        <v>RPRO-260429-0445</v>
      </c>
      <c r="C177" t="str">
        <v>13/5</v>
      </c>
      <c r="D177" t="str">
        <v>MPS 28.04</v>
      </c>
      <c r="E177" t="str">
        <v>BDB-000085</v>
      </c>
      <c r="F177" t="str">
        <v>PVN-001091</v>
      </c>
      <c r="G177" t="str">
        <v>OrthoLite Eco LT GREY/17-1501TPX Flat Sheet 0.11D 25+/-4 Asker C 1.1M 2M 4mm</v>
      </c>
      <c r="H177">
        <v>35</v>
      </c>
      <c r="I177">
        <v>1</v>
      </c>
      <c r="J177">
        <v>1</v>
      </c>
      <c r="L177" t="str">
        <v>MPS</v>
      </c>
      <c r="M177" t="str">
        <v>SPLITTING</v>
      </c>
      <c r="N177">
        <v>1</v>
      </c>
      <c r="Q177">
        <v>46158</v>
      </c>
    </row>
    <row r="179">
      <c r="A179" t="str">
        <v>F-2026-05-47</v>
      </c>
      <c r="B179" t="str">
        <v>RPRO-260505-0687</v>
      </c>
      <c r="C179" t="str">
        <v>14/5</v>
      </c>
      <c r="D179" t="str">
        <v>Pro.sche.report 04.5</v>
      </c>
      <c r="E179" t="str">
        <v>BDB-000032</v>
      </c>
      <c r="F179" t="str">
        <v>PVN-003872</v>
      </c>
      <c r="G179" t="str">
        <v>OrthoLite Regular SEEDPEARL/12-0703TPX Flat Sheet 0.11D 25+/-4 Asker C 1.1M 2M 7.5mm</v>
      </c>
      <c r="H179">
        <v>36</v>
      </c>
      <c r="I179">
        <v>3</v>
      </c>
      <c r="J179">
        <v>3</v>
      </c>
      <c r="K179" t="str">
        <v>VIOLET</v>
      </c>
      <c r="L179" t="str">
        <v>Pr.Sch.R</v>
      </c>
      <c r="M179" t="str">
        <v>MOLDED</v>
      </c>
      <c r="N179">
        <v>3</v>
      </c>
      <c r="Q179">
        <v>46158</v>
      </c>
    </row>
    <row r="181">
      <c r="A181" t="str">
        <v>F-2026-05-10</v>
      </c>
      <c r="B181" t="str">
        <v>RPRO-260504-0922</v>
      </c>
      <c r="C181" t="str">
        <v>14/5</v>
      </c>
      <c r="D181" t="str">
        <v>Pro.sche.report 29.04+02.05</v>
      </c>
      <c r="E181" t="str">
        <v>BDB-000083</v>
      </c>
      <c r="F181" t="str">
        <v>PVN-003969</v>
      </c>
      <c r="G181" t="str">
        <v>OrthoLite Eco LT 300C(ADIDAS BLUEBIRD) Flat Sheet 0.11D 25+/-4 Asker C 1.1M 2M 12mm</v>
      </c>
      <c r="H181">
        <v>11</v>
      </c>
      <c r="I181">
        <v>2</v>
      </c>
      <c r="J181">
        <v>2</v>
      </c>
      <c r="K181" t="str">
        <v>ADIDAS</v>
      </c>
      <c r="L181" t="str">
        <v>Pr.Sch.R</v>
      </c>
      <c r="M181" t="str">
        <v>MOLDED</v>
      </c>
      <c r="N181">
        <v>2</v>
      </c>
      <c r="Q181">
        <v>46158</v>
      </c>
    </row>
    <row r="183">
      <c r="A183" t="str">
        <v>F-2026-05-02</v>
      </c>
      <c r="B183" t="str">
        <v>RPRO-260504-0914</v>
      </c>
      <c r="C183" t="str">
        <v>14/5</v>
      </c>
      <c r="D183" t="str">
        <v>MPS 29.04+02.05</v>
      </c>
      <c r="E183" t="str">
        <v>BDB-000057</v>
      </c>
      <c r="F183" t="str">
        <v>PVN-000981</v>
      </c>
      <c r="G183" t="str">
        <v>OrthoLite Ultra YELLOW/13-0858TPX Flat Sheet 0.085D 25+/-4 Asker C 1.1M 2M 3mm</v>
      </c>
      <c r="H183">
        <v>828</v>
      </c>
      <c r="I183">
        <v>19</v>
      </c>
      <c r="J183">
        <v>19</v>
      </c>
      <c r="L183" t="str">
        <v>MPS</v>
      </c>
      <c r="M183" t="str">
        <v>SPLITTING</v>
      </c>
      <c r="N183">
        <v>19</v>
      </c>
      <c r="Q183">
        <v>46158</v>
      </c>
    </row>
    <row r="185">
      <c r="A185" t="str">
        <v>F-2026-05-05</v>
      </c>
      <c r="B185" t="str">
        <v>RPRO-260504-0917</v>
      </c>
      <c r="C185" t="str">
        <v>14/5</v>
      </c>
      <c r="D185" t="str">
        <v>MPS 29.04+02.05</v>
      </c>
      <c r="E185" t="str">
        <v>BDB-000016</v>
      </c>
      <c r="F185" t="str">
        <v>PVN-001814</v>
      </c>
      <c r="G185" t="str">
        <v>OrthoLite Regular GREEN/16-5932TPX Flat Sheet 0.13D 35+/-4 Asker C 1.1M 2M 3.5mm</v>
      </c>
      <c r="H185">
        <v>160</v>
      </c>
      <c r="I185">
        <v>4</v>
      </c>
      <c r="J185">
        <v>4</v>
      </c>
      <c r="L185" t="str">
        <v>MPS</v>
      </c>
      <c r="M185" t="str">
        <v>SPLITTING</v>
      </c>
      <c r="N185">
        <v>20</v>
      </c>
      <c r="Q185">
        <v>46158</v>
      </c>
    </row>
    <row r="186">
      <c r="A186" t="str">
        <v>F-2026-05-71</v>
      </c>
      <c r="B186" t="str">
        <v>RPRO-260506-0352</v>
      </c>
      <c r="C186" t="str">
        <v>14/5</v>
      </c>
      <c r="D186" t="str">
        <v>MPS 05.05</v>
      </c>
      <c r="E186" t="str">
        <v>BDB-000016</v>
      </c>
      <c r="F186" t="str">
        <v>PVN-000458</v>
      </c>
      <c r="G186" t="str">
        <v>OrthoLite Regular GREEN/16-5932TPX Flat Sheet 0.13D 35+/-4 Asker C 1.1M 2M 3mm</v>
      </c>
      <c r="H186">
        <v>552</v>
      </c>
      <c r="I186">
        <v>13</v>
      </c>
      <c r="J186">
        <v>13</v>
      </c>
      <c r="L186" t="str">
        <v>MPS</v>
      </c>
      <c r="M186" t="str">
        <v>SPLITTING</v>
      </c>
      <c r="Q186">
        <v>46160</v>
      </c>
    </row>
    <row r="187">
      <c r="A187" t="str">
        <v>F-2026-05-73</v>
      </c>
      <c r="B187" t="str">
        <v>RPRO-260506-0354</v>
      </c>
      <c r="C187" t="str">
        <v>14/5</v>
      </c>
      <c r="D187" t="str">
        <v>MPS 05.05</v>
      </c>
      <c r="E187" t="str">
        <v>BDB-000016</v>
      </c>
      <c r="F187" t="str">
        <v>PVN-001814</v>
      </c>
      <c r="G187" t="str">
        <v>OrthoLite Regular GREEN/16-5932TPX Flat Sheet 0.13D 35+/-4 Asker C 1.1M 2M 3.5mm</v>
      </c>
      <c r="H187">
        <v>120</v>
      </c>
      <c r="I187">
        <v>3</v>
      </c>
      <c r="J187">
        <v>3</v>
      </c>
      <c r="L187" t="str">
        <v>MPS</v>
      </c>
      <c r="M187" t="str">
        <v>SPLITTING</v>
      </c>
      <c r="Q187">
        <v>46160</v>
      </c>
    </row>
    <row r="189">
      <c r="A189" t="str">
        <v>F-2026-05-03</v>
      </c>
      <c r="B189" t="str">
        <v>RPRO-260504-0915</v>
      </c>
      <c r="C189" t="str">
        <v>14/5</v>
      </c>
      <c r="D189" t="str">
        <v>MPS 29.04+02.05</v>
      </c>
      <c r="E189" t="str">
        <v>BDB-000058</v>
      </c>
      <c r="F189" t="str">
        <v>PVN-001277</v>
      </c>
      <c r="G189" t="str">
        <v>OrthoLite Ultra GREEN/16-5932TPX Flat Sheet 0.085D 25+/-4 Asker C 1.1M 2M 4mm</v>
      </c>
      <c r="H189">
        <v>105</v>
      </c>
      <c r="I189">
        <v>3</v>
      </c>
      <c r="J189">
        <v>3</v>
      </c>
      <c r="L189" t="str">
        <v>MPS</v>
      </c>
      <c r="M189" t="str">
        <v>SPLITTING</v>
      </c>
      <c r="N189">
        <v>97</v>
      </c>
      <c r="Q189">
        <v>46158</v>
      </c>
    </row>
    <row r="190">
      <c r="A190" t="str">
        <v>F-2026-04-358</v>
      </c>
      <c r="B190" t="str">
        <v>RPRO-260429-0446</v>
      </c>
      <c r="C190" t="str">
        <v>14/5</v>
      </c>
      <c r="D190" t="str">
        <v>MPS 28.04</v>
      </c>
      <c r="E190" t="str">
        <v>BDB-000058</v>
      </c>
      <c r="F190" t="str">
        <v>PVN-001277</v>
      </c>
      <c r="G190" t="str">
        <v>OrthoLite Ultra GREEN/16-5932TPX Flat Sheet 0.085D 25+/-4 Asker C 1.1M 2M 4mm</v>
      </c>
      <c r="H190">
        <v>2835</v>
      </c>
      <c r="I190">
        <v>81</v>
      </c>
      <c r="J190">
        <v>81</v>
      </c>
      <c r="L190" t="str">
        <v>MPS</v>
      </c>
      <c r="M190" t="str">
        <v>SPLITTING</v>
      </c>
      <c r="Q190">
        <v>46158</v>
      </c>
    </row>
    <row r="191">
      <c r="A191" t="str">
        <v>F-2026-05-31</v>
      </c>
      <c r="B191" t="str">
        <v>RPRO-260505-0670</v>
      </c>
      <c r="C191" t="str">
        <v>14/5</v>
      </c>
      <c r="D191" t="str">
        <v>MPS 04.5</v>
      </c>
      <c r="E191" t="str">
        <v>BDB-000058</v>
      </c>
      <c r="F191" t="str">
        <v>PVN-001277</v>
      </c>
      <c r="G191" t="str">
        <v>OrthoLite Ultra GREEN/16-5932TPX Flat Sheet 0.085D 25+/-4 Asker C 1.1M 2M 4mm</v>
      </c>
      <c r="H191">
        <v>455</v>
      </c>
      <c r="I191">
        <v>13</v>
      </c>
      <c r="J191">
        <v>13</v>
      </c>
      <c r="L191" t="str">
        <v>MPS</v>
      </c>
      <c r="M191" t="str">
        <v>SPLITTING</v>
      </c>
      <c r="Q191">
        <v>46158</v>
      </c>
    </row>
    <row r="193">
      <c r="A193" t="str">
        <v>F-2026-05-82</v>
      </c>
      <c r="B193" t="str">
        <v>RPRO-260506-0363</v>
      </c>
      <c r="C193" t="str">
        <v>14/5</v>
      </c>
      <c r="D193" t="str">
        <v>Pro.sche.report 05.05</v>
      </c>
      <c r="E193" t="str">
        <v>BDB-000126</v>
      </c>
      <c r="F193" t="str">
        <v>PVN-002325</v>
      </c>
      <c r="G193" t="str">
        <v>OrthoLite Regular-Nike RED/19-1764TPX Flat Sheet 0.11D 25+/-4 Asker C 1.1M 2M 5.2mm</v>
      </c>
      <c r="H193">
        <v>26</v>
      </c>
      <c r="I193">
        <v>1</v>
      </c>
      <c r="J193">
        <v>1</v>
      </c>
      <c r="K193" t="str">
        <v>NIKE</v>
      </c>
      <c r="L193" t="str">
        <v>Pr.Sch.R</v>
      </c>
      <c r="M193" t="str">
        <v>MOLDED</v>
      </c>
      <c r="N193">
        <v>16</v>
      </c>
      <c r="Q193">
        <v>46160</v>
      </c>
    </row>
    <row r="194">
      <c r="A194" t="str">
        <v>F-2026-05-107</v>
      </c>
      <c r="B194" t="str">
        <v>RPRO-260508-0418</v>
      </c>
      <c r="C194" t="str">
        <v>14/5</v>
      </c>
      <c r="D194" t="str">
        <v>Pro.sche.report 07.5</v>
      </c>
      <c r="E194" t="str">
        <v>BDB-000126</v>
      </c>
      <c r="F194" t="str">
        <v>PVN-002325</v>
      </c>
      <c r="G194" t="str">
        <v>OrthoLite Regular-Nike RED/19-1764TPX Flat Sheet 0.11D 25+/-4 Asker C 1.1M 2M 5.2mm</v>
      </c>
      <c r="H194">
        <v>390</v>
      </c>
      <c r="I194">
        <v>15</v>
      </c>
      <c r="J194">
        <v>15</v>
      </c>
      <c r="K194" t="str">
        <v>NIKE</v>
      </c>
      <c r="L194" t="str">
        <v>Pr.Sch.R</v>
      </c>
      <c r="M194" t="str">
        <v>MOLDED</v>
      </c>
      <c r="Q194">
        <v>46162</v>
      </c>
    </row>
    <row r="196">
      <c r="A196" t="str">
        <v>F-2026-05-93</v>
      </c>
      <c r="B196" t="str">
        <v>RPRO-260507-0669</v>
      </c>
      <c r="C196" t="str">
        <v>14/5</v>
      </c>
      <c r="D196" t="str">
        <v>Pro.sche.report 06.05</v>
      </c>
      <c r="E196" t="str">
        <v>BDB-000317</v>
      </c>
      <c r="F196" t="str">
        <v>PVN-004293</v>
      </c>
      <c r="G196" t="str">
        <v>OrthoLite Regular NEUTRAL GRAY/17-4402TPX Flat Sheet 0.13D 15+/-4 Asker C 1.1M 2M 22mm</v>
      </c>
      <c r="H196">
        <v>6</v>
      </c>
      <c r="I196">
        <v>2</v>
      </c>
      <c r="J196">
        <v>2</v>
      </c>
      <c r="K196" t="str">
        <v>TRAVIS MATHEW</v>
      </c>
      <c r="L196" t="str">
        <v>Pr.Sch.R</v>
      </c>
      <c r="M196" t="str">
        <v>MOLDED</v>
      </c>
      <c r="N196">
        <v>2</v>
      </c>
      <c r="Q196">
        <v>46161</v>
      </c>
    </row>
    <row r="198">
      <c r="A198" t="str">
        <v>F-2026-05-98</v>
      </c>
      <c r="B198" t="str">
        <v>RPRO-260507-0674</v>
      </c>
      <c r="C198" t="str">
        <v>14/5</v>
      </c>
      <c r="D198" t="str">
        <v>Pro.sche.report 06.05</v>
      </c>
      <c r="E198" t="str">
        <v>BDB-000367</v>
      </c>
      <c r="F198" t="str">
        <v>PVN-004409</v>
      </c>
      <c r="G198" t="str">
        <v>OrthoLite Ultra LIME GREEN/14-0452TPX Flat Sheet 0.095D 33+/-4 Asker C 1.1M 2M 6mm</v>
      </c>
      <c r="H198">
        <v>69</v>
      </c>
      <c r="I198">
        <v>4</v>
      </c>
      <c r="J198">
        <v>4</v>
      </c>
      <c r="K198" t="str">
        <v>PATRICK</v>
      </c>
      <c r="L198" t="str">
        <v>Pr.Sch.R</v>
      </c>
      <c r="M198" t="str">
        <v>MOLDED</v>
      </c>
      <c r="N198">
        <v>4</v>
      </c>
      <c r="Q198">
        <v>46161</v>
      </c>
    </row>
    <row r="200">
      <c r="A200" t="str">
        <v>F-2026-05-101</v>
      </c>
      <c r="B200" t="str">
        <v>RPRO-260508-0412</v>
      </c>
      <c r="C200" t="str">
        <v>14/5</v>
      </c>
      <c r="D200" t="str">
        <v>MPS 07.5</v>
      </c>
      <c r="E200" t="str">
        <v>BDB-000200</v>
      </c>
      <c r="F200" t="str">
        <v>PVN-003425</v>
      </c>
      <c r="G200" t="str">
        <v>OrthoLite Ultra SEEDPEARL/12-0703TPX Flat Sheet 0.085D 78-90 Asker F 1.1M 2M 4mm</v>
      </c>
      <c r="H200">
        <v>35</v>
      </c>
      <c r="I200">
        <v>1</v>
      </c>
      <c r="J200">
        <v>1</v>
      </c>
      <c r="L200" t="str">
        <v>MPS</v>
      </c>
      <c r="M200" t="str">
        <v>SPLITTING</v>
      </c>
      <c r="N200">
        <v>1</v>
      </c>
      <c r="Q200">
        <v>46162</v>
      </c>
    </row>
    <row r="202">
      <c r="A202" t="str">
        <v>F-2026-05-99</v>
      </c>
      <c r="B202" t="str">
        <v>RPRO-260508-0410</v>
      </c>
      <c r="C202" t="str">
        <v>14/5</v>
      </c>
      <c r="D202" t="str">
        <v>MPS 07.5</v>
      </c>
      <c r="E202" t="str">
        <v>BDB-000010</v>
      </c>
      <c r="F202" t="str">
        <v>PVN-000102</v>
      </c>
      <c r="G202" t="str">
        <v>OrthoLite Regular AIR BLUE/16-4134TPX Flat Sheet 0.11D 25+/-4 Asker C 1.1M 2M 4mm</v>
      </c>
      <c r="H202">
        <v>35</v>
      </c>
      <c r="I202">
        <v>1</v>
      </c>
      <c r="J202">
        <v>1</v>
      </c>
      <c r="L202" t="str">
        <v>MPS</v>
      </c>
      <c r="M202" t="str">
        <v>SPLITTING</v>
      </c>
      <c r="N202">
        <v>1</v>
      </c>
      <c r="Q202">
        <v>46162</v>
      </c>
    </row>
    <row r="204">
      <c r="A204" t="str">
        <v>F-2026-05-97</v>
      </c>
      <c r="B204" t="str">
        <v>RPRO-260507-0673</v>
      </c>
      <c r="C204" t="str">
        <v>14/5-15/5</v>
      </c>
      <c r="D204" t="str">
        <v>Pro.sche.report 06.05</v>
      </c>
      <c r="E204" t="str">
        <v>BDB-000137</v>
      </c>
      <c r="F204" t="str">
        <v>PVN-004070</v>
      </c>
      <c r="G204" t="str">
        <v>OrthoLite Regular-Nike AIR BLUE/16-4134TPX Flat Sheet 0.11D 25+/-4 Asker C 1.1M 1.47M 4.2mm</v>
      </c>
      <c r="H204">
        <v>1023</v>
      </c>
      <c r="I204">
        <v>31</v>
      </c>
      <c r="J204">
        <v>31</v>
      </c>
      <c r="K204" t="str">
        <v>NIKE</v>
      </c>
      <c r="L204" t="str">
        <v>Pr.Sch.R</v>
      </c>
      <c r="M204" t="str">
        <v>MOLDED</v>
      </c>
      <c r="N204">
        <v>31</v>
      </c>
      <c r="Q204">
        <v>46161</v>
      </c>
    </row>
    <row r="205">
      <c r="G205" t="str">
        <v>RELEASE ĐỢT 1</v>
      </c>
    </row>
    <row r="206">
      <c r="H206">
        <v>22960</v>
      </c>
      <c r="I206">
        <v>681</v>
      </c>
      <c r="J206">
        <v>681</v>
      </c>
      <c r="N206">
        <v>666</v>
      </c>
      <c r="O206">
        <v>8</v>
      </c>
    </row>
  </sheetData>
  <autoFilter ref="A2:Q273"/>
  <pageMargins left="0" right="0" top="0" bottom="0.25" header="0" footer="0"/>
  <ignoredErrors>
    <ignoredError numberStoredAsText="1" sqref="A1:S872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Q8575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20 - L2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11/5-16/5</v>
      </c>
    </row>
    <row r="4">
      <c r="A4" t="str">
        <v>F-2026-05-138</v>
      </c>
      <c r="B4" t="str">
        <v>RPRO-260512-0090</v>
      </c>
      <c r="C4" t="str">
        <v>15/5</v>
      </c>
      <c r="D4" t="str">
        <v>MPS 11.05</v>
      </c>
      <c r="E4" t="str">
        <v>BDB-000056</v>
      </c>
      <c r="F4" t="str">
        <v>PVN-001983</v>
      </c>
      <c r="G4" t="str">
        <v>OrthoLite X-40 SEEDPEARL/12-0703TPX Flat Sheet 0.16D 25+/-4 Asker C 1.1M 1.7M 5mm</v>
      </c>
      <c r="H4">
        <v>28</v>
      </c>
      <c r="I4">
        <v>1</v>
      </c>
      <c r="J4">
        <v>1</v>
      </c>
      <c r="L4" t="str">
        <v>MPS</v>
      </c>
      <c r="M4" t="str">
        <v>SPLITTING</v>
      </c>
      <c r="N4">
        <v>1</v>
      </c>
      <c r="Q4">
        <v>46158</v>
      </c>
    </row>
    <row r="6">
      <c r="A6" t="str">
        <v>F-2026-05-123</v>
      </c>
      <c r="B6" t="str">
        <v>RPRO-260511-0343</v>
      </c>
      <c r="C6" t="str">
        <v>15/5</v>
      </c>
      <c r="D6" t="str">
        <v>Pro.sche.report 08.5+09.5</v>
      </c>
      <c r="E6" t="str">
        <v>BDB-000076</v>
      </c>
      <c r="F6" t="str">
        <v>PVN-004091</v>
      </c>
      <c r="G6" t="str">
        <v>OrthoLite X-25 BILLIARD/16-5427TPX Flat Sheet 0.12D 20+/-4 Asker C 1.1M 2M 3.5mm</v>
      </c>
      <c r="H6">
        <v>40</v>
      </c>
      <c r="I6">
        <v>1</v>
      </c>
      <c r="J6">
        <v>1</v>
      </c>
      <c r="K6" t="str">
        <v>BROOKS</v>
      </c>
      <c r="L6" t="str">
        <v>Pr.Sch.R</v>
      </c>
      <c r="M6" t="str">
        <v>MOLDED</v>
      </c>
      <c r="N6">
        <v>1</v>
      </c>
      <c r="Q6">
        <v>46158</v>
      </c>
    </row>
    <row r="8">
      <c r="A8" t="str">
        <v>F-2026-04-216</v>
      </c>
      <c r="B8" t="str">
        <v>FPRO-260415-0013</v>
      </c>
      <c r="C8" t="str">
        <v>15/5</v>
      </c>
      <c r="D8" t="str">
        <v>Firm plan 15.4</v>
      </c>
      <c r="E8" t="str">
        <v>BDB-000077</v>
      </c>
      <c r="F8" t="str">
        <v>PVN-004147</v>
      </c>
      <c r="G8" t="str">
        <v>OrthoLite X-25 SEEDPEARL/12-0703TPX Flat Sheet 0.12D 20+/-4 Asker C 1.1M 2M 5.5mm</v>
      </c>
      <c r="H8">
        <v>100</v>
      </c>
      <c r="I8">
        <v>4</v>
      </c>
      <c r="J8">
        <v>4</v>
      </c>
      <c r="K8" t="str">
        <v>ON RUNNING</v>
      </c>
      <c r="L8" t="str">
        <v>Forecast</v>
      </c>
      <c r="M8" t="str">
        <v>MOLDED</v>
      </c>
      <c r="N8">
        <v>4</v>
      </c>
      <c r="Q8">
        <v>46158</v>
      </c>
    </row>
    <row r="10">
      <c r="A10" t="str">
        <v>F-2026-05-124</v>
      </c>
      <c r="B10" t="str">
        <v>RPRO-260511-0344</v>
      </c>
      <c r="C10" t="str">
        <v>15/5</v>
      </c>
      <c r="D10" t="str">
        <v>Pro.sche.report 08.5+09.5</v>
      </c>
      <c r="E10" t="str">
        <v>BDB-000212</v>
      </c>
      <c r="F10" t="str">
        <v>PVN-004002</v>
      </c>
      <c r="G10" t="str">
        <v>OrthoLite X-25-Hybrid SEEDPEARL/12-0703TPX Hybrid Flat Sheet 0.12D 20+/-4 Asker C 1.1M 2M 14mm</v>
      </c>
      <c r="H10">
        <v>9</v>
      </c>
      <c r="I10">
        <v>1</v>
      </c>
      <c r="J10">
        <v>1</v>
      </c>
      <c r="K10" t="str">
        <v>FOOTJOY</v>
      </c>
      <c r="L10" t="str">
        <v>Pr.Sch.R</v>
      </c>
      <c r="M10" t="str">
        <v>MOLDED</v>
      </c>
      <c r="N10">
        <v>1</v>
      </c>
      <c r="Q10">
        <v>46158</v>
      </c>
    </row>
    <row r="12">
      <c r="A12" t="str">
        <v>F-2026-05-125</v>
      </c>
      <c r="B12" t="str">
        <v>RPRO-260511-0345</v>
      </c>
      <c r="C12" t="str">
        <v>15/5</v>
      </c>
      <c r="D12" t="str">
        <v>Pro.sche.report 08.5+09.5</v>
      </c>
      <c r="E12" t="str">
        <v>BDB-000217</v>
      </c>
      <c r="F12" t="str">
        <v>PVN-003733</v>
      </c>
      <c r="G12" t="str">
        <v>OrthoLite X-40-Hybrid SEEDPEARL/12-0703TPX Hybrid Flat Sheet 0.16D 35+/-4 Asker C 1.1M 1.7M 12.5mm</v>
      </c>
      <c r="H12">
        <v>10</v>
      </c>
      <c r="I12">
        <v>1</v>
      </c>
      <c r="J12">
        <v>1</v>
      </c>
      <c r="K12" t="str">
        <v>OBOZ</v>
      </c>
      <c r="L12" t="str">
        <v>Pr.Sch.R</v>
      </c>
      <c r="M12" t="str">
        <v>MOLDED</v>
      </c>
      <c r="N12">
        <v>1</v>
      </c>
      <c r="Q12">
        <v>46158</v>
      </c>
    </row>
    <row r="14">
      <c r="A14" t="str">
        <v>F-2026-04-130</v>
      </c>
      <c r="B14" t="str">
        <v>FPRO-260409-0004</v>
      </c>
      <c r="C14" t="str">
        <v>15/5</v>
      </c>
      <c r="D14" t="str">
        <v>Firm plan 09.04</v>
      </c>
      <c r="E14" t="str">
        <v>BDB-000332</v>
      </c>
      <c r="F14" t="str">
        <v>PVN-004146</v>
      </c>
      <c r="G14" t="str">
        <v>OrthoLite X-25 CASTLEROCK/18-0201TPX Flat Sheet 0.12D 20+/-4 Asker C 1.1M 2M 5.5mm</v>
      </c>
      <c r="H14">
        <v>700</v>
      </c>
      <c r="I14">
        <v>28</v>
      </c>
      <c r="J14">
        <v>28</v>
      </c>
      <c r="K14" t="str">
        <v>ON RUNNING</v>
      </c>
      <c r="L14" t="str">
        <v>Forecast</v>
      </c>
      <c r="M14" t="str">
        <v>MOLDED</v>
      </c>
      <c r="N14">
        <v>28</v>
      </c>
      <c r="Q14">
        <v>46158</v>
      </c>
    </row>
    <row r="16">
      <c r="A16" t="str">
        <v>F-2026-05-61</v>
      </c>
      <c r="B16" t="str">
        <v>FPRO-260504-0012</v>
      </c>
      <c r="C16" t="str">
        <v>15/4-16/4</v>
      </c>
      <c r="D16" t="str">
        <v>Firm plan 04.05</v>
      </c>
      <c r="E16" t="str">
        <v>BDB-000051</v>
      </c>
      <c r="F16" t="str">
        <v>PVN-003319</v>
      </c>
      <c r="G16" t="str">
        <v>OrthoLite X-40 TRUE BLUE/19-4057TPX Flat Sheet 0.16D 25+/-4 Asker C 1.1M 1.7M 12mm</v>
      </c>
      <c r="H16">
        <v>70</v>
      </c>
      <c r="I16">
        <v>7</v>
      </c>
      <c r="J16">
        <v>7</v>
      </c>
      <c r="K16" t="str">
        <v>ASICS</v>
      </c>
      <c r="L16" t="str">
        <v>Forecast</v>
      </c>
      <c r="M16" t="str">
        <v>MOLDED</v>
      </c>
      <c r="N16">
        <v>7</v>
      </c>
      <c r="Q16">
        <v>46160</v>
      </c>
    </row>
    <row r="18">
      <c r="A18" t="str">
        <v>F-2026-05-60</v>
      </c>
      <c r="B18" t="str">
        <v>FPRO-260504-0011</v>
      </c>
      <c r="C18" t="str">
        <v>16/4</v>
      </c>
      <c r="D18" t="str">
        <v>Firm plan 04.05</v>
      </c>
      <c r="E18" t="str">
        <v>BDB-000052</v>
      </c>
      <c r="F18" t="str">
        <v>PVN-003603</v>
      </c>
      <c r="G18" t="str">
        <v>OrthoLite X-40 TRUE BLUE/19-4057TPX Flat Sheet 0.16D 25+/-4 Asker C 1.1M 1.47M 12mm</v>
      </c>
      <c r="H18">
        <v>564</v>
      </c>
      <c r="I18">
        <v>50</v>
      </c>
      <c r="J18">
        <v>50</v>
      </c>
      <c r="K18" t="str">
        <v>ASICS</v>
      </c>
      <c r="L18" t="str">
        <v>Forecast</v>
      </c>
      <c r="M18" t="str">
        <v>MOLDED</v>
      </c>
      <c r="N18">
        <v>52</v>
      </c>
      <c r="Q18">
        <v>46160</v>
      </c>
    </row>
    <row r="19">
      <c r="A19" t="str">
        <v>F-2026-05-62</v>
      </c>
      <c r="B19" t="str">
        <v>FPRO-260504-0013</v>
      </c>
      <c r="C19" t="str">
        <v>16/4</v>
      </c>
      <c r="D19" t="str">
        <v>Firm plan 04.05</v>
      </c>
      <c r="E19" t="str">
        <v>BDB-000052</v>
      </c>
      <c r="F19" t="str">
        <v>PVN-004308</v>
      </c>
      <c r="G19" t="str">
        <v>OrthoLite X-40 TRUE BLUE/19-4057TPX Flat Sheet 0.16D 25+/-4 Asker C 1.1M 1.47M 3mm</v>
      </c>
      <c r="H19">
        <v>54</v>
      </c>
      <c r="I19">
        <v>2</v>
      </c>
      <c r="J19">
        <v>2</v>
      </c>
      <c r="K19" t="str">
        <v>ASICS</v>
      </c>
      <c r="L19" t="str">
        <v>Forecast</v>
      </c>
      <c r="M19" t="str">
        <v>DIE CUT</v>
      </c>
      <c r="Q19">
        <v>46160</v>
      </c>
    </row>
    <row r="21">
      <c r="A21" t="str">
        <v>F-2026-04-440</v>
      </c>
      <c r="B21" t="str">
        <v>FPRO-260429-0053</v>
      </c>
      <c r="C21" t="str">
        <v>16/4</v>
      </c>
      <c r="D21" t="str">
        <v>Firm plan 29.04</v>
      </c>
      <c r="E21" t="str">
        <v>BDB-000156</v>
      </c>
      <c r="F21" t="str">
        <v>PVN-003243</v>
      </c>
      <c r="G21" t="str">
        <v>OrthoLite X-35-Hybrid-Nike AMAZON/18-6024TPX Hybrid 0.145D 25+/-4 Asker C 1.1M 2M 5.2mm</v>
      </c>
      <c r="H21">
        <v>1000</v>
      </c>
      <c r="I21">
        <v>39</v>
      </c>
      <c r="J21">
        <v>39</v>
      </c>
      <c r="K21" t="str">
        <v>NIKE</v>
      </c>
      <c r="L21" t="str">
        <v>Forecast</v>
      </c>
      <c r="M21" t="str">
        <v>MOLDED</v>
      </c>
      <c r="N21">
        <v>39</v>
      </c>
      <c r="Q21">
        <v>46160</v>
      </c>
    </row>
    <row r="23">
      <c r="A23" t="str">
        <v>F-2026-04-386</v>
      </c>
      <c r="B23" t="str">
        <v>FPRO-260428-0016</v>
      </c>
      <c r="C23" t="str">
        <v>16/4-18/4</v>
      </c>
      <c r="D23" t="str">
        <v>Firm plan 28.04</v>
      </c>
      <c r="E23" t="str">
        <v>BDB-000123</v>
      </c>
      <c r="F23" t="str">
        <v>PVN-003299</v>
      </c>
      <c r="G23" t="str">
        <v>OrthoLite Ultra-Hybrid SEEDPEARL/12-0703TPX Hybrid 0.085D 25+/-4 Asker C 1.1M 2M 3mm</v>
      </c>
      <c r="H23">
        <v>7000</v>
      </c>
      <c r="I23">
        <v>153</v>
      </c>
      <c r="J23">
        <v>153</v>
      </c>
      <c r="K23" t="str">
        <v>ADIDAS</v>
      </c>
      <c r="L23" t="str">
        <v>Forecast</v>
      </c>
      <c r="M23" t="str">
        <v>SPLITTING</v>
      </c>
      <c r="N23">
        <v>153</v>
      </c>
      <c r="O23" t="str">
        <v>move etd_máy 2 hư_14.05</v>
      </c>
      <c r="P23" t="str">
        <v xml:space="preserve">Gấp </v>
      </c>
      <c r="Q23">
        <v>46161</v>
      </c>
    </row>
    <row r="24">
      <c r="G24" t="str">
        <v>RELEASE ĐỢT 2</v>
      </c>
    </row>
    <row r="25">
      <c r="H25">
        <v>27365</v>
      </c>
      <c r="I25">
        <v>1150</v>
      </c>
      <c r="J25">
        <v>1143</v>
      </c>
      <c r="N25">
        <v>1943</v>
      </c>
      <c r="O25">
        <v>55</v>
      </c>
    </row>
    <row r="26">
      <c r="A26" t="str">
        <v>Máy 2</v>
      </c>
      <c r="G26" t="str">
        <v>11/5-16/5</v>
      </c>
    </row>
    <row r="27">
      <c r="A27" t="str">
        <v>F-2026-04-243</v>
      </c>
      <c r="B27" t="str">
        <v>FPRO-260416-0028</v>
      </c>
      <c r="C27" t="str">
        <v>15/5</v>
      </c>
      <c r="D27" t="str">
        <v>Firm plan 16.4</v>
      </c>
      <c r="E27" t="str">
        <v>BDB-000113</v>
      </c>
      <c r="F27" t="str">
        <v>PVN-002465</v>
      </c>
      <c r="G27" t="str">
        <v>OrthoLite Regular-Hybrid SEEDPEARL/12-0703TPX Hybrid Flat Sheet 0.11D 25+/-4 Asker C 1.1M 2M 5mm</v>
      </c>
      <c r="H27">
        <v>2500</v>
      </c>
      <c r="I27">
        <v>90</v>
      </c>
      <c r="J27">
        <v>90</v>
      </c>
      <c r="K27" t="str">
        <v>ASICS</v>
      </c>
      <c r="L27" t="str">
        <v>Forecast</v>
      </c>
      <c r="M27" t="str">
        <v>DIE CUT</v>
      </c>
      <c r="N27">
        <v>126</v>
      </c>
      <c r="Q27">
        <v>46158</v>
      </c>
    </row>
    <row r="28">
      <c r="A28" t="str">
        <v>F-2026-04-218</v>
      </c>
      <c r="B28" t="str">
        <v>FPRO-260416-0003</v>
      </c>
      <c r="C28" t="str">
        <v>15/5</v>
      </c>
      <c r="D28" t="str">
        <v>Firm plan 16.4</v>
      </c>
      <c r="E28" t="str">
        <v>BDB-000113</v>
      </c>
      <c r="F28" t="str">
        <v>PVN-002501</v>
      </c>
      <c r="G28" t="str">
        <v>OrthoLite Regular-Hybrid SEEDPEARL/12-0703TPX Hybrid Flat Sheet 0.11D 25+/-4 Asker C 1.1M 2M 2mm</v>
      </c>
      <c r="H28">
        <v>1000</v>
      </c>
      <c r="I28">
        <v>15</v>
      </c>
      <c r="J28">
        <v>15</v>
      </c>
      <c r="K28" t="str">
        <v>ASICS</v>
      </c>
      <c r="L28" t="str">
        <v>Forecast</v>
      </c>
      <c r="M28" t="str">
        <v>SPLITTING</v>
      </c>
      <c r="Q28">
        <v>46158</v>
      </c>
    </row>
    <row r="29">
      <c r="A29" t="str">
        <v>F-2026-04-225</v>
      </c>
      <c r="B29" t="str">
        <v>FPRO-260416-0010</v>
      </c>
      <c r="C29" t="str">
        <v>15/5</v>
      </c>
      <c r="D29" t="str">
        <v>Firm plan 16.4</v>
      </c>
      <c r="E29" t="str">
        <v>BDB-000113</v>
      </c>
      <c r="F29" t="str">
        <v>PVN-002501</v>
      </c>
      <c r="G29" t="str">
        <v>OrthoLite Regular-Hybrid SEEDPEARL/12-0703TPX Hybrid Flat Sheet 0.11D 25+/-4 Asker C 1.1M 2M 2mm</v>
      </c>
      <c r="H29">
        <v>400</v>
      </c>
      <c r="I29">
        <v>6</v>
      </c>
      <c r="J29">
        <v>6</v>
      </c>
      <c r="K29" t="str">
        <v>ASICS</v>
      </c>
      <c r="L29" t="str">
        <v>Forecast</v>
      </c>
      <c r="M29" t="str">
        <v>SPLITTING</v>
      </c>
      <c r="Q29">
        <v>46160</v>
      </c>
    </row>
    <row r="30">
      <c r="A30" t="str">
        <v>F-2026-04-136</v>
      </c>
      <c r="B30" t="str">
        <v>FPRO-260410-0006</v>
      </c>
      <c r="C30" t="str">
        <v>15/5</v>
      </c>
      <c r="D30" t="str">
        <v>Firm plan 10.4</v>
      </c>
      <c r="E30" t="str">
        <v>BDB-000113</v>
      </c>
      <c r="F30" t="str">
        <v>PVN-002501</v>
      </c>
      <c r="G30" t="str">
        <v>OrthoLite Regular-Hybrid SEEDPEARL/12-0703TPX Hybrid Flat Sheet 0.11D 25+/-4 Asker C 1.1M 2M 2mm</v>
      </c>
      <c r="H30">
        <v>1000</v>
      </c>
      <c r="I30">
        <v>15</v>
      </c>
      <c r="J30">
        <v>15</v>
      </c>
      <c r="K30" t="str">
        <v>ASICS</v>
      </c>
      <c r="L30" t="str">
        <v>Forecast</v>
      </c>
      <c r="M30" t="str">
        <v>SPLITTING</v>
      </c>
      <c r="Q30">
        <v>46160</v>
      </c>
    </row>
    <row r="32">
      <c r="A32" t="str">
        <v>F-2026-02-223</v>
      </c>
      <c r="B32" t="str">
        <v>FPRO-260211-0043</v>
      </c>
      <c r="C32" t="str">
        <v>15/5-16/5</v>
      </c>
      <c r="D32" t="str">
        <v>Firm plan 11.2</v>
      </c>
      <c r="E32" t="str">
        <v>BDB-000123</v>
      </c>
      <c r="F32" t="str">
        <v>PVN-003298</v>
      </c>
      <c r="G32" t="str">
        <v>OrthoLite Ultra-Hybrid SEEDPEARL/12-0703TPX Hybrid 0.085D 25+/-4 Asker C 1.1M 2M 4mm</v>
      </c>
      <c r="H32">
        <v>7000</v>
      </c>
      <c r="I32">
        <v>200</v>
      </c>
      <c r="J32">
        <v>200</v>
      </c>
      <c r="K32" t="str">
        <v>ADIDAS</v>
      </c>
      <c r="L32" t="str">
        <v>Forecast</v>
      </c>
      <c r="M32" t="str">
        <v>SPLITTING</v>
      </c>
      <c r="N32">
        <v>200</v>
      </c>
      <c r="P32" t="str">
        <v>gấp</v>
      </c>
      <c r="Q32">
        <v>46160</v>
      </c>
    </row>
    <row r="34">
      <c r="A34" t="str">
        <v>F-2026-03-488</v>
      </c>
      <c r="B34" t="str">
        <v>FPRO-260324-0060</v>
      </c>
      <c r="C34" t="str">
        <v>16/5</v>
      </c>
      <c r="D34" t="str">
        <v>Firm plan 24.3</v>
      </c>
      <c r="E34" t="str">
        <v>BDB-000175</v>
      </c>
      <c r="F34" t="str">
        <v>PVN-002875</v>
      </c>
      <c r="G34" t="str">
        <v>OrthoLite Ultra-Hybrid-Nike SEEDPEARL/12-0703TPX Hybrid 0.085D 25+/-4 Asker C 1.1M 2M 3mm</v>
      </c>
      <c r="H34">
        <v>500</v>
      </c>
      <c r="I34">
        <v>11</v>
      </c>
      <c r="J34">
        <v>11</v>
      </c>
      <c r="K34" t="str">
        <v>NIKE</v>
      </c>
      <c r="L34" t="str">
        <v>Forecast</v>
      </c>
      <c r="M34" t="str">
        <v>DIE CUT</v>
      </c>
      <c r="N34">
        <v>11</v>
      </c>
      <c r="Q34">
        <v>46160</v>
      </c>
    </row>
    <row r="36">
      <c r="A36" t="str">
        <v>F-2026-03-592</v>
      </c>
      <c r="B36" t="str">
        <v>FPRO-260330-0014</v>
      </c>
      <c r="C36" t="str">
        <v>16/5-18/5</v>
      </c>
      <c r="D36" t="str">
        <v>Firm plan 30.3</v>
      </c>
      <c r="E36" t="str">
        <v>BDB-000209</v>
      </c>
      <c r="F36" t="str">
        <v>PVN-003537</v>
      </c>
      <c r="G36" t="str">
        <v>OrthoLite HybridPlus-Recycled MINT GREEN/11-4805TPX Hybrid 0.12D 25+/-4 Asker C 1.1M 2M 4.5mm</v>
      </c>
      <c r="H36">
        <v>2500</v>
      </c>
      <c r="I36">
        <v>81</v>
      </c>
      <c r="J36">
        <v>81</v>
      </c>
      <c r="K36" t="str">
        <v>ON RUNNING</v>
      </c>
      <c r="L36" t="str">
        <v>Forecast</v>
      </c>
      <c r="M36" t="str">
        <v>MOLDED</v>
      </c>
      <c r="N36">
        <v>81</v>
      </c>
      <c r="P36" t="str">
        <v>gấp</v>
      </c>
      <c r="Q36">
        <v>46161</v>
      </c>
    </row>
    <row r="37">
      <c r="G37" t="str">
        <v>RELEASE ĐỢT 2</v>
      </c>
    </row>
    <row r="38">
      <c r="H38">
        <v>52423</v>
      </c>
      <c r="I38">
        <v>1910</v>
      </c>
      <c r="J38">
        <v>1910</v>
      </c>
      <c r="N38">
        <v>1556</v>
      </c>
      <c r="O38">
        <v>15</v>
      </c>
    </row>
    <row r="39">
      <c r="A39" t="str">
        <v>Máy 3</v>
      </c>
      <c r="G39" t="str">
        <v>11/5-16/5</v>
      </c>
    </row>
    <row r="40">
      <c r="A40" t="str">
        <v>F-2026-05-133</v>
      </c>
      <c r="B40" t="str">
        <v>RPRO-260512-0085</v>
      </c>
      <c r="C40" t="str">
        <v>15/5</v>
      </c>
      <c r="D40" t="str">
        <v>MPS 11.05</v>
      </c>
      <c r="E40" t="str">
        <v>BDB-000010</v>
      </c>
      <c r="F40" t="str">
        <v>PVN-000101</v>
      </c>
      <c r="G40" t="str">
        <v>OrthoLite Regular AIR BLUE/16-4134TPX Flat Sheet 0.11D 25+/-4 Asker C 1.1M 2M 3mm</v>
      </c>
      <c r="H40">
        <v>46</v>
      </c>
      <c r="I40">
        <v>2</v>
      </c>
      <c r="J40">
        <v>2</v>
      </c>
      <c r="L40" t="str">
        <v>MPS</v>
      </c>
      <c r="M40" t="str">
        <v>SPLITTING</v>
      </c>
      <c r="N40">
        <v>2</v>
      </c>
      <c r="Q40">
        <v>46158</v>
      </c>
    </row>
    <row r="42">
      <c r="A42" t="str">
        <v>F-2026-05-116</v>
      </c>
      <c r="B42" t="str">
        <v>RPRO-260511-0336</v>
      </c>
      <c r="C42" t="str">
        <v>15/5</v>
      </c>
      <c r="D42" t="str">
        <v>MPS 08.5+09.5+10.5</v>
      </c>
      <c r="E42" t="str">
        <v>BDB-000200</v>
      </c>
      <c r="F42" t="str">
        <v>PVN-003418</v>
      </c>
      <c r="G42" t="str">
        <v>OrthoLite Ultra SEEDPEARL/12-0703TPX Flat Sheet 0.085D 78-90 Asker F 1.1M 2M 5mm</v>
      </c>
      <c r="H42">
        <v>112</v>
      </c>
      <c r="I42">
        <v>4</v>
      </c>
      <c r="J42">
        <v>4</v>
      </c>
      <c r="L42" t="str">
        <v>MPS</v>
      </c>
      <c r="M42" t="str">
        <v>SPLITTING</v>
      </c>
      <c r="N42">
        <v>5</v>
      </c>
      <c r="Q42">
        <v>46158</v>
      </c>
    </row>
    <row r="43">
      <c r="A43" t="str">
        <v>F-2026-05-140</v>
      </c>
      <c r="B43" t="str">
        <v>RPRO-260512-0092</v>
      </c>
      <c r="C43" t="str">
        <v>15/5</v>
      </c>
      <c r="D43" t="str">
        <v>MPS 11.05</v>
      </c>
      <c r="E43" t="str">
        <v>BDB-000200</v>
      </c>
      <c r="F43" t="str">
        <v>PVN-003425</v>
      </c>
      <c r="G43" t="str">
        <v>OrthoLite Ultra SEEDPEARL/12-0703TPX Flat Sheet 0.085D 78-90 Asker F 1.1M 2M 4mm</v>
      </c>
      <c r="H43">
        <v>35</v>
      </c>
      <c r="I43">
        <v>1</v>
      </c>
      <c r="J43">
        <v>1</v>
      </c>
      <c r="L43" t="str">
        <v>MPS</v>
      </c>
      <c r="M43" t="str">
        <v>SPLITTING</v>
      </c>
      <c r="Q43">
        <v>46158</v>
      </c>
    </row>
    <row r="45">
      <c r="A45" t="str">
        <v>F-2026-05-134</v>
      </c>
      <c r="B45" t="str">
        <v>RPRO-260512-0086</v>
      </c>
      <c r="C45" t="str">
        <v>15/5</v>
      </c>
      <c r="D45" t="str">
        <v>MPS 11.05</v>
      </c>
      <c r="E45" t="str">
        <v>BDB-000011</v>
      </c>
      <c r="F45" t="str">
        <v>PVN-000126</v>
      </c>
      <c r="G45" t="str">
        <v>OrthoLite Regular AIR BLUE/16-4134TPX Flat Sheet 0.13D 35+/-4 Asker C 1.1M 2M 4mm</v>
      </c>
      <c r="H45">
        <v>35</v>
      </c>
      <c r="I45">
        <v>1</v>
      </c>
      <c r="J45">
        <v>1</v>
      </c>
      <c r="L45" t="str">
        <v>MPS</v>
      </c>
      <c r="M45" t="str">
        <v>SPLITTING</v>
      </c>
      <c r="N45">
        <v>29</v>
      </c>
      <c r="Q45">
        <v>46158</v>
      </c>
    </row>
    <row r="46">
      <c r="A46" t="str">
        <v>F-2026-05-135-1</v>
      </c>
      <c r="B46" t="str">
        <v>RPRO-260512-0087</v>
      </c>
      <c r="C46" t="str">
        <v>15/5</v>
      </c>
      <c r="D46" t="str">
        <v>MPS 11.05</v>
      </c>
      <c r="E46" t="str">
        <v>BDB-000011</v>
      </c>
      <c r="F46" t="str">
        <v>PVN-000127</v>
      </c>
      <c r="G46" t="str">
        <v>OrthoLite Regular AIR BLUE/16-4134TPX Flat Sheet 0.13D 35+/-4 Asker C 1.1M 2M 5mm</v>
      </c>
      <c r="H46">
        <v>17</v>
      </c>
      <c r="I46">
        <v>1</v>
      </c>
      <c r="J46">
        <v>1</v>
      </c>
      <c r="L46" t="str">
        <v>MPS</v>
      </c>
      <c r="M46" t="str">
        <v>SPLITTING</v>
      </c>
      <c r="Q46">
        <v>46158</v>
      </c>
    </row>
    <row r="47">
      <c r="A47" t="str">
        <v>F-2026-05-135-2</v>
      </c>
      <c r="B47" t="str">
        <v>RPRO-260512-0584</v>
      </c>
      <c r="C47" t="str">
        <v>15/5</v>
      </c>
      <c r="D47" t="str">
        <v>MPS 11.05</v>
      </c>
      <c r="E47" t="str">
        <v>BDB-000011</v>
      </c>
      <c r="F47" t="str">
        <v>PVN-000127</v>
      </c>
      <c r="G47" t="str">
        <v>OrthoLite Regular AIR BLUE/16-4134TPX Flat Sheet 0.13D 35+/-4 Asker C 1.1M 2M 5mm</v>
      </c>
      <c r="H47">
        <v>39</v>
      </c>
      <c r="I47">
        <v>2</v>
      </c>
      <c r="J47">
        <v>2</v>
      </c>
      <c r="L47" t="str">
        <v>MPS</v>
      </c>
      <c r="M47" t="str">
        <v>SPLITTING</v>
      </c>
      <c r="Q47">
        <v>46158</v>
      </c>
    </row>
    <row r="48">
      <c r="A48" t="str">
        <v>F-2026-05-58</v>
      </c>
      <c r="B48" t="str">
        <v>FPRO-260504-0009</v>
      </c>
      <c r="C48" t="str">
        <v>15/5</v>
      </c>
      <c r="D48" t="str">
        <v>Firm plan 04.05</v>
      </c>
      <c r="E48" t="str">
        <v>BDB-000011</v>
      </c>
      <c r="F48" t="str">
        <v>PVN-000121</v>
      </c>
      <c r="G48" t="str">
        <v>OrthoLite Regular AIR BLUE/16-4134TPX Flat Sheet 0.13D 35+/-4 Asker C 1.1M 2M 12mm</v>
      </c>
      <c r="H48">
        <v>73</v>
      </c>
      <c r="I48">
        <v>7</v>
      </c>
      <c r="J48">
        <v>7</v>
      </c>
      <c r="K48" t="str">
        <v>ASICS</v>
      </c>
      <c r="L48" t="str">
        <v>Forecast</v>
      </c>
      <c r="M48" t="str">
        <v>MOLDED</v>
      </c>
      <c r="Q48">
        <v>46160</v>
      </c>
    </row>
    <row r="49">
      <c r="A49" t="str">
        <v>F-2026-05-59</v>
      </c>
      <c r="B49" t="str">
        <v>FPRO-260504-0010</v>
      </c>
      <c r="C49" t="str">
        <v>15/5</v>
      </c>
      <c r="D49" t="str">
        <v>Firm plan 04.05</v>
      </c>
      <c r="E49" t="str">
        <v>BDB-000011</v>
      </c>
      <c r="F49" t="str">
        <v>PVN-000126</v>
      </c>
      <c r="G49" t="str">
        <v>OrthoLite Regular AIR BLUE/16-4134TPX Flat Sheet 0.13D 35+/-4 Asker C 1.1M 2M 4mm</v>
      </c>
      <c r="H49">
        <v>167</v>
      </c>
      <c r="I49">
        <v>5</v>
      </c>
      <c r="J49">
        <v>5</v>
      </c>
      <c r="K49" t="str">
        <v>ASICS</v>
      </c>
      <c r="L49" t="str">
        <v>Forecast</v>
      </c>
      <c r="M49" t="str">
        <v>SPLITTING</v>
      </c>
      <c r="Q49">
        <v>46160</v>
      </c>
    </row>
    <row r="50">
      <c r="A50" t="str">
        <v>F-2026-05-63</v>
      </c>
      <c r="B50" t="str">
        <v>FPRO-260504-0014</v>
      </c>
      <c r="C50" t="str">
        <v>15/5</v>
      </c>
      <c r="D50" t="str">
        <v>Firm plan 04.05</v>
      </c>
      <c r="E50" t="str">
        <v>BDB-000011</v>
      </c>
      <c r="F50" t="str">
        <v>PVN-000127</v>
      </c>
      <c r="G50" t="str">
        <v>OrthoLite Regular AIR BLUE/16-4134TPX Flat Sheet 0.13D 35+/-4 Asker C 1.1M 2M 5mm</v>
      </c>
      <c r="H50">
        <v>355</v>
      </c>
      <c r="I50">
        <v>13</v>
      </c>
      <c r="J50">
        <v>13</v>
      </c>
      <c r="K50" t="str">
        <v>ASICS</v>
      </c>
      <c r="L50" t="str">
        <v>Forecast</v>
      </c>
      <c r="M50" t="str">
        <v>LAMINATING</v>
      </c>
      <c r="Q50">
        <v>46160</v>
      </c>
    </row>
    <row r="52">
      <c r="A52" t="str">
        <v>F-2026-05-56</v>
      </c>
      <c r="B52" t="str">
        <v>FPRO-260504-0007</v>
      </c>
      <c r="C52" t="str">
        <v>15/5</v>
      </c>
      <c r="D52" t="str">
        <v>Firm plan 04.05</v>
      </c>
      <c r="E52" t="str">
        <v>BDB-000057</v>
      </c>
      <c r="F52" t="str">
        <v>PVN-000925</v>
      </c>
      <c r="G52" t="str">
        <v>OrthoLite Ultra YELLOW/13-0858TPX Flat Sheet 0.085D 25+/-4 Asker C 1.1M 2M 5mm</v>
      </c>
      <c r="H52">
        <v>935</v>
      </c>
      <c r="I52">
        <v>34</v>
      </c>
      <c r="J52">
        <v>34</v>
      </c>
      <c r="K52" t="str">
        <v>ASICS</v>
      </c>
      <c r="L52" t="str">
        <v>Forecast</v>
      </c>
      <c r="M52" t="str">
        <v>LAMINATING</v>
      </c>
      <c r="N52">
        <v>34</v>
      </c>
      <c r="Q52">
        <v>46160</v>
      </c>
    </row>
    <row r="54">
      <c r="A54" t="str">
        <v>F-2026-01-395-1</v>
      </c>
      <c r="B54" t="str">
        <v>FPRO-260127-0024</v>
      </c>
      <c r="C54" t="str">
        <v>15/5-16/5</v>
      </c>
      <c r="D54" t="str">
        <v>Firm plan 28.01</v>
      </c>
      <c r="E54" t="str">
        <v>BDB-000160</v>
      </c>
      <c r="F54" t="str">
        <v>PVN-001562</v>
      </c>
      <c r="G54" t="str">
        <v>OrthoLite Ultra-Nike LIME GREEN/14-0452TPX 0.085D 25+/-4 Asker C 1.1M 2M 4mm</v>
      </c>
      <c r="H54">
        <v>1000</v>
      </c>
      <c r="I54">
        <v>29</v>
      </c>
      <c r="J54">
        <v>29</v>
      </c>
      <c r="K54" t="str">
        <v>NIKE</v>
      </c>
      <c r="L54" t="str">
        <v>Forecast</v>
      </c>
      <c r="M54" t="str">
        <v>DIE CUT</v>
      </c>
      <c r="N54">
        <v>29</v>
      </c>
      <c r="Q54">
        <v>46160</v>
      </c>
    </row>
    <row r="55">
      <c r="G55" t="str">
        <v>RELEASE ĐỢT 2</v>
      </c>
    </row>
    <row r="56">
      <c r="H56">
        <v>25774</v>
      </c>
      <c r="I56">
        <v>780</v>
      </c>
      <c r="J56">
        <v>780</v>
      </c>
      <c r="N56">
        <v>765</v>
      </c>
      <c r="O56">
        <v>-57</v>
      </c>
    </row>
  </sheetData>
  <autoFilter ref="A2:Q56"/>
  <pageMargins left="0.18" right="0.17" top="0.24" bottom="0.17" header="0.17" footer="0.17"/>
  <ignoredErrors>
    <ignoredError numberStoredAsText="1" sqref="A1:Q857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U8555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20 - L2 (Add)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11/5-16/5</v>
      </c>
    </row>
    <row r="4">
      <c r="A4" t="str">
        <v>F-2026-05-155</v>
      </c>
      <c r="B4" t="str">
        <v>RPRO-260512-0107</v>
      </c>
      <c r="C4" t="str">
        <v>16/5</v>
      </c>
      <c r="D4" t="str">
        <v>Pro.sche.report 11.05</v>
      </c>
      <c r="E4" t="str">
        <v>BDB-000334</v>
      </c>
      <c r="F4" t="str">
        <v>PVN-004327</v>
      </c>
      <c r="G4" t="str">
        <v>OrthoLite X-55-Hybrid FOSSIL/17-0909TPX Hybrid Flat Sheet 0.16D 25+/-4 Asker C 1.1M 2M 6mm</v>
      </c>
      <c r="H4">
        <v>23</v>
      </c>
      <c r="I4">
        <v>1</v>
      </c>
      <c r="J4">
        <v>1</v>
      </c>
      <c r="K4" t="str">
        <v>ASICS</v>
      </c>
      <c r="L4" t="str">
        <v>Pr.Sch.R</v>
      </c>
      <c r="M4" t="str">
        <v>MOLDED</v>
      </c>
      <c r="N4">
        <v>1</v>
      </c>
      <c r="Q4">
        <v>46161</v>
      </c>
    </row>
    <row r="6">
      <c r="A6" t="str">
        <v>F-2026-05-128</v>
      </c>
      <c r="B6" t="str">
        <v>RPRO-260511-0348</v>
      </c>
      <c r="C6" t="str">
        <v>16/5</v>
      </c>
      <c r="D6" t="str">
        <v>Pro.sche.report 08.5+09.5</v>
      </c>
      <c r="E6" t="str">
        <v>BDB-000321</v>
      </c>
      <c r="F6" t="str">
        <v>PVN-004092</v>
      </c>
      <c r="G6" t="str">
        <v>OrthoLite Float BLUE ATOLL/16-4535TPX Flat Sheet 0.12D 21+/-4 Asker C 1.1M 2M 14.5mm</v>
      </c>
      <c r="H6">
        <v>45</v>
      </c>
      <c r="I6">
        <v>5</v>
      </c>
      <c r="J6">
        <v>5</v>
      </c>
      <c r="K6" t="str">
        <v>LOWA</v>
      </c>
      <c r="L6" t="str">
        <v>Pr.Sch.R</v>
      </c>
      <c r="M6" t="str">
        <v>MOLDED</v>
      </c>
      <c r="N6">
        <v>5</v>
      </c>
      <c r="Q6">
        <v>46161</v>
      </c>
    </row>
    <row r="8">
      <c r="A8" t="str">
        <v>F-2026-05-54</v>
      </c>
      <c r="B8" t="str">
        <v>FPRO-260504-0005</v>
      </c>
      <c r="C8" t="str">
        <v>16/5</v>
      </c>
      <c r="D8" t="str">
        <v>Firm plan 04.05</v>
      </c>
      <c r="E8" t="str">
        <v>BDB-000325</v>
      </c>
      <c r="F8" t="str">
        <v>PVN-004115</v>
      </c>
      <c r="G8" t="str">
        <v>OrthoLite X-40 TRUE BLUE/19-4057TPX Flat Sheet 0.16D 35+/-4 Asker C 1.1M 2M 4mm</v>
      </c>
      <c r="H8">
        <v>133</v>
      </c>
      <c r="I8">
        <v>4</v>
      </c>
      <c r="J8">
        <v>4</v>
      </c>
      <c r="K8" t="str">
        <v>ASICS</v>
      </c>
      <c r="L8" t="str">
        <v>Forecast</v>
      </c>
      <c r="M8" t="str">
        <v>DIE CUT</v>
      </c>
      <c r="N8">
        <v>4</v>
      </c>
      <c r="Q8">
        <v>46161</v>
      </c>
      <c r="U8" t="str">
        <v>rpro-2512128-0339</v>
      </c>
    </row>
    <row r="10">
      <c r="A10" t="str">
        <v>F-2026-05-65</v>
      </c>
      <c r="B10" t="str">
        <v>FPRO-260504-0016</v>
      </c>
      <c r="C10" t="str">
        <v>16/5</v>
      </c>
      <c r="D10" t="str">
        <v>Firm plan 04.05</v>
      </c>
      <c r="E10" t="str">
        <v>BDB-000332</v>
      </c>
      <c r="F10" t="str">
        <v>PVN-004146</v>
      </c>
      <c r="G10" t="str">
        <v>OrthoLite X-25 CASTLEROCK/18-0201TPX Flat Sheet 0.12D 20+/-4 Asker C 1.1M 2M 5.5mm</v>
      </c>
      <c r="H10">
        <v>500</v>
      </c>
      <c r="I10">
        <v>20</v>
      </c>
      <c r="J10">
        <v>20</v>
      </c>
      <c r="K10" t="str">
        <v>ON RUNNING</v>
      </c>
      <c r="L10" t="str">
        <v>Forecast</v>
      </c>
      <c r="M10" t="str">
        <v>MOLDED</v>
      </c>
      <c r="N10">
        <v>20</v>
      </c>
      <c r="Q10">
        <v>46161</v>
      </c>
    </row>
    <row r="11">
      <c r="G11" t="str">
        <v>RELEASE ĐỢT 2 - Đơn phát sinh</v>
      </c>
    </row>
    <row r="12">
      <c r="H12">
        <v>27365</v>
      </c>
      <c r="I12">
        <v>1150</v>
      </c>
      <c r="J12">
        <v>1150</v>
      </c>
      <c r="N12">
        <v>1145</v>
      </c>
      <c r="O12">
        <v>-63</v>
      </c>
    </row>
    <row r="13">
      <c r="A13" t="str">
        <v>Máy 2</v>
      </c>
      <c r="G13" t="str">
        <v>11/5-16/5</v>
      </c>
    </row>
    <row r="14">
      <c r="A14" t="str">
        <v>F-2026-04-217</v>
      </c>
      <c r="B14" t="str">
        <v>FPRO-260415-0014</v>
      </c>
      <c r="C14" t="str">
        <v>16/5</v>
      </c>
      <c r="D14" t="str">
        <v>Firm plan 15.4</v>
      </c>
      <c r="E14" t="str">
        <v>BDB-000355</v>
      </c>
      <c r="F14" t="str">
        <v>PVN-004231</v>
      </c>
      <c r="G14" t="str">
        <v>OrthoLite HybridPlus-Recycled CASTLEROCK/18-0201TPX Hybrid 0.12D 25+/-4 Asker C 1.1M 2M 4.5mm</v>
      </c>
      <c r="H14">
        <v>1100</v>
      </c>
      <c r="I14">
        <v>36</v>
      </c>
      <c r="J14">
        <v>36</v>
      </c>
      <c r="K14" t="str">
        <v>ON RUNNING</v>
      </c>
      <c r="L14" t="str">
        <v>Forecast</v>
      </c>
      <c r="M14" t="str">
        <v>MOLDED</v>
      </c>
      <c r="N14">
        <v>36</v>
      </c>
      <c r="Q14">
        <v>46161</v>
      </c>
    </row>
    <row r="16">
      <c r="A16" t="str">
        <v>F-2026-05-51</v>
      </c>
      <c r="B16" t="str">
        <v>FPRO-260504-0002</v>
      </c>
      <c r="C16" t="str">
        <v>16/5</v>
      </c>
      <c r="D16" t="str">
        <v>Firm plan 04.05</v>
      </c>
      <c r="E16" t="str">
        <v>BDB-000113</v>
      </c>
      <c r="F16" t="str">
        <v>PVN-003601</v>
      </c>
      <c r="G16" t="str">
        <v>OrthoLite Regular-Hybrid SEEDPEARL/12-0703TPX Hybrid Flat Sheet 0.11D 25+/-4 Asker C 1.1M 2M 20mm</v>
      </c>
      <c r="H16">
        <v>16</v>
      </c>
      <c r="I16">
        <v>3</v>
      </c>
      <c r="J16">
        <v>3</v>
      </c>
      <c r="K16" t="str">
        <v>ASICS</v>
      </c>
      <c r="L16" t="str">
        <v>Forecast</v>
      </c>
      <c r="M16" t="str">
        <v>MOLDED</v>
      </c>
      <c r="N16">
        <v>104</v>
      </c>
      <c r="Q16">
        <v>46161</v>
      </c>
    </row>
    <row r="17">
      <c r="A17" t="str">
        <v>F-2026-05-52</v>
      </c>
      <c r="B17" t="str">
        <v>FPRO-260504-0003</v>
      </c>
      <c r="C17" t="str">
        <v>16/5</v>
      </c>
      <c r="D17" t="str">
        <v>Firm plan 04.05</v>
      </c>
      <c r="E17" t="str">
        <v>BDB-000113</v>
      </c>
      <c r="F17" t="str">
        <v>PVN-002515</v>
      </c>
      <c r="G17" t="str">
        <v>OrthoLite Regular-Hybrid SEEDPEARL/12-0703TPX Hybrid Flat Sheet 0.11D 25+/-4 Asker C 1.1M 2M 11mm</v>
      </c>
      <c r="H17">
        <v>98</v>
      </c>
      <c r="I17">
        <v>9</v>
      </c>
      <c r="J17">
        <v>9</v>
      </c>
      <c r="K17" t="str">
        <v>ASICS</v>
      </c>
      <c r="L17" t="str">
        <v>Forecast</v>
      </c>
      <c r="M17" t="str">
        <v>MOLDED</v>
      </c>
      <c r="Q17">
        <v>46161</v>
      </c>
    </row>
    <row r="18">
      <c r="A18" t="str">
        <v>F-2026-05-55</v>
      </c>
      <c r="B18" t="str">
        <v>FPRO-260504-0006</v>
      </c>
      <c r="C18" t="str">
        <v>16/5</v>
      </c>
      <c r="D18" t="str">
        <v>Firm plan 04.05</v>
      </c>
      <c r="E18" t="str">
        <v>BDB-000113</v>
      </c>
      <c r="F18" t="str">
        <v>PVN-002503</v>
      </c>
      <c r="G18" t="str">
        <v>OrthoLite Regular-Hybrid SEEDPEARL/12-0703TPX Hybrid Flat Sheet 0.11D 25+/-4 Asker C 1.1M 2M 4mm</v>
      </c>
      <c r="H18">
        <v>34</v>
      </c>
      <c r="I18">
        <v>1</v>
      </c>
      <c r="J18">
        <v>1</v>
      </c>
      <c r="K18" t="str">
        <v>ASICS</v>
      </c>
      <c r="L18" t="str">
        <v>Forecast</v>
      </c>
      <c r="M18" t="str">
        <v>DIE CUT</v>
      </c>
      <c r="Q18">
        <v>46161</v>
      </c>
    </row>
    <row r="19">
      <c r="A19" t="str">
        <v>F-2026-05-57</v>
      </c>
      <c r="B19" t="str">
        <v>FPRO-260504-0008</v>
      </c>
      <c r="C19" t="str">
        <v>16/5</v>
      </c>
      <c r="D19" t="str">
        <v>Firm plan 04.05</v>
      </c>
      <c r="E19" t="str">
        <v>BDB-000113</v>
      </c>
      <c r="F19" t="str">
        <v>PVN-003161</v>
      </c>
      <c r="G19" t="str">
        <v>OrthoLite Regular-Hybrid SEEDPEARL/12-0703TPX Hybrid Flat Sheet 0.11D 25+/-4 Asker C 1.1M 2M 2.5mm</v>
      </c>
      <c r="H19">
        <v>9</v>
      </c>
      <c r="I19">
        <v>1</v>
      </c>
      <c r="J19">
        <v>1</v>
      </c>
      <c r="K19" t="str">
        <v>ASICS</v>
      </c>
      <c r="L19" t="str">
        <v>Forecast</v>
      </c>
      <c r="M19" t="str">
        <v>SPLITTING</v>
      </c>
      <c r="Q19">
        <v>46161</v>
      </c>
    </row>
    <row r="20">
      <c r="A20" t="str">
        <v>F-2026-04-254</v>
      </c>
      <c r="B20" t="str">
        <v>FPRO-260416-0039</v>
      </c>
      <c r="C20" t="str">
        <v>16/5</v>
      </c>
      <c r="D20" t="str">
        <v>Firm plan 16.4</v>
      </c>
      <c r="E20" t="str">
        <v>BDB-000113</v>
      </c>
      <c r="F20" t="str">
        <v>PVN-002465</v>
      </c>
      <c r="G20" t="str">
        <v>OrthoLite Regular-Hybrid SEEDPEARL/12-0703TPX Hybrid Flat Sheet 0.11D 25+/-4 Asker C 1.1M 2M 5mm</v>
      </c>
      <c r="H20">
        <v>2500</v>
      </c>
      <c r="I20">
        <v>90</v>
      </c>
      <c r="J20">
        <v>90</v>
      </c>
      <c r="K20" t="str">
        <v>ASICS</v>
      </c>
      <c r="L20" t="str">
        <v>Forecast</v>
      </c>
      <c r="M20" t="str">
        <v>DIE CUT</v>
      </c>
      <c r="Q20">
        <v>46161</v>
      </c>
    </row>
    <row r="22">
      <c r="A22" t="str">
        <v>F-2026-05-139</v>
      </c>
      <c r="B22" t="str">
        <v>RPRO-260512-0091</v>
      </c>
      <c r="C22" t="str">
        <v>16/5</v>
      </c>
      <c r="D22" t="str">
        <v>MPS 11.05</v>
      </c>
      <c r="E22" t="str">
        <v>BDB-000123</v>
      </c>
      <c r="F22" t="str">
        <v>PVN-003300</v>
      </c>
      <c r="G22" t="str">
        <v>OrthoLite Ultra-Hybrid SEEDPEARL/12-0703TPX Hybrid Flat Sheet 0.085D 25+/-4 Asker C 1.1M 2M 2mm</v>
      </c>
      <c r="H22">
        <v>490</v>
      </c>
      <c r="I22">
        <v>8</v>
      </c>
      <c r="J22">
        <v>8</v>
      </c>
      <c r="L22" t="str">
        <v>MPS</v>
      </c>
      <c r="M22" t="str">
        <v>SPLITTING</v>
      </c>
      <c r="N22">
        <v>8</v>
      </c>
      <c r="Q22">
        <v>46161</v>
      </c>
    </row>
    <row r="23">
      <c r="G23" t="str">
        <v>RELEASE ĐỢT 2 - Đơn phát sinh</v>
      </c>
    </row>
    <row r="24">
      <c r="H24">
        <v>52423</v>
      </c>
      <c r="I24">
        <v>1910</v>
      </c>
      <c r="J24">
        <v>1910</v>
      </c>
      <c r="N24">
        <v>1704</v>
      </c>
      <c r="O24">
        <v>-23</v>
      </c>
    </row>
    <row r="25">
      <c r="A25" t="str">
        <v>Máy 3</v>
      </c>
      <c r="G25" t="str">
        <v>11/5-16/5</v>
      </c>
    </row>
    <row r="26">
      <c r="A26" t="str">
        <v>F-2026-05-136-1</v>
      </c>
      <c r="B26" t="str">
        <v>RPRO-260512-0088</v>
      </c>
      <c r="C26" t="str">
        <v>16/5</v>
      </c>
      <c r="D26" t="str">
        <v>MPS 11.05</v>
      </c>
      <c r="E26" t="str">
        <v>BDB-000057</v>
      </c>
      <c r="F26" t="str">
        <v>PVN-000925</v>
      </c>
      <c r="G26" t="str">
        <v>OrthoLite Ultra YELLOW/13-0858TPX Flat Sheet 0.085D 25+/-4 Asker C 1.1M 2M 5mm</v>
      </c>
      <c r="H26">
        <v>24</v>
      </c>
      <c r="I26">
        <v>1</v>
      </c>
      <c r="J26">
        <v>1</v>
      </c>
      <c r="L26" t="str">
        <v>MPS</v>
      </c>
      <c r="M26" t="str">
        <v>SPLITTING</v>
      </c>
      <c r="N26">
        <v>1</v>
      </c>
      <c r="Q26">
        <v>46161</v>
      </c>
    </row>
    <row r="28">
      <c r="A28" t="str">
        <v>F-2026-05-118</v>
      </c>
      <c r="B28" t="str">
        <v>RPRO-260511-0338</v>
      </c>
      <c r="C28" t="str">
        <v>16/5</v>
      </c>
      <c r="D28" t="str">
        <v>MPS 08.5+09.5+10.5</v>
      </c>
      <c r="E28" t="str">
        <v>BDB-000353</v>
      </c>
      <c r="F28" t="str">
        <v>PVN-004350</v>
      </c>
      <c r="G28" t="str">
        <v>OrthoLite Regular SEEDPEARL/12-0703TPX Flat Sheet 0.13D 35+/-4 Asker C 1.1M 1.47M 13mm</v>
      </c>
      <c r="H28">
        <v>10</v>
      </c>
      <c r="I28">
        <v>1</v>
      </c>
      <c r="J28">
        <v>1</v>
      </c>
      <c r="L28" t="str">
        <v>MPS</v>
      </c>
      <c r="M28" t="str">
        <v>SPLITTING</v>
      </c>
      <c r="N28">
        <v>1</v>
      </c>
      <c r="Q28">
        <v>46161</v>
      </c>
    </row>
    <row r="30">
      <c r="A30" t="str">
        <v>F-2026-05-120</v>
      </c>
      <c r="B30" t="str">
        <v>RPRO-260511-0340</v>
      </c>
      <c r="C30" t="str">
        <v>16/5</v>
      </c>
      <c r="D30" t="str">
        <v>Pro.sche.report 08.5+09.5</v>
      </c>
      <c r="E30" t="str">
        <v>BDB-000011</v>
      </c>
      <c r="F30" t="str">
        <v>PVN-000121</v>
      </c>
      <c r="G30" t="str">
        <v>OrthoLite Regular AIR BLUE/16-4134TPX Flat Sheet 0.13D 35+/-4 Asker C 1.1M 2M 12mm</v>
      </c>
      <c r="H30">
        <v>121</v>
      </c>
      <c r="I30">
        <v>11</v>
      </c>
      <c r="J30">
        <v>11</v>
      </c>
      <c r="K30" t="str">
        <v>ASICS</v>
      </c>
      <c r="L30" t="str">
        <v>Pr.Sch.R</v>
      </c>
      <c r="M30" t="str">
        <v>MOLDED</v>
      </c>
      <c r="N30">
        <v>11</v>
      </c>
      <c r="Q30">
        <v>46161</v>
      </c>
    </row>
    <row r="32">
      <c r="A32" t="str">
        <v>F-2026-05-53</v>
      </c>
      <c r="B32" t="str">
        <v>FPRO-260504-0004</v>
      </c>
      <c r="C32" t="str">
        <v>16/5</v>
      </c>
      <c r="D32" t="str">
        <v>Firm plan 04.05</v>
      </c>
      <c r="E32" t="str">
        <v>BDB-000317</v>
      </c>
      <c r="F32" t="str">
        <v>PVN-004076</v>
      </c>
      <c r="G32" t="str">
        <v>OrthoLite Regular NEUTRAL GRAY/17-4402TPX Flat Sheet 0.13D 15+/-4 Asker C 1.1M 2M 24mm</v>
      </c>
      <c r="H32">
        <v>68</v>
      </c>
      <c r="I32">
        <v>14</v>
      </c>
      <c r="J32">
        <v>14</v>
      </c>
      <c r="K32" t="str">
        <v>ASICS</v>
      </c>
      <c r="L32" t="str">
        <v>Forecast</v>
      </c>
      <c r="M32" t="str">
        <v>MOLDED</v>
      </c>
      <c r="N32">
        <v>14</v>
      </c>
      <c r="Q32">
        <v>46161</v>
      </c>
    </row>
    <row r="34">
      <c r="A34" t="str">
        <v>F-2026-04-238</v>
      </c>
      <c r="B34" t="str">
        <v>FPRO-260416-0023</v>
      </c>
      <c r="C34" t="str">
        <v>16/5-18/5</v>
      </c>
      <c r="D34" t="str">
        <v>Firm plan 16.4</v>
      </c>
      <c r="E34" t="str">
        <v>BDB-000235</v>
      </c>
      <c r="F34" t="str">
        <v>PVN-003576</v>
      </c>
      <c r="G34" t="str">
        <v>OrthoLite X-55-Hybrid FOSSIL/17-0909TPX Hybrid Flat Sheet 0.16D 25+/-4 Asker C 1.1M 1.7M 12mm</v>
      </c>
      <c r="H34">
        <v>2000</v>
      </c>
      <c r="I34">
        <v>174</v>
      </c>
      <c r="J34">
        <v>174</v>
      </c>
      <c r="K34" t="str">
        <v>ASICS</v>
      </c>
      <c r="L34" t="str">
        <v>Forecast</v>
      </c>
      <c r="M34" t="str">
        <v>MOLDED</v>
      </c>
      <c r="N34">
        <v>174</v>
      </c>
      <c r="Q34">
        <v>46161</v>
      </c>
    </row>
    <row r="35">
      <c r="G35" t="str">
        <v>RELEASE ĐỢT 2 - Đơn phát sinh</v>
      </c>
    </row>
    <row r="36">
      <c r="H36">
        <v>25774</v>
      </c>
      <c r="I36">
        <v>780</v>
      </c>
      <c r="J36">
        <v>780</v>
      </c>
      <c r="N36">
        <v>966</v>
      </c>
      <c r="O36">
        <v>88</v>
      </c>
    </row>
  </sheetData>
  <autoFilter ref="A2:Q36"/>
  <mergeCells count="1">
    <mergeCell ref="A1:B1"/>
  </mergeCells>
  <pageMargins left="0" right="0" top="0" bottom="0.25" header="0" footer="0"/>
  <ignoredErrors>
    <ignoredError numberStoredAsText="1" sqref="A1:U855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S8726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21 - L1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18/5-23/5</v>
      </c>
    </row>
    <row r="4">
      <c r="A4" t="str">
        <v>F-2026-04-364</v>
      </c>
      <c r="B4" t="str">
        <v>RPRO-260429-0452</v>
      </c>
      <c r="C4" t="str">
        <v>18/5</v>
      </c>
      <c r="D4" t="str">
        <v>MPS 28.04</v>
      </c>
      <c r="E4" t="str">
        <v>BDB-000056</v>
      </c>
      <c r="F4" t="str">
        <v>PVN-003954</v>
      </c>
      <c r="G4" t="str">
        <v>OrthoLite X-40 SEEDPEARL/12-0703TPX Flat Sheet 0.16D 25+/-4 Asker C 1.1M 1.7M 4mm</v>
      </c>
      <c r="H4">
        <v>455</v>
      </c>
      <c r="I4">
        <v>13</v>
      </c>
      <c r="J4">
        <v>13</v>
      </c>
      <c r="L4" t="str">
        <v>MPS</v>
      </c>
      <c r="M4" t="str">
        <v>SPLITTING</v>
      </c>
      <c r="N4">
        <v>1</v>
      </c>
      <c r="O4" t="str">
        <v>Đơn cũ W20</v>
      </c>
      <c r="P4">
        <v>1</v>
      </c>
      <c r="Q4">
        <v>46158</v>
      </c>
    </row>
    <row r="6">
      <c r="A6" t="str">
        <v>F-2026-05-103</v>
      </c>
      <c r="B6" t="str">
        <v>RPRO-260508-0414</v>
      </c>
      <c r="C6" t="str">
        <v>18/5</v>
      </c>
      <c r="D6" t="str">
        <v>Pro.sche.report 07.5</v>
      </c>
      <c r="E6" t="str">
        <v>BDB-000117</v>
      </c>
      <c r="F6" t="str">
        <v>PVN-003234</v>
      </c>
      <c r="G6" t="str">
        <v>OrthoLite X-35-Hybrid SEEDPEARL/12-0703TPX Hybrid Flat Sheet 0.145D 25+/-4 Asker C 1.1M 2M 5.5mm</v>
      </c>
      <c r="H6">
        <v>250</v>
      </c>
      <c r="I6">
        <v>10</v>
      </c>
      <c r="J6">
        <v>10</v>
      </c>
      <c r="K6" t="str">
        <v>PUMA</v>
      </c>
      <c r="L6" t="str">
        <v>Pr.Sch.R</v>
      </c>
      <c r="M6" t="str">
        <v>MOLDED</v>
      </c>
      <c r="N6">
        <v>4</v>
      </c>
      <c r="O6" t="str">
        <v>Đơn cũ W20</v>
      </c>
      <c r="P6">
        <v>4</v>
      </c>
      <c r="Q6">
        <v>46162</v>
      </c>
    </row>
    <row r="8">
      <c r="A8" t="str">
        <v>F-2026-04-367</v>
      </c>
      <c r="B8" t="str">
        <v>RPRO-260429-0457</v>
      </c>
      <c r="C8" t="str">
        <v>18/5</v>
      </c>
      <c r="D8" t="str">
        <v>Pro.sche.report 28.04</v>
      </c>
      <c r="E8" t="str">
        <v>BDB-000248</v>
      </c>
      <c r="F8" t="str">
        <v>PVN-003931</v>
      </c>
      <c r="G8" t="str">
        <v>OrthoLite X-40-Hybrid RED/19-1764TPX Hybrid Flat Sheet 0.16D 25+/-4 Asker C 1.1M 1.7M 6.5mm</v>
      </c>
      <c r="H8">
        <v>84</v>
      </c>
      <c r="I8">
        <v>5</v>
      </c>
      <c r="J8">
        <v>5</v>
      </c>
      <c r="K8" t="str">
        <v>REDWING</v>
      </c>
      <c r="L8" t="str">
        <v>Pr.Sch.R</v>
      </c>
      <c r="M8" t="str">
        <v>MOLDED</v>
      </c>
      <c r="N8">
        <v>5</v>
      </c>
      <c r="O8" t="str">
        <v>Đơn cũ W20</v>
      </c>
      <c r="P8">
        <v>5</v>
      </c>
      <c r="Q8">
        <v>46158</v>
      </c>
    </row>
    <row r="10">
      <c r="A10" t="str">
        <v>F-2026-05-94</v>
      </c>
      <c r="B10" t="str">
        <v>RPRO-260507-0670</v>
      </c>
      <c r="C10" t="str">
        <v>18/5</v>
      </c>
      <c r="D10" t="str">
        <v>Pro.sche.report 06.05</v>
      </c>
      <c r="E10" t="str">
        <v>BDB-000340</v>
      </c>
      <c r="F10" t="str">
        <v>PVN-004177</v>
      </c>
      <c r="G10" t="str">
        <v>OrthoLite Float SEEDPEARL/12-0703TPX Flat Sheet 0.12D 21+/-4 Asker C 1.1M 2M 5.5mm</v>
      </c>
      <c r="H10">
        <v>25</v>
      </c>
      <c r="I10">
        <v>1</v>
      </c>
      <c r="J10">
        <v>1</v>
      </c>
      <c r="K10" t="str">
        <v>ON RUNNING</v>
      </c>
      <c r="L10" t="str">
        <v>Pr.Sch.R</v>
      </c>
      <c r="M10" t="str">
        <v>MOLDED</v>
      </c>
      <c r="N10">
        <v>1</v>
      </c>
      <c r="O10" t="str">
        <v>Đơn cũ W20</v>
      </c>
      <c r="P10">
        <v>1</v>
      </c>
      <c r="Q10">
        <v>46156</v>
      </c>
    </row>
    <row r="12">
      <c r="A12" t="str">
        <v>F-2026-05-108</v>
      </c>
      <c r="B12" t="str">
        <v>RPRO-260508-0419</v>
      </c>
      <c r="C12" t="str">
        <v>18/5</v>
      </c>
      <c r="D12" t="str">
        <v>Pro.sche.report 07.5</v>
      </c>
      <c r="E12" t="str">
        <v>BDB-000209</v>
      </c>
      <c r="F12" t="str">
        <v>PVN-003462</v>
      </c>
      <c r="G12" t="str">
        <v>OrthoLite HybridPlus-Recycled MINT GREEN/11-4805TPX Hybrid Flat Sheet 0.12D 25+/-4 Asker C 1.1M 2M 12mm</v>
      </c>
      <c r="H12">
        <v>1672</v>
      </c>
      <c r="I12">
        <v>153</v>
      </c>
      <c r="J12">
        <v>153</v>
      </c>
      <c r="K12" t="str">
        <v>BROOKS</v>
      </c>
      <c r="L12" t="str">
        <v>Pr.Sch.R</v>
      </c>
      <c r="M12" t="str">
        <v>MOLDED</v>
      </c>
      <c r="N12">
        <v>4</v>
      </c>
      <c r="O12" t="str">
        <v>Đơn cũ W20</v>
      </c>
      <c r="P12">
        <v>4</v>
      </c>
      <c r="Q12">
        <v>46162</v>
      </c>
    </row>
    <row r="14">
      <c r="A14" t="str">
        <v>F-2026-04-216</v>
      </c>
      <c r="B14" t="str">
        <v>FPRO-260415-0013</v>
      </c>
      <c r="C14" t="str">
        <v>18/5</v>
      </c>
      <c r="D14" t="str">
        <v>Firm plan 15.4</v>
      </c>
      <c r="E14" t="str">
        <v>BDB-000077</v>
      </c>
      <c r="F14" t="str">
        <v>PVN-004147</v>
      </c>
      <c r="G14" t="str">
        <v>OrthoLite X-25 SEEDPEARL/12-0703TPX Flat Sheet 0.12D 20+/-4 Asker C 1.1M 2M 5.5mm</v>
      </c>
      <c r="H14">
        <v>100</v>
      </c>
      <c r="I14">
        <v>4</v>
      </c>
      <c r="J14">
        <v>4</v>
      </c>
      <c r="K14" t="str">
        <v>ON RUNNING</v>
      </c>
      <c r="L14" t="str">
        <v>Forecast</v>
      </c>
      <c r="M14" t="str">
        <v>MOLDED</v>
      </c>
      <c r="N14">
        <v>4</v>
      </c>
      <c r="O14" t="str">
        <v>Đơn cũ W20</v>
      </c>
      <c r="P14">
        <v>4</v>
      </c>
      <c r="Q14">
        <v>46158</v>
      </c>
    </row>
    <row r="16">
      <c r="A16" t="str">
        <v>F-2026-04-130</v>
      </c>
      <c r="B16" t="str">
        <v>FPRO-260409-0004</v>
      </c>
      <c r="C16" t="str">
        <v>18/5</v>
      </c>
      <c r="D16" t="str">
        <v>Firm plan 09.04</v>
      </c>
      <c r="E16" t="str">
        <v>BDB-000332</v>
      </c>
      <c r="F16" t="str">
        <v>PVN-004146</v>
      </c>
      <c r="G16" t="str">
        <v>OrthoLite X-25 CASTLEROCK/18-0201TPX Flat Sheet 0.12D 20+/-4 Asker C 1.1M 2M 5.5mm</v>
      </c>
      <c r="H16">
        <v>700</v>
      </c>
      <c r="I16">
        <v>28</v>
      </c>
      <c r="J16">
        <v>28</v>
      </c>
      <c r="K16" t="str">
        <v>ON RUNNING</v>
      </c>
      <c r="L16" t="str">
        <v>Forecast</v>
      </c>
      <c r="M16" t="str">
        <v>MOLDED</v>
      </c>
      <c r="N16">
        <v>8</v>
      </c>
      <c r="O16" t="str">
        <v>Đơn cũ W20</v>
      </c>
      <c r="P16">
        <v>8</v>
      </c>
      <c r="Q16">
        <v>46158</v>
      </c>
    </row>
    <row r="18">
      <c r="A18" t="str">
        <v>F-2026-05-155</v>
      </c>
      <c r="B18" t="str">
        <v>RPRO-260512-0107</v>
      </c>
      <c r="C18" t="str">
        <v>18/5</v>
      </c>
      <c r="D18" t="str">
        <v>Pro.sche.report 11.05</v>
      </c>
      <c r="E18" t="str">
        <v>BDB-000334</v>
      </c>
      <c r="F18" t="str">
        <v>PVN-004327</v>
      </c>
      <c r="G18" t="str">
        <v>OrthoLite X-55-Hybrid FOSSIL/17-0909TPX Hybrid Flat Sheet 0.16D 25+/-4 Asker C 1.1M 2M 6mm</v>
      </c>
      <c r="H18">
        <v>23</v>
      </c>
      <c r="I18">
        <v>1</v>
      </c>
      <c r="J18">
        <v>1</v>
      </c>
      <c r="K18" t="str">
        <v>ASICS</v>
      </c>
      <c r="L18" t="str">
        <v>Pr.Sch.R</v>
      </c>
      <c r="M18" t="str">
        <v>MOLDED</v>
      </c>
      <c r="N18">
        <v>1</v>
      </c>
      <c r="O18" t="str">
        <v>Đơn cũ W20</v>
      </c>
      <c r="P18">
        <v>1</v>
      </c>
      <c r="Q18">
        <v>46161</v>
      </c>
    </row>
    <row r="20">
      <c r="A20" t="str">
        <v>F-2026-05-128</v>
      </c>
      <c r="B20" t="str">
        <v>RPRO-260511-0348</v>
      </c>
      <c r="C20" t="str">
        <v>18/5</v>
      </c>
      <c r="D20" t="str">
        <v>Pro.sche.report 08.5+09.5</v>
      </c>
      <c r="E20" t="str">
        <v>BDB-000321</v>
      </c>
      <c r="F20" t="str">
        <v>PVN-004092</v>
      </c>
      <c r="G20" t="str">
        <v>OrthoLite Float BLUE ATOLL/16-4535TPX Flat Sheet 0.12D 21+/-4 Asker C 1.1M 2M 14.5mm</v>
      </c>
      <c r="H20">
        <v>45</v>
      </c>
      <c r="I20">
        <v>5</v>
      </c>
      <c r="J20">
        <v>5</v>
      </c>
      <c r="K20" t="str">
        <v>LOWA</v>
      </c>
      <c r="L20" t="str">
        <v>Pr.Sch.R</v>
      </c>
      <c r="M20" t="str">
        <v>MOLDED</v>
      </c>
      <c r="N20">
        <v>5</v>
      </c>
      <c r="O20" t="str">
        <v>Đơn cũ W20</v>
      </c>
      <c r="P20">
        <v>5</v>
      </c>
      <c r="Q20">
        <v>46161</v>
      </c>
    </row>
    <row r="22">
      <c r="A22" t="str">
        <v>F-2026-05-192</v>
      </c>
      <c r="B22" t="str">
        <v>RPRO-260514-0450</v>
      </c>
      <c r="C22" t="str">
        <v>18/5</v>
      </c>
      <c r="D22" t="str">
        <v>Pro.sche.report 13.05</v>
      </c>
      <c r="E22" t="str">
        <v>BDB-000113</v>
      </c>
      <c r="F22" t="str">
        <v>PVN-003601</v>
      </c>
      <c r="G22" t="str">
        <v>OrthoLite Regular-Hybrid SEEDPEARL/12-0703TPX Hybrid Flat Sheet 0.11D 25+/-4 Asker C 1.1M 2M 20mm (SLT)</v>
      </c>
      <c r="H22">
        <v>6</v>
      </c>
      <c r="I22">
        <v>2</v>
      </c>
      <c r="J22">
        <v>2</v>
      </c>
      <c r="K22" t="str">
        <v>ASICS</v>
      </c>
      <c r="L22" t="str">
        <v>Pr.Sch.R</v>
      </c>
      <c r="M22" t="str">
        <v>MOLDED</v>
      </c>
      <c r="N22">
        <v>34</v>
      </c>
      <c r="O22" t="str">
        <v xml:space="preserve">W20 đổ dư 60 bun </v>
      </c>
      <c r="Q22">
        <v>46161</v>
      </c>
    </row>
    <row r="23">
      <c r="A23" t="str">
        <v>F-2026-05-193</v>
      </c>
      <c r="B23" t="str">
        <v>RPRO-260514-0451</v>
      </c>
      <c r="C23" t="str">
        <v>18/5</v>
      </c>
      <c r="D23" t="str">
        <v>Pro.sche.report 13.05</v>
      </c>
      <c r="E23" t="str">
        <v>BDB-000113</v>
      </c>
      <c r="F23" t="str">
        <v>PVN-002515</v>
      </c>
      <c r="G23" t="str">
        <v>OrthoLite Regular-Hybrid SEEDPEARL/12-0703TPX Hybrid Flat Sheet 0.11D 25+/-4 Asker C 1.1M 2M 11mm (SLT)</v>
      </c>
      <c r="H23">
        <v>24</v>
      </c>
      <c r="I23">
        <v>2</v>
      </c>
      <c r="J23">
        <v>2</v>
      </c>
      <c r="K23" t="str">
        <v>ASICS</v>
      </c>
      <c r="L23" t="str">
        <v>Pr.Sch.R</v>
      </c>
      <c r="M23" t="str">
        <v>MOLDED</v>
      </c>
      <c r="N23" t="str">
        <v>94-60</v>
      </c>
      <c r="Q23">
        <v>46161</v>
      </c>
    </row>
    <row r="24">
      <c r="A24" t="str">
        <v>F-2026-04-244</v>
      </c>
      <c r="B24" t="str">
        <v>FPRO-260416-0029</v>
      </c>
      <c r="C24" t="str">
        <v>18/5</v>
      </c>
      <c r="D24" t="str">
        <v>Firm plan 16.4</v>
      </c>
      <c r="E24" t="str">
        <v>BDB-000113</v>
      </c>
      <c r="F24" t="str">
        <v>PVN-002465</v>
      </c>
      <c r="G24" t="str">
        <v>OrthoLite Regular-Hybrid SEEDPEARL/12-0703TPX Hybrid Flat Sheet 0.11D 25+/-4 Asker C 1.1M 2M 5mm</v>
      </c>
      <c r="H24">
        <v>2500</v>
      </c>
      <c r="I24">
        <v>90</v>
      </c>
      <c r="J24">
        <v>90</v>
      </c>
      <c r="K24" t="str">
        <v>ASICS</v>
      </c>
      <c r="L24" t="str">
        <v>Forecast</v>
      </c>
      <c r="M24" t="str">
        <v>DIE CUT</v>
      </c>
      <c r="Q24">
        <v>46162</v>
      </c>
    </row>
    <row r="26">
      <c r="A26" t="str">
        <v>F-2026-03-433</v>
      </c>
      <c r="B26" t="str">
        <v>FPRO-260324-0004</v>
      </c>
      <c r="C26" t="str">
        <v>18/5</v>
      </c>
      <c r="D26" t="str">
        <v>Firm plan 24.3</v>
      </c>
      <c r="E26" t="str">
        <v>BDB-000162</v>
      </c>
      <c r="F26" t="str">
        <v>PVN-001566</v>
      </c>
      <c r="G26" t="str">
        <v>OrthoLite Ultra-Nike SEEDPEARL/12-0703TPX 0.085D 25+/-4 Asker C 1.1M 2M 4mm</v>
      </c>
      <c r="H26">
        <v>2000</v>
      </c>
      <c r="I26">
        <v>58</v>
      </c>
      <c r="J26">
        <v>58</v>
      </c>
      <c r="K26" t="str">
        <v>NIKE</v>
      </c>
      <c r="L26" t="str">
        <v>Forecast</v>
      </c>
      <c r="M26" t="str">
        <v>DIE CUT</v>
      </c>
      <c r="N26">
        <v>116</v>
      </c>
      <c r="Q26">
        <v>46161</v>
      </c>
    </row>
    <row r="27">
      <c r="A27" t="str">
        <v>F-2026-03-437</v>
      </c>
      <c r="B27" t="str">
        <v>FPRO-260324-0008</v>
      </c>
      <c r="C27" t="str">
        <v>18/5</v>
      </c>
      <c r="D27" t="str">
        <v>Firm plan 24.3</v>
      </c>
      <c r="E27" t="str">
        <v>BDB-000162</v>
      </c>
      <c r="F27" t="str">
        <v>PVN-001566</v>
      </c>
      <c r="G27" t="str">
        <v>OrthoLite Ultra-Nike SEEDPEARL/12-0703TPX 0.085D 25+/-4 Asker C 1.1M 2M 4mm</v>
      </c>
      <c r="H27">
        <v>2000</v>
      </c>
      <c r="I27">
        <v>58</v>
      </c>
      <c r="J27">
        <v>58</v>
      </c>
      <c r="K27" t="str">
        <v>NIKE</v>
      </c>
      <c r="L27" t="str">
        <v>Forecast</v>
      </c>
      <c r="M27" t="str">
        <v>DIE CUT</v>
      </c>
      <c r="Q27">
        <v>46163</v>
      </c>
    </row>
    <row r="29">
      <c r="A29" t="str">
        <v>F-2026-05-204</v>
      </c>
      <c r="B29" t="str">
        <v>RPRO-260515-0260</v>
      </c>
      <c r="C29" t="str">
        <v>18/5</v>
      </c>
      <c r="D29" t="str">
        <v>Pro.sche.report 14.05</v>
      </c>
      <c r="E29" t="str">
        <v>BDB-000282</v>
      </c>
      <c r="F29" t="str">
        <v>PVN-003834</v>
      </c>
      <c r="G29" t="str">
        <v>OrthoLite X-40-Hybrid SEEDPEARL/12-0703TPX Hybrid Flat Sheet 0.16D 35+/-4 Asker C 1.1M 2M 12.5mm</v>
      </c>
      <c r="H29">
        <v>10</v>
      </c>
      <c r="I29">
        <v>1</v>
      </c>
      <c r="J29">
        <v>1</v>
      </c>
      <c r="K29" t="str">
        <v>OBOZ</v>
      </c>
      <c r="L29" t="str">
        <v>Pr.Sch.R</v>
      </c>
      <c r="M29" t="str">
        <v>MOLDED</v>
      </c>
      <c r="N29">
        <v>1</v>
      </c>
      <c r="Q29">
        <v>46162</v>
      </c>
    </row>
    <row r="31">
      <c r="A31" t="str">
        <v>F-2026-03-387-1</v>
      </c>
      <c r="B31" t="str">
        <v>FPRO-260318-0031</v>
      </c>
      <c r="C31" t="str">
        <v>18/5-19/5</v>
      </c>
      <c r="D31" t="str">
        <v>Firm plan 18.3</v>
      </c>
      <c r="E31" t="str">
        <v>BDB-000234</v>
      </c>
      <c r="F31" t="str">
        <v>PVN-003581</v>
      </c>
      <c r="G31" t="str">
        <v>OrthoLite X-30-Hybrid BROWN SUGAR/17-1134TPX Hybrid Flat Sheet 0.13D 25+/-4 Asker C 1.1M 2M 12mm</v>
      </c>
      <c r="H31">
        <v>500</v>
      </c>
      <c r="I31">
        <v>44</v>
      </c>
      <c r="J31">
        <v>44</v>
      </c>
      <c r="K31" t="str">
        <v>ASICS</v>
      </c>
      <c r="L31" t="str">
        <v>Forecast</v>
      </c>
      <c r="M31" t="str">
        <v>MOLDED</v>
      </c>
      <c r="N31">
        <v>44</v>
      </c>
      <c r="Q31">
        <v>46162</v>
      </c>
    </row>
    <row r="33">
      <c r="A33" t="str">
        <v>F-2026-05-149</v>
      </c>
      <c r="B33" t="str">
        <v>RPRO-260512-0101</v>
      </c>
      <c r="C33" t="str">
        <v>19/5</v>
      </c>
      <c r="D33" t="str">
        <v>Pro.sche.report 11.05</v>
      </c>
      <c r="E33" t="str">
        <v>BDB-000052</v>
      </c>
      <c r="F33" t="str">
        <v>PVN-003603</v>
      </c>
      <c r="G33" t="str">
        <v>OrthoLite X-40 TRUE BLUE/19-4057TPX Flat Sheet 0.16D 25+/-4 Asker C 1.1M 1.47M 12mm</v>
      </c>
      <c r="H33">
        <v>58</v>
      </c>
      <c r="I33">
        <v>6</v>
      </c>
      <c r="J33">
        <v>6</v>
      </c>
      <c r="K33" t="str">
        <v>ASICS</v>
      </c>
      <c r="L33" t="str">
        <v>Pr.Sch.R</v>
      </c>
      <c r="M33" t="str">
        <v>MOLDED</v>
      </c>
      <c r="N33">
        <v>76</v>
      </c>
      <c r="Q33">
        <v>46162</v>
      </c>
    </row>
    <row r="34">
      <c r="A34" t="str">
        <v>F-2026-05-176</v>
      </c>
      <c r="B34" t="str">
        <v>RPRO-260513-0807</v>
      </c>
      <c r="C34" t="str">
        <v>19/5</v>
      </c>
      <c r="D34" t="str">
        <v>Pro.sche.report 12.5</v>
      </c>
      <c r="E34" t="str">
        <v>BDB-000052</v>
      </c>
      <c r="F34" t="str">
        <v>PVN-003603</v>
      </c>
      <c r="G34" t="str">
        <v>OrthoLite X-40 TRUE BLUE/19-4057TPX Flat Sheet 0.16D 25+/-4 Asker C 1.1M 1.47M 12mm</v>
      </c>
      <c r="H34">
        <v>396</v>
      </c>
      <c r="I34">
        <v>35</v>
      </c>
      <c r="J34">
        <v>35</v>
      </c>
      <c r="K34" t="str">
        <v>ASICS</v>
      </c>
      <c r="L34" t="str">
        <v>Pr.Sch.R</v>
      </c>
      <c r="M34" t="str">
        <v>MOLDED</v>
      </c>
      <c r="Q34">
        <v>46162</v>
      </c>
    </row>
    <row r="35">
      <c r="A35" t="str">
        <v>F-2026-05-148</v>
      </c>
      <c r="B35" t="str">
        <v>RPRO-260512-0100</v>
      </c>
      <c r="C35" t="str">
        <v>19/5</v>
      </c>
      <c r="D35" t="str">
        <v>Pro.sche.report 11.05</v>
      </c>
      <c r="E35" t="str">
        <v>BDB-000052</v>
      </c>
      <c r="F35" t="str">
        <v>PVN-003603</v>
      </c>
      <c r="G35" t="str">
        <v>OrthoLite X-40 TRUE BLUE/19-4057TPX Flat Sheet 0.16D 25+/-4 Asker C 1.1M 1.47M 12mm (393*slt)</v>
      </c>
      <c r="H35">
        <v>393</v>
      </c>
      <c r="I35">
        <v>35</v>
      </c>
      <c r="J35">
        <v>35</v>
      </c>
      <c r="K35" t="str">
        <v>ASICS</v>
      </c>
      <c r="L35" t="str">
        <v>Pr.Sch.R</v>
      </c>
      <c r="M35" t="str">
        <v>MOLDED</v>
      </c>
      <c r="Q35">
        <v>46163</v>
      </c>
    </row>
    <row r="37">
      <c r="A37" t="str">
        <v>F-2026-05-158</v>
      </c>
      <c r="B37" t="str">
        <v>RPRO-260512-0110</v>
      </c>
      <c r="C37" t="str">
        <v>19/5</v>
      </c>
      <c r="D37" t="str">
        <v>Pro.sche.report 11.05</v>
      </c>
      <c r="E37" t="str">
        <v>BDB-000212</v>
      </c>
      <c r="F37" t="str">
        <v>PVN-003458</v>
      </c>
      <c r="G37" t="str">
        <v>OrthoLite X-25-Hybrid SEEDPEARL/12-0703TPX Hybrid Flat Sheet 0.12D 20+/-4 Asker C 1.1M 2M 4mm</v>
      </c>
      <c r="H37">
        <v>35</v>
      </c>
      <c r="I37">
        <v>1</v>
      </c>
      <c r="J37">
        <v>1</v>
      </c>
      <c r="K37" t="str">
        <v>ON RUNNING</v>
      </c>
      <c r="L37" t="str">
        <v>Pr.Sch.R</v>
      </c>
      <c r="M37" t="str">
        <v>DIE CUT</v>
      </c>
      <c r="N37">
        <v>58</v>
      </c>
      <c r="Q37">
        <v>46162</v>
      </c>
    </row>
    <row r="38">
      <c r="A38" t="str">
        <v>F-2026-05-172</v>
      </c>
      <c r="B38" t="str">
        <v>RPRO-260513-0803</v>
      </c>
      <c r="C38" t="str">
        <v>19/5</v>
      </c>
      <c r="D38" t="str">
        <v>Pro.sche.report 12.5</v>
      </c>
      <c r="E38" t="str">
        <v>BDB-000212</v>
      </c>
      <c r="F38" t="str">
        <v>PVN-003530</v>
      </c>
      <c r="G38" t="str">
        <v>OrthoLite X-25-Hybrid SEEDPEARL/12-0703TPX Hybrid Flat Sheet 0.12D 20+/-4 Asker C 1.1M 2M 8.2mm</v>
      </c>
      <c r="H38">
        <v>969</v>
      </c>
      <c r="I38">
        <v>57</v>
      </c>
      <c r="J38">
        <v>57</v>
      </c>
      <c r="K38" t="str">
        <v>BABOLAT</v>
      </c>
      <c r="L38" t="str">
        <v>Pr.Sch.R</v>
      </c>
      <c r="M38" t="str">
        <v>MOLDED</v>
      </c>
      <c r="Q38">
        <v>46167</v>
      </c>
    </row>
    <row r="40">
      <c r="A40" t="str">
        <v>F-2026-03-448</v>
      </c>
      <c r="B40" t="str">
        <v>FPRO-260324-0020</v>
      </c>
      <c r="C40" t="str">
        <v>19/5-20/5</v>
      </c>
      <c r="D40" t="str">
        <v>Firm plan 24.3</v>
      </c>
      <c r="E40" t="str">
        <v>BDB-000125</v>
      </c>
      <c r="F40" t="str">
        <v>PVN-002413</v>
      </c>
      <c r="G40" t="str">
        <v>OrthoLite Regular-Nike AIR BLUE/16-4134TPX 0.11D 25+/-4 Asker C 1.1M 2M 4.2mm</v>
      </c>
      <c r="H40">
        <v>2500</v>
      </c>
      <c r="I40">
        <v>76</v>
      </c>
      <c r="J40">
        <v>76</v>
      </c>
      <c r="K40" t="str">
        <v>NIKE</v>
      </c>
      <c r="L40" t="str">
        <v>Forecast</v>
      </c>
      <c r="M40" t="str">
        <v>DIE CUT</v>
      </c>
      <c r="N40">
        <v>136</v>
      </c>
      <c r="O40" t="str">
        <v xml:space="preserve">W20 đổ dư 16 bun </v>
      </c>
      <c r="P40" t="str">
        <v>gấp</v>
      </c>
      <c r="Q40">
        <v>46163</v>
      </c>
    </row>
    <row r="41">
      <c r="A41" t="str">
        <v>F-2026-03-446</v>
      </c>
      <c r="B41" t="str">
        <v>FPRO-260324-0018</v>
      </c>
      <c r="C41" t="str">
        <v>20/5</v>
      </c>
      <c r="D41" t="str">
        <v>Firm plan 24.3</v>
      </c>
      <c r="E41" t="str">
        <v>BDB-000125</v>
      </c>
      <c r="F41" t="str">
        <v>PVN-002413</v>
      </c>
      <c r="G41" t="str">
        <v>OrthoLite Regular-Nike AIR BLUE/16-4134TPX 0.11D 25+/-4 Asker C 1.1M 2M 4.2mm</v>
      </c>
      <c r="H41">
        <v>2500</v>
      </c>
      <c r="I41">
        <v>76</v>
      </c>
      <c r="J41">
        <v>76</v>
      </c>
      <c r="K41" t="str">
        <v>NIKE</v>
      </c>
      <c r="L41" t="str">
        <v>Forecast</v>
      </c>
      <c r="M41" t="str">
        <v>DIE CUT</v>
      </c>
      <c r="N41" t="str">
        <v>152-16</v>
      </c>
      <c r="Q41">
        <v>46165</v>
      </c>
    </row>
    <row r="43">
      <c r="A43" t="str">
        <v>F-2026-04-206</v>
      </c>
      <c r="B43" t="str">
        <v>FPRO-260415-0003</v>
      </c>
      <c r="C43" t="str">
        <v>20/5</v>
      </c>
      <c r="D43" t="str">
        <v>Firm plan 15.4</v>
      </c>
      <c r="E43" t="str">
        <v>BDB-000339</v>
      </c>
      <c r="F43" t="str">
        <v>PVN-004178</v>
      </c>
      <c r="G43" t="str">
        <v>OrthoLite Float NEUTRAL GRAY/17-4402TPX Flat Sheet 0.12D 21+/-4 Asker C 1.1M 2M 5.5mm</v>
      </c>
      <c r="H43">
        <v>1000</v>
      </c>
      <c r="I43">
        <v>40</v>
      </c>
      <c r="J43">
        <v>40</v>
      </c>
      <c r="K43" t="str">
        <v>PUMA</v>
      </c>
      <c r="L43" t="str">
        <v>Forecast</v>
      </c>
      <c r="M43" t="str">
        <v>MOLDED</v>
      </c>
      <c r="N43">
        <v>41</v>
      </c>
      <c r="Q43">
        <v>46163</v>
      </c>
    </row>
    <row r="44">
      <c r="A44" t="str">
        <v>F-2026-05-122</v>
      </c>
      <c r="B44" t="str">
        <v>RPRO-260511-0342</v>
      </c>
      <c r="C44" t="str">
        <v>20/5</v>
      </c>
      <c r="D44" t="str">
        <v>Pro.sche.report 08.5+09.5</v>
      </c>
      <c r="E44" t="str">
        <v>BDB-000339</v>
      </c>
      <c r="F44" t="str">
        <v>PVN-004178</v>
      </c>
      <c r="G44" t="str">
        <v>OrthoLite Float NEUTRAL GRAY/17-4402TPX Flat Sheet 0.12D 21+/-4 Asker C 1.1M 2M 5.5mm</v>
      </c>
      <c r="H44">
        <v>25</v>
      </c>
      <c r="I44">
        <v>1</v>
      </c>
      <c r="J44">
        <v>1</v>
      </c>
      <c r="K44" t="str">
        <v>PUMA</v>
      </c>
      <c r="L44" t="str">
        <v>Pr.Sch.R</v>
      </c>
      <c r="M44" t="str">
        <v>MOLDED</v>
      </c>
      <c r="Q44">
        <v>46165</v>
      </c>
    </row>
    <row r="46">
      <c r="A46" t="str">
        <v>F-2026-05-146</v>
      </c>
      <c r="B46" t="str">
        <v>RPRO-260512-0098</v>
      </c>
      <c r="C46" t="str">
        <v>20/5</v>
      </c>
      <c r="D46" t="str">
        <v>Pro.sche.report 11.05</v>
      </c>
      <c r="E46" t="str">
        <v>BDB-000051</v>
      </c>
      <c r="F46" t="str">
        <v>PVN-003319</v>
      </c>
      <c r="G46" t="str">
        <v>OrthoLite X-40 TRUE BLUE/19-4057TPX Flat Sheet 0.16D 25+/-4 Asker C 1.1M 1.7M 12mm (82*slt)</v>
      </c>
      <c r="H46">
        <v>88</v>
      </c>
      <c r="I46">
        <v>8</v>
      </c>
      <c r="J46">
        <v>8</v>
      </c>
      <c r="K46" t="str">
        <v>ASICS</v>
      </c>
      <c r="L46" t="str">
        <v>Pr.Sch.R</v>
      </c>
      <c r="M46" t="str">
        <v>MOLDED</v>
      </c>
      <c r="N46">
        <v>40</v>
      </c>
      <c r="Q46">
        <v>46163</v>
      </c>
    </row>
    <row r="47">
      <c r="A47" t="str">
        <v>F-2026-05-174</v>
      </c>
      <c r="B47" t="str">
        <v>RPRO-260513-0805</v>
      </c>
      <c r="C47" t="str">
        <v>20/5</v>
      </c>
      <c r="D47" t="str">
        <v>Pro.sche.report 12.5</v>
      </c>
      <c r="E47" t="str">
        <v>BDB-000051</v>
      </c>
      <c r="F47" t="str">
        <v>PVN-003319</v>
      </c>
      <c r="G47" t="str">
        <v>OrthoLite X-40 TRUE BLUE/19-4057TPX Flat Sheet 0.16D 25+/-4 Asker C 1.1M 1.7M 12mm</v>
      </c>
      <c r="H47">
        <v>77</v>
      </c>
      <c r="I47">
        <v>7</v>
      </c>
      <c r="J47">
        <v>7</v>
      </c>
      <c r="K47" t="str">
        <v>ASICS</v>
      </c>
      <c r="L47" t="str">
        <v>Pr.Sch.R</v>
      </c>
      <c r="M47" t="str">
        <v>MOLDED</v>
      </c>
      <c r="Q47">
        <v>46163</v>
      </c>
    </row>
    <row r="48">
      <c r="A48" t="str">
        <v>F-2026-05-147</v>
      </c>
      <c r="B48" t="str">
        <v>RPRO-260512-0099</v>
      </c>
      <c r="C48" t="str">
        <v>20/5</v>
      </c>
      <c r="D48" t="str">
        <v>Pro.sche.report 11.05</v>
      </c>
      <c r="E48" t="str">
        <v>BDB-000051</v>
      </c>
      <c r="F48" t="str">
        <v>PVN-003319</v>
      </c>
      <c r="G48" t="str">
        <v>OrthoLite X-40 TRUE BLUE/19-4057TPX Flat Sheet 0.16D 25+/-4 Asker C 1.1M 1.7M 12mm</v>
      </c>
      <c r="H48">
        <v>270</v>
      </c>
      <c r="I48">
        <v>24</v>
      </c>
      <c r="J48">
        <v>24</v>
      </c>
      <c r="K48" t="str">
        <v>ASICS</v>
      </c>
      <c r="L48" t="str">
        <v>Pr.Sch.R</v>
      </c>
      <c r="M48" t="str">
        <v>MOLDED</v>
      </c>
      <c r="Q48">
        <v>46163</v>
      </c>
    </row>
    <row r="49">
      <c r="A49" t="str">
        <v>F-2026-05-141</v>
      </c>
      <c r="B49" t="str">
        <v>RPRO-260512-0093</v>
      </c>
      <c r="C49" t="str">
        <v>20/5</v>
      </c>
      <c r="D49" t="str">
        <v>MPS 11.05</v>
      </c>
      <c r="E49" t="str">
        <v>BDB-000051</v>
      </c>
      <c r="F49" t="str">
        <v>PVN-003543</v>
      </c>
      <c r="G49" t="str">
        <v>OrthoLite X-40 TRUE BLUE/19-4057TPX Flat Sheet 0.16D 25+/-4 Asker C 1.1M 1.7M 4mm</v>
      </c>
      <c r="H49">
        <v>35</v>
      </c>
      <c r="I49">
        <v>1</v>
      </c>
      <c r="J49">
        <v>1</v>
      </c>
      <c r="L49" t="str">
        <v>MPS</v>
      </c>
      <c r="M49" t="str">
        <v>SPLITTING</v>
      </c>
      <c r="Q49">
        <v>46165</v>
      </c>
    </row>
    <row r="51">
      <c r="A51" t="str">
        <v>F-2026-04-282</v>
      </c>
      <c r="B51" t="str">
        <v>RPRO-260420-0511</v>
      </c>
      <c r="C51" t="str">
        <v>20/5</v>
      </c>
      <c r="D51" t="str">
        <v>Pro.sche.report 17.04+18.04+19.04</v>
      </c>
      <c r="E51" t="str">
        <v>BDB-000157</v>
      </c>
      <c r="F51" t="str">
        <v>PVN-003244</v>
      </c>
      <c r="G51" t="str">
        <v>OrthoLite X-35-Hybrid-Nike SEEDPEARL/12-0703TPX Hybrid Flat Sheet 0.145D 25+/-4 Asker C 1.1M 2M 5.2mm (SLT)</v>
      </c>
      <c r="H51">
        <v>286</v>
      </c>
      <c r="I51">
        <v>11</v>
      </c>
      <c r="J51">
        <v>11</v>
      </c>
      <c r="K51" t="str">
        <v>NIKE</v>
      </c>
      <c r="L51" t="str">
        <v>Pr.Sch.R</v>
      </c>
      <c r="M51" t="str">
        <v>MOLDED</v>
      </c>
      <c r="N51">
        <v>15</v>
      </c>
      <c r="Q51">
        <v>46163</v>
      </c>
    </row>
    <row r="52">
      <c r="A52" t="str">
        <v>F-2026-05-177</v>
      </c>
      <c r="B52" t="str">
        <v>RPRO-260513-0808</v>
      </c>
      <c r="C52" t="str">
        <v>20/5</v>
      </c>
      <c r="D52" t="str">
        <v>Pro.sche.report 12.5</v>
      </c>
      <c r="E52" t="str">
        <v>BDB-000157</v>
      </c>
      <c r="F52" t="str">
        <v>PVN-003244</v>
      </c>
      <c r="G52" t="str">
        <v>OrthoLite X-35-Hybrid-Nike SEEDPEARL/12-0703TPX Hybrid Flat Sheet 0.145D 25+/-4 Asker C 1.1M 2M 5.2mm</v>
      </c>
      <c r="H52">
        <v>78</v>
      </c>
      <c r="I52">
        <v>3</v>
      </c>
      <c r="J52">
        <v>3</v>
      </c>
      <c r="K52" t="str">
        <v>NIKE</v>
      </c>
      <c r="L52" t="str">
        <v>Pr.Sch.R</v>
      </c>
      <c r="M52" t="str">
        <v>MOLDED</v>
      </c>
      <c r="Q52">
        <v>46163</v>
      </c>
    </row>
    <row r="53">
      <c r="A53" t="str">
        <v>F-2026-05-178</v>
      </c>
      <c r="B53" t="str">
        <v>RPRO-260513-0809</v>
      </c>
      <c r="C53" t="str">
        <v>20/5</v>
      </c>
      <c r="D53" t="str">
        <v>Pro.sche.report 12.5</v>
      </c>
      <c r="E53" t="str">
        <v>BDB-000157</v>
      </c>
      <c r="F53" t="str">
        <v>PVN-003642</v>
      </c>
      <c r="G53" t="str">
        <v>OrthoLite X-35-Hybrid-Nike SEEDPEARL/12-0703TPX Hybrid Flat Sheet 0.145D 25+/-4 Asker C 1.1M 2M 6.2mm</v>
      </c>
      <c r="H53">
        <v>22</v>
      </c>
      <c r="I53">
        <v>1</v>
      </c>
      <c r="J53">
        <v>1</v>
      </c>
      <c r="K53" t="str">
        <v>NIKE</v>
      </c>
      <c r="L53" t="str">
        <v>Pr.Sch.R</v>
      </c>
      <c r="M53" t="str">
        <v>MOLDED</v>
      </c>
      <c r="Q53">
        <v>46167</v>
      </c>
    </row>
    <row r="54">
      <c r="G54" t="str">
        <v>xxxxxxxxxxxxxxxxxxxxxxxxxxxxxxxxxxxxxxxxx</v>
      </c>
    </row>
    <row r="55">
      <c r="A55" t="str">
        <v>F-2026-05-87</v>
      </c>
      <c r="B55" t="str">
        <v>RPRO-260507-0663</v>
      </c>
      <c r="C55" t="str">
        <v>20/5-21/5</v>
      </c>
      <c r="D55" t="str">
        <v>Pro.sche.report 06.05</v>
      </c>
      <c r="E55" t="str">
        <v>BDB-000129</v>
      </c>
      <c r="F55" t="str">
        <v>PVN-001550</v>
      </c>
      <c r="G55" t="str">
        <v>OrthoLite Regular-Nike AIR BLUE/16-4134TPX Flat Sheet 0.11D 25+/-4 Asker C 1.1M 1.7M 2mm</v>
      </c>
      <c r="H55">
        <v>70</v>
      </c>
      <c r="I55">
        <v>2</v>
      </c>
      <c r="J55">
        <v>2</v>
      </c>
      <c r="K55" t="str">
        <v>NIKE</v>
      </c>
      <c r="L55" t="str">
        <v>Pr.Sch.R</v>
      </c>
      <c r="M55" t="str">
        <v>LAMINATING</v>
      </c>
      <c r="N55">
        <v>128</v>
      </c>
      <c r="P55" t="str">
        <v>gấp</v>
      </c>
      <c r="Q55">
        <v>46164</v>
      </c>
    </row>
    <row r="56">
      <c r="A56" t="str">
        <v>F-2026-05-102</v>
      </c>
      <c r="B56" t="str">
        <v>RPRO-260508-0413</v>
      </c>
      <c r="C56" t="str">
        <v>21/5</v>
      </c>
      <c r="D56" t="str">
        <v>Pro.sche.report 07.5</v>
      </c>
      <c r="E56" t="str">
        <v>BDB-000129</v>
      </c>
      <c r="F56" t="str">
        <v>PVN-001550</v>
      </c>
      <c r="G56" t="str">
        <v>OrthoLite Regular-Nike AIR BLUE/16-4134TPX Flat Sheet 0.11D 25+/-4 Asker C 1.1M 1.7M 2mm</v>
      </c>
      <c r="H56">
        <v>140</v>
      </c>
      <c r="I56">
        <v>3</v>
      </c>
      <c r="J56">
        <v>3</v>
      </c>
      <c r="K56" t="str">
        <v>NIKE</v>
      </c>
      <c r="L56" t="str">
        <v>Pr.Sch.R</v>
      </c>
      <c r="M56" t="str">
        <v>LAMINATING</v>
      </c>
      <c r="P56" t="str">
        <v>gấp</v>
      </c>
      <c r="Q56">
        <v>46164</v>
      </c>
    </row>
    <row r="57">
      <c r="A57" t="str">
        <v>F-2026-05-119</v>
      </c>
      <c r="B57" t="str">
        <v>RPRO-260511-0339</v>
      </c>
      <c r="C57" t="str">
        <v>21/5</v>
      </c>
      <c r="D57" t="str">
        <v>Pro.sche.report 08.5+09.5</v>
      </c>
      <c r="E57" t="str">
        <v>BDB-000129</v>
      </c>
      <c r="F57" t="str">
        <v>PVN-001550</v>
      </c>
      <c r="G57" t="str">
        <v>OrthoLite Regular-Nike AIR BLUE/16-4134TPX Flat Sheet 0.11D 25+/-4 Asker C 1.1M 1.7M 2mm</v>
      </c>
      <c r="H57">
        <v>490</v>
      </c>
      <c r="I57">
        <v>8</v>
      </c>
      <c r="J57">
        <v>8</v>
      </c>
      <c r="K57" t="str">
        <v>NIKE</v>
      </c>
      <c r="L57" t="str">
        <v>Pr.Sch.R</v>
      </c>
      <c r="M57" t="str">
        <v>LAMINATING</v>
      </c>
      <c r="P57" t="str">
        <v>gấp</v>
      </c>
      <c r="Q57">
        <v>46164</v>
      </c>
    </row>
    <row r="58">
      <c r="A58" t="str">
        <v>F-2026-04-390</v>
      </c>
      <c r="B58" t="str">
        <v>FPRO-260429-0003</v>
      </c>
      <c r="C58" t="str">
        <v>21/5</v>
      </c>
      <c r="D58" t="str">
        <v>Firm plan 29.04</v>
      </c>
      <c r="E58" t="str">
        <v>BDB-000129</v>
      </c>
      <c r="F58" t="str">
        <v>PVN-001550</v>
      </c>
      <c r="G58" t="str">
        <v>OrthoLite Regular-Nike AIR BLUE/16-4134TPX 0.11D 25+/-4 Asker C 1.1M 1.7M 2mm</v>
      </c>
      <c r="H58">
        <v>2000</v>
      </c>
      <c r="I58">
        <v>29</v>
      </c>
      <c r="J58">
        <v>29</v>
      </c>
      <c r="K58" t="str">
        <v>NIKE</v>
      </c>
      <c r="L58" t="str">
        <v>Forecast</v>
      </c>
      <c r="M58" t="str">
        <v>DIE CUT</v>
      </c>
      <c r="P58" t="str">
        <v>gấp</v>
      </c>
      <c r="Q58">
        <v>46164</v>
      </c>
    </row>
    <row r="59">
      <c r="A59" t="str">
        <v>F-2026-05-143</v>
      </c>
      <c r="B59" t="str">
        <v>RPRO-260512-0095</v>
      </c>
      <c r="C59" t="str">
        <v>21/5</v>
      </c>
      <c r="D59" t="str">
        <v>Pro.sche.report 11.05</v>
      </c>
      <c r="E59" t="str">
        <v>BDB-000129</v>
      </c>
      <c r="F59" t="str">
        <v>PVN-001550</v>
      </c>
      <c r="G59" t="str">
        <v>OrthoLite Regular-Nike AIR BLUE/16-4134TPX Flat Sheet 0.11D 25+/-4 Asker C 1.1M 1.7M 2mm</v>
      </c>
      <c r="H59">
        <v>140</v>
      </c>
      <c r="I59">
        <v>3</v>
      </c>
      <c r="J59">
        <v>3</v>
      </c>
      <c r="K59" t="str">
        <v>NIKE</v>
      </c>
      <c r="L59" t="str">
        <v>Pr.Sch.R</v>
      </c>
      <c r="M59" t="str">
        <v>LAMINATING</v>
      </c>
      <c r="Q59">
        <v>46165</v>
      </c>
    </row>
    <row r="60">
      <c r="A60" t="str">
        <v>F-2026-05-169</v>
      </c>
      <c r="B60" t="str">
        <v>RPRO-260513-0800</v>
      </c>
      <c r="C60" t="str">
        <v>21/5</v>
      </c>
      <c r="D60" t="str">
        <v>Pro.sche.report 12.5</v>
      </c>
      <c r="E60" t="str">
        <v>BDB-000129</v>
      </c>
      <c r="F60" t="str">
        <v>PVN-001550</v>
      </c>
      <c r="G60" t="str">
        <v>OrthoLite Regular-Nike AIR BLUE/16-4134TPX Flat Sheet 0.11D 25+/-4 Asker C 1.1M 1.7M 2mm</v>
      </c>
      <c r="H60">
        <v>3850</v>
      </c>
      <c r="I60">
        <v>56</v>
      </c>
      <c r="J60">
        <v>56</v>
      </c>
      <c r="K60" t="str">
        <v>NIKE</v>
      </c>
      <c r="L60" t="str">
        <v>Pr.Sch.R</v>
      </c>
      <c r="M60" t="str">
        <v>LAMINATING</v>
      </c>
      <c r="Q60">
        <v>46167</v>
      </c>
    </row>
    <row r="61">
      <c r="A61" t="str">
        <v>F-2026-04-335</v>
      </c>
      <c r="B61" t="str">
        <v>RPRO-260428-1291</v>
      </c>
      <c r="C61" t="str">
        <v>21/5</v>
      </c>
      <c r="D61" t="str">
        <v>Pro.sche.report 24.4+25.4</v>
      </c>
      <c r="E61" t="str">
        <v>BDB-000129</v>
      </c>
      <c r="F61" t="str">
        <v>PVN-001550</v>
      </c>
      <c r="G61" t="str">
        <v>OrthoLite Regular-Nike AIR BLUE/16-4134TPX Flat Sheet 0.11D 25+/-4 Asker C 1.1M 1.7M 2mm</v>
      </c>
      <c r="H61">
        <v>1470</v>
      </c>
      <c r="I61">
        <v>22</v>
      </c>
      <c r="J61">
        <v>22</v>
      </c>
      <c r="K61" t="str">
        <v>NIKE</v>
      </c>
      <c r="L61" t="str">
        <v>Pr.Sch.R</v>
      </c>
      <c r="M61" t="str">
        <v>LAMINATING</v>
      </c>
      <c r="Q61">
        <v>46168</v>
      </c>
    </row>
    <row r="62">
      <c r="A62" t="str">
        <v>F-2026-05-198</v>
      </c>
      <c r="B62" t="str">
        <v>RPRO-260515-0254</v>
      </c>
      <c r="C62" t="str">
        <v>21/5</v>
      </c>
      <c r="D62" t="str">
        <v>Pro.sche.report 14.05</v>
      </c>
      <c r="E62" t="str">
        <v>BDB-000129</v>
      </c>
      <c r="F62" t="str">
        <v>PVN-001550</v>
      </c>
      <c r="G62" t="str">
        <v>OrthoLite Regular-Nike AIR BLUE/16-4134TPX Flat Sheet 0.11D 25+/-4 Asker C 1.1M 1.7M 2mm</v>
      </c>
      <c r="H62">
        <v>280</v>
      </c>
      <c r="I62">
        <v>5</v>
      </c>
      <c r="J62">
        <v>5</v>
      </c>
      <c r="K62" t="str">
        <v>NIKE</v>
      </c>
      <c r="L62" t="str">
        <v>Pr.Sch.R</v>
      </c>
      <c r="M62" t="str">
        <v>LAMINATING</v>
      </c>
      <c r="Q62">
        <v>46169</v>
      </c>
    </row>
    <row r="64">
      <c r="A64" t="str">
        <v>F-2026-05-156</v>
      </c>
      <c r="B64" t="str">
        <v>RPRO-260512-0108</v>
      </c>
      <c r="C64" t="str">
        <v>21/5</v>
      </c>
      <c r="D64" t="str">
        <v>Pro.sche.report 11.05</v>
      </c>
      <c r="E64" t="str">
        <v>BDB-000054</v>
      </c>
      <c r="F64" t="str">
        <v>PVN-003895</v>
      </c>
      <c r="G64" t="str">
        <v>OrthoLite X-40 RED/19-1764TPX Flat Sheet 0.16D 25+/-4 Asker C 1.1M 1.7M 5mm</v>
      </c>
      <c r="H64">
        <v>112</v>
      </c>
      <c r="I64">
        <v>4</v>
      </c>
      <c r="J64">
        <v>4</v>
      </c>
      <c r="K64" t="str">
        <v>PAYNTR</v>
      </c>
      <c r="L64" t="str">
        <v>Pr.Sch.R</v>
      </c>
      <c r="M64" t="str">
        <v>MOLDED</v>
      </c>
      <c r="N64">
        <v>4</v>
      </c>
      <c r="Q64">
        <v>46165</v>
      </c>
    </row>
    <row r="66">
      <c r="A66" t="str">
        <v>F-2026-05-162</v>
      </c>
      <c r="B66" t="str">
        <v>RPRO-260512-0114</v>
      </c>
      <c r="C66" t="str">
        <v>21/5</v>
      </c>
      <c r="D66" t="str">
        <v>Pro.sche.report 11.05</v>
      </c>
      <c r="E66" t="str">
        <v>BDB-000352</v>
      </c>
      <c r="F66" t="str">
        <v>PVN-004215</v>
      </c>
      <c r="G66" t="str">
        <v>OrthoLite Float-Hybrid SEEDPEARL/12-0703TPX Hybrid Flat Sheet 0.12D 21+/-4 Asker C 1.1M 2M 7.5mm</v>
      </c>
      <c r="H66">
        <v>72</v>
      </c>
      <c r="I66">
        <v>5</v>
      </c>
      <c r="J66">
        <v>5</v>
      </c>
      <c r="K66" t="str">
        <v>VIOLET</v>
      </c>
      <c r="L66" t="str">
        <v>Pr.Sch.R</v>
      </c>
      <c r="M66" t="str">
        <v>MOLDED</v>
      </c>
      <c r="N66">
        <v>5</v>
      </c>
      <c r="Q66">
        <v>46165</v>
      </c>
    </row>
    <row r="68">
      <c r="A68" t="str">
        <v>F-2026-05-150</v>
      </c>
      <c r="B68" t="str">
        <v>RPRO-260512-0102</v>
      </c>
      <c r="C68" t="str">
        <v>21/5</v>
      </c>
      <c r="D68" t="str">
        <v>Pro.sche.report 11.05</v>
      </c>
      <c r="E68" t="str">
        <v>BDB-000308</v>
      </c>
      <c r="F68" t="str">
        <v>PVN-004018</v>
      </c>
      <c r="G68" t="str">
        <v>OrthoLite X-30 CASTLEROCK/18-0201TPX Flat Sheet 0.13D 25+/-4 Asker C 1.1M 1.47M 12mm</v>
      </c>
      <c r="H68">
        <v>66</v>
      </c>
      <c r="I68">
        <v>6</v>
      </c>
      <c r="J68">
        <v>6</v>
      </c>
      <c r="K68" t="str">
        <v>ASICS</v>
      </c>
      <c r="L68" t="str">
        <v>Pr.Sch.R</v>
      </c>
      <c r="M68" t="str">
        <v>MOLDED</v>
      </c>
      <c r="N68">
        <v>6</v>
      </c>
      <c r="Q68">
        <v>46165</v>
      </c>
    </row>
    <row r="70">
      <c r="A70" t="str">
        <v>F-2026-05-132</v>
      </c>
      <c r="B70" t="str">
        <v>RPRO-260511-0352</v>
      </c>
      <c r="C70" t="str">
        <v>21/5</v>
      </c>
      <c r="D70" t="str">
        <v>Pro.sche.report 08.5+09.5</v>
      </c>
      <c r="E70" t="str">
        <v>BDB-000324</v>
      </c>
      <c r="F70" t="str">
        <v>PVN-004110</v>
      </c>
      <c r="G70" t="str">
        <v>OrthoLite X-40 TRUE BLUE/19-4057TPX Flat Sheet 0.16D 25+/-4 Asker C 1.1M 2M 14.5mm</v>
      </c>
      <c r="H70">
        <v>72</v>
      </c>
      <c r="I70">
        <v>8</v>
      </c>
      <c r="J70">
        <v>8</v>
      </c>
      <c r="K70" t="str">
        <v>LOWA</v>
      </c>
      <c r="L70" t="str">
        <v>Pr.Sch.R</v>
      </c>
      <c r="M70" t="str">
        <v>MOLDED</v>
      </c>
      <c r="N70">
        <v>8</v>
      </c>
      <c r="Q70">
        <v>46165</v>
      </c>
    </row>
    <row r="72">
      <c r="A72" t="str">
        <v>F-2026-04-132</v>
      </c>
      <c r="B72" t="str">
        <v>FPRO-260409-0006</v>
      </c>
      <c r="C72" t="str">
        <v>21/5</v>
      </c>
      <c r="D72" t="str">
        <v>Firm plan 09.04</v>
      </c>
      <c r="E72" t="str">
        <v>BDB-000077</v>
      </c>
      <c r="F72" t="str">
        <v>PVN-004147</v>
      </c>
      <c r="G72" t="str">
        <v>OrthoLite X-25 SEEDPEARL/12-0703TPX Flat Sheet 0.12D 20+/-4 Asker C 1.1M 2M 5.5mm</v>
      </c>
      <c r="H72">
        <v>500</v>
      </c>
      <c r="I72">
        <v>20</v>
      </c>
      <c r="J72">
        <v>20</v>
      </c>
      <c r="K72" t="str">
        <v>ON RUNNING</v>
      </c>
      <c r="L72" t="str">
        <v>Forecast</v>
      </c>
      <c r="M72" t="str">
        <v>MOLDED</v>
      </c>
      <c r="N72">
        <v>22</v>
      </c>
      <c r="Q72">
        <v>46165</v>
      </c>
    </row>
    <row r="73">
      <c r="A73" t="str">
        <v>F-2026-05-185</v>
      </c>
      <c r="B73" t="str">
        <v>RPRO-260514-0443</v>
      </c>
      <c r="C73" t="str">
        <v>21/5</v>
      </c>
      <c r="D73" t="str">
        <v>MPS 13.05</v>
      </c>
      <c r="E73" t="str">
        <v>BDB-000077</v>
      </c>
      <c r="F73" t="str">
        <v>PVN-003478</v>
      </c>
      <c r="G73" t="str">
        <v>Ortholite X-25 SEEDPEARL/12-0703TPX Flat Sheet 0.12D 20+/-4 Asker C 1.1M 2M 4mm</v>
      </c>
      <c r="H73">
        <v>70</v>
      </c>
      <c r="I73">
        <v>2</v>
      </c>
      <c r="J73">
        <v>2</v>
      </c>
      <c r="L73" t="str">
        <v>MPS</v>
      </c>
      <c r="M73" t="str">
        <v>SPLITTING</v>
      </c>
      <c r="Q73">
        <v>46165</v>
      </c>
    </row>
    <row r="75">
      <c r="A75" t="str">
        <v>F-2026-05-183</v>
      </c>
      <c r="B75" t="str">
        <v>RPRO-260513-0814</v>
      </c>
      <c r="C75" t="str">
        <v>21/5</v>
      </c>
      <c r="D75" t="str">
        <v>Pro.sche.report 12.5</v>
      </c>
      <c r="E75" t="str">
        <v>BDB-000318</v>
      </c>
      <c r="F75" t="str">
        <v>PVN-004077</v>
      </c>
      <c r="G75" t="str">
        <v>OrthoLite X-55 RED/19-1764TPX Flat Sheet 0.16D 25+/-4 Asker C 1.1M 2M 5.2mm</v>
      </c>
      <c r="H75">
        <v>26</v>
      </c>
      <c r="I75">
        <v>1</v>
      </c>
      <c r="J75">
        <v>1</v>
      </c>
      <c r="K75" t="str">
        <v>NEW BALANCE</v>
      </c>
      <c r="L75" t="str">
        <v>Pr.Sch.R</v>
      </c>
      <c r="M75" t="str">
        <v>MOLDED</v>
      </c>
      <c r="N75">
        <v>1</v>
      </c>
      <c r="Q75">
        <v>46167</v>
      </c>
    </row>
    <row r="77">
      <c r="A77" t="str">
        <v>F-2026-05-167</v>
      </c>
      <c r="B77" t="str">
        <v>RPRO-260513-0798</v>
      </c>
      <c r="C77" t="str">
        <v>21/5</v>
      </c>
      <c r="D77" t="str">
        <v>MPS 12.5</v>
      </c>
      <c r="E77" t="str">
        <v>BDB-000154</v>
      </c>
      <c r="F77" t="str">
        <v>PVN-003347</v>
      </c>
      <c r="G77" t="str">
        <v>OrthoLite X-40-Nike TRUE BLUE/19-4057TPX Flat Sheet 0.16D 35+/-4 Asker C 1.1M 1.7M 4mm</v>
      </c>
      <c r="H77">
        <v>245</v>
      </c>
      <c r="I77">
        <v>7</v>
      </c>
      <c r="J77">
        <v>7</v>
      </c>
      <c r="L77" t="str">
        <v>MPS</v>
      </c>
      <c r="M77" t="str">
        <v>SPLITTING</v>
      </c>
      <c r="N77">
        <v>7</v>
      </c>
      <c r="Q77">
        <v>46167</v>
      </c>
    </row>
    <row r="79">
      <c r="A79" t="str">
        <v>F-2026-05-171</v>
      </c>
      <c r="B79" t="str">
        <v>RPRO-260513-0802</v>
      </c>
      <c r="C79" t="str">
        <v>21/5</v>
      </c>
      <c r="D79" t="str">
        <v>Pro.sche.report 12.5</v>
      </c>
      <c r="E79" t="str">
        <v>BDB-000373</v>
      </c>
      <c r="F79" t="str">
        <v>PVN-004315</v>
      </c>
      <c r="G79" t="str">
        <v>OrthoLite X-25-Nike BILLIARD/16-5427TPX Flat Sheet 0.12D 20+/-4 Asker C 1.1M 2M 5mm</v>
      </c>
      <c r="H79">
        <v>364</v>
      </c>
      <c r="I79">
        <v>13</v>
      </c>
      <c r="J79">
        <v>13</v>
      </c>
      <c r="K79" t="str">
        <v>NIKE</v>
      </c>
      <c r="L79" t="str">
        <v>Pr.Sch.R</v>
      </c>
      <c r="M79" t="str">
        <v>DIE CUT</v>
      </c>
      <c r="N79">
        <v>13</v>
      </c>
      <c r="Q79">
        <v>46167</v>
      </c>
    </row>
    <row r="81">
      <c r="A81" t="str">
        <v>F-2026-05-196</v>
      </c>
      <c r="B81" t="str">
        <v>RPRO-260515-0252</v>
      </c>
      <c r="C81" t="str">
        <v>21/5-22/5</v>
      </c>
      <c r="D81" t="str">
        <v>MPS 14.05</v>
      </c>
      <c r="E81" t="str">
        <v>BDB-000305</v>
      </c>
      <c r="F81" t="str">
        <v>PVN-004000</v>
      </c>
      <c r="G81" t="str">
        <v>OrthoLite X-35-Nike YELLOW/13-0858TPX Flat Sheet 0.145D 25+/-4 Asker C 1.1M 2M 5.5mm</v>
      </c>
      <c r="H81">
        <v>200</v>
      </c>
      <c r="I81">
        <v>8</v>
      </c>
      <c r="J81">
        <v>8</v>
      </c>
      <c r="L81" t="str">
        <v>MPS</v>
      </c>
      <c r="M81" t="str">
        <v>SPLITTING</v>
      </c>
      <c r="N81">
        <v>8</v>
      </c>
      <c r="Q81">
        <v>46169</v>
      </c>
    </row>
    <row r="83">
      <c r="A83" t="str">
        <v>F-2026-05-206</v>
      </c>
      <c r="B83" t="str">
        <v>RPRO-260515-0262</v>
      </c>
      <c r="C83" t="str">
        <v>22/5</v>
      </c>
      <c r="D83" t="str">
        <v>Pro.sche.report 14.05</v>
      </c>
      <c r="E83" t="str">
        <v>BDB-000340</v>
      </c>
      <c r="F83" t="str">
        <v>PVN-004177</v>
      </c>
      <c r="G83" t="str">
        <v>OrthoLite Float SEEDPEARL/12-0703TPX Flat Sheet 0.12D 21+/-4 Asker C 1.1M 2M 5.5mm</v>
      </c>
      <c r="H83">
        <v>25</v>
      </c>
      <c r="I83">
        <v>1</v>
      </c>
      <c r="J83">
        <v>1</v>
      </c>
      <c r="K83" t="str">
        <v>ON RUNNING</v>
      </c>
      <c r="L83" t="str">
        <v>Pr.Sch.R</v>
      </c>
      <c r="M83" t="str">
        <v>MOLDED</v>
      </c>
      <c r="N83">
        <v>1</v>
      </c>
      <c r="Q83">
        <v>46169</v>
      </c>
    </row>
    <row r="85">
      <c r="A85" t="str">
        <v>F-2026-05-203</v>
      </c>
      <c r="B85" t="str">
        <v>RPRO-260515-0259</v>
      </c>
      <c r="C85" t="str">
        <v>22/5</v>
      </c>
      <c r="D85" t="str">
        <v>Pro.sche.report 14.05</v>
      </c>
      <c r="E85" t="str">
        <v>BDB-000347</v>
      </c>
      <c r="F85" t="str">
        <v>PVN-004193</v>
      </c>
      <c r="G85" t="str">
        <v>OrthoLite X-55-Hybrid SEEDPEARL/12-0703TPX Hybrid Flat Sheet 0.16D 25+/-4 Asker C 1.1M 2M 11mm</v>
      </c>
      <c r="H85">
        <v>12</v>
      </c>
      <c r="I85">
        <v>1</v>
      </c>
      <c r="J85">
        <v>1</v>
      </c>
      <c r="K85" t="str">
        <v>DESCENTE</v>
      </c>
      <c r="L85" t="str">
        <v>Pr.Sch.R</v>
      </c>
      <c r="M85" t="str">
        <v>MOLDED</v>
      </c>
      <c r="N85">
        <v>1</v>
      </c>
      <c r="Q85">
        <v>46169</v>
      </c>
    </row>
    <row r="87">
      <c r="A87" t="str">
        <v>F-2026-05-197</v>
      </c>
      <c r="B87" t="str">
        <v>RPRO-260515-0253</v>
      </c>
      <c r="C87" t="str">
        <v>22/5</v>
      </c>
      <c r="D87" t="str">
        <v>MPS 14.05</v>
      </c>
      <c r="E87" t="str">
        <v>BDB-000348</v>
      </c>
      <c r="F87" t="str">
        <v>PVN-004210</v>
      </c>
      <c r="G87" t="str">
        <v>OrthoLite IMPERIAL SEEDPEARL/12-0703TPX Flat Sheet 0.22D 25+/-4 Asker C 1.1M 1.47M 5mm</v>
      </c>
      <c r="H87">
        <v>168</v>
      </c>
      <c r="I87">
        <v>6</v>
      </c>
      <c r="J87">
        <v>6</v>
      </c>
      <c r="L87" t="str">
        <v>MPS</v>
      </c>
      <c r="M87" t="str">
        <v>SPLITTING</v>
      </c>
      <c r="N87">
        <v>6</v>
      </c>
      <c r="Q87">
        <v>46169</v>
      </c>
    </row>
    <row r="89">
      <c r="A89" t="str">
        <v>F-2026-05-200</v>
      </c>
      <c r="B89" t="str">
        <v>RPRO-260515-0256</v>
      </c>
      <c r="C89" t="str">
        <v>22/5</v>
      </c>
      <c r="D89" t="str">
        <v>Pro.sche.report 14.05</v>
      </c>
      <c r="E89" t="str">
        <v>BDB-000076</v>
      </c>
      <c r="F89" t="str">
        <v>PVN-003448</v>
      </c>
      <c r="G89" t="str">
        <v>OrthoLite X-25 BILLIARD/16-5427TPX Flat Sheet 0.12D 20+/-4 Asker C 1.1M 2M 6.2mm</v>
      </c>
      <c r="H89">
        <v>22</v>
      </c>
      <c r="I89">
        <v>1</v>
      </c>
      <c r="J89">
        <v>1</v>
      </c>
      <c r="K89" t="str">
        <v>ADIDAS</v>
      </c>
      <c r="L89" t="str">
        <v>Pr.Sch.R</v>
      </c>
      <c r="M89" t="str">
        <v>MOLDED</v>
      </c>
      <c r="N89">
        <v>0</v>
      </c>
      <c r="O89" t="str">
        <v>W20 đổ dư 22 bun</v>
      </c>
      <c r="Q89">
        <v>46169</v>
      </c>
    </row>
    <row r="90">
      <c r="A90" t="str">
        <v>F-2026-05-201</v>
      </c>
      <c r="B90" t="str">
        <v>RPRO-260515-0257</v>
      </c>
      <c r="C90" t="str">
        <v>22/5</v>
      </c>
      <c r="D90" t="str">
        <v>Pro.sche.report 14.05</v>
      </c>
      <c r="E90" t="str">
        <v>BDB-000076</v>
      </c>
      <c r="F90" t="str">
        <v>PVN-003342</v>
      </c>
      <c r="G90" t="str">
        <v>OrthoLite X-25 BILLIARD/16-5427TPX Flat Sheet 0.12D 20+/-4 Asker C 1.1M 2M 4.5mm</v>
      </c>
      <c r="H90">
        <v>31</v>
      </c>
      <c r="I90">
        <v>2</v>
      </c>
      <c r="J90">
        <v>2</v>
      </c>
      <c r="K90" t="str">
        <v>ADIDAS</v>
      </c>
      <c r="L90" t="str">
        <v>Pr.Sch.R</v>
      </c>
      <c r="M90" t="str">
        <v>MOLDED</v>
      </c>
      <c r="N90" t="str">
        <v>3-3</v>
      </c>
      <c r="Q90">
        <v>46169</v>
      </c>
    </row>
    <row r="92">
      <c r="A92" t="str">
        <v>F-2026-05-199</v>
      </c>
      <c r="B92" t="str">
        <v>RPRO-260515-0255</v>
      </c>
      <c r="C92" t="str">
        <v>22/5</v>
      </c>
      <c r="D92" t="str">
        <v>Pro.sche.report 14.05</v>
      </c>
      <c r="E92" t="str">
        <v>BDB-000117</v>
      </c>
      <c r="F92" t="str">
        <v>PVN-003234</v>
      </c>
      <c r="G92" t="str">
        <v>OrthoLite X-35-Hybrid SEEDPEARL/12-0703TPX Hybrid Flat Sheet 0.145D 25+/-4 Asker C 1.1M 2M 5.5mm</v>
      </c>
      <c r="H92">
        <v>800</v>
      </c>
      <c r="I92">
        <v>32</v>
      </c>
      <c r="J92">
        <v>32</v>
      </c>
      <c r="K92" t="str">
        <v>PUMA</v>
      </c>
      <c r="L92" t="str">
        <v>Pr.Sch.R</v>
      </c>
      <c r="M92" t="str">
        <v>MOLDED</v>
      </c>
      <c r="N92">
        <v>32</v>
      </c>
      <c r="Q92">
        <v>46169</v>
      </c>
    </row>
    <row r="93">
      <c r="G93" t="str">
        <v>RELEASE ĐỢT 1</v>
      </c>
    </row>
    <row r="94">
      <c r="H94">
        <v>30351</v>
      </c>
      <c r="I94">
        <v>1102</v>
      </c>
      <c r="J94">
        <v>1102</v>
      </c>
      <c r="N94">
        <v>836</v>
      </c>
      <c r="O94">
        <v>44</v>
      </c>
    </row>
    <row r="95">
      <c r="A95" t="str">
        <v>Máy 2</v>
      </c>
      <c r="G95" t="str">
        <v>18/5-23/5</v>
      </c>
    </row>
    <row r="96">
      <c r="A96" t="str">
        <v>F-2026-03-544</v>
      </c>
      <c r="B96" t="str">
        <v>FPRO-260326-0005</v>
      </c>
      <c r="C96" t="str">
        <v>18/5</v>
      </c>
      <c r="D96" t="str">
        <v>Firm plan 26.3</v>
      </c>
      <c r="E96" t="str">
        <v>BDB-000209</v>
      </c>
      <c r="F96" t="str">
        <v>PVN-003537</v>
      </c>
      <c r="G96" t="str">
        <v>OrthoLite HybridPlus-Recycled MINT GREEN/11-4805TPX Hybrid 0.12D 25+/-4 Asker C 1.1M 2M 4.5mm</v>
      </c>
      <c r="H96">
        <v>2500</v>
      </c>
      <c r="I96">
        <v>81</v>
      </c>
      <c r="J96">
        <v>81</v>
      </c>
      <c r="K96" t="str">
        <v>ON RUNNING</v>
      </c>
      <c r="L96" t="str">
        <v>Forecast</v>
      </c>
      <c r="M96" t="str">
        <v>MOLDED</v>
      </c>
      <c r="N96">
        <v>1</v>
      </c>
      <c r="O96" t="str">
        <v>Đơn cũ W20</v>
      </c>
      <c r="P96">
        <v>1</v>
      </c>
      <c r="Q96">
        <v>46155</v>
      </c>
    </row>
    <row r="98">
      <c r="A98" t="str">
        <v>F-2026-02-223</v>
      </c>
      <c r="B98" t="str">
        <v>FPRO-260211-0043</v>
      </c>
      <c r="C98" t="str">
        <v>18/5</v>
      </c>
      <c r="D98" t="str">
        <v>Firm plan 11.2</v>
      </c>
      <c r="E98" t="str">
        <v>BDB-000123</v>
      </c>
      <c r="F98" t="str">
        <v>PVN-003298</v>
      </c>
      <c r="G98" t="str">
        <v>OrthoLite Ultra-Hybrid SEEDPEARL/12-0703TPX Hybrid 0.085D 25+/-4 Asker C 1.1M 2M 4mm</v>
      </c>
      <c r="H98">
        <v>7000</v>
      </c>
      <c r="I98">
        <v>200</v>
      </c>
      <c r="J98">
        <v>200</v>
      </c>
      <c r="K98" t="str">
        <v>ADIDAS</v>
      </c>
      <c r="L98" t="str">
        <v>Forecast</v>
      </c>
      <c r="M98" t="str">
        <v>SPLITTING</v>
      </c>
      <c r="N98">
        <v>15</v>
      </c>
      <c r="O98" t="str">
        <v>Đơn cũ W20</v>
      </c>
      <c r="P98">
        <v>15</v>
      </c>
      <c r="Q98">
        <v>46160</v>
      </c>
    </row>
    <row r="100">
      <c r="A100" t="str">
        <v>F-2026-04-217</v>
      </c>
      <c r="B100" t="str">
        <v>FPRO-260415-0014</v>
      </c>
      <c r="C100" t="str">
        <v>18/5</v>
      </c>
      <c r="D100" t="str">
        <v>Firm plan 15.4</v>
      </c>
      <c r="E100" t="str">
        <v>BDB-000355</v>
      </c>
      <c r="F100" t="str">
        <v>PVN-004231</v>
      </c>
      <c r="G100" t="str">
        <v>OrthoLite HybridPlus-Recycled CASTLEROCK/18-0201TPX Hybrid 0.12D 25+/-4 Asker C 1.1M 2M 4.5mm</v>
      </c>
      <c r="H100">
        <v>1100</v>
      </c>
      <c r="I100">
        <v>36</v>
      </c>
      <c r="J100">
        <v>36</v>
      </c>
      <c r="K100" t="str">
        <v>ON RUNNING</v>
      </c>
      <c r="L100" t="str">
        <v>Forecast</v>
      </c>
      <c r="M100" t="str">
        <v>MOLDED</v>
      </c>
      <c r="N100">
        <v>36</v>
      </c>
      <c r="O100" t="str">
        <v>Đơn cũ W20</v>
      </c>
      <c r="P100">
        <v>36</v>
      </c>
      <c r="Q100">
        <v>46161</v>
      </c>
    </row>
    <row r="102">
      <c r="A102" t="str">
        <v>F-2026-05-139</v>
      </c>
      <c r="B102" t="str">
        <v>RPRO-260512-0091</v>
      </c>
      <c r="C102" t="str">
        <v>18/5</v>
      </c>
      <c r="D102" t="str">
        <v>MPS 11.05</v>
      </c>
      <c r="E102" t="str">
        <v>BDB-000123</v>
      </c>
      <c r="F102" t="str">
        <v>PVN-003300</v>
      </c>
      <c r="G102" t="str">
        <v>OrthoLite Ultra-Hybrid SEEDPEARL/12-0703TPX Hybrid Flat Sheet 0.085D 25+/-4 Asker C 1.1M 2M 2mm</v>
      </c>
      <c r="H102">
        <v>490</v>
      </c>
      <c r="I102">
        <v>8</v>
      </c>
      <c r="J102">
        <v>8</v>
      </c>
      <c r="L102" t="str">
        <v>MPS</v>
      </c>
      <c r="M102" t="str">
        <v>SPLITTING</v>
      </c>
      <c r="N102">
        <v>8</v>
      </c>
      <c r="O102" t="str">
        <v>Đơn cũ W20</v>
      </c>
      <c r="P102">
        <v>8</v>
      </c>
      <c r="Q102">
        <v>46161</v>
      </c>
    </row>
    <row r="104">
      <c r="A104" t="str">
        <v>F-2026-03-191</v>
      </c>
      <c r="B104" t="str">
        <v>FPRO-260310-0028</v>
      </c>
      <c r="C104" t="str">
        <v>18/5</v>
      </c>
      <c r="D104" t="str">
        <v>Firm plan 10.3</v>
      </c>
      <c r="E104" t="str">
        <v>BDB-000097</v>
      </c>
      <c r="F104" t="str">
        <v>PVN-002478</v>
      </c>
      <c r="G104" t="str">
        <v>OrthoLite Eco LT-Hybrid SEEDPEARL/12-0703TPX Hybrid 0.11D 25+/-4 Asker C 1.1M 2M 4mm</v>
      </c>
      <c r="H104">
        <v>3500</v>
      </c>
      <c r="I104">
        <v>100</v>
      </c>
      <c r="J104">
        <v>100</v>
      </c>
      <c r="K104" t="str">
        <v>NEW BALANCE</v>
      </c>
      <c r="L104" t="str">
        <v>Forecast</v>
      </c>
      <c r="M104" t="str">
        <v>DIE CUT</v>
      </c>
      <c r="N104">
        <v>101</v>
      </c>
      <c r="Q104">
        <v>46161</v>
      </c>
    </row>
    <row r="105">
      <c r="A105" t="str">
        <v>F-2026-05-159</v>
      </c>
      <c r="B105" t="str">
        <v>RPRO-260512-0111</v>
      </c>
      <c r="C105" t="str">
        <v>18/5</v>
      </c>
      <c r="D105" t="str">
        <v>Pro.sche.report 11.05</v>
      </c>
      <c r="E105" t="str">
        <v>BDB-000097</v>
      </c>
      <c r="F105" t="str">
        <v>PVN-003671</v>
      </c>
      <c r="G105" t="str">
        <v>OrthoLite Eco LT-Hybrid SEEDPEARL/12-0703TPX Hybrid Flat Sheet 0.11D 25+/-4 Asker C 1.1M 2M 13mm</v>
      </c>
      <c r="H105">
        <v>10</v>
      </c>
      <c r="I105">
        <v>1</v>
      </c>
      <c r="J105">
        <v>1</v>
      </c>
      <c r="K105" t="str">
        <v>NEW BALANCE</v>
      </c>
      <c r="L105" t="str">
        <v>Pr.Sch.R</v>
      </c>
      <c r="M105" t="str">
        <v>MOLDED</v>
      </c>
      <c r="Q105">
        <v>46165</v>
      </c>
    </row>
    <row r="107">
      <c r="A107" t="str">
        <v>F-2026-05-166</v>
      </c>
      <c r="B107" t="str">
        <v>RPRO-260513-0797</v>
      </c>
      <c r="C107" t="str">
        <v>18/5</v>
      </c>
      <c r="D107" t="str">
        <v>MPS 12.5</v>
      </c>
      <c r="E107" t="str">
        <v>BDB-000180</v>
      </c>
      <c r="F107" t="str">
        <v>PVN-003236</v>
      </c>
      <c r="G107" t="str">
        <v>OrthoLite Eco LT-Hybrid-Converse SEEDPEARL/12-0703TPX Hybrid 0.13D 25+/-4 Asker C 1.1M 2M 5mm</v>
      </c>
      <c r="H107">
        <v>635</v>
      </c>
      <c r="I107">
        <v>23</v>
      </c>
      <c r="J107">
        <v>23</v>
      </c>
      <c r="L107" t="str">
        <v>MPS</v>
      </c>
      <c r="M107" t="str">
        <v>SPLITTING</v>
      </c>
      <c r="N107">
        <v>99</v>
      </c>
      <c r="Q107">
        <v>46161</v>
      </c>
    </row>
    <row r="108">
      <c r="A108" t="str">
        <v>F-2026-05-195</v>
      </c>
      <c r="B108" t="str">
        <v>RPRO-260515-0251</v>
      </c>
      <c r="C108" t="str">
        <v>18/5</v>
      </c>
      <c r="D108" t="str">
        <v>MPS 14.05</v>
      </c>
      <c r="E108" t="str">
        <v>BDB-000180</v>
      </c>
      <c r="F108" t="str">
        <v>PVN-003236</v>
      </c>
      <c r="G108" t="str">
        <v>OrthoLite Eco LT-Hybrid-Converse SEEDPEARL/12-0703TPX Hybrid 0.13D 25+/-4 Asker C 1.1M 2M 5mm</v>
      </c>
      <c r="H108">
        <v>2114</v>
      </c>
      <c r="I108">
        <v>76</v>
      </c>
      <c r="J108">
        <v>76</v>
      </c>
      <c r="L108" t="str">
        <v>MPS</v>
      </c>
      <c r="M108" t="str">
        <v>SPLITTING</v>
      </c>
      <c r="Q108">
        <v>46169</v>
      </c>
    </row>
    <row r="110">
      <c r="A110" t="str">
        <v>F-2026-05-161</v>
      </c>
      <c r="B110" t="str">
        <v>RPRO-260512-0113</v>
      </c>
      <c r="C110" t="str">
        <v>18/5</v>
      </c>
      <c r="D110" t="str">
        <v>Pro.sche.report 11.05</v>
      </c>
      <c r="E110" t="str">
        <v>BDB-000123</v>
      </c>
      <c r="F110" t="str">
        <v>PVN-003011</v>
      </c>
      <c r="G110" t="str">
        <v>OrthoLite Ultra-Hybrid SEEDPEARL/12-0703TPX Hybrid Flat Sheet 0.085D 25+/-4 Asker C 1.1M 2M 16mm</v>
      </c>
      <c r="H110">
        <v>16</v>
      </c>
      <c r="I110">
        <v>2</v>
      </c>
      <c r="J110">
        <v>2</v>
      </c>
      <c r="K110" t="str">
        <v>CLARKS</v>
      </c>
      <c r="L110" t="str">
        <v>Pr.Sch.R</v>
      </c>
      <c r="M110" t="str">
        <v>MOLDED</v>
      </c>
      <c r="N110">
        <v>202</v>
      </c>
      <c r="Q110">
        <v>46161</v>
      </c>
    </row>
    <row r="111">
      <c r="A111" t="str">
        <v>F-2026-02-222</v>
      </c>
      <c r="B111" t="str">
        <v>FPRO-260211-0042</v>
      </c>
      <c r="C111" t="str">
        <v>18/5-19/5</v>
      </c>
      <c r="D111" t="str">
        <v>Firm plan 11.2</v>
      </c>
      <c r="E111" t="str">
        <v>BDB-000123</v>
      </c>
      <c r="F111" t="str">
        <v>PVN-003298</v>
      </c>
      <c r="G111" t="str">
        <v>OrthoLite Ultra-Hybrid SEEDPEARL/12-0703TPX Hybrid 0.085D 25+/-4 Asker C 1.1M 2M 4mm</v>
      </c>
      <c r="H111">
        <v>7000</v>
      </c>
      <c r="I111">
        <v>200</v>
      </c>
      <c r="J111">
        <v>200</v>
      </c>
      <c r="K111" t="str">
        <v>ADIDAS</v>
      </c>
      <c r="L111" t="str">
        <v>Forecast</v>
      </c>
      <c r="M111" t="str">
        <v>SPLITTING</v>
      </c>
      <c r="Q111">
        <v>46163</v>
      </c>
    </row>
    <row r="112">
      <c r="G112" t="str">
        <v>xxxxxxxxxxxxxxxxxx</v>
      </c>
    </row>
    <row r="113">
      <c r="A113" t="str">
        <v>F-2026-04-435</v>
      </c>
      <c r="B113" t="str">
        <v>FPRO-260429-0048</v>
      </c>
      <c r="C113" t="str">
        <v>19/5</v>
      </c>
      <c r="D113" t="str">
        <v>Firm plan 29.04</v>
      </c>
      <c r="E113" t="str">
        <v>BDB-000175</v>
      </c>
      <c r="F113" t="str">
        <v>PVN-002875</v>
      </c>
      <c r="G113" t="str">
        <v>OrthoLite Ultra-Hybrid-Nike SEEDPEARL/12-0703TPX Hybrid 0.085D 25+/-4 Asker C 1.1M 2M 3mm</v>
      </c>
      <c r="H113">
        <v>1000</v>
      </c>
      <c r="I113">
        <v>22</v>
      </c>
      <c r="J113">
        <v>22</v>
      </c>
      <c r="K113" t="str">
        <v>NIKE</v>
      </c>
      <c r="L113" t="str">
        <v>Forecast</v>
      </c>
      <c r="M113" t="str">
        <v>DIE CUT</v>
      </c>
      <c r="N113">
        <v>22</v>
      </c>
      <c r="Q113">
        <v>46162</v>
      </c>
    </row>
    <row r="115">
      <c r="A115" t="str">
        <v>F-2026-05-131</v>
      </c>
      <c r="B115" t="str">
        <v>RPRO-260511-0351</v>
      </c>
      <c r="C115" t="str">
        <v>19/5</v>
      </c>
      <c r="D115" t="str">
        <v>Pro.sche.report 08.5+09.5</v>
      </c>
      <c r="E115" t="str">
        <v>BDB-000174</v>
      </c>
      <c r="F115" t="str">
        <v>PVN-003502</v>
      </c>
      <c r="G115" t="str">
        <v>OrthoLite Ultra-Hybrid-Nike SEEDPEARL/12-0703TPX Hybrid Flat Sheet 0.085D 15+/-4 Asker C 1.1M 2M 2mm</v>
      </c>
      <c r="H115">
        <v>70</v>
      </c>
      <c r="I115">
        <v>2</v>
      </c>
      <c r="J115">
        <v>2</v>
      </c>
      <c r="K115" t="str">
        <v>NIKE</v>
      </c>
      <c r="L115" t="str">
        <v>Pr.Sch.R</v>
      </c>
      <c r="M115" t="str">
        <v>DIE CUT</v>
      </c>
      <c r="N115">
        <v>4</v>
      </c>
      <c r="Q115">
        <v>46163</v>
      </c>
    </row>
    <row r="116">
      <c r="A116" t="str">
        <v>F-2026-05-130</v>
      </c>
      <c r="B116" t="str">
        <v>RPRO-260511-0350</v>
      </c>
      <c r="C116" t="str">
        <v>19/5</v>
      </c>
      <c r="D116" t="str">
        <v>Pro.sche.report 08.5+09.5</v>
      </c>
      <c r="E116" t="str">
        <v>BDB-000174</v>
      </c>
      <c r="F116" t="str">
        <v>PVN-003503</v>
      </c>
      <c r="G116" t="str">
        <v>OrthoLite Ultra-Hybrid-Nike SEEDPEARL/12-0703TPX Hybrid Flat Sheet 0.085D 15+/-4 Asker C 1.1M 2M 3mm</v>
      </c>
      <c r="H116">
        <v>46</v>
      </c>
      <c r="I116">
        <v>2</v>
      </c>
      <c r="J116">
        <v>2</v>
      </c>
      <c r="K116" t="str">
        <v>NIKE</v>
      </c>
      <c r="L116" t="str">
        <v>Pr.Sch.R</v>
      </c>
      <c r="M116" t="str">
        <v>DIE CUT</v>
      </c>
      <c r="Q116">
        <v>46165</v>
      </c>
    </row>
    <row r="118">
      <c r="A118" t="str">
        <v>F-2026-05-163</v>
      </c>
      <c r="B118" t="str">
        <v>RPRO-260513-0794</v>
      </c>
      <c r="C118" t="str">
        <v>19/5</v>
      </c>
      <c r="D118" t="str">
        <v>MPS 12.5</v>
      </c>
      <c r="E118" t="str">
        <v>BDB-000102</v>
      </c>
      <c r="F118" t="str">
        <v>PVN-003629</v>
      </c>
      <c r="G118" t="str">
        <v>OrthoLite Eco LT-Hybrid LIME GREEN/14-0452TPX Hybrid 0.13D 35+/-4 Asker C 1.1M 2M 2.5mm</v>
      </c>
      <c r="H118">
        <v>112</v>
      </c>
      <c r="I118">
        <v>3</v>
      </c>
      <c r="J118">
        <v>3</v>
      </c>
      <c r="L118" t="str">
        <v>MPS</v>
      </c>
      <c r="M118" t="str">
        <v>SPLITTING</v>
      </c>
      <c r="N118">
        <v>10</v>
      </c>
      <c r="Q118">
        <v>46163</v>
      </c>
    </row>
    <row r="119">
      <c r="A119" t="str">
        <v>OIN-2026.05.12-07</v>
      </c>
      <c r="B119" t="str">
        <v>RPRO-260515-0179</v>
      </c>
      <c r="C119" t="str">
        <v>19/5</v>
      </c>
      <c r="D119" t="str">
        <v>OIN</v>
      </c>
      <c r="E119" t="str">
        <v>BDB-000102</v>
      </c>
      <c r="F119" t="str">
        <v>PVN-003821</v>
      </c>
      <c r="G119" t="str">
        <v>[118-467] Eco Lite Hybrid 35+/-4 Asker C 0.13D Lime Green 14-0452 Tpx 1.10M X 2.00M 47mm</v>
      </c>
      <c r="H119">
        <v>21</v>
      </c>
      <c r="I119">
        <v>7</v>
      </c>
      <c r="J119">
        <v>7</v>
      </c>
      <c r="K119" t="str">
        <v>Geox</v>
      </c>
      <c r="L119" t="str">
        <v>PO-7283-SO-260513-0219</v>
      </c>
      <c r="M119" t="str">
        <v>FLAT SHEET</v>
      </c>
      <c r="Q119">
        <v>46165</v>
      </c>
    </row>
    <row r="121">
      <c r="A121" t="str">
        <v>F-2026-05-129</v>
      </c>
      <c r="B121" t="str">
        <v>RPRO-260511-0349</v>
      </c>
      <c r="C121" t="str">
        <v>19/5</v>
      </c>
      <c r="D121" t="str">
        <v>Pro.sche.report 08.5+09.5</v>
      </c>
      <c r="E121" t="str">
        <v>BDB-000181</v>
      </c>
      <c r="F121" t="str">
        <v>PVN-003238</v>
      </c>
      <c r="G121" t="str">
        <v>OrthoLite Eco LT-Hybrid-Converse SEEDPEARL/12-0703TPX Hybrid Flat Sheet 0.11D 25+/-4 Asker C 1.1M 2M 5mm</v>
      </c>
      <c r="H121">
        <v>112</v>
      </c>
      <c r="I121">
        <v>4</v>
      </c>
      <c r="J121">
        <v>4</v>
      </c>
      <c r="K121" t="str">
        <v>CONVERSE</v>
      </c>
      <c r="L121" t="str">
        <v>Pr.Sch.R</v>
      </c>
      <c r="M121" t="str">
        <v>DIE CUT</v>
      </c>
      <c r="N121">
        <v>6</v>
      </c>
      <c r="O121" t="str">
        <v xml:space="preserve">W20 đổ dư 15 bun </v>
      </c>
      <c r="Q121">
        <v>46163</v>
      </c>
    </row>
    <row r="122">
      <c r="A122" t="str">
        <v>F-2026-05-182</v>
      </c>
      <c r="B122" t="str">
        <v>RPRO-260513-0813</v>
      </c>
      <c r="C122" t="str">
        <v>19/5</v>
      </c>
      <c r="D122" t="str">
        <v>Pro.sche.report 12.5</v>
      </c>
      <c r="E122" t="str">
        <v>BDB-000181</v>
      </c>
      <c r="F122" t="str">
        <v>PVN-003238</v>
      </c>
      <c r="G122" t="str">
        <v>OrthoLite Eco LT-Hybrid-Converse SEEDPEARL/12-0703TPX Hybrid Flat Sheet 0.11D 25+/-4 Asker C 1.1M 2M 5mm</v>
      </c>
      <c r="H122">
        <v>476</v>
      </c>
      <c r="I122">
        <v>17</v>
      </c>
      <c r="J122">
        <v>17</v>
      </c>
      <c r="K122" t="str">
        <v>CONVERSE</v>
      </c>
      <c r="L122" t="str">
        <v>Pr.Sch.R</v>
      </c>
      <c r="M122" t="str">
        <v>DIE CUT</v>
      </c>
      <c r="N122" t="str">
        <v>21-15</v>
      </c>
      <c r="Q122">
        <v>46163</v>
      </c>
    </row>
    <row r="124">
      <c r="A124" t="str">
        <v>F-2026-03-594</v>
      </c>
      <c r="B124" t="str">
        <v>FPRO-260330-0016</v>
      </c>
      <c r="C124" t="str">
        <v>19/5</v>
      </c>
      <c r="D124" t="str">
        <v>Firm plan 30.3</v>
      </c>
      <c r="E124" t="str">
        <v>BDB-000209</v>
      </c>
      <c r="F124" t="str">
        <v>PVN-003537</v>
      </c>
      <c r="G124" t="str">
        <v>OrthoLite HybridPlus-Recycled MINT GREEN/11-4805TPX Hybrid 0.12D 25+/-4 Asker C 1.1M 2M 4.5mm</v>
      </c>
      <c r="H124">
        <v>2500</v>
      </c>
      <c r="I124">
        <v>81</v>
      </c>
      <c r="J124">
        <v>81</v>
      </c>
      <c r="K124" t="str">
        <v>ON RUNNING</v>
      </c>
      <c r="L124" t="str">
        <v>Forecast</v>
      </c>
      <c r="M124" t="str">
        <v>MOLDED</v>
      </c>
      <c r="N124">
        <v>158</v>
      </c>
      <c r="Q124">
        <v>46163</v>
      </c>
    </row>
    <row r="125">
      <c r="A125" t="str">
        <v>F-2026-05-126-2</v>
      </c>
      <c r="B125" t="str">
        <v>RPRO-260513-0952</v>
      </c>
      <c r="C125" t="str">
        <v>19/5-20/5</v>
      </c>
      <c r="D125" t="str">
        <v>Pro.sche.report 08.5+09.5</v>
      </c>
      <c r="E125" t="str">
        <v>BDB-000209</v>
      </c>
      <c r="F125" t="str">
        <v>PVN-003550</v>
      </c>
      <c r="G125" t="str">
        <v>OrthoLite HybridPlus-Recycled MINT GREEN/11-4805TPX Hybrid Flat Sheet 0.12D 25+/-4 Asker C 1.1M 2M 6mm</v>
      </c>
      <c r="H125">
        <v>1000</v>
      </c>
      <c r="I125">
        <v>44</v>
      </c>
      <c r="J125">
        <v>44</v>
      </c>
      <c r="K125" t="str">
        <v>ON RUNNING</v>
      </c>
      <c r="L125" t="str">
        <v>Pr.Sch.R</v>
      </c>
      <c r="M125" t="str">
        <v>MOLDED</v>
      </c>
      <c r="Q125">
        <v>46165</v>
      </c>
    </row>
    <row r="126">
      <c r="A126" t="str">
        <v>F-2026-05-157</v>
      </c>
      <c r="B126" t="str">
        <v>RPRO-260512-0109</v>
      </c>
      <c r="C126" t="str">
        <v>20/5</v>
      </c>
      <c r="D126" t="str">
        <v>Pro.sche.report 11.05</v>
      </c>
      <c r="E126" t="str">
        <v>BDB-000209</v>
      </c>
      <c r="F126" t="str">
        <v>PVN-003462</v>
      </c>
      <c r="G126" t="str">
        <v>OrthoLite HybridPlus-Recycled MINT GREEN/11-4805TPX Hybrid Flat Sheet 0.12D 25+/-4 Asker C 1.1M 2M 12mm</v>
      </c>
      <c r="H126">
        <v>165</v>
      </c>
      <c r="I126">
        <v>16</v>
      </c>
      <c r="J126">
        <v>16</v>
      </c>
      <c r="K126" t="str">
        <v>BROOKS</v>
      </c>
      <c r="L126" t="str">
        <v>Pr.Sch.R</v>
      </c>
      <c r="M126" t="str">
        <v>MOLDED</v>
      </c>
      <c r="Q126">
        <v>46165</v>
      </c>
    </row>
    <row r="127">
      <c r="A127" t="str">
        <v>F-2026-05-179</v>
      </c>
      <c r="B127" t="str">
        <v>RPRO-260513-0810</v>
      </c>
      <c r="C127" t="str">
        <v>20/5</v>
      </c>
      <c r="D127" t="str">
        <v>Pro.sche.report 12.5</v>
      </c>
      <c r="E127" t="str">
        <v>BDB-000209</v>
      </c>
      <c r="F127" t="str">
        <v>PVN-003462</v>
      </c>
      <c r="G127" t="str">
        <v>OrthoLite HybridPlus-Recycled MINT GREEN/11-4805TPX Hybrid Flat Sheet 0.12D 25+/-4 Asker C 1.1M 2M 12mm</v>
      </c>
      <c r="H127">
        <v>154</v>
      </c>
      <c r="I127">
        <v>15</v>
      </c>
      <c r="J127">
        <v>15</v>
      </c>
      <c r="K127" t="str">
        <v>BROOKS</v>
      </c>
      <c r="L127" t="str">
        <v>Pr.Sch.R</v>
      </c>
      <c r="M127" t="str">
        <v>MOLDED</v>
      </c>
      <c r="Q127">
        <v>46167</v>
      </c>
    </row>
    <row r="128">
      <c r="A128" t="str">
        <v>F-2026-05-207</v>
      </c>
      <c r="B128" t="str">
        <v>RPRO-260515-0263</v>
      </c>
      <c r="C128" t="str">
        <v>20/5</v>
      </c>
      <c r="D128" t="str">
        <v>Pro.sche.report 14.05</v>
      </c>
      <c r="E128" t="str">
        <v>BDB-000209</v>
      </c>
      <c r="F128" t="str">
        <v>PVN-003462</v>
      </c>
      <c r="G128" t="str">
        <v>OrthoLite HybridPlus-Recycled MINT GREEN/11-4805TPX Hybrid Flat Sheet 0.12D 25+/-4 Asker C 1.1M 2M 12mm</v>
      </c>
      <c r="H128">
        <v>11</v>
      </c>
      <c r="I128">
        <v>2</v>
      </c>
      <c r="J128">
        <v>2</v>
      </c>
      <c r="K128" t="str">
        <v>BROOKS</v>
      </c>
      <c r="L128" t="str">
        <v>Pr.Sch.R</v>
      </c>
      <c r="M128" t="str">
        <v>MOLDED</v>
      </c>
      <c r="Q128">
        <v>46169</v>
      </c>
    </row>
    <row r="130">
      <c r="A130" t="str">
        <v>F-2026-04-226</v>
      </c>
      <c r="B130" t="str">
        <v>FPRO-260416-0011</v>
      </c>
      <c r="C130" t="str">
        <v>20/5</v>
      </c>
      <c r="D130" t="str">
        <v>Firm plan 16.4</v>
      </c>
      <c r="E130" t="str">
        <v>BDB-000113</v>
      </c>
      <c r="F130" t="str">
        <v>PVN-003414</v>
      </c>
      <c r="G130" t="str">
        <v>OrthoLite Regular-Hybrid SEEDPEARL/12-0703TPX Hybrid Flat Sheet 0.11D 25+/-4 Asker C 1.1M 2M 12mm</v>
      </c>
      <c r="H130">
        <v>2500</v>
      </c>
      <c r="I130">
        <v>218</v>
      </c>
      <c r="J130">
        <v>218</v>
      </c>
      <c r="K130" t="str">
        <v>ASICS</v>
      </c>
      <c r="L130" t="str">
        <v>Forecast</v>
      </c>
      <c r="M130" t="str">
        <v>MOLDED</v>
      </c>
      <c r="N130">
        <v>223</v>
      </c>
      <c r="Q130">
        <v>46163</v>
      </c>
    </row>
    <row r="131">
      <c r="A131" t="str">
        <v>F-2026-05-151</v>
      </c>
      <c r="B131" t="str">
        <v>RPRO-260512-0103</v>
      </c>
      <c r="C131" t="str">
        <v>20/5</v>
      </c>
      <c r="D131" t="str">
        <v>Pro.sche.report 11.05</v>
      </c>
      <c r="E131" t="str">
        <v>BDB-000113</v>
      </c>
      <c r="F131" t="str">
        <v>PVN-002699</v>
      </c>
      <c r="G131" t="str">
        <v>OrthoLite Regular-Hybrid SEEDPEARL/12-0703TPX Hybrid Flat Sheet 0.11D 25+/-4 Asker C 1.1M 2M 4.5mm</v>
      </c>
      <c r="H131">
        <v>124</v>
      </c>
      <c r="I131">
        <v>5</v>
      </c>
      <c r="J131">
        <v>5</v>
      </c>
      <c r="K131" t="str">
        <v>ASICS</v>
      </c>
      <c r="L131" t="str">
        <v>Pr.Sch.R</v>
      </c>
      <c r="M131" t="str">
        <v>DIE CUT</v>
      </c>
      <c r="Q131">
        <v>46163</v>
      </c>
    </row>
    <row r="133">
      <c r="A133" t="str">
        <v>F-2026-05-168</v>
      </c>
      <c r="B133" t="str">
        <v>RPRO-260513-0799</v>
      </c>
      <c r="C133" t="str">
        <v>20/5</v>
      </c>
      <c r="D133" t="str">
        <v>MPS 12.5</v>
      </c>
      <c r="E133" t="str">
        <v>BDB-000188</v>
      </c>
      <c r="F133" t="str">
        <v>PVN-003479</v>
      </c>
      <c r="G133" t="str">
        <v>OrthoLite Ultra-Hybrid SEEDPEARL/12-0703TPX Hybrid Flat Sheet 0.085D 25+/-4 Asker C 1.1M 1.47M 4mm</v>
      </c>
      <c r="H133">
        <v>35</v>
      </c>
      <c r="I133">
        <v>1</v>
      </c>
      <c r="J133">
        <v>1</v>
      </c>
      <c r="L133" t="str">
        <v>MPS</v>
      </c>
      <c r="M133" t="str">
        <v>SPLITTING</v>
      </c>
      <c r="N133">
        <v>1</v>
      </c>
      <c r="Q133">
        <v>46165</v>
      </c>
    </row>
    <row r="135">
      <c r="A135" t="str">
        <v>F-2026-05-210</v>
      </c>
      <c r="B135" t="str">
        <v>RPRO-260515-0266</v>
      </c>
      <c r="C135" t="str">
        <v>20/5</v>
      </c>
      <c r="D135" t="str">
        <v>Pro.sche.report 14.05</v>
      </c>
      <c r="E135" t="str">
        <v>BDB-000122</v>
      </c>
      <c r="F135" t="str">
        <v>PVN-003012</v>
      </c>
      <c r="G135" t="str">
        <v>OrthoLite Ultra-Hybrid AIR BLUE/16-4134TPX Hybrid Flat Sheet 0.085D 25+/-4 Asker C 1.1M 2M 2.5mm</v>
      </c>
      <c r="H135">
        <v>112</v>
      </c>
      <c r="I135">
        <v>3</v>
      </c>
      <c r="J135">
        <v>3</v>
      </c>
      <c r="K135" t="str">
        <v>CLARKS</v>
      </c>
      <c r="L135" t="str">
        <v>Pr.Sch.R</v>
      </c>
      <c r="M135" t="str">
        <v>MOLDED</v>
      </c>
      <c r="N135">
        <v>3</v>
      </c>
      <c r="Q135">
        <v>46169</v>
      </c>
    </row>
    <row r="137">
      <c r="A137" t="str">
        <v>F-2026-05-202</v>
      </c>
      <c r="B137" t="str">
        <v>RPRO-260515-0258</v>
      </c>
      <c r="C137" t="str">
        <v>20/5</v>
      </c>
      <c r="D137" t="str">
        <v>Pro.sche.report 14.05</v>
      </c>
      <c r="E137" t="str">
        <v>BDB-000229</v>
      </c>
      <c r="F137" t="str">
        <v>PVN-003692</v>
      </c>
      <c r="G137" t="str">
        <v>OrthoLite Ultra-Hybrid SEEDPEARL/12-0703TPX Hybrid Flat Sheet 0.095D 33+/-4 Asker C 1.1M 2M 15.5mm</v>
      </c>
      <c r="H137">
        <v>8</v>
      </c>
      <c r="I137">
        <v>1</v>
      </c>
      <c r="J137">
        <v>1</v>
      </c>
      <c r="K137" t="str">
        <v>GARMONT</v>
      </c>
      <c r="L137" t="str">
        <v>Pr.Sch.R</v>
      </c>
      <c r="M137" t="str">
        <v>MOLDED</v>
      </c>
      <c r="N137">
        <v>1</v>
      </c>
      <c r="Q137">
        <v>46169</v>
      </c>
    </row>
    <row r="139">
      <c r="A139" t="str">
        <v>OIN-2026.05.12-06</v>
      </c>
      <c r="B139" t="str">
        <v>RPRO-260515-0178</v>
      </c>
      <c r="C139" t="str">
        <v>20/5</v>
      </c>
      <c r="D139" t="str">
        <v>OIN</v>
      </c>
      <c r="E139" t="str">
        <v>BDB-000100</v>
      </c>
      <c r="F139" t="str">
        <v>PVN-003845</v>
      </c>
      <c r="G139" t="str">
        <v>[116-094] Eco Lite Hybrid 25+/-4 Asker C 0.11D Air Blue 16-4134 Tpx 1.10M X 2.00M 47mm</v>
      </c>
      <c r="H139">
        <v>43</v>
      </c>
      <c r="I139">
        <v>15</v>
      </c>
      <c r="J139">
        <v>15</v>
      </c>
      <c r="K139" t="str">
        <v>Geox</v>
      </c>
      <c r="L139" t="str">
        <v>PO-7283-SO-260513-0218</v>
      </c>
      <c r="M139" t="str">
        <v>FLAT SHEET</v>
      </c>
      <c r="N139">
        <v>15</v>
      </c>
      <c r="Q139">
        <v>46165</v>
      </c>
    </row>
    <row r="141">
      <c r="A141" t="str">
        <v>F-2026-05-160</v>
      </c>
      <c r="B141" t="str">
        <v>RPRO-260512-0112</v>
      </c>
      <c r="C141" t="str">
        <v>20/5</v>
      </c>
      <c r="D141" t="str">
        <v>Pro.sche.report 11.05</v>
      </c>
      <c r="E141" t="str">
        <v>BDB-000149</v>
      </c>
      <c r="F141" t="str">
        <v>PVN-002827</v>
      </c>
      <c r="G141" t="str">
        <v>OrthoLite Regular-Hybrid-Nike SEEDPEARL/12-0703TPX Hybrid Flat Sheet 0.11D 25+/-4 Asker C 1.1M 2M 5mm</v>
      </c>
      <c r="H141">
        <v>56</v>
      </c>
      <c r="I141">
        <v>2</v>
      </c>
      <c r="J141">
        <v>2</v>
      </c>
      <c r="K141" t="str">
        <v>NIKE</v>
      </c>
      <c r="L141" t="str">
        <v>Pr.Sch.R</v>
      </c>
      <c r="M141" t="str">
        <v>MOLDED</v>
      </c>
      <c r="N141">
        <v>11</v>
      </c>
      <c r="Q141">
        <v>46165</v>
      </c>
    </row>
    <row r="142">
      <c r="A142" t="str">
        <v>F-2026-05-181</v>
      </c>
      <c r="B142" t="str">
        <v>RPRO-260513-0812</v>
      </c>
      <c r="C142" t="str">
        <v>20/5</v>
      </c>
      <c r="D142" t="str">
        <v>Pro.sche.report 12.5</v>
      </c>
      <c r="E142" t="str">
        <v>BDB-000149</v>
      </c>
      <c r="F142" t="str">
        <v>PVN-002773</v>
      </c>
      <c r="G142" t="str">
        <v>OrthoLite Regular-Hybrid-Nike SEEDPEARL/12-0703TPX Hybrid Flat Sheet 0.11D 25+/-4 Asker C 1.1M 2M 4mm</v>
      </c>
      <c r="H142">
        <v>280</v>
      </c>
      <c r="I142">
        <v>8</v>
      </c>
      <c r="J142">
        <v>8</v>
      </c>
      <c r="K142" t="str">
        <v>NIKE</v>
      </c>
      <c r="L142" t="str">
        <v>Pr.Sch.R</v>
      </c>
      <c r="M142" t="str">
        <v>DIE CUT</v>
      </c>
      <c r="Q142">
        <v>46167</v>
      </c>
    </row>
    <row r="143">
      <c r="A143" t="str">
        <v>F-2026-05-208</v>
      </c>
      <c r="B143" t="str">
        <v>RPRO-260515-0264</v>
      </c>
      <c r="C143" t="str">
        <v>20/5</v>
      </c>
      <c r="D143" t="str">
        <v>Pro.sche.report 14.05</v>
      </c>
      <c r="E143" t="str">
        <v>BDB-000149</v>
      </c>
      <c r="F143" t="str">
        <v>PVN-002827</v>
      </c>
      <c r="G143" t="str">
        <v>OrthoLite Regular-Hybrid-Nike SEEDPEARL/12-0703TPX Hybrid Flat Sheet 0.11D 25+/-4 Asker C 1.1M 2M 5mm</v>
      </c>
      <c r="H143">
        <v>28</v>
      </c>
      <c r="I143">
        <v>1</v>
      </c>
      <c r="J143">
        <v>1</v>
      </c>
      <c r="K143" t="str">
        <v>NIKE</v>
      </c>
      <c r="L143" t="str">
        <v>Pr.Sch.R</v>
      </c>
      <c r="M143" t="str">
        <v>MOLDED</v>
      </c>
      <c r="Q143">
        <v>46169</v>
      </c>
    </row>
    <row r="145">
      <c r="A145" t="str">
        <v>OIN-2026.05.12-02</v>
      </c>
      <c r="B145" t="str">
        <v>RPRO-260515-0174</v>
      </c>
      <c r="C145" t="str">
        <v>20/5-21/5</v>
      </c>
      <c r="D145" t="str">
        <v>OIN</v>
      </c>
      <c r="E145" t="str">
        <v>BDB-000010</v>
      </c>
      <c r="F145" t="str">
        <v>PVN-004394</v>
      </c>
      <c r="G145" t="str">
        <v>[116-17888] Regular 25+/-4 Asker C 0.11D Air Blue 16-4134 Tpx 1.10M X 2.00M 47mm</v>
      </c>
      <c r="H145">
        <v>319</v>
      </c>
      <c r="I145">
        <v>107</v>
      </c>
      <c r="J145">
        <v>107</v>
      </c>
      <c r="K145" t="str">
        <v>Justin Boots</v>
      </c>
      <c r="L145" t="str">
        <v>PO-7283-SO-260513-0214</v>
      </c>
      <c r="M145" t="str">
        <v>FLAT SHEET</v>
      </c>
      <c r="N145">
        <v>107</v>
      </c>
      <c r="Q145">
        <v>46165</v>
      </c>
    </row>
    <row r="147">
      <c r="A147" t="str">
        <v>F-2026-04-387</v>
      </c>
      <c r="B147" t="str">
        <v>FPRO-260428-0017</v>
      </c>
      <c r="C147" t="str">
        <v>21/5</v>
      </c>
      <c r="D147" t="str">
        <v>Firm plan 28.04</v>
      </c>
      <c r="E147" t="str">
        <v>BDB-000123</v>
      </c>
      <c r="F147" t="str">
        <v>PVN-003299</v>
      </c>
      <c r="G147" t="str">
        <v>OrthoLite Ultra-Hybrid SEEDPEARL/12-0703TPX Hybrid 0.085D 25+/-4 Asker C 1.1M 2M 3mm</v>
      </c>
      <c r="H147">
        <v>7000</v>
      </c>
      <c r="I147">
        <v>153</v>
      </c>
      <c r="J147">
        <v>153</v>
      </c>
      <c r="K147" t="str">
        <v>ADIDAS</v>
      </c>
      <c r="L147" t="str">
        <v>Forecast</v>
      </c>
      <c r="M147" t="str">
        <v>SPLITTING</v>
      </c>
      <c r="N147">
        <v>167</v>
      </c>
      <c r="Q147">
        <v>46165</v>
      </c>
    </row>
    <row r="148">
      <c r="A148" t="str">
        <v>F-2026-05-152</v>
      </c>
      <c r="B148" t="str">
        <v>RPRO-260512-0104</v>
      </c>
      <c r="C148" t="str">
        <v>21/5</v>
      </c>
      <c r="D148" t="str">
        <v>Pro.sche.report 11.05</v>
      </c>
      <c r="E148" t="str">
        <v>BDB-000123</v>
      </c>
      <c r="F148" t="str">
        <v>PVN-002973</v>
      </c>
      <c r="G148" t="str">
        <v>OrthoLite Ultra-Hybrid SEEDPEARL/12-0703TPX Hybrid Flat Sheet 0.085D 25+/-4 Asker C 1.1M 2M 4.5mm</v>
      </c>
      <c r="H148">
        <v>62</v>
      </c>
      <c r="I148">
        <v>3</v>
      </c>
      <c r="J148">
        <v>3</v>
      </c>
      <c r="K148" t="str">
        <v>SALOMON</v>
      </c>
      <c r="L148" t="str">
        <v>Pr.Sch.R</v>
      </c>
      <c r="M148" t="str">
        <v>MOLDED</v>
      </c>
      <c r="Q148">
        <v>46165</v>
      </c>
    </row>
    <row r="149">
      <c r="A149" t="str">
        <v>F-2026-05-187</v>
      </c>
      <c r="B149" t="str">
        <v>RPRO-260514-0445</v>
      </c>
      <c r="C149" t="str">
        <v>21/5</v>
      </c>
      <c r="D149" t="str">
        <v>Pro.sche.report 13.05</v>
      </c>
      <c r="E149" t="str">
        <v>BDB-000123</v>
      </c>
      <c r="F149" t="str">
        <v>PVN-002884</v>
      </c>
      <c r="G149" t="str">
        <v>OrthoLite Ultra-Hybrid SEEDPEARL/12-0703TPX Hybrid Flat Sheet 0.085D 25+/-4 Asker C 1.1M 2M 10mm</v>
      </c>
      <c r="H149">
        <v>13</v>
      </c>
      <c r="I149">
        <v>1</v>
      </c>
      <c r="J149">
        <v>1</v>
      </c>
      <c r="K149" t="str">
        <v>ADIDAS</v>
      </c>
      <c r="L149" t="str">
        <v>Pr.Sch.R</v>
      </c>
      <c r="M149" t="str">
        <v>MOLDED</v>
      </c>
      <c r="Q149">
        <v>46168</v>
      </c>
    </row>
    <row r="150">
      <c r="A150" t="str">
        <v>F-2026-05-188</v>
      </c>
      <c r="B150" t="str">
        <v>RPRO-260514-0446</v>
      </c>
      <c r="C150" t="str">
        <v>21/5</v>
      </c>
      <c r="D150" t="str">
        <v>Pro.sche.report 13.05</v>
      </c>
      <c r="E150" t="str">
        <v>BDB-000123</v>
      </c>
      <c r="F150" t="str">
        <v>PVN-002973</v>
      </c>
      <c r="G150" t="str">
        <v>OrthoLite Ultra-Hybrid SEEDPEARL/12-0703TPX Hybrid Flat Sheet 0.085D 25+/-4 Asker C 1.1M 2M 4.5mm</v>
      </c>
      <c r="H150">
        <v>31</v>
      </c>
      <c r="I150">
        <v>2</v>
      </c>
      <c r="J150">
        <v>2</v>
      </c>
      <c r="K150" t="str">
        <v>SALOMON</v>
      </c>
      <c r="L150" t="str">
        <v>Pr.Sch.R</v>
      </c>
      <c r="M150" t="str">
        <v>MOLDED</v>
      </c>
      <c r="Q150">
        <v>46168</v>
      </c>
    </row>
    <row r="151">
      <c r="A151" t="str">
        <v>F-2026-05-209</v>
      </c>
      <c r="B151" t="str">
        <v>RPRO-260515-0265</v>
      </c>
      <c r="C151" t="str">
        <v>21/5</v>
      </c>
      <c r="D151" t="str">
        <v>Pro.sche.report 14.05</v>
      </c>
      <c r="E151" t="str">
        <v>BDB-000123</v>
      </c>
      <c r="F151" t="str">
        <v>PVN-003011</v>
      </c>
      <c r="G151" t="str">
        <v>OrthoLite Ultra-Hybrid SEEDPEARL/12-0703TPX Hybrid Flat Sheet 0.085D 25+/-4 Asker C 1.1M 2M 16mm</v>
      </c>
      <c r="H151">
        <v>64</v>
      </c>
      <c r="I151">
        <v>8</v>
      </c>
      <c r="J151">
        <v>8</v>
      </c>
      <c r="K151" t="str">
        <v>CLARKS</v>
      </c>
      <c r="L151" t="str">
        <v>Pr.Sch.R</v>
      </c>
      <c r="M151" t="str">
        <v>MOLDED</v>
      </c>
      <c r="Q151">
        <v>46169</v>
      </c>
    </row>
    <row r="152">
      <c r="G152" t="str">
        <v>RELEASE ĐỢT 1</v>
      </c>
    </row>
    <row r="153">
      <c r="H153">
        <v>40707</v>
      </c>
      <c r="I153">
        <v>1470</v>
      </c>
      <c r="J153">
        <v>1470</v>
      </c>
      <c r="N153">
        <v>1190</v>
      </c>
      <c r="O153">
        <v>-58</v>
      </c>
    </row>
    <row r="154">
      <c r="A154" t="str">
        <v>Máy 3</v>
      </c>
      <c r="G154" t="str">
        <v>18/5-23/5</v>
      </c>
    </row>
    <row r="155">
      <c r="A155" t="str">
        <v>F-2026-05-107</v>
      </c>
      <c r="B155" t="str">
        <v>RPRO-260508-0418</v>
      </c>
      <c r="C155" t="str">
        <v>18/5</v>
      </c>
      <c r="D155" t="str">
        <v>Pro.sche.report 07.5</v>
      </c>
      <c r="E155" t="str">
        <v>BDB-000126</v>
      </c>
      <c r="F155" t="str">
        <v>PVN-002325</v>
      </c>
      <c r="G155" t="str">
        <v>OrthoLite Regular-Nike RED/19-1764TPX Flat Sheet 0.11D 25+/-4 Asker C 1.1M 2M 5.2mm</v>
      </c>
      <c r="H155">
        <v>390</v>
      </c>
      <c r="I155">
        <v>15</v>
      </c>
      <c r="J155">
        <v>15</v>
      </c>
      <c r="K155" t="str">
        <v>NIKE</v>
      </c>
      <c r="L155" t="str">
        <v>Pr.Sch.R</v>
      </c>
      <c r="M155" t="str">
        <v>MOLDED</v>
      </c>
      <c r="N155">
        <v>1</v>
      </c>
      <c r="O155" t="str">
        <v>Đơn cũ W20</v>
      </c>
      <c r="P155">
        <v>1</v>
      </c>
      <c r="Q155">
        <v>46162</v>
      </c>
    </row>
    <row r="157">
      <c r="A157" t="str">
        <v>F-2026-05-101</v>
      </c>
      <c r="B157" t="str">
        <v>RPRO-260508-0412</v>
      </c>
      <c r="C157" t="str">
        <v>18/5</v>
      </c>
      <c r="D157" t="str">
        <v>MPS 07.5</v>
      </c>
      <c r="E157" t="str">
        <v>BDB-000200</v>
      </c>
      <c r="F157" t="str">
        <v>PVN-003425</v>
      </c>
      <c r="G157" t="str">
        <v>OrthoLite Ultra SEEDPEARL/12-0703TPX Flat Sheet 0.085D 78-90 Asker F 1.1M 2M 4mm</v>
      </c>
      <c r="H157">
        <v>35</v>
      </c>
      <c r="I157">
        <v>1</v>
      </c>
      <c r="J157">
        <v>1</v>
      </c>
      <c r="L157" t="str">
        <v>MPS</v>
      </c>
      <c r="M157" t="str">
        <v>SPLITTING</v>
      </c>
      <c r="N157">
        <v>1</v>
      </c>
      <c r="O157" t="str">
        <v>Đơn cũ W20</v>
      </c>
      <c r="P157">
        <v>1</v>
      </c>
      <c r="Q157">
        <v>46158</v>
      </c>
    </row>
    <row r="159">
      <c r="A159" t="str">
        <v>F-2026-05-136-1</v>
      </c>
      <c r="B159" t="str">
        <v>RPRO-260512-0088</v>
      </c>
      <c r="C159" t="str">
        <v>18/5</v>
      </c>
      <c r="D159" t="str">
        <v>MPS 11.05</v>
      </c>
      <c r="E159" t="str">
        <v>BDB-000057</v>
      </c>
      <c r="F159" t="str">
        <v>PVN-000925</v>
      </c>
      <c r="G159" t="str">
        <v>OrthoLite Ultra YELLOW/13-0858TPX Flat Sheet 0.085D 25+/-4 Asker C 1.1M 2M 5mm</v>
      </c>
      <c r="H159">
        <v>24</v>
      </c>
      <c r="I159">
        <v>1</v>
      </c>
      <c r="J159">
        <v>1</v>
      </c>
      <c r="L159" t="str">
        <v>MPS</v>
      </c>
      <c r="M159" t="str">
        <v>SPLITTING</v>
      </c>
      <c r="N159">
        <v>1</v>
      </c>
      <c r="O159" t="str">
        <v>Đơn cũ W20</v>
      </c>
      <c r="P159">
        <v>1</v>
      </c>
      <c r="Q159">
        <v>46161</v>
      </c>
    </row>
    <row r="161">
      <c r="A161" t="str">
        <v>F-2026-05-118</v>
      </c>
      <c r="B161" t="str">
        <v>RPRO-260511-0338</v>
      </c>
      <c r="C161" t="str">
        <v>18/5</v>
      </c>
      <c r="D161" t="str">
        <v>MPS 08.5+09.5+10.5</v>
      </c>
      <c r="E161" t="str">
        <v>BDB-000353</v>
      </c>
      <c r="F161" t="str">
        <v>PVN-004350</v>
      </c>
      <c r="G161" t="str">
        <v>OrthoLite Regular SEEDPEARL/12-0703TPX Flat Sheet 0.13D 35+/-4 Asker C 1.1M 1.47M 13mm</v>
      </c>
      <c r="H161">
        <v>10</v>
      </c>
      <c r="I161">
        <v>1</v>
      </c>
      <c r="J161">
        <v>1</v>
      </c>
      <c r="L161" t="str">
        <v>MPS</v>
      </c>
      <c r="M161" t="str">
        <v>SPLITTING</v>
      </c>
      <c r="N161">
        <v>1</v>
      </c>
      <c r="O161" t="str">
        <v>Đơn cũ W20</v>
      </c>
      <c r="P161">
        <v>1</v>
      </c>
      <c r="Q161">
        <v>46161</v>
      </c>
    </row>
    <row r="163">
      <c r="A163" t="str">
        <v>F-2026-04-238</v>
      </c>
      <c r="B163" t="str">
        <v>FPRO-260416-0023</v>
      </c>
      <c r="C163" t="str">
        <v>18/5</v>
      </c>
      <c r="D163" t="str">
        <v>Firm plan 16.4</v>
      </c>
      <c r="E163" t="str">
        <v>BDB-000235</v>
      </c>
      <c r="F163" t="str">
        <v>PVN-003576</v>
      </c>
      <c r="G163" t="str">
        <v>OrthoLite X-55-Hybrid FOSSIL/17-0909TPX Hybrid Flat Sheet 0.16D 25+/-4 Asker C 1.1M 1.7M 12mm</v>
      </c>
      <c r="H163">
        <v>2000</v>
      </c>
      <c r="I163">
        <v>174</v>
      </c>
      <c r="J163">
        <v>174</v>
      </c>
      <c r="K163" t="str">
        <v>ASICS</v>
      </c>
      <c r="L163" t="str">
        <v>Forecast</v>
      </c>
      <c r="M163" t="str">
        <v>MOLDED</v>
      </c>
      <c r="N163">
        <v>174</v>
      </c>
      <c r="O163" t="str">
        <v>Đơn cũ W20</v>
      </c>
      <c r="P163">
        <v>174</v>
      </c>
      <c r="Q163">
        <v>46161</v>
      </c>
    </row>
    <row r="165">
      <c r="A165" t="str">
        <v>F-2026-05-191</v>
      </c>
      <c r="B165" t="str">
        <v>RPRO-260514-0449</v>
      </c>
      <c r="C165" t="str">
        <v>18/5</v>
      </c>
      <c r="D165" t="str">
        <v>Pro.sche.report 13.05</v>
      </c>
      <c r="E165" t="str">
        <v>BDB-000226</v>
      </c>
      <c r="F165" t="str">
        <v>PVN-003517</v>
      </c>
      <c r="G165" t="str">
        <v>OrthoLite Regular GREY/17-1501TPX Flat Sheet 0.16D 51+/-4 Asker C 1.1M 1.7M 12mm</v>
      </c>
      <c r="H165">
        <v>11</v>
      </c>
      <c r="I165">
        <v>2</v>
      </c>
      <c r="J165">
        <v>2</v>
      </c>
      <c r="K165" t="str">
        <v>CONVERSE</v>
      </c>
      <c r="L165" t="str">
        <v>Pr.Sch.R</v>
      </c>
      <c r="M165" t="str">
        <v>DIE CUT</v>
      </c>
      <c r="N165">
        <v>2</v>
      </c>
      <c r="Q165">
        <v>46161</v>
      </c>
    </row>
    <row r="167">
      <c r="A167" t="str">
        <v>F-2026-05-142</v>
      </c>
      <c r="B167" t="str">
        <v>RPRO-260512-0094</v>
      </c>
      <c r="C167" t="str">
        <v>18/5-19/5</v>
      </c>
      <c r="D167" t="str">
        <v>MPS 11.05</v>
      </c>
      <c r="E167" t="str">
        <v>BDB-000353</v>
      </c>
      <c r="F167" t="str">
        <v>PVN-004249</v>
      </c>
      <c r="G167" t="str">
        <v>OrthoLite Regular SEEDPEARL/12-0703TPX Flat Sheet 0.13D 35+/-4 Asker C 1.1M 1.47M 15mm</v>
      </c>
      <c r="H167">
        <v>8</v>
      </c>
      <c r="I167">
        <v>1</v>
      </c>
      <c r="J167">
        <v>1</v>
      </c>
      <c r="L167" t="str">
        <v>MPS</v>
      </c>
      <c r="M167" t="str">
        <v>SPLITTING</v>
      </c>
      <c r="N167">
        <v>4</v>
      </c>
      <c r="P167" t="str">
        <v xml:space="preserve">gấp </v>
      </c>
      <c r="Q167">
        <v>46162</v>
      </c>
    </row>
    <row r="168">
      <c r="A168" t="str">
        <v>F-2026-05-117</v>
      </c>
      <c r="B168" t="str">
        <v>RPRO-260511-0337</v>
      </c>
      <c r="C168" t="str">
        <v>19/5</v>
      </c>
      <c r="D168" t="str">
        <v>MPS 08.5+09.5+10.5</v>
      </c>
      <c r="E168" t="str">
        <v>BDB-000353</v>
      </c>
      <c r="F168" t="str">
        <v>PVN-004219</v>
      </c>
      <c r="G168" t="str">
        <v>OrthoLite Regular SEEDPEARL/12-0703TPX Flat Sheet 0.13D 35+/-4 Asker C 1.1M 1.47M 4mm</v>
      </c>
      <c r="H168">
        <v>105</v>
      </c>
      <c r="I168">
        <v>3</v>
      </c>
      <c r="J168">
        <v>3</v>
      </c>
      <c r="L168" t="str">
        <v>MPS</v>
      </c>
      <c r="M168" t="str">
        <v>SPLITTING</v>
      </c>
      <c r="Q168">
        <v>46162</v>
      </c>
    </row>
    <row r="170">
      <c r="A170" t="str">
        <v>F-2026-05-189</v>
      </c>
      <c r="B170" t="str">
        <v>RPRO-260514-0447</v>
      </c>
      <c r="C170" t="str">
        <v>19/5</v>
      </c>
      <c r="D170" t="str">
        <v>Pro.sche.report 13.05</v>
      </c>
      <c r="E170" t="str">
        <v>BDB-000275</v>
      </c>
      <c r="F170" t="str">
        <v>PVN-003797</v>
      </c>
      <c r="G170" t="str">
        <v>OrthoLite Regular RED/19-1764TPX Flat Sheet 0.15D 45+/-4 Asker C 1.1M 1.7M 3mm</v>
      </c>
      <c r="H170">
        <v>46</v>
      </c>
      <c r="I170">
        <v>2</v>
      </c>
      <c r="J170">
        <v>2</v>
      </c>
      <c r="K170" t="str">
        <v>FOOTJOY</v>
      </c>
      <c r="L170" t="str">
        <v>Pr.Sch.R</v>
      </c>
      <c r="M170" t="str">
        <v>MOLDED</v>
      </c>
      <c r="N170">
        <v>2</v>
      </c>
      <c r="Q170">
        <v>46162</v>
      </c>
    </row>
    <row r="172">
      <c r="A172" t="str">
        <v>F-2026-03-477</v>
      </c>
      <c r="B172" t="str">
        <v>FPRO-260324-0049</v>
      </c>
      <c r="C172" t="str">
        <v>19/5</v>
      </c>
      <c r="D172" t="str">
        <v>Firm plan 24.3</v>
      </c>
      <c r="E172" t="str">
        <v>BDB-000131</v>
      </c>
      <c r="F172" t="str">
        <v>PVN-001565</v>
      </c>
      <c r="G172" t="str">
        <v>OrthoLite Regular-Nike AIR BLUE/16-4134TPX 0.11D 15+/-4 Asker C 1.1M 2M 4mm</v>
      </c>
      <c r="H172">
        <v>400</v>
      </c>
      <c r="I172">
        <v>12</v>
      </c>
      <c r="J172">
        <v>12</v>
      </c>
      <c r="K172" t="str">
        <v>NIKE</v>
      </c>
      <c r="L172" t="str">
        <v>Forecast</v>
      </c>
      <c r="M172" t="str">
        <v>DIE CUT</v>
      </c>
      <c r="N172">
        <v>12</v>
      </c>
      <c r="Q172">
        <v>46162</v>
      </c>
    </row>
    <row r="174">
      <c r="A174" t="str">
        <v>F-2026-02-316</v>
      </c>
      <c r="B174" t="str">
        <v>FPRO-260212-0013</v>
      </c>
      <c r="C174" t="str">
        <v>19/5</v>
      </c>
      <c r="D174" t="str">
        <v>Firm plan 12.02</v>
      </c>
      <c r="E174" t="str">
        <v>BDB-000163</v>
      </c>
      <c r="F174" t="str">
        <v>PVN-001556</v>
      </c>
      <c r="G174" t="str">
        <v>OrthoLite Ultra-Nike YELLOW/13-0858TPX 0.085D 25+/-4 Asker C 1.1M 2M 4mm</v>
      </c>
      <c r="H174">
        <v>1500</v>
      </c>
      <c r="I174">
        <v>43</v>
      </c>
      <c r="J174">
        <v>43</v>
      </c>
      <c r="K174" t="str">
        <v>NIKE</v>
      </c>
      <c r="L174" t="str">
        <v>Forecast</v>
      </c>
      <c r="M174" t="str">
        <v>DIE CUT</v>
      </c>
      <c r="N174">
        <v>43</v>
      </c>
      <c r="Q174">
        <v>46162</v>
      </c>
    </row>
    <row r="176">
      <c r="A176" t="str">
        <v>F-2026-03-464-1</v>
      </c>
      <c r="B176" t="str">
        <v>FPRO-260324-0036</v>
      </c>
      <c r="C176" t="str">
        <v>19/5</v>
      </c>
      <c r="D176" t="str">
        <v>Firm plan 24.3</v>
      </c>
      <c r="E176" t="str">
        <v>BDB-000259</v>
      </c>
      <c r="F176" t="str">
        <v>PVN-003684</v>
      </c>
      <c r="G176" t="str">
        <v>OrthoLite Nike PP002 GLACIER GRAY/14-4102TPX Flat Sheet 0.145D 25+/-4 asker C 1.1M 2M 4.2mm</v>
      </c>
      <c r="H176">
        <v>1000</v>
      </c>
      <c r="I176">
        <v>31</v>
      </c>
      <c r="J176">
        <v>31</v>
      </c>
      <c r="K176" t="str">
        <v>NIKE</v>
      </c>
      <c r="L176" t="str">
        <v>Forecast</v>
      </c>
      <c r="M176" t="str">
        <v>MOLDED</v>
      </c>
      <c r="N176">
        <v>31</v>
      </c>
      <c r="Q176">
        <v>46162</v>
      </c>
    </row>
    <row r="178">
      <c r="A178" t="str">
        <v>F-2026-05-165</v>
      </c>
      <c r="B178" t="str">
        <v>RPRO-260513-0796</v>
      </c>
      <c r="C178" t="str">
        <v>19/5</v>
      </c>
      <c r="D178" t="str">
        <v>MPS 12.5</v>
      </c>
      <c r="E178" t="str">
        <v>BDB-000067</v>
      </c>
      <c r="F178" t="str">
        <v>PVN-001415</v>
      </c>
      <c r="G178" t="str">
        <v>OrthoLite Ultra SEEDPEARL/12-0703TPX Flat Sheet 0.085D 25+/-4 Asker C 1.1M 2M 4mm</v>
      </c>
      <c r="H178">
        <v>490</v>
      </c>
      <c r="I178">
        <v>14</v>
      </c>
      <c r="J178">
        <v>14</v>
      </c>
      <c r="L178" t="str">
        <v>MPS</v>
      </c>
      <c r="M178" t="str">
        <v>SPLITTING</v>
      </c>
      <c r="N178">
        <v>38</v>
      </c>
      <c r="Q178">
        <v>46162</v>
      </c>
    </row>
    <row r="179">
      <c r="A179" t="str">
        <v>F-2026-05-154</v>
      </c>
      <c r="B179" t="str">
        <v>RPRO-260512-0106</v>
      </c>
      <c r="C179" t="str">
        <v>19/5</v>
      </c>
      <c r="D179" t="str">
        <v>Pro.sche.report 11.05</v>
      </c>
      <c r="E179" t="str">
        <v>BDB-000067</v>
      </c>
      <c r="F179" t="str">
        <v>PVN-002129</v>
      </c>
      <c r="G179" t="str">
        <v>OrthoLite Ultra SEEDPEARL/12-0703TPX Flat Sheet 0.085D 25+/-4 Asker C 1.1M 2M 6mm</v>
      </c>
      <c r="H179">
        <v>46</v>
      </c>
      <c r="I179">
        <v>3</v>
      </c>
      <c r="J179">
        <v>3</v>
      </c>
      <c r="K179" t="str">
        <v>BABOLAT</v>
      </c>
      <c r="L179" t="str">
        <v>Pr.Sch.R</v>
      </c>
      <c r="M179" t="str">
        <v>DIE CUT</v>
      </c>
      <c r="Q179">
        <v>46165</v>
      </c>
    </row>
    <row r="180">
      <c r="A180" t="str">
        <v>F-2026-05-173</v>
      </c>
      <c r="B180" t="str">
        <v>RPRO-260513-0804</v>
      </c>
      <c r="C180" t="str">
        <v>19/5</v>
      </c>
      <c r="D180" t="str">
        <v>Pro.sche.report 12.5</v>
      </c>
      <c r="E180" t="str">
        <v>BDB-000067</v>
      </c>
      <c r="F180" t="str">
        <v>PVN-002129</v>
      </c>
      <c r="G180" t="str">
        <v>OrthoLite Ultra SEEDPEARL/12-0703TPX Flat Sheet 0.085D 25+/-4 Asker C 1.1M 2M 6mm</v>
      </c>
      <c r="H180">
        <v>460</v>
      </c>
      <c r="I180">
        <v>21</v>
      </c>
      <c r="J180">
        <v>21</v>
      </c>
      <c r="K180" t="str">
        <v>BABOLAT</v>
      </c>
      <c r="L180" t="str">
        <v>Pr.Sch.R</v>
      </c>
      <c r="M180" t="str">
        <v>DIE CUT</v>
      </c>
      <c r="Q180">
        <v>46167</v>
      </c>
    </row>
    <row r="181">
      <c r="G181" t="str">
        <v>xxxxxxxxxxxxxxxxxxxxxxxxxxxxxxxxx</v>
      </c>
    </row>
    <row r="182">
      <c r="A182" t="str">
        <v>F-2026-05-175</v>
      </c>
      <c r="B182" t="str">
        <v>RPRO-260513-0806</v>
      </c>
      <c r="C182" t="str">
        <v>19/5</v>
      </c>
      <c r="D182" t="str">
        <v>Pro.sche.report 12.5</v>
      </c>
      <c r="E182" t="str">
        <v>BDB-000004</v>
      </c>
      <c r="F182" t="str">
        <v>PVN-000445</v>
      </c>
      <c r="G182" t="str">
        <v>OrthoLite Regular GREY/17-1501TPX Flat Sheet 0.11D 25+/-4 Asker C 1.1M 2M 13mm</v>
      </c>
      <c r="H182">
        <v>50</v>
      </c>
      <c r="I182">
        <v>5</v>
      </c>
      <c r="J182">
        <v>5</v>
      </c>
      <c r="K182" t="str">
        <v>DANNER</v>
      </c>
      <c r="L182" t="str">
        <v>Pr.Sch.R</v>
      </c>
      <c r="M182" t="str">
        <v>MOLDED</v>
      </c>
      <c r="N182">
        <v>74</v>
      </c>
      <c r="Q182">
        <v>46162</v>
      </c>
    </row>
    <row r="183">
      <c r="A183" t="str">
        <v>F-2026-05-180</v>
      </c>
      <c r="B183" t="str">
        <v>RPRO-260513-0811</v>
      </c>
      <c r="C183" t="str">
        <v>19/5-20/5</v>
      </c>
      <c r="D183" t="str">
        <v>Pro.sche.report 12.5</v>
      </c>
      <c r="E183" t="str">
        <v>BDB-000004</v>
      </c>
      <c r="F183" t="str">
        <v>PVN-000060</v>
      </c>
      <c r="G183" t="str">
        <v>OrthoLite Regular GREY/17-1501TPX Flat Sheet 0.11D 25+/-4 Asker C 1.1M 2M 14mm</v>
      </c>
      <c r="H183">
        <v>621</v>
      </c>
      <c r="I183">
        <v>69</v>
      </c>
      <c r="J183">
        <v>69</v>
      </c>
      <c r="K183" t="str">
        <v>DANNER</v>
      </c>
      <c r="L183" t="str">
        <v>Pr.Sch.R</v>
      </c>
      <c r="M183" t="str">
        <v>MOLDED</v>
      </c>
      <c r="P183" t="str">
        <v xml:space="preserve">gấp </v>
      </c>
      <c r="Q183">
        <v>46163</v>
      </c>
    </row>
    <row r="185">
      <c r="A185" t="str">
        <v>F-2026-05-164</v>
      </c>
      <c r="B185" t="str">
        <v>RPRO-260513-0795</v>
      </c>
      <c r="C185" t="str">
        <v>20/5</v>
      </c>
      <c r="D185" t="str">
        <v>MPS 12.5</v>
      </c>
      <c r="E185" t="str">
        <v>BDB-000224</v>
      </c>
      <c r="F185" t="str">
        <v>PVN-004258</v>
      </c>
      <c r="G185" t="str">
        <v>OrthoLite R&amp;R CASTLEROCK/18-0201TPX Flat Sheet 0.16D 15+/-4 Asker C 1.1M 1.7M 3mm</v>
      </c>
      <c r="H185">
        <v>92</v>
      </c>
      <c r="I185">
        <v>3</v>
      </c>
      <c r="J185">
        <v>3</v>
      </c>
      <c r="L185" t="str">
        <v>MPS</v>
      </c>
      <c r="M185" t="str">
        <v>SPLITTING</v>
      </c>
      <c r="N185">
        <v>3</v>
      </c>
      <c r="Q185">
        <v>46163</v>
      </c>
    </row>
    <row r="187">
      <c r="A187" t="str">
        <v>F-2026-05-184</v>
      </c>
      <c r="B187" t="str">
        <v>RPRO-260514-0442</v>
      </c>
      <c r="C187" t="str">
        <v>20/5</v>
      </c>
      <c r="D187" t="str">
        <v>MPS 13.05</v>
      </c>
      <c r="E187" t="str">
        <v>BDB-000085</v>
      </c>
      <c r="F187" t="str">
        <v>PVN-001091</v>
      </c>
      <c r="G187" t="str">
        <v>OrthoLite Eco LT GREY/17-1501TPX Flat Sheet 0.11D 25+/-4 Asker C 1.1M 2M 4mm</v>
      </c>
      <c r="H187">
        <v>70</v>
      </c>
      <c r="I187">
        <v>2</v>
      </c>
      <c r="J187">
        <v>2</v>
      </c>
      <c r="L187" t="str">
        <v>MPS</v>
      </c>
      <c r="M187" t="str">
        <v>SPLITTING</v>
      </c>
      <c r="N187">
        <v>2</v>
      </c>
      <c r="Q187">
        <v>46163</v>
      </c>
    </row>
    <row r="189">
      <c r="A189" t="str">
        <v>F-2026-05-136-2</v>
      </c>
      <c r="B189" t="str">
        <v>RPRO-260513-0784</v>
      </c>
      <c r="C189" t="str">
        <v>20/5</v>
      </c>
      <c r="D189" t="str">
        <v>MPS 11.05</v>
      </c>
      <c r="E189" t="str">
        <v>BDB-000057</v>
      </c>
      <c r="F189" t="str">
        <v>PVN-000925</v>
      </c>
      <c r="G189" t="str">
        <v>OrthoLite Ultra YELLOW/13-0858TPX Flat Sheet 0.085D 25+/-4 Asker C 1.1M 2M 5mm</v>
      </c>
      <c r="H189">
        <v>284</v>
      </c>
      <c r="I189">
        <v>11</v>
      </c>
      <c r="J189">
        <v>11</v>
      </c>
      <c r="L189" t="str">
        <v>MPS</v>
      </c>
      <c r="M189" t="str">
        <v>SPLITTING</v>
      </c>
      <c r="N189">
        <v>11</v>
      </c>
      <c r="Q189">
        <v>46163</v>
      </c>
    </row>
    <row r="191">
      <c r="A191" t="str">
        <v>F-2026-05-144</v>
      </c>
      <c r="B191" t="str">
        <v>RPRO-260512-0096</v>
      </c>
      <c r="C191" t="str">
        <v>20/5</v>
      </c>
      <c r="D191" t="str">
        <v>Pro.sche.report 11.05</v>
      </c>
      <c r="E191" t="str">
        <v>BDB-000011</v>
      </c>
      <c r="F191" t="str">
        <v>PVN-000121</v>
      </c>
      <c r="G191" t="str">
        <v>OrthoLite Regular AIR BLUE/16-4134TPX Flat Sheet 0.13D 35+/-4 Asker C 1.1M 2M 12mm (02*SLT)</v>
      </c>
      <c r="H191">
        <v>2</v>
      </c>
      <c r="I191">
        <v>1</v>
      </c>
      <c r="J191">
        <v>1</v>
      </c>
      <c r="K191" t="str">
        <v>ASICS</v>
      </c>
      <c r="L191" t="str">
        <v>Pr.Sch.R</v>
      </c>
      <c r="M191" t="str">
        <v>MOLDED</v>
      </c>
      <c r="N191">
        <v>36</v>
      </c>
      <c r="O191" t="str">
        <v xml:space="preserve">W20 đổ dư 6 bun </v>
      </c>
      <c r="Q191">
        <v>46163</v>
      </c>
    </row>
    <row r="192">
      <c r="A192" t="str">
        <v>F-2026-05-145</v>
      </c>
      <c r="B192" t="str">
        <v>RPRO-260512-0097</v>
      </c>
      <c r="C192" t="str">
        <v>20/5</v>
      </c>
      <c r="D192" t="str">
        <v>Pro.sche.report 11.05</v>
      </c>
      <c r="E192" t="str">
        <v>BDB-000011</v>
      </c>
      <c r="F192" t="str">
        <v>PVN-000121</v>
      </c>
      <c r="G192" t="str">
        <v>OrthoLite Regular AIR BLUE/16-4134TPX Flat Sheet 0.13D 35+/-4 Asker C 1.1M 2M 12mm</v>
      </c>
      <c r="H192">
        <v>31</v>
      </c>
      <c r="I192">
        <v>3</v>
      </c>
      <c r="J192">
        <v>3</v>
      </c>
      <c r="K192" t="str">
        <v>ASICS</v>
      </c>
      <c r="L192" t="str">
        <v>Pr.Sch.R</v>
      </c>
      <c r="M192" t="str">
        <v>MOLDED</v>
      </c>
      <c r="N192" t="str">
        <v>42-6</v>
      </c>
      <c r="Q192">
        <v>46163</v>
      </c>
    </row>
    <row r="193">
      <c r="A193" t="str">
        <v>F-2026-05-186</v>
      </c>
      <c r="B193" t="str">
        <v>RPRO-260514-0444</v>
      </c>
      <c r="C193" t="str">
        <v>20/5</v>
      </c>
      <c r="D193" t="str">
        <v>Pro.sche.report 13.05</v>
      </c>
      <c r="E193" t="str">
        <v>BDB-000011</v>
      </c>
      <c r="F193" t="str">
        <v>PVN-000121</v>
      </c>
      <c r="G193" t="str">
        <v>OrthoLite Regular AIR BLUE/16-4134TPX Flat Sheet 0.13D 35+/-4 Asker C 1.1M 2M 12mm</v>
      </c>
      <c r="H193">
        <v>11</v>
      </c>
      <c r="I193">
        <v>1</v>
      </c>
      <c r="J193">
        <v>1</v>
      </c>
      <c r="K193" t="str">
        <v>ASICS</v>
      </c>
      <c r="L193" t="str">
        <v>Pr.Sch.R</v>
      </c>
      <c r="M193" t="str">
        <v>MOLDED</v>
      </c>
      <c r="Q193">
        <v>46163</v>
      </c>
    </row>
    <row r="194">
      <c r="A194" t="str">
        <v>F-2026-01-491</v>
      </c>
      <c r="B194" t="str">
        <v>FPRO-260130-0014</v>
      </c>
      <c r="C194" t="str">
        <v>20/5</v>
      </c>
      <c r="D194" t="str">
        <v>Firm plan 30.01</v>
      </c>
      <c r="E194" t="str">
        <v>BDB-000011</v>
      </c>
      <c r="F194" t="str">
        <v>PVN-000258</v>
      </c>
      <c r="G194" t="str">
        <v>OrthoLite Regular AIR BLUE/16-4134TPX Flat Sheet 0.13D 35+/-4 Asker C 1.1M 2M 2.5mm</v>
      </c>
      <c r="H194">
        <v>2000</v>
      </c>
      <c r="I194">
        <v>36</v>
      </c>
      <c r="J194">
        <v>36</v>
      </c>
      <c r="K194" t="str">
        <v>ASICS</v>
      </c>
      <c r="L194" t="str">
        <v>Forecast</v>
      </c>
      <c r="M194" t="str">
        <v>SPLITTING</v>
      </c>
      <c r="Q194">
        <v>46165</v>
      </c>
    </row>
    <row r="195">
      <c r="A195" t="str">
        <v>F-2026-05-194</v>
      </c>
      <c r="B195" t="str">
        <v>RPRO-260515-0250</v>
      </c>
      <c r="C195" t="str">
        <v>20/5</v>
      </c>
      <c r="D195" t="str">
        <v>MPS 14.05</v>
      </c>
      <c r="E195" t="str">
        <v>BDB-000011</v>
      </c>
      <c r="F195" t="str">
        <v>PVN-000126</v>
      </c>
      <c r="G195" t="str">
        <v>OrthoLite Regular AIR BLUE/16-4134TPX Flat Sheet 0.13D 35+/-4 Asker C 1.1M 2M 4mm</v>
      </c>
      <c r="H195">
        <v>35</v>
      </c>
      <c r="I195">
        <v>1</v>
      </c>
      <c r="J195">
        <v>1</v>
      </c>
      <c r="L195" t="str">
        <v>MPS</v>
      </c>
      <c r="M195" t="str">
        <v>SPLITTING</v>
      </c>
      <c r="Q195">
        <v>46169</v>
      </c>
    </row>
    <row r="197">
      <c r="A197" t="str">
        <v>F-2026-03-455</v>
      </c>
      <c r="B197" t="str">
        <v>FPRO-260324-0027</v>
      </c>
      <c r="C197" t="str">
        <v>20/5</v>
      </c>
      <c r="D197" t="str">
        <v>Firm plan 24.3</v>
      </c>
      <c r="E197" t="str">
        <v>BDB-000161</v>
      </c>
      <c r="F197" t="str">
        <v>PVN-001560</v>
      </c>
      <c r="G197" t="str">
        <v>OrthoLite Ultra-Nike FOSSIL/17-0909TPX 0.085D 25+/-4 Asker C 1.1M 2M 4mm</v>
      </c>
      <c r="H197">
        <v>1000</v>
      </c>
      <c r="I197">
        <v>29</v>
      </c>
      <c r="J197">
        <v>29</v>
      </c>
      <c r="K197" t="str">
        <v>NIKE</v>
      </c>
      <c r="L197" t="str">
        <v>Forecast</v>
      </c>
      <c r="M197" t="str">
        <v>DIE CUT</v>
      </c>
      <c r="N197">
        <v>29</v>
      </c>
      <c r="Q197">
        <v>46163</v>
      </c>
    </row>
    <row r="199">
      <c r="A199" t="str">
        <v>OIN-2026.05.15-01</v>
      </c>
      <c r="C199" t="str">
        <v>20/5</v>
      </c>
      <c r="D199" t="str">
        <v>OIN</v>
      </c>
      <c r="E199" t="str">
        <v>BDB-000300</v>
      </c>
      <c r="F199" t="str">
        <v>PVN-004267</v>
      </c>
      <c r="G199" t="str">
        <v>[116-12954] Ultra Nike 25+/-4 Asker C 0.085D Seedpearl 12-0703 Tpx 1.10M X 1.70M 47mm</v>
      </c>
      <c r="H199">
        <v>10</v>
      </c>
      <c r="I199">
        <v>4</v>
      </c>
      <c r="J199">
        <v>4</v>
      </c>
      <c r="K199" t="str">
        <v>NIKE</v>
      </c>
      <c r="L199" t="str">
        <v>PO-7307</v>
      </c>
      <c r="M199" t="str">
        <v>FLAT SHEET</v>
      </c>
      <c r="N199">
        <v>4</v>
      </c>
      <c r="Q199">
        <v>46165</v>
      </c>
    </row>
    <row r="201">
      <c r="A201" t="str">
        <v>OIN-2026.05.12-08</v>
      </c>
      <c r="B201" t="str">
        <v>RPRO-260515-0180</v>
      </c>
      <c r="C201" t="str">
        <v>20/5</v>
      </c>
      <c r="D201" t="str">
        <v>OIN</v>
      </c>
      <c r="E201" t="str">
        <v>BDB-000015</v>
      </c>
      <c r="F201" t="str">
        <v>PVN-003808</v>
      </c>
      <c r="G201" t="str">
        <v>[116-190] Regular 25+/-4 Asker C 0.13D Air Blue 16-4134 Tpx 1.10M X 2.00M 47mm</v>
      </c>
      <c r="H201">
        <v>21</v>
      </c>
      <c r="I201">
        <v>7</v>
      </c>
      <c r="J201">
        <v>7</v>
      </c>
      <c r="K201" t="str">
        <v>One Tiger</v>
      </c>
      <c r="L201" t="str">
        <v>PO-7283-SO-260513-0220</v>
      </c>
      <c r="M201" t="str">
        <v>FLAT SHEET</v>
      </c>
      <c r="N201">
        <v>7</v>
      </c>
      <c r="Q201">
        <v>46165</v>
      </c>
    </row>
    <row r="203">
      <c r="A203" t="str">
        <v>OIN-2026.05.12-05</v>
      </c>
      <c r="B203" t="str">
        <v>RPRO-260515-0177</v>
      </c>
      <c r="C203" t="str">
        <v>20/5</v>
      </c>
      <c r="D203" t="str">
        <v>OIN</v>
      </c>
      <c r="E203" t="str">
        <v>BDB-000031</v>
      </c>
      <c r="F203" t="str">
        <v>PVN-003876</v>
      </c>
      <c r="G203" t="str">
        <v>[116-186] Regular 25+/-4 Asker C 0.11D Burnt Sienna 17-1544 Tpx 1.10M X 2.00M 47mm</v>
      </c>
      <c r="H203">
        <v>21</v>
      </c>
      <c r="I203">
        <v>7</v>
      </c>
      <c r="J203">
        <v>7</v>
      </c>
      <c r="K203" t="str">
        <v>Clarks</v>
      </c>
      <c r="L203" t="str">
        <v>PO-7283-SO-260513-0217</v>
      </c>
      <c r="M203" t="str">
        <v>FLAT SHEET</v>
      </c>
      <c r="N203">
        <v>7</v>
      </c>
      <c r="Q203">
        <v>46165</v>
      </c>
    </row>
    <row r="205">
      <c r="A205" t="str">
        <v>F-2026-05-114</v>
      </c>
      <c r="B205" t="str">
        <v>RPRO-260511-0334</v>
      </c>
      <c r="C205" t="str">
        <v>20/5</v>
      </c>
      <c r="D205" t="str">
        <v>MPS 08.5+09.5+10.5</v>
      </c>
      <c r="E205" t="str">
        <v>BDB-000032</v>
      </c>
      <c r="F205" t="str">
        <v>PVN-000840</v>
      </c>
      <c r="G205" t="str">
        <v>OrthoLite Regular SEEDPEARL/12-0703TPX 0.11D 25+/-4 Asker C 1.1M 2M 5mm</v>
      </c>
      <c r="H205">
        <v>140</v>
      </c>
      <c r="I205">
        <v>5</v>
      </c>
      <c r="J205">
        <v>5</v>
      </c>
      <c r="L205" t="str">
        <v>MPS</v>
      </c>
      <c r="M205" t="str">
        <v>SPLITTING</v>
      </c>
      <c r="N205">
        <v>5</v>
      </c>
      <c r="Q205">
        <v>46165</v>
      </c>
    </row>
    <row r="207">
      <c r="A207" t="str">
        <v>F-2026-05-115</v>
      </c>
      <c r="B207" t="str">
        <v>RPRO-260511-0335</v>
      </c>
      <c r="C207" t="str">
        <v>20/5</v>
      </c>
      <c r="D207" t="str">
        <v>MPS 08.5+09.5+10.5</v>
      </c>
      <c r="E207" t="str">
        <v>BDB-000058</v>
      </c>
      <c r="F207" t="str">
        <v>PVN-001277</v>
      </c>
      <c r="G207" t="str">
        <v>OrthoLite Ultra GREEN/16-5932TPX Flat Sheet 0.085D 25+/-4 Asker C 1.1M 2M 4mm</v>
      </c>
      <c r="H207">
        <v>70</v>
      </c>
      <c r="I207">
        <v>2</v>
      </c>
      <c r="J207">
        <v>2</v>
      </c>
      <c r="L207" t="str">
        <v>MPS</v>
      </c>
      <c r="M207" t="str">
        <v>SPLITTING</v>
      </c>
      <c r="N207">
        <v>16</v>
      </c>
      <c r="Q207">
        <v>46165</v>
      </c>
    </row>
    <row r="208">
      <c r="A208" t="str">
        <v>F-2026-05-137</v>
      </c>
      <c r="B208" t="str">
        <v>RPRO-260512-0089</v>
      </c>
      <c r="C208" t="str">
        <v>20/5</v>
      </c>
      <c r="D208" t="str">
        <v>MPS 11.05</v>
      </c>
      <c r="E208" t="str">
        <v>BDB-000058</v>
      </c>
      <c r="F208" t="str">
        <v>PVN-001277</v>
      </c>
      <c r="G208" t="str">
        <v>OrthoLite Ultra GREEN/16-5932TPX Flat Sheet 0.085D 25+/-4 Asker C 1.1M 2M 4mm</v>
      </c>
      <c r="H208">
        <v>490</v>
      </c>
      <c r="I208">
        <v>14</v>
      </c>
      <c r="J208">
        <v>14</v>
      </c>
      <c r="L208" t="str">
        <v>MPS</v>
      </c>
      <c r="M208" t="str">
        <v>SPLITTING</v>
      </c>
      <c r="Q208">
        <v>46165</v>
      </c>
    </row>
    <row r="210">
      <c r="A210" t="str">
        <v>OIN-2026.05.14-01</v>
      </c>
      <c r="B210" t="str">
        <v>RPRO-260515-0181</v>
      </c>
      <c r="C210" t="str">
        <v>20/5</v>
      </c>
      <c r="D210" t="str">
        <v>OIN</v>
      </c>
      <c r="E210" t="str">
        <v>BDB-000078</v>
      </c>
      <c r="F210" t="str">
        <v>PVN-003912</v>
      </c>
      <c r="G210" t="str">
        <v>[116-1517] X 30 25+/-4 Asker C 0.13D Red 19-1764 Tpx 1.10M X 2.00M 47mm</v>
      </c>
      <c r="H210">
        <v>43</v>
      </c>
      <c r="I210">
        <v>15</v>
      </c>
      <c r="J210">
        <v>15</v>
      </c>
      <c r="K210" t="str">
        <v>BATA</v>
      </c>
      <c r="L210" t="str">
        <v>PO-7304-SO-260515-0009</v>
      </c>
      <c r="M210" t="str">
        <v>FLAT SHEET</v>
      </c>
      <c r="N210">
        <v>15</v>
      </c>
      <c r="Q210">
        <v>46165</v>
      </c>
    </row>
    <row r="212">
      <c r="A212" t="str">
        <v>F-2026-02-299</v>
      </c>
      <c r="B212" t="str">
        <v>FPRO-260212-0050</v>
      </c>
      <c r="C212" t="str">
        <v>20/5</v>
      </c>
      <c r="D212" t="str">
        <v>Firm plan 12.02</v>
      </c>
      <c r="E212" t="str">
        <v>BDB-000164</v>
      </c>
      <c r="F212" t="str">
        <v>PVN-001618</v>
      </c>
      <c r="G212" t="str">
        <v>OrthoLite Ultra-Nike GREY/17-1501TPX 0.085D 25+/-4 Asker C 1.1M 2M 4mm</v>
      </c>
      <c r="H212">
        <v>500</v>
      </c>
      <c r="I212">
        <v>15</v>
      </c>
      <c r="J212">
        <v>15</v>
      </c>
      <c r="K212" t="str">
        <v>NIKE</v>
      </c>
      <c r="L212" t="str">
        <v>Forecast</v>
      </c>
      <c r="M212" t="str">
        <v>DIE CUT</v>
      </c>
      <c r="N212">
        <v>15</v>
      </c>
      <c r="Q212">
        <v>46165</v>
      </c>
    </row>
    <row r="214">
      <c r="A214" t="str">
        <v>OIN-2026.05.12-01</v>
      </c>
      <c r="B214" t="str">
        <v>RPRO-260515-0173</v>
      </c>
      <c r="C214" t="str">
        <v>20/5-21/5</v>
      </c>
      <c r="D214" t="str">
        <v>OIN</v>
      </c>
      <c r="E214" t="str">
        <v>BDB-000300</v>
      </c>
      <c r="F214" t="str">
        <v>PVN-004267</v>
      </c>
      <c r="G214" t="str">
        <v>[116-12954] Ultra Nike 25+/-4 Asker C 0.085D Seedpearl 12-0703 Tpx 1.10M X 1.70M 47mm</v>
      </c>
      <c r="H214">
        <v>45</v>
      </c>
      <c r="I214">
        <v>15</v>
      </c>
      <c r="J214">
        <v>15</v>
      </c>
      <c r="K214" t="str">
        <v>Nike</v>
      </c>
      <c r="L214" t="str">
        <v>PO-7283-SO-260513-0213</v>
      </c>
      <c r="M214" t="str">
        <v>FLAT SHEET</v>
      </c>
      <c r="N214">
        <v>15</v>
      </c>
      <c r="Q214">
        <v>46165</v>
      </c>
    </row>
    <row r="216">
      <c r="A216" t="str">
        <v>OIN-2026.05.12-04</v>
      </c>
      <c r="B216" t="str">
        <v>RPRO-260515-0176</v>
      </c>
      <c r="C216" t="str">
        <v>21/5</v>
      </c>
      <c r="D216" t="str">
        <v>OIN</v>
      </c>
      <c r="E216" t="str">
        <v>BDB-000059</v>
      </c>
      <c r="F216" t="str">
        <v>PVN-004317</v>
      </c>
      <c r="G216" t="str">
        <v>[116-15587] Ultra 25+/-4 Asker C 0.085D Red 19-1764 Tpx 1.10M X 2.00M 47mm</v>
      </c>
      <c r="H216">
        <v>150</v>
      </c>
      <c r="I216">
        <v>50</v>
      </c>
      <c r="J216">
        <v>50</v>
      </c>
      <c r="K216" t="str">
        <v>Lloyd</v>
      </c>
      <c r="L216" t="str">
        <v>PO-7283-SO-260513-0216</v>
      </c>
      <c r="M216" t="str">
        <v>FLAT SHEET</v>
      </c>
      <c r="N216">
        <v>50</v>
      </c>
      <c r="Q216">
        <v>46165</v>
      </c>
    </row>
    <row r="218">
      <c r="A218" t="str">
        <v>OIN-2026.05.12-03</v>
      </c>
      <c r="B218" t="str">
        <v>RPRO-260515-0175</v>
      </c>
      <c r="C218" t="str">
        <v>21/5</v>
      </c>
      <c r="D218" t="str">
        <v>OIN</v>
      </c>
      <c r="E218" t="str">
        <v>BDB-000200</v>
      </c>
      <c r="F218" t="str">
        <v>PVN-003418</v>
      </c>
      <c r="G218" t="str">
        <v>[116-470] Ultra 78 - 90 Asker F 0.085D Seedpearl 12-0703 Tpx 1.10M X 2.00M 5mm</v>
      </c>
      <c r="H218">
        <v>2000</v>
      </c>
      <c r="I218">
        <v>72</v>
      </c>
      <c r="J218">
        <v>72</v>
      </c>
      <c r="K218" t="str">
        <v>Adidas</v>
      </c>
      <c r="L218" t="str">
        <v>PO-7283-SO-260513-0215</v>
      </c>
      <c r="M218" t="str">
        <v>FLAT SHEET</v>
      </c>
      <c r="N218">
        <v>72</v>
      </c>
      <c r="Q218">
        <v>46165</v>
      </c>
    </row>
    <row r="220">
      <c r="A220" t="str">
        <v>F-2026-05-211</v>
      </c>
      <c r="B220" t="str">
        <v>RPRO-260515-0267</v>
      </c>
      <c r="C220" t="str">
        <v>21/5</v>
      </c>
      <c r="D220" t="str">
        <v>Pro.sche.report 14.05</v>
      </c>
      <c r="E220" t="str">
        <v>BDB-000201</v>
      </c>
      <c r="F220" t="str">
        <v>PVN-003415</v>
      </c>
      <c r="G220" t="str">
        <v>OrthoLite Ultra YELLOW/13-0858TPX Flat Sheet 0.085D 5-10 Asker C 1.1M 2M 2.5mm</v>
      </c>
      <c r="H220">
        <v>168</v>
      </c>
      <c r="I220">
        <v>4</v>
      </c>
      <c r="J220">
        <v>4</v>
      </c>
      <c r="K220" t="str">
        <v>CLARKS</v>
      </c>
      <c r="L220" t="str">
        <v>Pr.Sch.R</v>
      </c>
      <c r="M220" t="str">
        <v>MOLDED</v>
      </c>
      <c r="N220">
        <v>4</v>
      </c>
      <c r="Q220">
        <v>46169</v>
      </c>
    </row>
    <row r="222">
      <c r="A222" t="str">
        <v>F-2026-05-190</v>
      </c>
      <c r="B222" t="str">
        <v>RPRO-260514-0448</v>
      </c>
      <c r="C222" t="str">
        <v>21/5</v>
      </c>
      <c r="D222" t="str">
        <v>Pro.sche.report 13.05</v>
      </c>
      <c r="E222" t="str">
        <v>BDB-000218</v>
      </c>
      <c r="F222" t="str">
        <v>PVN-003488</v>
      </c>
      <c r="G222" t="str">
        <v>OrthoLite Ultra-Nike SEEDPEARL/12-0703TPX Flat Sheet 0.085D 5-10 Asker C 1.1M 2M 4mm</v>
      </c>
      <c r="H222">
        <v>105</v>
      </c>
      <c r="I222">
        <v>3</v>
      </c>
      <c r="J222">
        <v>3</v>
      </c>
      <c r="K222" t="str">
        <v>NIKE</v>
      </c>
      <c r="L222" t="str">
        <v>Pr.Sch.R</v>
      </c>
      <c r="M222" t="str">
        <v>DIE CUT</v>
      </c>
      <c r="N222">
        <v>3</v>
      </c>
      <c r="Q222">
        <v>46168</v>
      </c>
    </row>
    <row r="224">
      <c r="A224" t="str">
        <v>F-2026-05-205</v>
      </c>
      <c r="B224" t="str">
        <v>RPRO-260515-0261</v>
      </c>
      <c r="C224" t="str">
        <v>21/5-22/5</v>
      </c>
      <c r="D224" t="str">
        <v>Pro.sche.report 14.05</v>
      </c>
      <c r="E224" t="str">
        <v>BDB-000130</v>
      </c>
      <c r="F224" t="str">
        <v>PVN-001585</v>
      </c>
      <c r="G224" t="str">
        <v>OrthoLite Regular-Nike AIR BLUE/16-4134TPX Flat Sheet 0.13D 35+/-4 Asker C 1.1M 2M 6mm</v>
      </c>
      <c r="H224">
        <v>1242</v>
      </c>
      <c r="I224">
        <v>55</v>
      </c>
      <c r="J224">
        <v>55</v>
      </c>
      <c r="K224" t="str">
        <v>NIKE</v>
      </c>
      <c r="L224" t="str">
        <v>Pr.Sch.R</v>
      </c>
      <c r="M224" t="str">
        <v>MOLDED</v>
      </c>
      <c r="N224">
        <v>55</v>
      </c>
      <c r="Q224">
        <v>46169</v>
      </c>
    </row>
    <row r="225">
      <c r="G225" t="str">
        <v>RELEASE ĐỢT 1</v>
      </c>
    </row>
    <row r="226">
      <c r="H226">
        <v>15726</v>
      </c>
      <c r="I226">
        <v>753</v>
      </c>
      <c r="J226">
        <v>753</v>
      </c>
      <c r="N226">
        <v>733</v>
      </c>
      <c r="O226">
        <v>13</v>
      </c>
    </row>
  </sheetData>
  <autoFilter ref="A2:Q309"/>
  <pageMargins left="0.18" right="0.17" top="0.24" bottom="0.17" header="0.17" footer="0.17"/>
  <ignoredErrors>
    <ignoredError numberStoredAsText="1" sqref="A1:S872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Q8567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21 - L2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18/5-23/5</v>
      </c>
    </row>
    <row r="4">
      <c r="A4" t="str">
        <v>F-2026-05-273</v>
      </c>
      <c r="B4" t="str">
        <v>RPRO-260519-0345</v>
      </c>
      <c r="C4" t="str">
        <v>22/5</v>
      </c>
      <c r="D4" t="str">
        <v>Pro.sche.report 18.05</v>
      </c>
      <c r="E4" t="str">
        <v>BDB-000217</v>
      </c>
      <c r="F4" t="str">
        <v>PVN-003733</v>
      </c>
      <c r="G4" t="str">
        <v>OrthoLite X-40-Hybrid SEEDPEARL/12-0703TPX Hybrid Flat Sheet 0.16D 35+/-4 Asker C 1.1M 1.7M 12.5mm</v>
      </c>
      <c r="H4">
        <v>10</v>
      </c>
      <c r="I4">
        <v>1</v>
      </c>
      <c r="J4">
        <v>1</v>
      </c>
      <c r="K4" t="str">
        <v>OBOZ</v>
      </c>
      <c r="L4" t="str">
        <v>Pr.Sch.R</v>
      </c>
      <c r="M4" t="str">
        <v>MOLDED</v>
      </c>
      <c r="N4">
        <v>1</v>
      </c>
      <c r="Q4">
        <v>46165</v>
      </c>
    </row>
    <row r="6">
      <c r="A6" t="str">
        <v>F-2026-04-441</v>
      </c>
      <c r="B6" t="str">
        <v>FPRO-260429-0054</v>
      </c>
      <c r="C6" t="str">
        <v>22/5</v>
      </c>
      <c r="D6" t="str">
        <v>Firm plan 29.04</v>
      </c>
      <c r="E6" t="str">
        <v>BDB-000156</v>
      </c>
      <c r="F6" t="str">
        <v>PVN-003243</v>
      </c>
      <c r="G6" t="str">
        <v>OrthoLite X-35-Hybrid-Nike AMAZON/18-6024TPX Hybrid 0.145D 25+/-4 Asker C 1.1M 2M 5.2mm</v>
      </c>
      <c r="H6">
        <v>1000</v>
      </c>
      <c r="I6">
        <v>39</v>
      </c>
      <c r="J6">
        <v>39</v>
      </c>
      <c r="K6" t="str">
        <v>NIKE</v>
      </c>
      <c r="L6" t="str">
        <v>Forecast</v>
      </c>
      <c r="M6" t="str">
        <v>MOLDED</v>
      </c>
      <c r="N6">
        <v>39</v>
      </c>
      <c r="Q6">
        <v>46165</v>
      </c>
    </row>
    <row r="8">
      <c r="A8" t="str">
        <v>F-2026-05-225</v>
      </c>
      <c r="B8" t="str">
        <v>RPRO-260518-0798</v>
      </c>
      <c r="C8" t="str">
        <v>22/5</v>
      </c>
      <c r="D8" t="str">
        <v>Pro.sche.report 15.6+16.6</v>
      </c>
      <c r="E8" t="str">
        <v>BDB-000157</v>
      </c>
      <c r="F8" t="str">
        <v>PVN-003244</v>
      </c>
      <c r="G8" t="str">
        <v>OrthoLite X-35-Hybrid-Nike SEEDPEARL/12-0703TPX Hybrid Flat Sheet 0.145D 25+/-4 Asker C 1.1M 2M 5.2mm</v>
      </c>
      <c r="H8">
        <v>312</v>
      </c>
      <c r="I8">
        <v>12</v>
      </c>
      <c r="J8">
        <v>12</v>
      </c>
      <c r="K8" t="str">
        <v>NIKE</v>
      </c>
      <c r="L8" t="str">
        <v>Pr.Sch.R</v>
      </c>
      <c r="M8" t="str">
        <v>MOLDED</v>
      </c>
      <c r="N8">
        <v>74</v>
      </c>
      <c r="Q8">
        <v>46165</v>
      </c>
    </row>
    <row r="9">
      <c r="A9" t="str">
        <v>F-2026-05-240</v>
      </c>
      <c r="B9" t="str">
        <v>RPRO-260518-0813</v>
      </c>
      <c r="C9" t="str">
        <v>22/5</v>
      </c>
      <c r="D9" t="str">
        <v>Pro.sche.report 15.6+16.6</v>
      </c>
      <c r="E9" t="str">
        <v>BDB-000157</v>
      </c>
      <c r="F9" t="str">
        <v>PVN-004083</v>
      </c>
      <c r="G9" t="str">
        <v>OrthoLite X-35-Hybrid-Nike SEEDPEARL/12-0703TPX Hybrid Flat Sheet 0.145D 25+/-4 Asker C 1.1M 2M 4mm</v>
      </c>
      <c r="H9">
        <v>35</v>
      </c>
      <c r="I9">
        <v>1</v>
      </c>
      <c r="J9">
        <v>1</v>
      </c>
      <c r="K9" t="str">
        <v>NIKE</v>
      </c>
      <c r="L9" t="str">
        <v>Pr.Sch.R</v>
      </c>
      <c r="M9" t="str">
        <v>DIE CUT</v>
      </c>
      <c r="Q9">
        <v>46165</v>
      </c>
    </row>
    <row r="10">
      <c r="A10" t="str">
        <v>F-2026-04-444</v>
      </c>
      <c r="B10" t="str">
        <v>FPRO-260429-0057</v>
      </c>
      <c r="C10" t="str">
        <v>22/5</v>
      </c>
      <c r="D10" t="str">
        <v>Firm plan 29.04</v>
      </c>
      <c r="E10" t="str">
        <v>BDB-000157</v>
      </c>
      <c r="F10" t="str">
        <v>PVN-003573</v>
      </c>
      <c r="G10" t="str">
        <v>OrthoLite X-35-Hybrid-Nike SEEDPEARL/12-0703TPX Hybrid 0.145D 25+/-4 Asker C 1.1M 2M 4.2mm</v>
      </c>
      <c r="H10">
        <v>2000</v>
      </c>
      <c r="I10">
        <v>61</v>
      </c>
      <c r="J10">
        <v>61</v>
      </c>
      <c r="K10" t="str">
        <v>NIKE</v>
      </c>
      <c r="L10" t="str">
        <v>Forecast</v>
      </c>
      <c r="M10" t="str">
        <v>MOLDED</v>
      </c>
      <c r="Q10">
        <v>46165</v>
      </c>
    </row>
    <row r="12">
      <c r="A12" t="str">
        <v>F-2026-05-218</v>
      </c>
      <c r="B12" t="str">
        <v>RPRO-260518-0791</v>
      </c>
      <c r="C12" t="str">
        <v>22/5</v>
      </c>
      <c r="D12" t="str">
        <v>MPS 15.6+16.6+17.6</v>
      </c>
      <c r="E12" t="str">
        <v>BDB-000077</v>
      </c>
      <c r="F12" t="str">
        <v>PVN-003478</v>
      </c>
      <c r="G12" t="str">
        <v>Ortholite X-25 SEEDPEARL/12-0703TPX Flat Sheet 0.12D 20+/-4 Asker C 1.1M 2M 4mm</v>
      </c>
      <c r="H12">
        <v>140</v>
      </c>
      <c r="I12">
        <v>4</v>
      </c>
      <c r="J12">
        <v>4</v>
      </c>
      <c r="L12" t="str">
        <v>MPS</v>
      </c>
      <c r="M12" t="str">
        <v>SPLITTING</v>
      </c>
      <c r="N12">
        <v>4</v>
      </c>
      <c r="Q12">
        <v>46167</v>
      </c>
    </row>
    <row r="14">
      <c r="A14" t="str">
        <v>F-2026-05-247</v>
      </c>
      <c r="B14" t="str">
        <v>RPRO-260518-0820</v>
      </c>
      <c r="C14" t="str">
        <v>22/5</v>
      </c>
      <c r="D14" t="str">
        <v>Pro.sche.report 15.6+16.6</v>
      </c>
      <c r="E14" t="str">
        <v>BDB-000325</v>
      </c>
      <c r="F14" t="str">
        <v>PVN-004115</v>
      </c>
      <c r="G14" t="str">
        <v>OrthoLite X-40 TRUE BLUE/19-4057TPX Flat Sheet 0.16D 35+/-4 Asker C 1.1M 2M 4mm</v>
      </c>
      <c r="H14">
        <v>245</v>
      </c>
      <c r="I14">
        <v>7</v>
      </c>
      <c r="J14">
        <v>7</v>
      </c>
      <c r="K14" t="str">
        <v>ASICS</v>
      </c>
      <c r="L14" t="str">
        <v>Pr.Sch.R</v>
      </c>
      <c r="M14" t="str">
        <v>MOLDED</v>
      </c>
      <c r="N14">
        <v>7</v>
      </c>
      <c r="Q14">
        <v>46167</v>
      </c>
    </row>
    <row r="16">
      <c r="A16" t="str">
        <v>F-2026-05-226</v>
      </c>
      <c r="B16" t="str">
        <v>RPRO-260518-0799</v>
      </c>
      <c r="C16" t="str">
        <v>22/5</v>
      </c>
      <c r="D16" t="str">
        <v>Pro.sche.report 15.6+16.6</v>
      </c>
      <c r="E16" t="str">
        <v>BDB-000076</v>
      </c>
      <c r="F16" t="str">
        <v>PVN-004091</v>
      </c>
      <c r="G16" t="str">
        <v>OrthoLite X-25 BILLIARD/16-5427TPX Flat Sheet 0.12D 20+/-4 Asker C 1.1M 2M 3.5mm</v>
      </c>
      <c r="H16">
        <v>120</v>
      </c>
      <c r="I16">
        <v>3</v>
      </c>
      <c r="J16">
        <v>3</v>
      </c>
      <c r="K16" t="str">
        <v>BROOKS</v>
      </c>
      <c r="L16" t="str">
        <v>Pr.Sch.R</v>
      </c>
      <c r="M16" t="str">
        <v>MOLDED</v>
      </c>
      <c r="N16">
        <v>35</v>
      </c>
      <c r="Q16">
        <v>46167</v>
      </c>
    </row>
    <row r="17">
      <c r="A17" t="str">
        <v>F-2026-05-110</v>
      </c>
      <c r="B17" t="str">
        <v>FPRO-260506-0014</v>
      </c>
      <c r="C17" t="str">
        <v>22/5-23/5</v>
      </c>
      <c r="D17" t="str">
        <v>Firm plan 06.5</v>
      </c>
      <c r="E17" t="str">
        <v>BDB-000076</v>
      </c>
      <c r="F17" t="str">
        <v>PVN-003745</v>
      </c>
      <c r="G17" t="str">
        <v>OrthoLite X-25 BILLIARD/16-5427TPX Flat Sheet 0.12D 20+/-4 Asker C 1.1M 2M 16mm</v>
      </c>
      <c r="H17">
        <v>250</v>
      </c>
      <c r="I17">
        <v>32</v>
      </c>
      <c r="J17">
        <v>32</v>
      </c>
      <c r="K17" t="str">
        <v>FOOTJOY</v>
      </c>
      <c r="L17" t="str">
        <v>Forecast</v>
      </c>
      <c r="M17" t="str">
        <v>MOLDED</v>
      </c>
      <c r="Q17">
        <v>46168</v>
      </c>
    </row>
    <row r="19">
      <c r="A19" t="str">
        <v>F-2026-05-258</v>
      </c>
      <c r="B19" t="str">
        <v>RPRO-260519-0330</v>
      </c>
      <c r="C19" t="str">
        <v>23/5</v>
      </c>
      <c r="D19" t="str">
        <v>MPS 18.05</v>
      </c>
      <c r="E19" t="str">
        <v>BDB-000056</v>
      </c>
      <c r="F19" t="str">
        <v>PVN-001983</v>
      </c>
      <c r="G19" t="str">
        <v>OrthoLite X-40 SEEDPEARL/12-0703TPX Flat Sheet 0.16D 25+/-4 Asker C 1.1M 1.7M 5mm</v>
      </c>
      <c r="H19">
        <v>1820</v>
      </c>
      <c r="I19">
        <v>65</v>
      </c>
      <c r="J19">
        <v>65</v>
      </c>
      <c r="L19" t="str">
        <v>MPS</v>
      </c>
      <c r="M19" t="str">
        <v>SPLITTING</v>
      </c>
      <c r="N19">
        <v>65</v>
      </c>
      <c r="Q19">
        <v>46167</v>
      </c>
    </row>
    <row r="21">
      <c r="A21" t="str">
        <v>F-2026-04-241-1</v>
      </c>
      <c r="B21" t="str">
        <v>FPRO-260416-0026</v>
      </c>
      <c r="C21" t="str">
        <v>23/5</v>
      </c>
      <c r="D21" t="str">
        <v>Firm plan 16.4</v>
      </c>
      <c r="E21" t="str">
        <v>BDB-000235</v>
      </c>
      <c r="F21" t="str">
        <v>PVN-003576</v>
      </c>
      <c r="G21" t="str">
        <v>OrthoLite X-55-Hybrid FOSSIL/17-0909TPX Hybrid Flat Sheet 0.16D 25+/-4 Asker C 1.1M 1.7M 12mm</v>
      </c>
      <c r="H21">
        <v>1000</v>
      </c>
      <c r="I21">
        <v>87</v>
      </c>
      <c r="J21">
        <v>87</v>
      </c>
      <c r="K21" t="str">
        <v>ASICS</v>
      </c>
      <c r="L21" t="str">
        <v>Forecast</v>
      </c>
      <c r="M21" t="str">
        <v>MOLDED</v>
      </c>
      <c r="N21">
        <v>87</v>
      </c>
      <c r="Q21">
        <v>46167</v>
      </c>
    </row>
    <row r="22">
      <c r="G22" t="str">
        <v>RELEASE ĐỢT 2</v>
      </c>
    </row>
    <row r="23">
      <c r="H23">
        <v>37283</v>
      </c>
      <c r="I23">
        <v>1414</v>
      </c>
      <c r="J23">
        <v>1414</v>
      </c>
      <c r="N23">
        <v>1148</v>
      </c>
      <c r="O23">
        <v>-46</v>
      </c>
    </row>
    <row r="24">
      <c r="A24" t="str">
        <v>Máy 2</v>
      </c>
      <c r="G24" t="str">
        <v>18/5-23/5</v>
      </c>
    </row>
    <row r="25">
      <c r="A25" t="str">
        <v>F-2026-05-271</v>
      </c>
      <c r="B25" t="str">
        <v>RPRO-260519-0343</v>
      </c>
      <c r="C25" t="str">
        <v>21/5</v>
      </c>
      <c r="D25" t="str">
        <v>Pro.sche.report 18.05</v>
      </c>
      <c r="E25" t="str">
        <v>BDB-000107</v>
      </c>
      <c r="F25" t="str">
        <v>PVN-003482</v>
      </c>
      <c r="G25" t="str">
        <v>OrthoLite Eco LT-Hybrid SEEDPEARL/12-0703TPX Hybrid Flat Sheet 0.11D 25+/-4 Asker C 1.1M 1.47M 4mm</v>
      </c>
      <c r="H25">
        <v>35</v>
      </c>
      <c r="I25">
        <v>1</v>
      </c>
      <c r="J25">
        <v>1</v>
      </c>
      <c r="K25" t="str">
        <v>NEW BALANCE</v>
      </c>
      <c r="L25" t="str">
        <v>Pr.Sch.R</v>
      </c>
      <c r="M25" t="str">
        <v>DIE CUT</v>
      </c>
      <c r="N25">
        <v>1</v>
      </c>
      <c r="Q25">
        <v>46165</v>
      </c>
    </row>
    <row r="27">
      <c r="A27" t="str">
        <v>F-2026-05-248</v>
      </c>
      <c r="B27" t="str">
        <v>RPRO-260518-0821</v>
      </c>
      <c r="C27" t="str">
        <v>21/5</v>
      </c>
      <c r="D27" t="str">
        <v>Pro.sche.report 15.6+16.6</v>
      </c>
      <c r="E27" t="str">
        <v>BDB-000175</v>
      </c>
      <c r="F27" t="str">
        <v>PVN-003018</v>
      </c>
      <c r="G27" t="str">
        <v>OrthoLite Ultra-Hybrid-Nike SEEDPEARL/12-0703TPX Hybrid Flat Sheet 0.085D 25+/-4 Asker C 1.1M 2M 2mm</v>
      </c>
      <c r="H27">
        <v>70</v>
      </c>
      <c r="I27">
        <v>2</v>
      </c>
      <c r="J27">
        <v>2</v>
      </c>
      <c r="K27" t="str">
        <v>NIKE</v>
      </c>
      <c r="L27" t="str">
        <v>Pr.Sch.R</v>
      </c>
      <c r="M27" t="str">
        <v>DIE CUT</v>
      </c>
      <c r="N27">
        <v>2</v>
      </c>
      <c r="Q27">
        <v>46165</v>
      </c>
    </row>
    <row r="29">
      <c r="A29" t="str">
        <v>F-2026-05-242</v>
      </c>
      <c r="B29" t="str">
        <v>RPRO-260518-0815</v>
      </c>
      <c r="C29" t="str">
        <v>21/5</v>
      </c>
      <c r="D29" t="str">
        <v>Pro.sche.report 15.6+16.6</v>
      </c>
      <c r="E29" t="str">
        <v>BDB-000181</v>
      </c>
      <c r="F29" t="str">
        <v>PVN-003238</v>
      </c>
      <c r="G29" t="str">
        <v>OrthoLite Eco LT-Hybrid-Converse SEEDPEARL/12-0703TPX Hybrid Flat Sheet 0.11D 25+/-4 Asker C 1.1M 2M 5mm</v>
      </c>
      <c r="H29">
        <v>56</v>
      </c>
      <c r="I29">
        <v>2</v>
      </c>
      <c r="J29">
        <v>2</v>
      </c>
      <c r="K29" t="str">
        <v>CONVERSE</v>
      </c>
      <c r="L29" t="str">
        <v>Pr.Sch.R</v>
      </c>
      <c r="M29" t="str">
        <v>DIE CUT</v>
      </c>
      <c r="N29">
        <v>7</v>
      </c>
      <c r="Q29">
        <v>46167</v>
      </c>
    </row>
    <row r="30">
      <c r="A30" t="str">
        <v>F-2026-05-274</v>
      </c>
      <c r="B30" t="str">
        <v>RPRO-260519-0346</v>
      </c>
      <c r="C30" t="str">
        <v>21/5</v>
      </c>
      <c r="D30" t="str">
        <v>Pro.sche.report 18.05</v>
      </c>
      <c r="E30" t="str">
        <v>BDB-000181</v>
      </c>
      <c r="F30" t="str">
        <v>PVN-003238</v>
      </c>
      <c r="G30" t="str">
        <v>OrthoLite Eco LT-Hybrid-Converse SEEDPEARL/12-0703TPX Hybrid Flat Sheet 0.11D 25+/-4 Asker C 1.1M 2M 5mm</v>
      </c>
      <c r="H30">
        <v>28</v>
      </c>
      <c r="I30">
        <v>1</v>
      </c>
      <c r="J30">
        <v>1</v>
      </c>
      <c r="K30" t="str">
        <v>CONVERSE</v>
      </c>
      <c r="L30" t="str">
        <v>Pr.Sch.R</v>
      </c>
      <c r="M30" t="str">
        <v>DIE CUT</v>
      </c>
      <c r="Q30">
        <v>46167</v>
      </c>
    </row>
    <row r="31">
      <c r="A31" t="str">
        <v>F-2026-05-253</v>
      </c>
      <c r="B31" t="str">
        <v>FPRO-260518-0001</v>
      </c>
      <c r="C31" t="str">
        <v>21/5</v>
      </c>
      <c r="D31" t="str">
        <v>Firm plan 18.05</v>
      </c>
      <c r="E31" t="str">
        <v>BDB-000181</v>
      </c>
      <c r="F31" t="str">
        <v>PVN-003238</v>
      </c>
      <c r="G31" t="str">
        <v>OrthoLite Eco LT-Hybrid-Converse SEEDPEARL/12-0703TPX Hybrid 0.11D 25+/-4 Asker C 1.1M 2M 5mm</v>
      </c>
      <c r="H31">
        <v>85</v>
      </c>
      <c r="I31">
        <v>4</v>
      </c>
      <c r="J31">
        <v>4</v>
      </c>
      <c r="K31" t="str">
        <v>CONVERSE</v>
      </c>
      <c r="L31" t="str">
        <v>Forecast</v>
      </c>
      <c r="M31" t="str">
        <v>DIE CUT</v>
      </c>
      <c r="Q31">
        <v>46167</v>
      </c>
    </row>
    <row r="33">
      <c r="A33" t="str">
        <v>F-2026-04-232</v>
      </c>
      <c r="B33" t="str">
        <v>FPRO-260416-0017</v>
      </c>
      <c r="C33" t="str">
        <v>21/5-22/5</v>
      </c>
      <c r="D33" t="str">
        <v>Firm plan 16.4</v>
      </c>
      <c r="E33" t="str">
        <v>BDB-000113</v>
      </c>
      <c r="F33" t="str">
        <v>PVN-003414</v>
      </c>
      <c r="G33" t="str">
        <v>OrthoLite Regular-Hybrid SEEDPEARL/12-0703TPX Hybrid Flat Sheet 0.11D 25+/-4 Asker C 1.1M 2M 12mm</v>
      </c>
      <c r="H33">
        <v>1300</v>
      </c>
      <c r="I33">
        <v>114</v>
      </c>
      <c r="J33">
        <v>114</v>
      </c>
      <c r="K33" t="str">
        <v>ASICS</v>
      </c>
      <c r="L33" t="str">
        <v>Forecast</v>
      </c>
      <c r="M33" t="str">
        <v>MOLDED</v>
      </c>
      <c r="N33">
        <v>204</v>
      </c>
      <c r="Q33">
        <v>46165</v>
      </c>
    </row>
    <row r="34">
      <c r="A34" t="str">
        <v>F-2026-04-245</v>
      </c>
      <c r="B34" t="str">
        <v>FPRO-260416-0030</v>
      </c>
      <c r="C34" t="str">
        <v>22/5</v>
      </c>
      <c r="D34" t="str">
        <v>Firm plan 16.4</v>
      </c>
      <c r="E34" t="str">
        <v>BDB-000113</v>
      </c>
      <c r="F34" t="str">
        <v>PVN-002465</v>
      </c>
      <c r="G34" t="str">
        <v>OrthoLite Regular-Hybrid SEEDPEARL/12-0703TPX Hybrid Flat Sheet 0.11D 25+/-4 Asker C 1.1M 2M 5mm</v>
      </c>
      <c r="H34">
        <v>2500</v>
      </c>
      <c r="I34">
        <v>90</v>
      </c>
      <c r="J34">
        <v>90</v>
      </c>
      <c r="K34" t="str">
        <v>ASICS</v>
      </c>
      <c r="L34" t="str">
        <v>Forecast</v>
      </c>
      <c r="M34" t="str">
        <v>DIE CUT</v>
      </c>
      <c r="Q34">
        <v>46165</v>
      </c>
    </row>
    <row r="36">
      <c r="A36" t="str">
        <v>F-2026-03-550</v>
      </c>
      <c r="B36" t="str">
        <v>FPRO-260327-0006</v>
      </c>
      <c r="C36" t="str">
        <v>22/5</v>
      </c>
      <c r="D36" t="str">
        <v>Firm plan 27.3</v>
      </c>
      <c r="E36" t="str">
        <v>BDB-000123</v>
      </c>
      <c r="F36" t="str">
        <v>PVN-003298</v>
      </c>
      <c r="G36" t="str">
        <v>OrthoLite Ultra-Hybrid SEEDPEARL/12-0703TPX Hybrid 0.085D 25+/-4 Asker C 1.1M 2M 4mm</v>
      </c>
      <c r="H36">
        <v>5100</v>
      </c>
      <c r="I36">
        <v>146</v>
      </c>
      <c r="J36">
        <v>146</v>
      </c>
      <c r="K36" t="str">
        <v>SALOMON</v>
      </c>
      <c r="L36" t="str">
        <v>Forecast</v>
      </c>
      <c r="M36" t="str">
        <v>LAMINATING</v>
      </c>
      <c r="N36">
        <v>504</v>
      </c>
      <c r="Q36">
        <v>46165</v>
      </c>
    </row>
    <row r="37">
      <c r="A37" t="str">
        <v>F-2026-05-259</v>
      </c>
      <c r="B37" t="str">
        <v>RPRO-260519-0331</v>
      </c>
      <c r="C37" t="str">
        <v>22/5</v>
      </c>
      <c r="D37" t="str">
        <v>MPS 18.05</v>
      </c>
      <c r="E37" t="str">
        <v>BDB-000123</v>
      </c>
      <c r="F37" t="str">
        <v>PVN-003300</v>
      </c>
      <c r="G37" t="str">
        <v>OrthoLite Ultra-Hybrid SEEDPEARL/12-0703TPX Hybrid Flat Sheet 0.085D 25+/-4 Asker C 1.1M 2M 2mm</v>
      </c>
      <c r="H37">
        <v>280</v>
      </c>
      <c r="I37">
        <v>5</v>
      </c>
      <c r="J37">
        <v>5</v>
      </c>
      <c r="L37" t="str">
        <v>MPS</v>
      </c>
      <c r="M37" t="str">
        <v>SPLITTING</v>
      </c>
      <c r="Q37">
        <v>46167</v>
      </c>
    </row>
    <row r="38">
      <c r="A38" t="str">
        <v>F-2026-04-388</v>
      </c>
      <c r="B38" t="str">
        <v>FPRO-260428-0018</v>
      </c>
      <c r="C38" t="str">
        <v>22/5-23/5</v>
      </c>
      <c r="D38" t="str">
        <v>Firm plan 28.04</v>
      </c>
      <c r="E38" t="str">
        <v>BDB-000123</v>
      </c>
      <c r="F38" t="str">
        <v>PVN-003299</v>
      </c>
      <c r="G38" t="str">
        <v>OrthoLite Ultra-Hybrid SEEDPEARL/12-0703TPX Hybrid 0.085D 25+/-4 Asker C 1.1M 2M 3mm</v>
      </c>
      <c r="H38">
        <v>7000</v>
      </c>
      <c r="I38">
        <v>153</v>
      </c>
      <c r="J38">
        <v>153</v>
      </c>
      <c r="K38" t="str">
        <v>ADIDAS</v>
      </c>
      <c r="L38" t="str">
        <v>Forecast</v>
      </c>
      <c r="M38" t="str">
        <v>SPLITTING</v>
      </c>
      <c r="Q38">
        <v>46168</v>
      </c>
    </row>
    <row r="39">
      <c r="A39" t="str">
        <v>F-2026-04-91</v>
      </c>
      <c r="B39" t="str">
        <v>FPRO-260406-0016</v>
      </c>
      <c r="C39" t="str">
        <v>23/5-25/5</v>
      </c>
      <c r="D39" t="str">
        <v>Firm plan 06.4</v>
      </c>
      <c r="E39" t="str">
        <v>BDB-000123</v>
      </c>
      <c r="F39" t="str">
        <v>PVN-003298</v>
      </c>
      <c r="G39" t="str">
        <v>OrthoLite Ultra-Hybrid SEEDPEARL/12-0703TPX Hybrid 0.085D 25+/-4 Asker C 1.1M 2M 4mm</v>
      </c>
      <c r="H39">
        <v>7000</v>
      </c>
      <c r="I39">
        <v>200</v>
      </c>
      <c r="J39">
        <v>200</v>
      </c>
      <c r="K39" t="str">
        <v>SALOMON</v>
      </c>
      <c r="L39" t="str">
        <v>Forecast</v>
      </c>
      <c r="M39" t="str">
        <v>LAMINATING</v>
      </c>
      <c r="Q39">
        <v>46168</v>
      </c>
    </row>
    <row r="40">
      <c r="G40" t="str">
        <v>RELEASE ĐỢT 2</v>
      </c>
    </row>
    <row r="41">
      <c r="H41">
        <v>64161</v>
      </c>
      <c r="I41">
        <v>2188</v>
      </c>
      <c r="J41">
        <v>2188</v>
      </c>
      <c r="N41">
        <v>1908</v>
      </c>
      <c r="O41">
        <v>28</v>
      </c>
    </row>
    <row r="42">
      <c r="A42" t="str">
        <v>Máy 3</v>
      </c>
      <c r="G42" t="str">
        <v>18/5-23/5</v>
      </c>
    </row>
    <row r="43">
      <c r="A43" t="str">
        <v>F-2026-05-213</v>
      </c>
      <c r="B43" t="str">
        <v>RPRO-260518-0786</v>
      </c>
      <c r="C43" t="str">
        <v>22/5</v>
      </c>
      <c r="D43" t="str">
        <v>MPS 15.6+16.6+17.6</v>
      </c>
      <c r="E43" t="str">
        <v>BDB-000010</v>
      </c>
      <c r="F43" t="str">
        <v>PVN-000101</v>
      </c>
      <c r="G43" t="str">
        <v>OrthoLite Regular AIR BLUE/16-4134TPX Flat Sheet 0.11D 25+/-4 Asker C 1.1M 2M 3mm</v>
      </c>
      <c r="H43">
        <v>46</v>
      </c>
      <c r="I43">
        <v>2</v>
      </c>
      <c r="J43">
        <v>2</v>
      </c>
      <c r="L43" t="str">
        <v>MPS</v>
      </c>
      <c r="M43" t="str">
        <v>SPLITTING</v>
      </c>
      <c r="N43">
        <v>2</v>
      </c>
      <c r="Q43">
        <v>46165</v>
      </c>
    </row>
    <row r="45">
      <c r="A45" t="str">
        <v>F-2026-05-216</v>
      </c>
      <c r="B45" t="str">
        <v>RPRO-260518-0789</v>
      </c>
      <c r="C45" t="str">
        <v>22/5</v>
      </c>
      <c r="D45" t="str">
        <v>MPS 15.6+16.6+17.6</v>
      </c>
      <c r="E45" t="str">
        <v>BDB-000085</v>
      </c>
      <c r="F45" t="str">
        <v>PVN-001091</v>
      </c>
      <c r="G45" t="str">
        <v>OrthoLite Eco LT GREY/17-1501TPX Flat Sheet 0.11D 25+/-4 Asker C 1.1M 2M 4mm</v>
      </c>
      <c r="H45">
        <v>35</v>
      </c>
      <c r="I45">
        <v>1</v>
      </c>
      <c r="J45">
        <v>1</v>
      </c>
      <c r="L45" t="str">
        <v>MPS</v>
      </c>
      <c r="M45" t="str">
        <v>SPLITTING</v>
      </c>
      <c r="N45">
        <v>1</v>
      </c>
      <c r="Q45">
        <v>46165</v>
      </c>
    </row>
    <row r="47">
      <c r="A47" t="str">
        <v>F-2026-05-260</v>
      </c>
      <c r="B47" t="str">
        <v>RPRO-260519-0332</v>
      </c>
      <c r="C47" t="str">
        <v>22/5</v>
      </c>
      <c r="D47" t="str">
        <v>MPS 18.05</v>
      </c>
      <c r="E47" t="str">
        <v>BDB-000200</v>
      </c>
      <c r="F47" t="str">
        <v>PVN-003425</v>
      </c>
      <c r="G47" t="str">
        <v>OrthoLite Ultra SEEDPEARL/12-0703TPX Flat Sheet 0.085D 78-90 Asker F 1.1M 2M 4mm</v>
      </c>
      <c r="H47">
        <v>105</v>
      </c>
      <c r="I47">
        <v>3</v>
      </c>
      <c r="J47">
        <v>3</v>
      </c>
      <c r="L47" t="str">
        <v>MPS</v>
      </c>
      <c r="M47" t="str">
        <v>SPLITTING</v>
      </c>
      <c r="N47">
        <v>3</v>
      </c>
      <c r="Q47">
        <v>46165</v>
      </c>
    </row>
    <row r="49">
      <c r="A49" t="str">
        <v>F-2026-04-409-1</v>
      </c>
      <c r="B49" t="str">
        <v>FPRO-260429-0022</v>
      </c>
      <c r="C49" t="str">
        <v>22/5</v>
      </c>
      <c r="D49" t="str">
        <v>Firm plan 29.04</v>
      </c>
      <c r="E49" t="str">
        <v>BDB-000131</v>
      </c>
      <c r="F49" t="str">
        <v>PVN-001565</v>
      </c>
      <c r="G49" t="str">
        <v>OrthoLite Regular-Nike AIR BLUE/16-4134TPX 0.11D 15+/-4 Asker C 1.1M 2M 4mm</v>
      </c>
      <c r="H49">
        <v>600</v>
      </c>
      <c r="I49">
        <v>18</v>
      </c>
      <c r="J49">
        <v>18</v>
      </c>
      <c r="K49" t="str">
        <v>NIKE</v>
      </c>
      <c r="L49" t="str">
        <v>Forecast</v>
      </c>
      <c r="M49" t="str">
        <v>DIE CUT</v>
      </c>
      <c r="N49">
        <v>18</v>
      </c>
      <c r="Q49">
        <v>46165</v>
      </c>
    </row>
    <row r="51">
      <c r="A51" t="str">
        <v>F-2026-03-434-1</v>
      </c>
      <c r="B51" t="str">
        <v>FPRO-260324-0005</v>
      </c>
      <c r="C51" t="str">
        <v>22/5</v>
      </c>
      <c r="D51" t="str">
        <v>Firm plan 24.3</v>
      </c>
      <c r="E51" t="str">
        <v>BDB-000162</v>
      </c>
      <c r="F51" t="str">
        <v>PVN-001566</v>
      </c>
      <c r="G51" t="str">
        <v>OrthoLite Ultra-Nike SEEDPEARL/12-0703TPX 0.085D 25+/-4 Asker C 1.1M 2M 4mm</v>
      </c>
      <c r="H51">
        <v>500</v>
      </c>
      <c r="I51">
        <v>15</v>
      </c>
      <c r="J51">
        <v>15</v>
      </c>
      <c r="K51" t="str">
        <v>NIKE</v>
      </c>
      <c r="L51" t="str">
        <v>Forecast</v>
      </c>
      <c r="M51" t="str">
        <v>DIE CUT</v>
      </c>
      <c r="N51">
        <v>15</v>
      </c>
      <c r="Q51">
        <v>46167</v>
      </c>
    </row>
    <row r="53">
      <c r="A53" t="str">
        <v>F-2026-04-407</v>
      </c>
      <c r="B53" t="str">
        <v>FPRO-260429-0020</v>
      </c>
      <c r="C53" t="str">
        <v>22/5</v>
      </c>
      <c r="D53" t="str">
        <v>Firm plan 29.04</v>
      </c>
      <c r="E53" t="str">
        <v>BDB-000160</v>
      </c>
      <c r="F53" t="str">
        <v>PVN-001562</v>
      </c>
      <c r="G53" t="str">
        <v>OrthoLite Ultra-Nike LIME GREEN/14-0452TPX 0.085D 25+/-4 Asker C 1.1M 2M 4mm</v>
      </c>
      <c r="H53">
        <v>1000</v>
      </c>
      <c r="I53">
        <v>29</v>
      </c>
      <c r="J53">
        <v>29</v>
      </c>
      <c r="K53" t="str">
        <v>NIKE</v>
      </c>
      <c r="L53" t="str">
        <v>Forecast</v>
      </c>
      <c r="M53" t="str">
        <v>DIE CUT</v>
      </c>
      <c r="N53">
        <v>29</v>
      </c>
      <c r="Q53">
        <v>46167</v>
      </c>
    </row>
    <row r="55">
      <c r="A55" t="str">
        <v>F-2026-03-491-2</v>
      </c>
      <c r="B55" t="str">
        <v>FPRO-260428-0001</v>
      </c>
      <c r="C55" t="str">
        <v>22/5</v>
      </c>
      <c r="D55" t="str">
        <v>Firm plan 24.3</v>
      </c>
      <c r="E55" t="str">
        <v>BDB-000125</v>
      </c>
      <c r="F55" t="str">
        <v>PVN-001579</v>
      </c>
      <c r="G55" t="str">
        <v>OrthoLite Regular-Nike AIR BLUE/16-4134TPX Flat Sheet 0.11D 25+/-4 Asker C 1.1M 2M 4mm</v>
      </c>
      <c r="H55">
        <v>500</v>
      </c>
      <c r="I55">
        <v>15</v>
      </c>
      <c r="J55">
        <v>15</v>
      </c>
      <c r="K55" t="str">
        <v>NIKE</v>
      </c>
      <c r="L55" t="str">
        <v>Forecast</v>
      </c>
      <c r="M55" t="str">
        <v>DIE CUT</v>
      </c>
      <c r="N55">
        <v>40</v>
      </c>
      <c r="Q55">
        <v>46167</v>
      </c>
    </row>
    <row r="56">
      <c r="A56" t="str">
        <v>F-2026-03-451</v>
      </c>
      <c r="B56" t="str">
        <v>FPRO-260324-0023</v>
      </c>
      <c r="C56" t="str">
        <v>22/5</v>
      </c>
      <c r="D56" t="str">
        <v>Firm plan 24.3</v>
      </c>
      <c r="E56" t="str">
        <v>BDB-000125</v>
      </c>
      <c r="F56" t="str">
        <v>PVN-002413</v>
      </c>
      <c r="G56" t="str">
        <v>OrthoLite Regular-Nike AIR BLUE/16-4134TPX 0.11D 25+/-4 Asker C 1.1M 2M 4.2mm</v>
      </c>
      <c r="H56">
        <v>800</v>
      </c>
      <c r="I56">
        <v>25</v>
      </c>
      <c r="J56">
        <v>25</v>
      </c>
      <c r="K56" t="str">
        <v>NIKE</v>
      </c>
      <c r="L56" t="str">
        <v>Forecast</v>
      </c>
      <c r="M56" t="str">
        <v>DIE CUT</v>
      </c>
      <c r="Q56">
        <v>46168</v>
      </c>
    </row>
    <row r="58">
      <c r="A58" t="str">
        <v>F-2026-04-427</v>
      </c>
      <c r="B58" t="str">
        <v>FPRO-260429-0040</v>
      </c>
      <c r="C58" t="str">
        <v>22/5</v>
      </c>
      <c r="D58" t="str">
        <v>Firm plan 29.04</v>
      </c>
      <c r="E58" t="str">
        <v>BDB-000164</v>
      </c>
      <c r="F58" t="str">
        <v>PVN-001618</v>
      </c>
      <c r="G58" t="str">
        <v>OrthoLite Ultra-Nike GREY/17-1501TPX 0.085D 25+/-4 Asker C 1.1M 2M 4mm</v>
      </c>
      <c r="H58">
        <v>500</v>
      </c>
      <c r="I58">
        <v>15</v>
      </c>
      <c r="J58">
        <v>15</v>
      </c>
      <c r="K58" t="str">
        <v>NIKE</v>
      </c>
      <c r="L58" t="str">
        <v>Forecast</v>
      </c>
      <c r="M58" t="str">
        <v>DIE CUT</v>
      </c>
      <c r="N58">
        <v>15</v>
      </c>
      <c r="Q58">
        <v>46168</v>
      </c>
    </row>
    <row r="60">
      <c r="A60" t="str">
        <v>F-2026-05-215</v>
      </c>
      <c r="B60" t="str">
        <v>RPRO-260518-0788</v>
      </c>
      <c r="C60" t="str">
        <v>22/5</v>
      </c>
      <c r="D60" t="str">
        <v>MPS 15.6+16.6+17.6</v>
      </c>
      <c r="E60" t="str">
        <v>BDB-000083</v>
      </c>
      <c r="F60" t="str">
        <v>PVN-000930</v>
      </c>
      <c r="G60" t="str">
        <v>OrthoLite Eco LT 300C(ADIDAS BLUEBIRD) Flat Sheet 0.11D 25+/-4 Asker C 1.1M 2M 3mm</v>
      </c>
      <c r="H60">
        <v>276</v>
      </c>
      <c r="I60">
        <v>7</v>
      </c>
      <c r="J60">
        <v>7</v>
      </c>
      <c r="L60" t="str">
        <v>MPS</v>
      </c>
      <c r="M60" t="str">
        <v>SPLITTING</v>
      </c>
      <c r="N60">
        <v>10</v>
      </c>
      <c r="Q60">
        <v>46167</v>
      </c>
    </row>
    <row r="61">
      <c r="A61" t="str">
        <v>F-2026-05-256</v>
      </c>
      <c r="B61" t="str">
        <v>RPRO-260519-0328</v>
      </c>
      <c r="C61" t="str">
        <v>22/5</v>
      </c>
      <c r="D61" t="str">
        <v>MPS 18.05</v>
      </c>
      <c r="E61" t="str">
        <v>BDB-000083</v>
      </c>
      <c r="F61" t="str">
        <v>PVN-000930</v>
      </c>
      <c r="G61" t="str">
        <v>OrthoLite Eco LT 300C(ADIDAS BLUEBIRD) Flat Sheet 0.11D 25+/-4 Asker C 1.1M 2M 3mm</v>
      </c>
      <c r="H61">
        <v>92</v>
      </c>
      <c r="I61">
        <v>3</v>
      </c>
      <c r="J61">
        <v>3</v>
      </c>
      <c r="L61" t="str">
        <v>MPS</v>
      </c>
      <c r="M61" t="str">
        <v>SPLITTING</v>
      </c>
      <c r="Q61">
        <v>46168</v>
      </c>
    </row>
    <row r="63">
      <c r="A63" t="str">
        <v>F-2026-05-246</v>
      </c>
      <c r="B63" t="str">
        <v>RPRO-260518-0819</v>
      </c>
      <c r="C63" t="str">
        <v>22/5</v>
      </c>
      <c r="D63" t="str">
        <v>Pro.sche.report 15.6+16.6</v>
      </c>
      <c r="E63" t="str">
        <v>BDB-000317</v>
      </c>
      <c r="F63" t="str">
        <v>PVN-004076</v>
      </c>
      <c r="G63" t="str">
        <v>OrthoLite Regular NEUTRAL GRAY/17-4402TPX Flat Sheet 0.13D 15+/-4 Asker C 1.1M 2M 24mm</v>
      </c>
      <c r="H63">
        <v>125</v>
      </c>
      <c r="I63">
        <v>25</v>
      </c>
      <c r="J63">
        <v>25</v>
      </c>
      <c r="K63" t="str">
        <v>ASICS</v>
      </c>
      <c r="L63" t="str">
        <v>Pr.Sch.R</v>
      </c>
      <c r="M63" t="str">
        <v>MOLDED</v>
      </c>
      <c r="N63">
        <v>25</v>
      </c>
      <c r="Q63">
        <v>46167</v>
      </c>
    </row>
    <row r="65">
      <c r="A65" t="str">
        <v>F-2026-04-228</v>
      </c>
      <c r="B65" t="str">
        <v>FPRO-260416-0013</v>
      </c>
      <c r="C65" t="str">
        <v>22/5-25/5</v>
      </c>
      <c r="D65" t="str">
        <v>Firm plan 16.4</v>
      </c>
      <c r="E65" t="str">
        <v>BDB-000113</v>
      </c>
      <c r="F65" t="str">
        <v>PVN-003414</v>
      </c>
      <c r="G65" t="str">
        <v>OrthoLite Regular-Hybrid SEEDPEARL/12-0703TPX Hybrid Flat Sheet 0.11D 25+/-4 Asker C 1.1M 2M 12mm</v>
      </c>
      <c r="H65">
        <v>2500</v>
      </c>
      <c r="I65">
        <v>218</v>
      </c>
      <c r="J65">
        <v>218</v>
      </c>
      <c r="K65" t="str">
        <v>ASICS</v>
      </c>
      <c r="L65" t="str">
        <v>Forecast</v>
      </c>
      <c r="M65" t="str">
        <v>MOLDED</v>
      </c>
      <c r="N65">
        <v>218</v>
      </c>
      <c r="P65" t="str">
        <v xml:space="preserve">gấp </v>
      </c>
      <c r="Q65">
        <v>46168</v>
      </c>
    </row>
    <row r="66">
      <c r="G66" t="str">
        <v>RELEASE ĐỢT 2</v>
      </c>
    </row>
    <row r="67">
      <c r="H67">
        <v>22805</v>
      </c>
      <c r="I67">
        <v>1129</v>
      </c>
      <c r="J67">
        <v>1129</v>
      </c>
      <c r="N67">
        <v>1109</v>
      </c>
      <c r="O67">
        <v>23</v>
      </c>
    </row>
  </sheetData>
  <autoFilter ref="A2:Q67"/>
  <pageMargins left="0.18" right="0.17" top="0.24" bottom="0.17" header="0.17" footer="0.17"/>
  <ignoredErrors>
    <ignoredError numberStoredAsText="1" sqref="A1:Q8567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W8643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22 - L1</v>
      </c>
    </row>
    <row r="2" xml:space="preserve">
      <c r="A2" t="str">
        <v>NO.ORDER</v>
      </c>
      <c r="B2" t="str">
        <v>Firm plan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màu red của footjoy chạy  (CHẠY 16D, 35C)-PVN-003797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25/5-30/5</v>
      </c>
    </row>
    <row r="4">
      <c r="A4" t="str">
        <v>F-2026-05-198</v>
      </c>
      <c r="B4" t="str">
        <v>RPRO-260515-0254</v>
      </c>
      <c r="C4" t="str">
        <v>25/5</v>
      </c>
      <c r="D4" t="str">
        <v>Pro.sche.report 14.05</v>
      </c>
      <c r="E4" t="str">
        <v>BDB-000129</v>
      </c>
      <c r="F4" t="str">
        <v>PVN-001550</v>
      </c>
      <c r="G4" t="str">
        <v>OrthoLite Regular-Nike AIR BLUE/16-4134TPX Flat Sheet 0.11D 25+/-4 Asker C 1.1M 1.7M 2mm</v>
      </c>
      <c r="H4">
        <v>280</v>
      </c>
      <c r="I4">
        <v>5</v>
      </c>
      <c r="J4">
        <v>5</v>
      </c>
      <c r="K4" t="str">
        <v>NIKE</v>
      </c>
      <c r="L4" t="str">
        <v>Pr.Sch.R</v>
      </c>
      <c r="M4" t="str">
        <v>LAMINATING</v>
      </c>
      <c r="N4">
        <v>5</v>
      </c>
      <c r="O4" t="str">
        <v>Đơn cũ tuần 21</v>
      </c>
      <c r="P4">
        <v>5</v>
      </c>
      <c r="Q4">
        <v>46169</v>
      </c>
    </row>
    <row r="6">
      <c r="A6" t="str">
        <v>F-2026-05-150</v>
      </c>
      <c r="B6" t="str">
        <v>RPRO-260512-0102</v>
      </c>
      <c r="C6" t="str">
        <v>25/5</v>
      </c>
      <c r="D6" t="str">
        <v>Pro.sche.report 11.05</v>
      </c>
      <c r="E6" t="str">
        <v>BDB-000308</v>
      </c>
      <c r="F6" t="str">
        <v>PVN-004018</v>
      </c>
      <c r="G6" t="str">
        <v>OrthoLite X-30 CASTLEROCK/18-0201TPX Flat Sheet 0.13D 25+/-4 Asker C 1.1M 1.47M 12mm</v>
      </c>
      <c r="H6">
        <v>66</v>
      </c>
      <c r="I6">
        <v>6</v>
      </c>
      <c r="J6">
        <v>6</v>
      </c>
      <c r="K6" t="str">
        <v>ASICS</v>
      </c>
      <c r="L6" t="str">
        <v>Pr.Sch.R</v>
      </c>
      <c r="M6" t="str">
        <v>MOLDED</v>
      </c>
      <c r="N6">
        <v>6</v>
      </c>
      <c r="O6" t="str">
        <v>Đơn cũ tuần 21</v>
      </c>
      <c r="P6">
        <v>6</v>
      </c>
      <c r="Q6">
        <v>46165</v>
      </c>
    </row>
    <row r="8">
      <c r="A8" t="str">
        <v>F-2026-05-110</v>
      </c>
      <c r="B8" t="str">
        <v>FPRO-260506-0014</v>
      </c>
      <c r="C8" t="str">
        <v>25/5</v>
      </c>
      <c r="D8" t="str">
        <v>Firm plan 06.5</v>
      </c>
      <c r="E8" t="str">
        <v>BDB-000076</v>
      </c>
      <c r="F8" t="str">
        <v>PVN-003745</v>
      </c>
      <c r="G8" t="str">
        <v>OrthoLite X-25 BILLIARD/16-5427TPX Flat Sheet 0.12D 20+/-4 Asker C 1.1M 2M 16mm</v>
      </c>
      <c r="H8">
        <v>250</v>
      </c>
      <c r="I8">
        <v>32</v>
      </c>
      <c r="J8">
        <v>32</v>
      </c>
      <c r="K8" t="str">
        <v>FOOTJOY</v>
      </c>
      <c r="L8" t="str">
        <v>Forecast</v>
      </c>
      <c r="M8" t="str">
        <v>MOLDED</v>
      </c>
      <c r="N8">
        <v>4</v>
      </c>
      <c r="O8" t="str">
        <v>Đơn cũ tuần 21</v>
      </c>
      <c r="P8">
        <v>4</v>
      </c>
      <c r="Q8">
        <v>46168</v>
      </c>
    </row>
    <row r="10">
      <c r="A10" t="str">
        <v>F-2026-04-241-1</v>
      </c>
      <c r="B10" t="str">
        <v>FPRO-260416-0026</v>
      </c>
      <c r="C10" t="str">
        <v>25/5</v>
      </c>
      <c r="D10" t="str">
        <v>Firm plan 16.4</v>
      </c>
      <c r="E10" t="str">
        <v>BDB-000235</v>
      </c>
      <c r="F10" t="str">
        <v>PVN-003576</v>
      </c>
      <c r="G10" t="str">
        <v>OrthoLite X-55-Hybrid FOSSIL/17-0909TPX Hybrid Flat Sheet 0.16D 25+/-4 Asker C 1.1M 1.7M 12mm</v>
      </c>
      <c r="H10">
        <v>1000</v>
      </c>
      <c r="I10">
        <v>87</v>
      </c>
      <c r="J10">
        <v>87</v>
      </c>
      <c r="K10" t="str">
        <v>ASICS</v>
      </c>
      <c r="L10" t="str">
        <v>Forecast</v>
      </c>
      <c r="M10" t="str">
        <v>MOLDED</v>
      </c>
      <c r="N10">
        <v>41</v>
      </c>
      <c r="O10" t="str">
        <v>Đơn cũ tuần 21</v>
      </c>
      <c r="P10">
        <v>41</v>
      </c>
      <c r="Q10">
        <v>46167</v>
      </c>
    </row>
    <row r="12">
      <c r="A12" t="str">
        <v>F-2026-05-233</v>
      </c>
      <c r="B12" t="str">
        <v>RPRO-260518-0806</v>
      </c>
      <c r="C12" t="str">
        <v>25/5</v>
      </c>
      <c r="D12" t="str">
        <v>Pro.sche.report 15.6+16.6</v>
      </c>
      <c r="E12" t="str">
        <v>BDB-000313</v>
      </c>
      <c r="F12" t="str">
        <v>PVN-004061</v>
      </c>
      <c r="G12" t="str">
        <v>OrthoLite X-55 RED/19-1764TPX Flat Sheet 0.16D 25+/-4 Asker C 1.1M 1.47M 18mm</v>
      </c>
      <c r="H12">
        <v>14</v>
      </c>
      <c r="I12">
        <v>3</v>
      </c>
      <c r="J12">
        <v>3</v>
      </c>
      <c r="K12" t="str">
        <v>WILSON</v>
      </c>
      <c r="L12" t="str">
        <v>Pr.Sch.R</v>
      </c>
      <c r="M12" t="str">
        <v>MOLDED</v>
      </c>
      <c r="N12">
        <v>5</v>
      </c>
      <c r="Q12">
        <v>46168</v>
      </c>
    </row>
    <row r="13">
      <c r="A13" t="str">
        <v>F-2026-05-332</v>
      </c>
      <c r="B13" t="str">
        <v>RPRO-260522-0247</v>
      </c>
      <c r="C13" t="str">
        <v>25/5</v>
      </c>
      <c r="D13" t="str">
        <v>Pro.sche.report 21.5</v>
      </c>
      <c r="E13" t="str">
        <v>BDB-000313</v>
      </c>
      <c r="F13" t="str">
        <v>PVN-004061</v>
      </c>
      <c r="G13" t="str">
        <v>OrthoLite X-55 RED/19-1764TPX Flat Sheet 0.16D 25+/-4 Asker C 1.1M 1.47M 18mm</v>
      </c>
      <c r="H13">
        <v>7</v>
      </c>
      <c r="I13">
        <v>2</v>
      </c>
      <c r="J13">
        <v>2</v>
      </c>
      <c r="K13" t="str">
        <v>WILSON</v>
      </c>
      <c r="L13" t="str">
        <v>Pr.Sch.R</v>
      </c>
      <c r="M13" t="str">
        <v>MOLDED</v>
      </c>
      <c r="Q13">
        <v>46176</v>
      </c>
    </row>
    <row r="15">
      <c r="A15" t="str">
        <v>F-2026-02-307-1</v>
      </c>
      <c r="B15" t="str">
        <v>FPRO-260212-0004</v>
      </c>
      <c r="C15" t="str">
        <v>25/5</v>
      </c>
      <c r="D15" t="str">
        <v>Firm plan 12.02</v>
      </c>
      <c r="E15" t="str">
        <v>BDB-000259</v>
      </c>
      <c r="F15" t="str">
        <v>PVN-003684</v>
      </c>
      <c r="G15" t="str">
        <v>OrthoLite Nike PP002 GLACIER GRAY/14-4102TPX Flat Sheet 0.145D 25+/-4 asker C 1.1M 2M 4.2mm</v>
      </c>
      <c r="H15">
        <v>1000</v>
      </c>
      <c r="I15">
        <v>31</v>
      </c>
      <c r="J15">
        <v>31</v>
      </c>
      <c r="K15" t="str">
        <v>NIKE</v>
      </c>
      <c r="L15" t="str">
        <v>Forecast</v>
      </c>
      <c r="M15" t="str">
        <v>MOLDED</v>
      </c>
      <c r="N15">
        <v>31</v>
      </c>
      <c r="Q15">
        <v>46169</v>
      </c>
    </row>
    <row r="17">
      <c r="A17" t="str">
        <v>F-2026-03-387-1</v>
      </c>
      <c r="B17" t="str">
        <v>FPRO-260318-0031</v>
      </c>
      <c r="C17" t="str">
        <v>25/5-26/5</v>
      </c>
      <c r="D17" t="str">
        <v>Firm plan 18.3</v>
      </c>
      <c r="E17" t="str">
        <v>BDB-000234</v>
      </c>
      <c r="F17" t="str">
        <v>PVN-003581</v>
      </c>
      <c r="G17" t="str">
        <v>OrthoLite X-30-Hybrid BROWN SUGAR/17-1134TPX Hybrid Flat Sheet 0.13D 25+/-4 Asker C 1.1M 2M 12mm</v>
      </c>
      <c r="H17">
        <v>500</v>
      </c>
      <c r="I17">
        <v>44</v>
      </c>
      <c r="J17">
        <v>44</v>
      </c>
      <c r="K17" t="str">
        <v>ASICS</v>
      </c>
      <c r="L17" t="str">
        <v>Forecast</v>
      </c>
      <c r="M17" t="str">
        <v>MOLDED</v>
      </c>
      <c r="N17">
        <v>44</v>
      </c>
      <c r="Q17">
        <v>46169</v>
      </c>
    </row>
    <row r="19">
      <c r="A19" t="str">
        <v>F-2026-05-302</v>
      </c>
      <c r="B19" t="str">
        <v>RPRO-260521-0656</v>
      </c>
      <c r="C19" t="str">
        <v>26/5</v>
      </c>
      <c r="D19" t="str">
        <v>Pro.sche.report 20.05</v>
      </c>
      <c r="E19" t="str">
        <v>BDB-000319</v>
      </c>
      <c r="F19" t="str">
        <v>PVN-004081</v>
      </c>
      <c r="G19" t="str">
        <v>OrthoLite X-40-Hybrid-Nike SEEDPEARL/12-0703TPX Hybrid Flat Sheet 0.16D 25+/-4 Asker C 1.1M 2M 6mm</v>
      </c>
      <c r="H19">
        <v>644</v>
      </c>
      <c r="I19">
        <v>29</v>
      </c>
      <c r="J19">
        <v>29</v>
      </c>
      <c r="K19" t="str">
        <v>NIKE</v>
      </c>
      <c r="L19" t="str">
        <v>Pr.Sch.R</v>
      </c>
      <c r="M19" t="str">
        <v>MOLDED</v>
      </c>
      <c r="N19">
        <v>42</v>
      </c>
      <c r="Q19">
        <v>46169</v>
      </c>
    </row>
    <row r="20">
      <c r="A20" t="str">
        <v>F-2026-05-264</v>
      </c>
      <c r="B20" t="str">
        <v>RPRO-260519-0336</v>
      </c>
      <c r="C20" t="str">
        <v>26/5</v>
      </c>
      <c r="D20" t="str">
        <v>Pro.sche.report 18.05</v>
      </c>
      <c r="E20" t="str">
        <v>BDB-000319</v>
      </c>
      <c r="F20" t="str">
        <v>PVN-004247</v>
      </c>
      <c r="G20" t="str">
        <v>OrthoLite X-40-Hybrid-Nike SEEDPEARL/12-0703TPX Hybrid Flat Sheet 0.16D 25+/-4 Asker C 1.1M 2M 4.2mm</v>
      </c>
      <c r="H20">
        <v>33</v>
      </c>
      <c r="I20">
        <v>1</v>
      </c>
      <c r="J20">
        <v>1</v>
      </c>
      <c r="K20" t="str">
        <v>NIKE</v>
      </c>
      <c r="L20" t="str">
        <v>Pr.Sch.R</v>
      </c>
      <c r="M20" t="str">
        <v>MOLDED</v>
      </c>
      <c r="Q20">
        <v>46170</v>
      </c>
    </row>
    <row r="21">
      <c r="A21" t="str">
        <v>F-2026-05-222</v>
      </c>
      <c r="B21" t="str">
        <v>RPRO-260518-0795</v>
      </c>
      <c r="C21" t="str">
        <v>26/5</v>
      </c>
      <c r="D21" t="str">
        <v>Pro.sche.report 15.6+16.6</v>
      </c>
      <c r="E21" t="str">
        <v>BDB-000319</v>
      </c>
      <c r="F21" t="str">
        <v>PVN-004081</v>
      </c>
      <c r="G21" t="str">
        <v>OrthoLite X-40-Hybrid-Nike SEEDPEARL/12-0703TPX Hybrid Flat Sheet 0.16D 25+/-4 Asker C 1.1M 2M 6mm</v>
      </c>
      <c r="H21">
        <v>207</v>
      </c>
      <c r="I21">
        <v>10</v>
      </c>
      <c r="J21">
        <v>10</v>
      </c>
      <c r="K21" t="str">
        <v>NIKE</v>
      </c>
      <c r="L21" t="str">
        <v>Pr.Sch.R</v>
      </c>
      <c r="M21" t="str">
        <v>MOLDED</v>
      </c>
      <c r="Q21">
        <v>46170</v>
      </c>
    </row>
    <row r="22">
      <c r="A22" t="str">
        <v>F-2026-05-329</v>
      </c>
      <c r="B22" t="str">
        <v>RPRO-260522-0244</v>
      </c>
      <c r="C22" t="str">
        <v>26/5</v>
      </c>
      <c r="D22" t="str">
        <v>Pro.sche.report 21.5</v>
      </c>
      <c r="E22" t="str">
        <v>BDB-000319</v>
      </c>
      <c r="F22" t="str">
        <v>PVN-004081</v>
      </c>
      <c r="G22" t="str">
        <v>OrthoLite X-40-Hybrid-Nike SEEDPEARL/12-0703TPX Hybrid Flat Sheet 0.16D 25+/-4 Asker C 1.1M 2M 6mm</v>
      </c>
      <c r="H22">
        <v>23</v>
      </c>
      <c r="I22">
        <v>2</v>
      </c>
      <c r="J22">
        <v>2</v>
      </c>
      <c r="K22" t="str">
        <v>NIKE</v>
      </c>
      <c r="L22" t="str">
        <v>Pr.Sch.R</v>
      </c>
      <c r="M22" t="str">
        <v>MOLDED</v>
      </c>
      <c r="Q22">
        <v>46176</v>
      </c>
    </row>
    <row r="24">
      <c r="A24" t="str">
        <v>F-2026-05-288</v>
      </c>
      <c r="B24" t="str">
        <v>RPRO-260520-0183</v>
      </c>
      <c r="C24" t="str">
        <v>26/5</v>
      </c>
      <c r="D24" t="str">
        <v>Pro.sche.report 04.6</v>
      </c>
      <c r="E24" t="str">
        <v>BDB-000051</v>
      </c>
      <c r="F24" t="str">
        <v>PVN-003319</v>
      </c>
      <c r="G24" t="str">
        <v>OrthoLite X-40 TRUE BLUE/19-4057TPX Flat Sheet 0.16D 25+/-4 Asker C 1.1M 1.7M 12mm</v>
      </c>
      <c r="H24">
        <v>44</v>
      </c>
      <c r="I24">
        <v>4</v>
      </c>
      <c r="J24">
        <v>4</v>
      </c>
      <c r="K24" t="str">
        <v>ASICS</v>
      </c>
      <c r="L24" t="str">
        <v>Pr.Sch.R</v>
      </c>
      <c r="M24" t="str">
        <v>MOLDED</v>
      </c>
      <c r="N24">
        <v>3</v>
      </c>
      <c r="O24" t="str">
        <v xml:space="preserve">W22 đổ dư 1 bun </v>
      </c>
      <c r="Q24">
        <v>46170</v>
      </c>
    </row>
    <row r="26">
      <c r="A26" t="str">
        <v>F-2026-05-261</v>
      </c>
      <c r="B26" t="str">
        <v>RPRO-260519-0333</v>
      </c>
      <c r="C26" t="str">
        <v>26/5</v>
      </c>
      <c r="D26" t="str">
        <v>MPS 18.05</v>
      </c>
      <c r="E26" t="str">
        <v>BDB-000077</v>
      </c>
      <c r="F26" t="str">
        <v>PVN-003478</v>
      </c>
      <c r="G26" t="str">
        <v>Ortholite X-25 SEEDPEARL/12-0703TPX Flat Sheet 0.12D 20+/-4 Asker C 1.1M 2M 4mm</v>
      </c>
      <c r="H26">
        <v>70</v>
      </c>
      <c r="I26">
        <v>2</v>
      </c>
      <c r="J26">
        <v>2</v>
      </c>
      <c r="L26" t="str">
        <v>MPS</v>
      </c>
      <c r="M26" t="str">
        <v>SPLITTING</v>
      </c>
      <c r="N26">
        <v>5</v>
      </c>
      <c r="Q26">
        <v>46170</v>
      </c>
    </row>
    <row r="27">
      <c r="A27" t="str">
        <v>F-2026-05-293</v>
      </c>
      <c r="B27" t="str">
        <v>RPRO-260520-0188</v>
      </c>
      <c r="C27" t="str">
        <v>26/5</v>
      </c>
      <c r="D27" t="str">
        <v>Pro.sche.report 04.6</v>
      </c>
      <c r="E27" t="str">
        <v>BDB-000077</v>
      </c>
      <c r="F27" t="str">
        <v>PVN-003478</v>
      </c>
      <c r="G27" t="str">
        <v>Ortholite X-25 SEEDPEARL/12-0703TPX Flat Sheet 0.12D 20+/-4 Asker C 1.1M 2M 4mm</v>
      </c>
      <c r="H27">
        <v>35</v>
      </c>
      <c r="I27">
        <v>1</v>
      </c>
      <c r="J27">
        <v>1</v>
      </c>
      <c r="K27" t="str">
        <v>SOLEWORKS</v>
      </c>
      <c r="L27" t="str">
        <v>Pr.Sch.R</v>
      </c>
      <c r="M27" t="str">
        <v>MOLDED</v>
      </c>
      <c r="Q27">
        <v>46174</v>
      </c>
    </row>
    <row r="28">
      <c r="A28" t="str">
        <v>F-2026-05-300</v>
      </c>
      <c r="B28" t="str">
        <v>RPRO-260521-0654</v>
      </c>
      <c r="C28" t="str">
        <v>26/5</v>
      </c>
      <c r="D28" t="str">
        <v>MPS 20.05</v>
      </c>
      <c r="E28" t="str">
        <v>BDB-000077</v>
      </c>
      <c r="F28" t="str">
        <v>PVN-003478</v>
      </c>
      <c r="G28" t="str">
        <v>Ortholite X-25 SEEDPEARL/12-0703TPX Flat Sheet 0.12D 20+/-4 Asker C 1.1M 2M 4mm</v>
      </c>
      <c r="H28">
        <v>70</v>
      </c>
      <c r="I28">
        <v>2</v>
      </c>
      <c r="J28">
        <v>2</v>
      </c>
      <c r="L28" t="str">
        <v>MPS</v>
      </c>
      <c r="M28" t="str">
        <v>SPLITTING</v>
      </c>
      <c r="Q28">
        <v>46175</v>
      </c>
    </row>
    <row r="30">
      <c r="A30" t="str">
        <v>F-2026-05-244</v>
      </c>
      <c r="B30" t="str">
        <v>RPRO-260518-0817</v>
      </c>
      <c r="C30" t="str">
        <v>26/5</v>
      </c>
      <c r="D30" t="str">
        <v>Pro.sche.report 15.6+16.6</v>
      </c>
      <c r="E30" t="str">
        <v>BDB-000220</v>
      </c>
      <c r="F30" t="str">
        <v>PVN-003656</v>
      </c>
      <c r="G30" t="str">
        <v>OrthoLite X-25 BILLIARD/16-5427TPX Flat Sheet 0.12D 20+/-4 Asker C 1.1M 1.47M 3mm</v>
      </c>
      <c r="H30">
        <v>46</v>
      </c>
      <c r="I30">
        <v>2</v>
      </c>
      <c r="J30">
        <v>2</v>
      </c>
      <c r="K30" t="str">
        <v>FOOTJOY</v>
      </c>
      <c r="L30" t="str">
        <v>Pr.Sch.R</v>
      </c>
      <c r="M30" t="str">
        <v>DIE CUT</v>
      </c>
      <c r="N30">
        <v>2</v>
      </c>
      <c r="Q30">
        <v>46172</v>
      </c>
    </row>
    <row r="32">
      <c r="A32" t="str">
        <v>F-2026-05-230</v>
      </c>
      <c r="B32" t="str">
        <v>RPRO-260518-0803</v>
      </c>
      <c r="C32" t="str">
        <v>26/5</v>
      </c>
      <c r="D32" t="str">
        <v>Pro.sche.report 15.6+16.6</v>
      </c>
      <c r="E32" t="str">
        <v>BDB-000212</v>
      </c>
      <c r="F32" t="str">
        <v>PVN-003764</v>
      </c>
      <c r="G32" t="str">
        <v>OrthoLite X-25-Hybrid SEEDPEARL/12-0703TPX Hybrid Flat Sheet 0.12D 20+/-4 Asker C 1.1M 2M 5mm</v>
      </c>
      <c r="H32">
        <v>28</v>
      </c>
      <c r="I32">
        <v>1</v>
      </c>
      <c r="J32">
        <v>1</v>
      </c>
      <c r="K32" t="str">
        <v>FOOTJOY</v>
      </c>
      <c r="L32" t="str">
        <v>Pr.Sch.R</v>
      </c>
      <c r="M32" t="str">
        <v>OTHERS</v>
      </c>
      <c r="N32">
        <v>2</v>
      </c>
      <c r="Q32">
        <v>46172</v>
      </c>
    </row>
    <row r="33">
      <c r="A33" t="str">
        <v>F-2026-05-238</v>
      </c>
      <c r="B33" t="str">
        <v>RPRO-260518-0811</v>
      </c>
      <c r="C33" t="str">
        <v>26/5</v>
      </c>
      <c r="D33" t="str">
        <v>Pro.sche.report 15.6+16.6</v>
      </c>
      <c r="E33" t="str">
        <v>BDB-000212</v>
      </c>
      <c r="F33" t="str">
        <v>PVN-004002</v>
      </c>
      <c r="G33" t="str">
        <v>OrthoLite X-25-Hybrid SEEDPEARL/12-0703TPX Hybrid Flat Sheet 0.12D 20+/-4 Asker C 1.1M 2M 14mm</v>
      </c>
      <c r="H33">
        <v>9</v>
      </c>
      <c r="I33">
        <v>1</v>
      </c>
      <c r="J33">
        <v>1</v>
      </c>
      <c r="K33" t="str">
        <v>FOOTJOY</v>
      </c>
      <c r="L33" t="str">
        <v>Pr.Sch.R</v>
      </c>
      <c r="M33" t="str">
        <v>MOLDED</v>
      </c>
      <c r="Q33">
        <v>46172</v>
      </c>
    </row>
    <row r="35">
      <c r="A35" t="str">
        <v>F-2026-05-236</v>
      </c>
      <c r="B35" t="str">
        <v>RPRO-260518-0809</v>
      </c>
      <c r="C35" t="str">
        <v>26/5</v>
      </c>
      <c r="D35" t="str">
        <v>Pro.sche.report 15.6+16.6</v>
      </c>
      <c r="E35" t="str">
        <v>BDB-000336</v>
      </c>
      <c r="F35" t="str">
        <v>PVN-004168</v>
      </c>
      <c r="G35" t="str">
        <v>OrthoLite X-40-Nike SEEDPEARL/12-0703TPX Flat Sheet 0.16D 35+/-4 Asker C 1.1M 2M 4.5mm</v>
      </c>
      <c r="H35">
        <v>62</v>
      </c>
      <c r="I35">
        <v>3</v>
      </c>
      <c r="J35">
        <v>3</v>
      </c>
      <c r="K35" t="str">
        <v>NIKE</v>
      </c>
      <c r="L35" t="str">
        <v>Pr.Sch.R</v>
      </c>
      <c r="M35" t="str">
        <v>MOLDED</v>
      </c>
      <c r="N35">
        <v>3</v>
      </c>
      <c r="Q35">
        <v>46172</v>
      </c>
    </row>
    <row r="37">
      <c r="A37" t="str">
        <v>F-2026-05-231</v>
      </c>
      <c r="B37" t="str">
        <v>RPRO-260518-0804</v>
      </c>
      <c r="C37" t="str">
        <v>26/5</v>
      </c>
      <c r="D37" t="str">
        <v>Pro.sche.report 15.6+16.6</v>
      </c>
      <c r="E37" t="str">
        <v>BDB-000157</v>
      </c>
      <c r="F37" t="str">
        <v>PVN-003642</v>
      </c>
      <c r="G37" t="str">
        <v>OrthoLite X-35-Hybrid-Nike SEEDPEARL/12-0703TPX Hybrid Flat Sheet 0.145D 25+/-4 Asker C 1.1M 2M 6.2mm</v>
      </c>
      <c r="H37">
        <v>22</v>
      </c>
      <c r="I37">
        <v>1</v>
      </c>
      <c r="J37">
        <v>1</v>
      </c>
      <c r="K37" t="str">
        <v>NIKE</v>
      </c>
      <c r="L37" t="str">
        <v>Pr.Sch.R</v>
      </c>
      <c r="M37" t="str">
        <v>MOLDED</v>
      </c>
      <c r="N37">
        <v>11</v>
      </c>
      <c r="Q37">
        <v>46172</v>
      </c>
    </row>
    <row r="38">
      <c r="A38" t="str">
        <v>F-2026-05-269</v>
      </c>
      <c r="B38" t="str">
        <v>RPRO-260519-0341</v>
      </c>
      <c r="C38" t="str">
        <v>26/5</v>
      </c>
      <c r="D38" t="str">
        <v>Pro.sche.report 18.05</v>
      </c>
      <c r="E38" t="str">
        <v>BDB-000157</v>
      </c>
      <c r="F38" t="str">
        <v>PVN-003642</v>
      </c>
      <c r="G38" t="str">
        <v>OrthoLite X-35-Hybrid-Nike SEEDPEARL/12-0703TPX Hybrid Flat Sheet 0.145D 25+/-4 Asker C 1.1M 2M 6.2mm</v>
      </c>
      <c r="H38">
        <v>220</v>
      </c>
      <c r="I38">
        <v>10</v>
      </c>
      <c r="J38">
        <v>10</v>
      </c>
      <c r="K38" t="str">
        <v>NIKE</v>
      </c>
      <c r="L38" t="str">
        <v>Pr.Sch.R</v>
      </c>
      <c r="M38" t="str">
        <v>MOLDED</v>
      </c>
      <c r="Q38">
        <v>46172</v>
      </c>
    </row>
    <row r="40">
      <c r="A40" t="str">
        <v>F-2026-05-232</v>
      </c>
      <c r="B40" t="str">
        <v>RPRO-260518-0805</v>
      </c>
      <c r="C40" t="str">
        <v>26/5</v>
      </c>
      <c r="D40" t="str">
        <v>Pro.sche.report 15.6+16.6</v>
      </c>
      <c r="E40" t="str">
        <v>BDB-000054</v>
      </c>
      <c r="F40" t="str">
        <v>PVN-003895</v>
      </c>
      <c r="G40" t="str">
        <v>OrthoLite X-40 RED/19-1764TPX Flat Sheet 0.16D 25+/-4 Asker C 1.1M 1.7M 5mm</v>
      </c>
      <c r="H40">
        <v>336</v>
      </c>
      <c r="I40">
        <v>12</v>
      </c>
      <c r="J40">
        <v>12</v>
      </c>
      <c r="K40" t="str">
        <v>PAYNTR</v>
      </c>
      <c r="L40" t="str">
        <v>Pr.Sch.R</v>
      </c>
      <c r="M40" t="str">
        <v>MOLDED</v>
      </c>
      <c r="N40">
        <v>13</v>
      </c>
      <c r="Q40">
        <v>46172</v>
      </c>
    </row>
    <row r="41">
      <c r="A41" t="str">
        <v>F-2026-05-270</v>
      </c>
      <c r="B41" t="str">
        <v>RPRO-260519-0342</v>
      </c>
      <c r="C41" t="str">
        <v>26/5</v>
      </c>
      <c r="D41" t="str">
        <v>Pro.sche.report 18.05</v>
      </c>
      <c r="E41" t="str">
        <v>BDB-000054</v>
      </c>
      <c r="F41" t="str">
        <v>PVN-003895</v>
      </c>
      <c r="G41" t="str">
        <v>OrthoLite X-40 RED/19-1764TPX Flat Sheet 0.16D 25+/-4 Asker C 1.1M 1.7M 5mm</v>
      </c>
      <c r="H41">
        <v>28</v>
      </c>
      <c r="I41">
        <v>1</v>
      </c>
      <c r="J41">
        <v>1</v>
      </c>
      <c r="K41" t="str">
        <v>PAYNTR</v>
      </c>
      <c r="L41" t="str">
        <v>Pr.Sch.R</v>
      </c>
      <c r="M41" t="str">
        <v>MOLDED</v>
      </c>
      <c r="Q41">
        <v>46172</v>
      </c>
    </row>
    <row r="43">
      <c r="A43" t="str">
        <v>F-2026-05-221</v>
      </c>
      <c r="B43" t="str">
        <v>RPRO-260518-0794</v>
      </c>
      <c r="C43" t="str">
        <v>26/5</v>
      </c>
      <c r="D43" t="str">
        <v>Pro.sche.report 15.6+16.6</v>
      </c>
      <c r="E43" t="str">
        <v>BDB-000117</v>
      </c>
      <c r="F43" t="str">
        <v>PVN-003234</v>
      </c>
      <c r="G43" t="str">
        <v>OrthoLite X-35-Hybrid SEEDPEARL/12-0703TPX Hybrid Flat Sheet 0.145D 25+/-4 Asker C 1.1M 2M 5.5mm</v>
      </c>
      <c r="H43">
        <v>25</v>
      </c>
      <c r="I43">
        <v>1</v>
      </c>
      <c r="J43">
        <v>1</v>
      </c>
      <c r="K43" t="str">
        <v>PUMA</v>
      </c>
      <c r="L43" t="str">
        <v>Pr.Sch.R</v>
      </c>
      <c r="M43" t="str">
        <v>MOLDED</v>
      </c>
      <c r="N43">
        <v>13</v>
      </c>
      <c r="O43" t="str">
        <v xml:space="preserve">W22 đổ dư 2 bun </v>
      </c>
      <c r="Q43">
        <v>46172</v>
      </c>
    </row>
    <row r="44">
      <c r="A44" t="str">
        <v>F-2026-05-283</v>
      </c>
      <c r="B44" t="str">
        <v>RPRO-260520-0178</v>
      </c>
      <c r="C44" t="str">
        <v>26/5</v>
      </c>
      <c r="D44" t="str">
        <v>MPS 04.6</v>
      </c>
      <c r="E44" t="str">
        <v>BDB-000117</v>
      </c>
      <c r="F44" t="str">
        <v>PVN-003588</v>
      </c>
      <c r="G44" t="str">
        <v>OrthoLite X-35-Hybrid SEEDPEARL/12-0703TPX Hybrid 0.145D 25+/-4 Asker C 1.1M 2M 5mm</v>
      </c>
      <c r="H44">
        <v>364</v>
      </c>
      <c r="I44">
        <v>13</v>
      </c>
      <c r="J44">
        <v>13</v>
      </c>
      <c r="L44" t="str">
        <v>MPS</v>
      </c>
      <c r="M44" t="str">
        <v>SPLITTING</v>
      </c>
      <c r="N44" t="str">
        <v>15-2</v>
      </c>
      <c r="Q44">
        <v>46172</v>
      </c>
    </row>
    <row r="45">
      <c r="A45" t="str">
        <v>F-2026-05-325</v>
      </c>
      <c r="B45" t="str">
        <v>RPRO-260522-0240</v>
      </c>
      <c r="C45" t="str">
        <v>26/5</v>
      </c>
      <c r="D45" t="str">
        <v>MPS 21.5</v>
      </c>
      <c r="E45" t="str">
        <v>BDB-000117</v>
      </c>
      <c r="F45" t="str">
        <v>PVN-003588</v>
      </c>
      <c r="G45" t="str">
        <v>OrthoLite X-35-Hybrid SEEDPEARL/12-0703TPX Hybrid 0.145D 25+/-4 Asker C 1.1M 2M 5mm</v>
      </c>
      <c r="H45">
        <v>28</v>
      </c>
      <c r="I45">
        <v>1</v>
      </c>
      <c r="J45">
        <v>1</v>
      </c>
      <c r="L45" t="str">
        <v>MPS</v>
      </c>
      <c r="M45" t="str">
        <v>SPLITTING</v>
      </c>
      <c r="Q45">
        <v>46176</v>
      </c>
    </row>
    <row r="47">
      <c r="A47" t="str">
        <v>F-2026-05-66</v>
      </c>
      <c r="B47" t="str">
        <v>FPRO-260504-0017</v>
      </c>
      <c r="C47" t="str">
        <v>26/5</v>
      </c>
      <c r="D47" t="str">
        <v>Firm plan 04.05</v>
      </c>
      <c r="E47" t="str">
        <v>BDB-000332</v>
      </c>
      <c r="F47" t="str">
        <v>PVN-004146</v>
      </c>
      <c r="G47" t="str">
        <v>OrthoLite X-25 CASTLEROCK/18-0201TPX Flat Sheet 0.12D 20+/-4 Asker C 1.1M 2M 5.5mm</v>
      </c>
      <c r="H47">
        <v>500</v>
      </c>
      <c r="I47">
        <v>20</v>
      </c>
      <c r="J47">
        <v>20</v>
      </c>
      <c r="K47" t="str">
        <v>ON RUNNING</v>
      </c>
      <c r="L47" t="str">
        <v>Forecast</v>
      </c>
      <c r="M47" t="str">
        <v>MOLDED</v>
      </c>
      <c r="N47">
        <v>20</v>
      </c>
      <c r="Q47">
        <v>46172</v>
      </c>
    </row>
    <row r="49">
      <c r="A49" t="str">
        <v>F-2026-05-267</v>
      </c>
      <c r="B49" t="str">
        <v>RPRO-260519-0339</v>
      </c>
      <c r="C49" t="str">
        <v>26/5</v>
      </c>
      <c r="D49" t="str">
        <v>Pro.sche.report 18.05</v>
      </c>
      <c r="E49" t="str">
        <v>BDB-000052</v>
      </c>
      <c r="F49" t="str">
        <v>PVN-003603</v>
      </c>
      <c r="G49" t="str">
        <v>OrthoLite X-40 TRUE BLUE/19-4057TPX Flat Sheet 0.16D 25+/-4 Asker C 1.1M 1.47M 12mm</v>
      </c>
      <c r="H49">
        <v>154</v>
      </c>
      <c r="I49">
        <v>14</v>
      </c>
      <c r="J49">
        <v>14</v>
      </c>
      <c r="K49" t="str">
        <v>ASICS</v>
      </c>
      <c r="L49" t="str">
        <v>Pr.Sch.R</v>
      </c>
      <c r="M49" t="str">
        <v>MOLDED</v>
      </c>
      <c r="N49">
        <v>35</v>
      </c>
      <c r="Q49">
        <v>46172</v>
      </c>
    </row>
    <row r="50">
      <c r="A50" t="str">
        <v>F-2026-05-305</v>
      </c>
      <c r="B50" t="str">
        <v>RPRO-260521-0659</v>
      </c>
      <c r="C50" t="str">
        <v>26/5</v>
      </c>
      <c r="D50" t="str">
        <v>Pro.sche.report 20.05</v>
      </c>
      <c r="E50" t="str">
        <v>BDB-000052</v>
      </c>
      <c r="F50" t="str">
        <v>PVN-003603</v>
      </c>
      <c r="G50" t="str">
        <v>OrthoLite X-40 TRUE BLUE/19-4057TPX Flat Sheet 0.16D 25+/-4 Asker C 1.1M 1.47M 12mm</v>
      </c>
      <c r="H50">
        <v>209</v>
      </c>
      <c r="I50">
        <v>19</v>
      </c>
      <c r="J50">
        <v>19</v>
      </c>
      <c r="K50" t="str">
        <v>ASICS</v>
      </c>
      <c r="L50" t="str">
        <v>Pr.Sch.R</v>
      </c>
      <c r="M50" t="str">
        <v>MOLDED</v>
      </c>
      <c r="Q50">
        <v>46175</v>
      </c>
    </row>
    <row r="51">
      <c r="A51" t="str">
        <v>F-2026-05-335</v>
      </c>
      <c r="B51" t="str">
        <v>RPRO-260522-0250</v>
      </c>
      <c r="C51" t="str">
        <v>26/5</v>
      </c>
      <c r="D51" t="str">
        <v>Pro.sche.report 21.5</v>
      </c>
      <c r="E51" t="str">
        <v>BDB-000052</v>
      </c>
      <c r="F51" t="str">
        <v>PVN-004308</v>
      </c>
      <c r="G51" t="str">
        <v>OrthoLite X-40 TRUE BLUE/19-4057TPX Flat Sheet 0.16D 25+/-4 Asker C 1.1M 1.47M 3mm</v>
      </c>
      <c r="H51">
        <v>46</v>
      </c>
      <c r="I51">
        <v>2</v>
      </c>
      <c r="J51">
        <v>2</v>
      </c>
      <c r="K51" t="str">
        <v>ASICS</v>
      </c>
      <c r="L51" t="str">
        <v>Pr.Sch.R</v>
      </c>
      <c r="M51" t="str">
        <v>DIE CUT</v>
      </c>
      <c r="Q51">
        <v>46176</v>
      </c>
    </row>
    <row r="53">
      <c r="A53" t="str">
        <v>F-2026-05-153</v>
      </c>
      <c r="B53" t="str">
        <v>RPRO-260512-0105</v>
      </c>
      <c r="C53" t="str">
        <v>26/5</v>
      </c>
      <c r="D53" t="str">
        <v>Pro.sche.report 11.05</v>
      </c>
      <c r="E53" t="str">
        <v>BDB-000339</v>
      </c>
      <c r="F53" t="str">
        <v>PVN-004178</v>
      </c>
      <c r="G53" t="str">
        <v>OrthoLite Float NEUTRAL GRAY/17-4402TPX Flat Sheet 0.12D 21+/-4 Asker C 1.1M 2M 5.5mm</v>
      </c>
      <c r="H53">
        <v>250</v>
      </c>
      <c r="I53">
        <v>10</v>
      </c>
      <c r="J53">
        <v>10</v>
      </c>
      <c r="K53" t="str">
        <v>PUMA</v>
      </c>
      <c r="L53" t="str">
        <v>Pr.Sch.R</v>
      </c>
      <c r="M53" t="str">
        <v>MOLDED</v>
      </c>
      <c r="N53">
        <v>50</v>
      </c>
      <c r="Q53">
        <v>46172</v>
      </c>
    </row>
    <row r="54">
      <c r="A54" t="str">
        <v>F-2026-05-223</v>
      </c>
      <c r="B54" t="str">
        <v>RPRO-260518-0796</v>
      </c>
      <c r="C54" t="str">
        <v>26/5</v>
      </c>
      <c r="D54" t="str">
        <v>Pro.sche.report 15.6+16.6</v>
      </c>
      <c r="E54" t="str">
        <v>BDB-000339</v>
      </c>
      <c r="F54" t="str">
        <v>PVN-004178</v>
      </c>
      <c r="G54" t="str">
        <v>OrthoLite Float NEUTRAL GRAY/17-4402TPX Flat Sheet 0.12D 21+/-4 Asker C 1.1M 2M 5.5mm</v>
      </c>
      <c r="H54">
        <v>25</v>
      </c>
      <c r="I54">
        <v>1</v>
      </c>
      <c r="J54">
        <v>1</v>
      </c>
      <c r="K54" t="str">
        <v>PUMA</v>
      </c>
      <c r="L54" t="str">
        <v>Pr.Sch.R</v>
      </c>
      <c r="M54" t="str">
        <v>MOLDED</v>
      </c>
      <c r="Q54">
        <v>46172</v>
      </c>
    </row>
    <row r="55">
      <c r="A55" t="str">
        <v>F-2026-05-13</v>
      </c>
      <c r="B55" t="str">
        <v>RPRO-260504-0925</v>
      </c>
      <c r="C55" t="str">
        <v>26/5</v>
      </c>
      <c r="D55" t="str">
        <v>Pro.sche.report 29.04+02.05</v>
      </c>
      <c r="E55" t="str">
        <v>BDB-000339</v>
      </c>
      <c r="F55" t="str">
        <v>PVN-004178</v>
      </c>
      <c r="G55" t="str">
        <v>OrthoLite Float NEUTRAL GRAY/17-4402TPX Flat Sheet 0.12D 21+/-4 Asker C 1.1M 2M 5.5mm</v>
      </c>
      <c r="H55">
        <v>500</v>
      </c>
      <c r="I55">
        <v>20</v>
      </c>
      <c r="J55">
        <v>20</v>
      </c>
      <c r="K55" t="str">
        <v>PUMA</v>
      </c>
      <c r="L55" t="str">
        <v>Pr.Sch.R</v>
      </c>
      <c r="M55" t="str">
        <v>MOLDED</v>
      </c>
      <c r="Q55">
        <v>46172</v>
      </c>
    </row>
    <row r="56">
      <c r="A56" t="str">
        <v>F-2026-05-266</v>
      </c>
      <c r="B56" t="str">
        <v>RPRO-260519-0338</v>
      </c>
      <c r="C56" t="str">
        <v>26/5</v>
      </c>
      <c r="D56" t="str">
        <v>Pro.sche.report 18.05</v>
      </c>
      <c r="E56" t="str">
        <v>BDB-000339</v>
      </c>
      <c r="F56" t="str">
        <v>PVN-004178</v>
      </c>
      <c r="G56" t="str">
        <v>OrthoLite Float NEUTRAL GRAY/17-4402TPX Flat Sheet 0.12D 21+/-4 Asker C 1.1M 2M 5.5mm</v>
      </c>
      <c r="H56">
        <v>25</v>
      </c>
      <c r="I56">
        <v>1</v>
      </c>
      <c r="J56">
        <v>1</v>
      </c>
      <c r="K56" t="str">
        <v>PUMA</v>
      </c>
      <c r="L56" t="str">
        <v>Pr.Sch.R</v>
      </c>
      <c r="M56" t="str">
        <v>MOLDED</v>
      </c>
      <c r="Q56">
        <v>46172</v>
      </c>
    </row>
    <row r="57">
      <c r="A57" t="str">
        <v>F-2026-05-287</v>
      </c>
      <c r="B57" t="str">
        <v>RPRO-260520-0182</v>
      </c>
      <c r="C57" t="str">
        <v>26/5-27/5</v>
      </c>
      <c r="D57" t="str">
        <v>Pro.sche.report 04.6</v>
      </c>
      <c r="E57" t="str">
        <v>BDB-000339</v>
      </c>
      <c r="F57" t="str">
        <v>PVN-004178</v>
      </c>
      <c r="G57" t="str">
        <v>OrthoLite Float NEUTRAL GRAY/17-4402TPX Flat Sheet 0.12D 21+/-4 Asker C 1.1M 2M 5.5mm</v>
      </c>
      <c r="H57">
        <v>450</v>
      </c>
      <c r="I57">
        <v>18</v>
      </c>
      <c r="J57">
        <v>18</v>
      </c>
      <c r="K57" t="str">
        <v>PUMA</v>
      </c>
      <c r="L57" t="str">
        <v>Pr.Sch.R</v>
      </c>
      <c r="M57" t="str">
        <v>MOLDED</v>
      </c>
      <c r="Q57">
        <v>46174</v>
      </c>
    </row>
    <row r="59">
      <c r="A59" t="str">
        <v>F-2026-05-263</v>
      </c>
      <c r="B59" t="str">
        <v>RPRO-260519-0335</v>
      </c>
      <c r="C59" t="str">
        <v>27/5</v>
      </c>
      <c r="D59" t="str">
        <v>Pro.sche.report 18.05</v>
      </c>
      <c r="E59" t="str">
        <v>BDB-000076</v>
      </c>
      <c r="F59" t="str">
        <v>PVN-003448</v>
      </c>
      <c r="G59" t="str">
        <v>OrthoLite X-25 BILLIARD/16-5427TPX Flat Sheet 0.12D 20+/-4 Asker C 1.1M 2M 6.2mm</v>
      </c>
      <c r="H59">
        <v>594</v>
      </c>
      <c r="I59">
        <v>27</v>
      </c>
      <c r="J59">
        <v>27</v>
      </c>
      <c r="K59" t="str">
        <v>ADIDAS</v>
      </c>
      <c r="L59" t="str">
        <v>Pr.Sch.R</v>
      </c>
      <c r="M59" t="str">
        <v>MOLDED</v>
      </c>
      <c r="N59">
        <v>31</v>
      </c>
      <c r="Q59">
        <v>46172</v>
      </c>
    </row>
    <row r="60">
      <c r="A60" t="str">
        <v>F-2026-05-304</v>
      </c>
      <c r="B60" t="str">
        <v>RPRO-260521-0658</v>
      </c>
      <c r="C60" t="str">
        <v>27/5</v>
      </c>
      <c r="D60" t="str">
        <v>Pro.sche.report 20.05</v>
      </c>
      <c r="E60" t="str">
        <v>BDB-000076</v>
      </c>
      <c r="F60" t="str">
        <v>PVN-003494</v>
      </c>
      <c r="G60" t="str">
        <v>OrthoLite X-25 BILLIARD/16-5427TPX Flat Sheet 0.12D 20+/-4 Asker C 1.1M 2M 5.5mm</v>
      </c>
      <c r="H60">
        <v>75</v>
      </c>
      <c r="I60">
        <v>3</v>
      </c>
      <c r="J60">
        <v>3</v>
      </c>
      <c r="K60" t="str">
        <v>LOTTO</v>
      </c>
      <c r="L60" t="str">
        <v>Pr.Sch.R</v>
      </c>
      <c r="M60" t="str">
        <v>MOLDED</v>
      </c>
      <c r="Q60">
        <v>46175</v>
      </c>
    </row>
    <row r="61">
      <c r="A61" t="str">
        <v>F-2026-05-336</v>
      </c>
      <c r="B61" t="str">
        <v>RPRO-260522-0251</v>
      </c>
      <c r="C61" t="str">
        <v>27/5</v>
      </c>
      <c r="D61" t="str">
        <v>Pro.sche.report 21.5</v>
      </c>
      <c r="E61" t="str">
        <v>BDB-000076</v>
      </c>
      <c r="F61" t="str">
        <v>PVN-003740</v>
      </c>
      <c r="G61" t="str">
        <v>OrthoLite X-25 BILLIARD/16-5427TPX Flat Sheet 0.12D 20+/-4 Asker C 1.1M 2M 10.5mm</v>
      </c>
      <c r="H61">
        <v>12</v>
      </c>
      <c r="I61">
        <v>1</v>
      </c>
      <c r="J61">
        <v>1</v>
      </c>
      <c r="K61" t="str">
        <v>FOOTJOY</v>
      </c>
      <c r="L61" t="str">
        <v>Pr.Sch.R</v>
      </c>
      <c r="M61" t="str">
        <v>MOLDED</v>
      </c>
      <c r="Q61">
        <v>46176</v>
      </c>
    </row>
    <row r="62">
      <c r="G62" t="str">
        <v>xxxxxxxxxxxxxxxxxxxxxxxxxxxxxxxxxxxxxxxx</v>
      </c>
    </row>
    <row r="63">
      <c r="A63" t="str">
        <v>F-2026-05-212</v>
      </c>
      <c r="B63" t="str">
        <v>RPRO-260518-0785</v>
      </c>
      <c r="C63" t="str">
        <v>27/5</v>
      </c>
      <c r="D63" t="str">
        <v>MPS 15.6+16.6+17.6</v>
      </c>
      <c r="E63" t="str">
        <v>BDB-000348</v>
      </c>
      <c r="F63" t="str">
        <v>PVN-004195</v>
      </c>
      <c r="G63" t="str">
        <v>OrthoLite IMPERIAL SEEDPEARL/12-0703TPX Flat Sheet 0.22D 25+/-4 Asker C 1.1M 1.47M 4mm</v>
      </c>
      <c r="H63">
        <v>1015</v>
      </c>
      <c r="I63">
        <v>29</v>
      </c>
      <c r="J63">
        <v>29</v>
      </c>
      <c r="L63" t="str">
        <v>MPS</v>
      </c>
      <c r="M63" t="str">
        <v>SPLITTING</v>
      </c>
      <c r="N63">
        <v>67</v>
      </c>
      <c r="Q63">
        <v>46172</v>
      </c>
    </row>
    <row r="64">
      <c r="A64" t="str">
        <v>F-2026-05-219</v>
      </c>
      <c r="B64" t="str">
        <v>RPRO-260518-0792</v>
      </c>
      <c r="C64" t="str">
        <v>27/5</v>
      </c>
      <c r="D64" t="str">
        <v>MPS 15.6+16.6+17.6</v>
      </c>
      <c r="E64" t="str">
        <v>BDB-000348</v>
      </c>
      <c r="F64" t="str">
        <v>PVN-004210</v>
      </c>
      <c r="G64" t="str">
        <v>OrthoLite IMPERIAL SEEDPEARL/12-0703TPX Flat Sheet 0.22D 25+/-4 Asker C 1.1M 1.47M 5mm</v>
      </c>
      <c r="H64">
        <v>112</v>
      </c>
      <c r="I64">
        <v>4</v>
      </c>
      <c r="J64">
        <v>4</v>
      </c>
      <c r="L64" t="str">
        <v>MPS</v>
      </c>
      <c r="M64" t="str">
        <v>SPLITTING</v>
      </c>
      <c r="Q64">
        <v>46172</v>
      </c>
    </row>
    <row r="65">
      <c r="A65" t="str">
        <v>F-2026-05-254</v>
      </c>
      <c r="B65" t="str">
        <v>RPRO-260519-0326</v>
      </c>
      <c r="C65" t="str">
        <v>27/5</v>
      </c>
      <c r="D65" t="str">
        <v>MPS 18.05</v>
      </c>
      <c r="E65" t="str">
        <v>BDB-000348</v>
      </c>
      <c r="F65" t="str">
        <v>PVN-004195</v>
      </c>
      <c r="G65" t="str">
        <v>OrthoLite IMPERIAL SEEDPEARL/12-0703TPX Flat Sheet 0.22D 25+/-4 Asker C 1.1M 1.47M 4mm</v>
      </c>
      <c r="H65">
        <v>70</v>
      </c>
      <c r="I65">
        <v>2</v>
      </c>
      <c r="J65">
        <v>2</v>
      </c>
      <c r="L65" t="str">
        <v>MPS</v>
      </c>
      <c r="M65" t="str">
        <v>SPLITTING</v>
      </c>
      <c r="Q65">
        <v>46172</v>
      </c>
    </row>
    <row r="66">
      <c r="A66" t="str">
        <v>F-2026-05-277</v>
      </c>
      <c r="B66" t="str">
        <v>RPRO-260520-0172</v>
      </c>
      <c r="C66" t="str">
        <v>27/5</v>
      </c>
      <c r="D66" t="str">
        <v>MPS 04.6</v>
      </c>
      <c r="E66" t="str">
        <v>BDB-000348</v>
      </c>
      <c r="F66" t="str">
        <v>PVN-004195</v>
      </c>
      <c r="G66" t="str">
        <v>OrthoLite IMPERIAL SEEDPEARL/12-0703TPX Flat Sheet 0.22D 25+/-4 Asker C 1.1M 1.47M 4mm</v>
      </c>
      <c r="H66">
        <v>735</v>
      </c>
      <c r="I66">
        <v>21</v>
      </c>
      <c r="J66">
        <v>21</v>
      </c>
      <c r="L66" t="str">
        <v>MPS</v>
      </c>
      <c r="M66" t="str">
        <v>SPLITTING</v>
      </c>
      <c r="Q66">
        <v>46174</v>
      </c>
    </row>
    <row r="67">
      <c r="A67" t="str">
        <v>F-2026-05-284</v>
      </c>
      <c r="B67" t="str">
        <v>RPRO-260520-0179</v>
      </c>
      <c r="C67" t="str">
        <v>27/5</v>
      </c>
      <c r="D67" t="str">
        <v>MPS 04.6</v>
      </c>
      <c r="E67" t="str">
        <v>BDB-000348</v>
      </c>
      <c r="F67" t="str">
        <v>PVN-004210</v>
      </c>
      <c r="G67" t="str">
        <v>OrthoLite IMPERIAL SEEDPEARL/12-0703TPX Flat Sheet 0.22D 25+/-4 Asker C 1.1M 1.47M 5mm</v>
      </c>
      <c r="H67">
        <v>84</v>
      </c>
      <c r="I67">
        <v>3</v>
      </c>
      <c r="J67">
        <v>3</v>
      </c>
      <c r="L67" t="str">
        <v>MPS</v>
      </c>
      <c r="M67" t="str">
        <v>SPLITTING</v>
      </c>
      <c r="Q67">
        <v>46174</v>
      </c>
    </row>
    <row r="68">
      <c r="A68" t="str">
        <v>F-2026-05-297</v>
      </c>
      <c r="B68" t="str">
        <v>RPRO-260521-0651</v>
      </c>
      <c r="C68" t="str">
        <v>27/5</v>
      </c>
      <c r="D68" t="str">
        <v>MPS 20.05</v>
      </c>
      <c r="E68" t="str">
        <v>BDB-000348</v>
      </c>
      <c r="F68" t="str">
        <v>PVN-004195</v>
      </c>
      <c r="G68" t="str">
        <v>OrthoLite IMPERIAL SEEDPEARL/12-0703TPX Flat Sheet 0.22D 25+/-4 Asker C 1.1M 1.47M 4mm</v>
      </c>
      <c r="H68">
        <v>35</v>
      </c>
      <c r="I68">
        <v>1</v>
      </c>
      <c r="J68">
        <v>1</v>
      </c>
      <c r="L68" t="str">
        <v>MPS</v>
      </c>
      <c r="M68" t="str">
        <v>SPLITTING</v>
      </c>
      <c r="Q68">
        <v>46175</v>
      </c>
    </row>
    <row r="69">
      <c r="A69" t="str">
        <v>F-2026-05-324</v>
      </c>
      <c r="B69" t="str">
        <v>RPRO-260522-0239</v>
      </c>
      <c r="C69" t="str">
        <v>27/5</v>
      </c>
      <c r="D69" t="str">
        <v>MPS 21.5</v>
      </c>
      <c r="E69" t="str">
        <v>BDB-000348</v>
      </c>
      <c r="F69" t="str">
        <v>PVN-004195</v>
      </c>
      <c r="G69" t="str">
        <v>OrthoLite IMPERIAL SEEDPEARL/12-0703TPX Flat Sheet 0.22D 25+/-4 Asker C 1.1M 1.47M 4mm</v>
      </c>
      <c r="H69">
        <v>245</v>
      </c>
      <c r="I69">
        <v>7</v>
      </c>
      <c r="J69">
        <v>7</v>
      </c>
      <c r="L69" t="str">
        <v>MPS</v>
      </c>
      <c r="M69" t="str">
        <v>SPLITTING</v>
      </c>
      <c r="Q69">
        <v>46176</v>
      </c>
    </row>
    <row r="71">
      <c r="A71" t="str">
        <v>F-2026-04-239</v>
      </c>
      <c r="B71" t="str">
        <v>FPRO-260416-0024</v>
      </c>
      <c r="C71" t="str">
        <v>27/5-28/5</v>
      </c>
      <c r="D71" t="str">
        <v>Firm plan 16.4</v>
      </c>
      <c r="E71" t="str">
        <v>BDB-000235</v>
      </c>
      <c r="F71" t="str">
        <v>PVN-003576</v>
      </c>
      <c r="G71" t="str">
        <v>OrthoLite X-55-Hybrid FOSSIL/17-0909TPX Hybrid Flat Sheet 0.16D 25+/-4 Asker C 1.1M 1.7M 12mm</v>
      </c>
      <c r="H71">
        <v>2000</v>
      </c>
      <c r="I71">
        <v>174</v>
      </c>
      <c r="J71">
        <v>174</v>
      </c>
      <c r="K71" t="str">
        <v>ASICS</v>
      </c>
      <c r="L71" t="str">
        <v>Forecast</v>
      </c>
      <c r="M71" t="str">
        <v>MOLDED</v>
      </c>
      <c r="N71">
        <v>174</v>
      </c>
      <c r="Q71">
        <v>46172</v>
      </c>
    </row>
    <row r="73">
      <c r="A73" t="str">
        <v>F-2026-05-291</v>
      </c>
      <c r="B73" t="str">
        <v>RPRO-260520-0186</v>
      </c>
      <c r="C73" t="str">
        <v>28/5</v>
      </c>
      <c r="D73" t="str">
        <v>Pro.sche.report 04.6</v>
      </c>
      <c r="E73" t="str">
        <v>BDB-000341</v>
      </c>
      <c r="F73" t="str">
        <v>PVN-004181</v>
      </c>
      <c r="G73" t="str">
        <v>Ortholite X-25 GREY/17-1501TPX Flat Sheet 0.12D 20+/-4 Asker C 1.1M 2M 4mm</v>
      </c>
      <c r="H73">
        <v>35</v>
      </c>
      <c r="I73">
        <v>1</v>
      </c>
      <c r="J73">
        <v>1</v>
      </c>
      <c r="K73" t="str">
        <v>SOLEWORKS</v>
      </c>
      <c r="L73" t="str">
        <v>Pr.Sch.R</v>
      </c>
      <c r="M73" t="str">
        <v>MOLDED</v>
      </c>
      <c r="N73">
        <v>1</v>
      </c>
      <c r="Q73">
        <v>46174</v>
      </c>
    </row>
    <row r="75">
      <c r="A75" t="str">
        <v>F-2026-05-294</v>
      </c>
      <c r="B75" t="str">
        <v>RPRO-260520-0189</v>
      </c>
      <c r="C75" t="str">
        <v>28/5</v>
      </c>
      <c r="D75" t="str">
        <v>Pro.sche.report 04.6</v>
      </c>
      <c r="E75" t="str">
        <v>BDB-000342</v>
      </c>
      <c r="F75" t="str">
        <v>PVN-004184</v>
      </c>
      <c r="G75" t="str">
        <v>Ortholite X-25 NEUTRAL GRAY/17-4402TPX Flat Sheet 0.12D 20+/-4 Asker C 1.1M 2M 4mm</v>
      </c>
      <c r="H75">
        <v>35</v>
      </c>
      <c r="I75">
        <v>1</v>
      </c>
      <c r="J75">
        <v>1</v>
      </c>
      <c r="K75" t="str">
        <v>SOLEWORKS</v>
      </c>
      <c r="L75" t="str">
        <v>Pr.Sch.R</v>
      </c>
      <c r="M75" t="str">
        <v>MOLDED</v>
      </c>
      <c r="N75">
        <v>1</v>
      </c>
      <c r="Q75">
        <v>46174</v>
      </c>
    </row>
    <row r="77">
      <c r="A77" t="str">
        <v>F-2026-05-292</v>
      </c>
      <c r="B77" t="str">
        <v>RPRO-260520-0187</v>
      </c>
      <c r="C77" t="str">
        <v>28/5</v>
      </c>
      <c r="D77" t="str">
        <v>Pro.sche.report 04.6</v>
      </c>
      <c r="E77" t="str">
        <v>BDB-000343</v>
      </c>
      <c r="F77" t="str">
        <v>PVN-004185</v>
      </c>
      <c r="G77" t="str">
        <v>Ortholite X-25 AIR BLUE/16-4134TPX Flat Sheet 0.12D 20+/-4 Asker C 1.1M 2M 4mm</v>
      </c>
      <c r="H77">
        <v>35</v>
      </c>
      <c r="I77">
        <v>1</v>
      </c>
      <c r="J77">
        <v>1</v>
      </c>
      <c r="K77" t="str">
        <v>SOLEWORKS</v>
      </c>
      <c r="L77" t="str">
        <v>Pr.Sch.R</v>
      </c>
      <c r="M77" t="str">
        <v>MOLDED</v>
      </c>
      <c r="N77">
        <v>1</v>
      </c>
      <c r="Q77">
        <v>46174</v>
      </c>
    </row>
    <row r="79">
      <c r="A79" t="str">
        <v>F-2026-05-306</v>
      </c>
      <c r="B79" t="str">
        <v>RPRO-260521-0660</v>
      </c>
      <c r="C79" t="str">
        <v>28/5</v>
      </c>
      <c r="D79" t="str">
        <v>Pro.sche.report 20.05</v>
      </c>
      <c r="E79" t="str">
        <v>BDB-000213</v>
      </c>
      <c r="F79" t="str">
        <v>PVN-003752</v>
      </c>
      <c r="G79" t="str">
        <v>OrthoLite X-25-Hybrid SEEDPEARL/12-0703TPX Hybrid Flat Sheet 0.12D 20+/-4 Asker C 1.1M 1.47M 4.5mm</v>
      </c>
      <c r="H79">
        <v>93</v>
      </c>
      <c r="I79">
        <v>4</v>
      </c>
      <c r="J79">
        <v>4</v>
      </c>
      <c r="K79" t="str">
        <v>ON RUNNING</v>
      </c>
      <c r="L79" t="str">
        <v>Pr.Sch.R</v>
      </c>
      <c r="M79" t="str">
        <v>MOLDED</v>
      </c>
      <c r="N79">
        <v>4</v>
      </c>
      <c r="Q79">
        <v>46175</v>
      </c>
    </row>
    <row r="81">
      <c r="A81" t="str">
        <v>F-2026-05-308</v>
      </c>
      <c r="B81" t="str">
        <v>RPRO-260521-0662</v>
      </c>
      <c r="C81" t="str">
        <v>28/5</v>
      </c>
      <c r="D81" t="str">
        <v>Pro.sche.report 20.05</v>
      </c>
      <c r="E81" t="str">
        <v>BDB-000340</v>
      </c>
      <c r="F81" t="str">
        <v>PVN-004177</v>
      </c>
      <c r="G81" t="str">
        <v>OrthoLite Float SEEDPEARL/12-0703TPX Flat Sheet 0.12D 21+/-4 Asker C 1.1M 2M 5.5mm</v>
      </c>
      <c r="H81">
        <v>250</v>
      </c>
      <c r="I81">
        <v>10</v>
      </c>
      <c r="J81">
        <v>10</v>
      </c>
      <c r="K81" t="str">
        <v>ON RUNNING</v>
      </c>
      <c r="L81" t="str">
        <v>Pr.Sch.R</v>
      </c>
      <c r="M81" t="str">
        <v>MOLDED</v>
      </c>
      <c r="N81">
        <v>10</v>
      </c>
      <c r="Q81">
        <v>46175</v>
      </c>
    </row>
    <row r="83">
      <c r="A83" t="str">
        <v>F-2026-05-289</v>
      </c>
      <c r="B83" t="str">
        <v>RPRO-260520-0184</v>
      </c>
      <c r="C83" t="str">
        <v>28/5</v>
      </c>
      <c r="D83" t="str">
        <v>Pro.sche.report 04.6</v>
      </c>
      <c r="E83" t="str">
        <v>BDB-000156</v>
      </c>
      <c r="F83" t="str">
        <v>PVN-003243</v>
      </c>
      <c r="G83" t="str">
        <v>OrthoLite X-35-Hybrid-Nike AMAZON/18-6024TPX Hybrid Flat Sheet 0.145D 25+/-4 Asker C 1.1M 2M 5.2mm</v>
      </c>
      <c r="H83">
        <v>520</v>
      </c>
      <c r="I83">
        <v>20</v>
      </c>
      <c r="J83">
        <v>20</v>
      </c>
      <c r="K83" t="str">
        <v>NIKE</v>
      </c>
      <c r="L83" t="str">
        <v>Pr.Sch.R</v>
      </c>
      <c r="M83" t="str">
        <v>MOLDED</v>
      </c>
      <c r="N83">
        <v>42</v>
      </c>
      <c r="Q83">
        <v>46174</v>
      </c>
    </row>
    <row r="84">
      <c r="A84" t="str">
        <v>F-2026-05-303</v>
      </c>
      <c r="B84" t="str">
        <v>RPRO-260521-0657</v>
      </c>
      <c r="C84" t="str">
        <v>28/5</v>
      </c>
      <c r="D84" t="str">
        <v>Pro.sche.report 20.05</v>
      </c>
      <c r="E84" t="str">
        <v>BDB-000156</v>
      </c>
      <c r="F84" t="str">
        <v>PVN-003243</v>
      </c>
      <c r="G84" t="str">
        <v>OrthoLite X-35-Hybrid-Nike AMAZON/18-6024TPX Hybrid Flat Sheet 0.145D 25+/-4 Asker C 1.1M 2M 5.2mm</v>
      </c>
      <c r="H84">
        <v>208</v>
      </c>
      <c r="I84">
        <v>8</v>
      </c>
      <c r="J84">
        <v>8</v>
      </c>
      <c r="K84" t="str">
        <v>NIKE</v>
      </c>
      <c r="L84" t="str">
        <v>Pr.Sch.R</v>
      </c>
      <c r="M84" t="str">
        <v>MOLDED</v>
      </c>
      <c r="Q84">
        <v>46175</v>
      </c>
    </row>
    <row r="85">
      <c r="A85" t="str">
        <v>F-2026-05-331</v>
      </c>
      <c r="B85" t="str">
        <v>RPRO-260522-0246</v>
      </c>
      <c r="C85" t="str">
        <v>28/5</v>
      </c>
      <c r="D85" t="str">
        <v>Pro.sche.report 21.5</v>
      </c>
      <c r="E85" t="str">
        <v>BDB-000156</v>
      </c>
      <c r="F85" t="str">
        <v>PVN-003243</v>
      </c>
      <c r="G85" t="str">
        <v>OrthoLite X-35-Hybrid-Nike AMAZON/18-6024TPX Hybrid Flat Sheet 0.145D 25+/-4 Asker C 1.1M 2M 5.2mm (SLT)</v>
      </c>
      <c r="H85">
        <v>364</v>
      </c>
      <c r="I85">
        <v>14</v>
      </c>
      <c r="J85">
        <v>14</v>
      </c>
      <c r="K85" t="str">
        <v>NIKE</v>
      </c>
      <c r="L85" t="str">
        <v>Pr.Sch.R</v>
      </c>
      <c r="M85" t="str">
        <v>MOLDED</v>
      </c>
      <c r="Q85">
        <v>46176</v>
      </c>
    </row>
    <row r="87">
      <c r="A87" t="str">
        <v>F-2026-05-296</v>
      </c>
      <c r="B87" t="str">
        <v>RPRO-260520-0191</v>
      </c>
      <c r="C87" t="str">
        <v>28/5</v>
      </c>
      <c r="D87" t="str">
        <v>Pro.sche.report 04.6</v>
      </c>
      <c r="E87" t="str">
        <v>BDB-000123</v>
      </c>
      <c r="F87" t="str">
        <v>PVN-003299</v>
      </c>
      <c r="G87" t="str">
        <v>OrthoLite Ultra-Hybrid SEEDPEARL/12-0703TPX Hybrid Flat Sheet 0.085D 25+/-4 Asker C 1.1M 2M 3mm</v>
      </c>
      <c r="H87">
        <v>276</v>
      </c>
      <c r="I87">
        <v>7</v>
      </c>
      <c r="J87">
        <v>7</v>
      </c>
      <c r="K87" t="str">
        <v>ADIDAS</v>
      </c>
      <c r="L87" t="str">
        <v>Pr.Sch.R</v>
      </c>
      <c r="M87" t="str">
        <v>DIE CUT</v>
      </c>
      <c r="N87">
        <v>119</v>
      </c>
      <c r="Q87">
        <v>46174</v>
      </c>
    </row>
    <row r="88">
      <c r="A88" t="str">
        <v>F-2026-05-309</v>
      </c>
      <c r="B88" t="str">
        <v>RPRO-260521-0663</v>
      </c>
      <c r="C88" t="str">
        <v>28/5</v>
      </c>
      <c r="D88" t="str">
        <v>Pro.sche.report 20.05</v>
      </c>
      <c r="E88" t="str">
        <v>BDB-000123</v>
      </c>
      <c r="F88" t="str">
        <v>PVN-002539</v>
      </c>
      <c r="G88" t="str">
        <v>OrthoLite Ultra-Hybrid SEEDPEARL/12-0703TPX Hybrid Flat Sheet 0.085D 25+/-4 Asker C 1.1M 2M 5mm</v>
      </c>
      <c r="H88">
        <v>336</v>
      </c>
      <c r="I88">
        <v>12</v>
      </c>
      <c r="J88">
        <v>12</v>
      </c>
      <c r="K88" t="str">
        <v>BROOKS</v>
      </c>
      <c r="L88" t="str">
        <v>Pr.Sch.R</v>
      </c>
      <c r="M88" t="str">
        <v>DIE CUT</v>
      </c>
      <c r="Q88">
        <v>46175</v>
      </c>
    </row>
    <row r="89">
      <c r="A89" t="str">
        <v>F-2026-05-333</v>
      </c>
      <c r="B89" t="str">
        <v>RPRO-260522-0248</v>
      </c>
      <c r="C89" t="str">
        <v>28/5</v>
      </c>
      <c r="D89" t="str">
        <v>Pro.sche.report 21.5</v>
      </c>
      <c r="E89" t="str">
        <v>BDB-000123</v>
      </c>
      <c r="F89" t="str">
        <v>PVN-003299</v>
      </c>
      <c r="G89" t="str">
        <v>OrthoLite Ultra-Hybrid SEEDPEARL/12-0703TPX Hybrid Flat Sheet 0.085D 25+/-4 Asker C 1.1M 2M 3mm</v>
      </c>
      <c r="H89">
        <v>138</v>
      </c>
      <c r="I89">
        <v>4</v>
      </c>
      <c r="J89">
        <v>4</v>
      </c>
      <c r="K89" t="str">
        <v>ADIDAS</v>
      </c>
      <c r="L89" t="str">
        <v>Pr.Sch.R</v>
      </c>
      <c r="M89" t="str">
        <v>DIE CUT</v>
      </c>
      <c r="Q89">
        <v>46176</v>
      </c>
    </row>
    <row r="90">
      <c r="A90" t="str">
        <v>F-2026-05-299</v>
      </c>
      <c r="B90" t="str">
        <v>RPRO-260521-0653</v>
      </c>
      <c r="C90" t="str">
        <v>28/5-29/5</v>
      </c>
      <c r="D90" t="str">
        <v>MPS 20.05</v>
      </c>
      <c r="E90" t="str">
        <v>BDB-000123</v>
      </c>
      <c r="F90" t="str">
        <v>PVN-003299</v>
      </c>
      <c r="G90" t="str">
        <v>OrthoLite Ultra-Hybrid SEEDPEARL/12-0703TPX Hybrid 0.085D 25+/-4 Asker C 1.1M 2M 3mm</v>
      </c>
      <c r="H90">
        <v>4370</v>
      </c>
      <c r="I90">
        <v>96</v>
      </c>
      <c r="J90">
        <v>96</v>
      </c>
      <c r="L90" t="str">
        <v>MPS</v>
      </c>
      <c r="M90" t="str">
        <v>SPLITTING</v>
      </c>
      <c r="Q90">
        <v>46175</v>
      </c>
    </row>
    <row r="91">
      <c r="G91" t="str">
        <v>RELEASE ĐỢT 1</v>
      </c>
    </row>
    <row r="92">
      <c r="H92">
        <v>14087</v>
      </c>
      <c r="I92">
        <v>743</v>
      </c>
      <c r="J92">
        <v>743</v>
      </c>
      <c r="N92">
        <v>785</v>
      </c>
      <c r="O92">
        <v>29</v>
      </c>
    </row>
    <row r="93">
      <c r="A93" t="str">
        <v>Máy 2</v>
      </c>
      <c r="G93" t="str">
        <v>25/5-30/5</v>
      </c>
    </row>
    <row r="94">
      <c r="A94" t="str">
        <v>OIN-2026.05.12-06</v>
      </c>
      <c r="B94" t="str">
        <v>RPRO-260515-0178</v>
      </c>
      <c r="C94" t="str">
        <v>25/5</v>
      </c>
      <c r="D94" t="str">
        <v>OIN</v>
      </c>
      <c r="E94" t="str">
        <v>BDB-000100</v>
      </c>
      <c r="F94" t="str">
        <v>PVN-003845</v>
      </c>
      <c r="G94" t="str">
        <v>[116-094] Eco Lite Hybrid 25+/-4 Asker C 0.11D Air Blue 16-4134 Tpx 1.10M X 2.00M 47mm</v>
      </c>
      <c r="H94">
        <v>43</v>
      </c>
      <c r="I94">
        <v>15</v>
      </c>
      <c r="J94">
        <v>15</v>
      </c>
      <c r="K94" t="str">
        <v>Geox</v>
      </c>
      <c r="L94" t="str">
        <v>PO-7283-SO-260513-0218</v>
      </c>
      <c r="M94" t="str">
        <v>FLAT SHEET</v>
      </c>
      <c r="N94">
        <v>1</v>
      </c>
      <c r="O94" t="str">
        <v>Đơn cũ tuần 21</v>
      </c>
      <c r="P94">
        <v>1</v>
      </c>
      <c r="Q94">
        <v>46165</v>
      </c>
    </row>
    <row r="96">
      <c r="A96" t="str">
        <v>F-2026-05-245</v>
      </c>
      <c r="B96" t="str">
        <v>RPRO-260518-0818</v>
      </c>
      <c r="C96" t="str">
        <v>25/5</v>
      </c>
      <c r="D96" t="str">
        <v>Pro.sche.report 15.6+16.6</v>
      </c>
      <c r="E96" t="str">
        <v>BDB-000174</v>
      </c>
      <c r="F96" t="str">
        <v>PVN-003502</v>
      </c>
      <c r="G96" t="str">
        <v>OrthoLite Ultra-Hybrid-Nike SEEDPEARL/12-0703TPX Hybrid Flat Sheet 0.085D 15+/-4 Asker C 1.1M 2M 2mm</v>
      </c>
      <c r="H96">
        <v>70</v>
      </c>
      <c r="I96">
        <v>2</v>
      </c>
      <c r="J96">
        <v>2</v>
      </c>
      <c r="K96" t="str">
        <v>NIKE</v>
      </c>
      <c r="L96" t="str">
        <v>Pr.Sch.R</v>
      </c>
      <c r="M96" t="str">
        <v>DIE CUT</v>
      </c>
      <c r="N96">
        <v>12</v>
      </c>
      <c r="Q96">
        <v>46169</v>
      </c>
    </row>
    <row r="97">
      <c r="A97" t="str">
        <v>F-2026-05-243</v>
      </c>
      <c r="B97" t="str">
        <v>RPRO-260518-0816</v>
      </c>
      <c r="C97" t="str">
        <v>25/5</v>
      </c>
      <c r="D97" t="str">
        <v>Pro.sche.report 15.6+16.6</v>
      </c>
      <c r="E97" t="str">
        <v>BDB-000174</v>
      </c>
      <c r="F97" t="str">
        <v>PVN-003503</v>
      </c>
      <c r="G97" t="str">
        <v>OrthoLite Ultra-Hybrid-Nike SEEDPEARL/12-0703TPX Hybrid Flat Sheet 0.085D 15+/-4 Asker C 1.1M 2M 3mm</v>
      </c>
      <c r="H97">
        <v>322</v>
      </c>
      <c r="I97">
        <v>8</v>
      </c>
      <c r="J97">
        <v>8</v>
      </c>
      <c r="K97" t="str">
        <v>NIKE</v>
      </c>
      <c r="L97" t="str">
        <v>Pr.Sch.R</v>
      </c>
      <c r="M97" t="str">
        <v>DIE CUT</v>
      </c>
      <c r="Q97">
        <v>46170</v>
      </c>
    </row>
    <row r="98">
      <c r="A98" t="str">
        <v>F-2026-05-311</v>
      </c>
      <c r="B98" t="str">
        <v>RPRO-260521-0665</v>
      </c>
      <c r="C98" t="str">
        <v>25/5</v>
      </c>
      <c r="D98" t="str">
        <v>Pro.sche.report 20.05</v>
      </c>
      <c r="E98" t="str">
        <v>BDB-000174</v>
      </c>
      <c r="F98" t="str">
        <v>PVN-003503</v>
      </c>
      <c r="G98" t="str">
        <v>OrthoLite Ultra-Hybrid-Nike SEEDPEARL/12-0703TPX Hybrid Flat Sheet 0.085D 15+/-4 Asker C 1.1M 2M 3mm</v>
      </c>
      <c r="H98">
        <v>46</v>
      </c>
      <c r="I98">
        <v>2</v>
      </c>
      <c r="J98">
        <v>2</v>
      </c>
      <c r="K98" t="str">
        <v>NIKE</v>
      </c>
      <c r="L98" t="str">
        <v>Pr.Sch.R</v>
      </c>
      <c r="M98" t="str">
        <v>DIE CUT</v>
      </c>
      <c r="Q98">
        <v>46175</v>
      </c>
    </row>
    <row r="100">
      <c r="A100" t="str">
        <v>F-2026-05-241</v>
      </c>
      <c r="B100" t="str">
        <v>RPRO-260518-0814</v>
      </c>
      <c r="C100" t="str">
        <v>25/5</v>
      </c>
      <c r="D100" t="str">
        <v>Pro.sche.report 15.6+16.6</v>
      </c>
      <c r="E100" t="str">
        <v>BDB-000229</v>
      </c>
      <c r="F100" t="str">
        <v>PVN-003878</v>
      </c>
      <c r="G100" t="str">
        <v>OrthoLite Ultra-Hybrid SEEDPEARL/12-0703TPX Hybrid Flat Sheet 0.095D 33+/-4 Asker C 1.1M 2M 4mm</v>
      </c>
      <c r="H100">
        <v>70</v>
      </c>
      <c r="I100">
        <v>2</v>
      </c>
      <c r="J100">
        <v>2</v>
      </c>
      <c r="K100" t="str">
        <v>ON RUNNING</v>
      </c>
      <c r="L100" t="str">
        <v>Pr.Sch.R</v>
      </c>
      <c r="M100" t="str">
        <v>DIE CUT</v>
      </c>
      <c r="N100">
        <v>2</v>
      </c>
      <c r="Q100">
        <v>46169</v>
      </c>
    </row>
    <row r="102">
      <c r="A102" t="str">
        <v>F-2026-05-227</v>
      </c>
      <c r="B102" t="str">
        <v>RPRO-260518-0800</v>
      </c>
      <c r="C102" t="str">
        <v>25/5</v>
      </c>
      <c r="D102" t="str">
        <v>Pro.sche.report 15.6+16.6</v>
      </c>
      <c r="E102" t="str">
        <v>BDB-000197</v>
      </c>
      <c r="F102" t="str">
        <v>PVN-003406</v>
      </c>
      <c r="G102" t="str">
        <v>OrthoLite Ultra-Hybrid SEEDPEARL/12-0703TPX Hybrid Flat Sheet 0.085D 5-10 Asker C 1.1M 2M 2mm</v>
      </c>
      <c r="H102">
        <v>70</v>
      </c>
      <c r="I102">
        <v>2</v>
      </c>
      <c r="J102">
        <v>2</v>
      </c>
      <c r="K102" t="str">
        <v>ADIDAS</v>
      </c>
      <c r="L102" t="str">
        <v>Pr.Sch.R</v>
      </c>
      <c r="M102" t="str">
        <v>DIE CUT</v>
      </c>
      <c r="N102">
        <v>2</v>
      </c>
      <c r="Q102">
        <v>46172</v>
      </c>
    </row>
    <row r="104">
      <c r="A104" t="str">
        <v>F-2026-05-317</v>
      </c>
      <c r="B104" t="str">
        <v>FPRO-260521-0004</v>
      </c>
      <c r="C104" t="str">
        <v>25/5</v>
      </c>
      <c r="D104" t="str">
        <v>Firm plan 21.5</v>
      </c>
      <c r="E104" t="str">
        <v>BDB-000188</v>
      </c>
      <c r="F104" t="str">
        <v>PVN-003479</v>
      </c>
      <c r="G104" t="str">
        <v>OrthoLite Ultra-Hybrid SEEDPEARL/12-0703TPX Hybrid Flat Sheet 0.085D 25+/-4 Asker C 1.1M 1.47M 4mm</v>
      </c>
      <c r="H104">
        <v>500</v>
      </c>
      <c r="I104">
        <v>15</v>
      </c>
      <c r="J104">
        <v>15</v>
      </c>
      <c r="K104" t="str">
        <v>SALOMON</v>
      </c>
      <c r="L104" t="str">
        <v>Forecast</v>
      </c>
      <c r="M104" t="str">
        <v>LAMINATING</v>
      </c>
      <c r="N104">
        <v>16</v>
      </c>
      <c r="Q104">
        <v>46169</v>
      </c>
    </row>
    <row r="105">
      <c r="A105" t="str">
        <v>F-2026-05-326</v>
      </c>
      <c r="B105" t="str">
        <v>RPRO-260522-0241</v>
      </c>
      <c r="C105" t="str">
        <v>25/5</v>
      </c>
      <c r="D105" t="str">
        <v>MPS 20.5</v>
      </c>
      <c r="E105" t="str">
        <v>BDB-000188</v>
      </c>
      <c r="F105" t="str">
        <v>PVN-003753</v>
      </c>
      <c r="G105" t="str">
        <v>OrthoLite Ultra-Hybrid SEEDPEARL/12-0703TPX Hybrid Flat Sheet 0.085D 25+/-4 Asker C 1.1M 1.47M 3mm</v>
      </c>
      <c r="H105">
        <v>43</v>
      </c>
      <c r="I105">
        <v>1</v>
      </c>
      <c r="J105">
        <v>1</v>
      </c>
      <c r="L105" t="str">
        <v>MPS</v>
      </c>
      <c r="M105" t="str">
        <v>SPLITTING</v>
      </c>
      <c r="Q105">
        <v>46176</v>
      </c>
    </row>
    <row r="107">
      <c r="A107" t="str">
        <v>F-2026-04-246</v>
      </c>
      <c r="B107" t="str">
        <v>FPRO-260416-0031</v>
      </c>
      <c r="C107" t="str">
        <v>25/5</v>
      </c>
      <c r="D107" t="str">
        <v>Firm plan 16.4</v>
      </c>
      <c r="E107" t="str">
        <v>BDB-000113</v>
      </c>
      <c r="F107" t="str">
        <v>PVN-002465</v>
      </c>
      <c r="G107" t="str">
        <v>OrthoLite Regular-Hybrid SEEDPEARL/12-0703TPX Hybrid Flat Sheet 0.11D 25+/-4 Asker C 1.1M 2M 5mm</v>
      </c>
      <c r="H107">
        <v>2500</v>
      </c>
      <c r="I107">
        <v>90</v>
      </c>
      <c r="J107">
        <v>90</v>
      </c>
      <c r="K107" t="str">
        <v>ASICS</v>
      </c>
      <c r="L107" t="str">
        <v>Forecast</v>
      </c>
      <c r="M107" t="str">
        <v>DIE CUT</v>
      </c>
      <c r="N107">
        <v>0</v>
      </c>
      <c r="O107" t="str">
        <v xml:space="preserve">W22 đổ dư 142 bun </v>
      </c>
      <c r="Q107">
        <v>46169</v>
      </c>
    </row>
    <row r="108">
      <c r="A108" t="str">
        <v>F-2026-05-275</v>
      </c>
      <c r="B108" t="str">
        <v>RPRO-260519-0347</v>
      </c>
      <c r="C108" t="str">
        <v>25/5</v>
      </c>
      <c r="D108" t="str">
        <v>Pro.sche.report 18.05</v>
      </c>
      <c r="E108" t="str">
        <v>BDB-000113</v>
      </c>
      <c r="F108" t="str">
        <v>PVN-003601</v>
      </c>
      <c r="G108" t="str">
        <v>OrthoLite Regular-Hybrid SEEDPEARL/12-0703TPX Hybrid Flat Sheet 0.11D 25+/-4 Asker C 1.1M 2M 20mm</v>
      </c>
      <c r="H108">
        <v>36</v>
      </c>
      <c r="I108">
        <v>7</v>
      </c>
      <c r="J108">
        <v>7</v>
      </c>
      <c r="K108" t="str">
        <v>ASICS</v>
      </c>
      <c r="L108" t="str">
        <v>Pr.Sch.R</v>
      </c>
      <c r="M108" t="str">
        <v>MOLDED</v>
      </c>
      <c r="N108" t="str">
        <v>97-97</v>
      </c>
      <c r="Q108">
        <v>46170</v>
      </c>
    </row>
    <row r="110">
      <c r="A110" t="str">
        <v>F-2026-03-587</v>
      </c>
      <c r="B110" t="str">
        <v>FPRO-260330-0009</v>
      </c>
      <c r="C110" t="str">
        <v>25/5</v>
      </c>
      <c r="D110" t="str">
        <v>Firm plan 30.3</v>
      </c>
      <c r="E110" t="str">
        <v>BDB-000209</v>
      </c>
      <c r="F110" t="str">
        <v>PVN-003537</v>
      </c>
      <c r="G110" t="str">
        <v>OrthoLite HybridPlus-Recycled MINT GREEN/11-4805TPX Hybrid 0.12D 25+/-4 Asker C 1.1M 2M 4.5mm</v>
      </c>
      <c r="H110">
        <v>2500</v>
      </c>
      <c r="I110">
        <v>81</v>
      </c>
      <c r="J110">
        <v>81</v>
      </c>
      <c r="K110" t="str">
        <v>ON RUNNING</v>
      </c>
      <c r="L110" t="str">
        <v>Forecast</v>
      </c>
      <c r="M110" t="str">
        <v>MOLDED</v>
      </c>
      <c r="N110">
        <v>189</v>
      </c>
      <c r="O110" t="str">
        <v xml:space="preserve">W22 đổ dư 40 bun </v>
      </c>
      <c r="Q110">
        <v>46169</v>
      </c>
    </row>
    <row r="111">
      <c r="A111" t="str">
        <v>F-2026-05-235</v>
      </c>
      <c r="B111" t="str">
        <v>RPRO-260518-0808</v>
      </c>
      <c r="C111" t="str">
        <v>25/5-26/5</v>
      </c>
      <c r="D111" t="str">
        <v>Pro.sche.report 15.6+16.6</v>
      </c>
      <c r="E111" t="str">
        <v>BDB-000209</v>
      </c>
      <c r="F111" t="str">
        <v>PVN-003462</v>
      </c>
      <c r="G111" t="str">
        <v>OrthoLite HybridPlus-Recycled MINT GREEN/11-4805TPX Hybrid Flat Sheet 0.12D 25+/-4 Asker C 1.1M 2M 12mm</v>
      </c>
      <c r="H111">
        <v>1133</v>
      </c>
      <c r="I111">
        <v>104</v>
      </c>
      <c r="J111">
        <v>104</v>
      </c>
      <c r="K111" t="str">
        <v>BROOKS</v>
      </c>
      <c r="L111" t="str">
        <v>Pr.Sch.R</v>
      </c>
      <c r="M111" t="str">
        <v>MOLDED</v>
      </c>
      <c r="N111" t="str">
        <v>229-40</v>
      </c>
      <c r="Q111">
        <v>46172</v>
      </c>
    </row>
    <row r="112">
      <c r="A112" t="str">
        <v>F-2026-04-214-1</v>
      </c>
      <c r="B112" t="str">
        <v>FPRO-260415-0011</v>
      </c>
      <c r="C112" t="str">
        <v>26/5</v>
      </c>
      <c r="D112" t="str">
        <v>Firm plan 15.4</v>
      </c>
      <c r="E112" t="str">
        <v>BDB-000209</v>
      </c>
      <c r="F112" t="str">
        <v>PVN-003550</v>
      </c>
      <c r="G112" t="str">
        <v>OrthoLite HybridPlus-Recycled MINT GREEN/11-4805TPX Hybrid 0.12D 25+/-4 Asker C 1.1M 2M 6mm</v>
      </c>
      <c r="H112">
        <v>1000</v>
      </c>
      <c r="I112">
        <v>44</v>
      </c>
      <c r="J112">
        <v>44</v>
      </c>
      <c r="K112" t="str">
        <v>ON RUNNING</v>
      </c>
      <c r="L112" t="str">
        <v>Forecast</v>
      </c>
      <c r="M112" t="str">
        <v>MOLDED</v>
      </c>
      <c r="Q112">
        <v>46172</v>
      </c>
    </row>
    <row r="114">
      <c r="A114" t="str">
        <v>F-2026-05-265</v>
      </c>
      <c r="B114" t="str">
        <v>RPRO-260519-0337</v>
      </c>
      <c r="C114" t="str">
        <v>26/5</v>
      </c>
      <c r="D114" t="str">
        <v>Pro.sche.report 18.05</v>
      </c>
      <c r="E114" t="str">
        <v>BDB-000123</v>
      </c>
      <c r="F114" t="str">
        <v>PVN-002884</v>
      </c>
      <c r="G114" t="str">
        <v>OrthoLite Ultra-Hybrid SEEDPEARL/12-0703TPX Hybrid Flat Sheet 0.085D 25+/-4 Asker C 1.1M 2M 10mm</v>
      </c>
      <c r="H114">
        <v>156</v>
      </c>
      <c r="I114">
        <v>12</v>
      </c>
      <c r="J114">
        <v>12</v>
      </c>
      <c r="K114" t="str">
        <v>ADIDAS</v>
      </c>
      <c r="L114" t="str">
        <v>Pr.Sch.R</v>
      </c>
      <c r="M114" t="str">
        <v>MOLDED</v>
      </c>
      <c r="N114">
        <v>239</v>
      </c>
      <c r="O114" t="str">
        <v xml:space="preserve">W22 đổ dư 55 bun </v>
      </c>
      <c r="Q114">
        <v>46169</v>
      </c>
    </row>
    <row r="115">
      <c r="A115" t="str">
        <v>F-2026-05-217</v>
      </c>
      <c r="B115" t="str">
        <v>RPRO-260518-0790</v>
      </c>
      <c r="C115" t="str">
        <v>26/5</v>
      </c>
      <c r="D115" t="str">
        <v>MPS 15.6+16.6+17.6</v>
      </c>
      <c r="E115" t="str">
        <v>BDB-000123</v>
      </c>
      <c r="F115" t="str">
        <v>PVN-003299</v>
      </c>
      <c r="G115" t="str">
        <v>OrthoLite Ultra-Hybrid SEEDPEARL/12-0703TPX Hybrid 0.085D 25+/-4 Asker C 1.1M 2M 3mm</v>
      </c>
      <c r="H115">
        <v>2760</v>
      </c>
      <c r="I115">
        <v>61</v>
      </c>
      <c r="J115">
        <v>61</v>
      </c>
      <c r="L115" t="str">
        <v>MPS</v>
      </c>
      <c r="M115" t="str">
        <v>SPLITTING</v>
      </c>
      <c r="N115" t="str">
        <v>294-55</v>
      </c>
      <c r="Q115">
        <v>46172</v>
      </c>
    </row>
    <row r="116">
      <c r="A116" t="str">
        <v>F-2026-05-276</v>
      </c>
      <c r="B116" t="str">
        <v>RPRO-260519-0348</v>
      </c>
      <c r="C116" t="str">
        <v>26/5</v>
      </c>
      <c r="D116" t="str">
        <v>Pro.sche.report 18.05</v>
      </c>
      <c r="E116" t="str">
        <v>BDB-000123</v>
      </c>
      <c r="F116" t="str">
        <v>PVN-003299</v>
      </c>
      <c r="G116" t="str">
        <v>OrthoLite Ultra-Hybrid SEEDPEARL/12-0703TPX Hybrid Flat Sheet 0.085D 25+/-4 Asker C 1.1M 2M 3mm</v>
      </c>
      <c r="H116">
        <v>920</v>
      </c>
      <c r="I116">
        <v>21</v>
      </c>
      <c r="J116">
        <v>21</v>
      </c>
      <c r="K116" t="str">
        <v>ADIDAS</v>
      </c>
      <c r="L116" t="str">
        <v>Pr.Sch.R</v>
      </c>
      <c r="M116" t="str">
        <v>DIE CUT</v>
      </c>
      <c r="Q116">
        <v>46172</v>
      </c>
    </row>
    <row r="117">
      <c r="A117" t="str">
        <v>F-2026-04-382</v>
      </c>
      <c r="B117" t="str">
        <v>FPRO-260428-0012</v>
      </c>
      <c r="C117" t="str">
        <v>26/5-27/5</v>
      </c>
      <c r="D117" t="str">
        <v>Firm plan 28.04</v>
      </c>
      <c r="E117" t="str">
        <v>BDB-000123</v>
      </c>
      <c r="F117" t="str">
        <v>PVN-003298</v>
      </c>
      <c r="G117" t="str">
        <v>OrthoLite Ultra-Hybrid SEEDPEARL/12-0703TPX Hybrid 0.085D 25+/-4 Asker C 1.1M 2M 4mm</v>
      </c>
      <c r="H117">
        <v>7000</v>
      </c>
      <c r="I117">
        <v>200</v>
      </c>
      <c r="J117">
        <v>200</v>
      </c>
      <c r="K117" t="str">
        <v>ADIDAS</v>
      </c>
      <c r="L117" t="str">
        <v>Forecast</v>
      </c>
      <c r="M117" t="str">
        <v>SPLITTING</v>
      </c>
      <c r="Q117">
        <v>46172</v>
      </c>
    </row>
    <row r="118">
      <c r="G118" t="str">
        <v>xxxxxxxxxxxxxxxxxxxx</v>
      </c>
    </row>
    <row r="119">
      <c r="A119" t="str">
        <v>F-2026-05-234</v>
      </c>
      <c r="B119" t="str">
        <v>RPRO-260518-0807</v>
      </c>
      <c r="C119" t="str">
        <v>27/5</v>
      </c>
      <c r="D119" t="str">
        <v>Pro.sche.report 15.6+16.6</v>
      </c>
      <c r="E119" t="str">
        <v>BDB-000355</v>
      </c>
      <c r="F119" t="str">
        <v>PVN-004231</v>
      </c>
      <c r="G119" t="str">
        <v>OrthoLite HybridPlus-Recycled CASTLEROCK/18-0201TPX Hybrid Flat Sheet 0.12D 25+/-4 Asker C 1.1M 2M 4.5mm</v>
      </c>
      <c r="H119">
        <v>527</v>
      </c>
      <c r="I119">
        <v>18</v>
      </c>
      <c r="J119">
        <v>18</v>
      </c>
      <c r="K119" t="str">
        <v>ON RUNNING</v>
      </c>
      <c r="L119" t="str">
        <v>Pr.Sch.R</v>
      </c>
      <c r="M119" t="str">
        <v>MOLDED</v>
      </c>
      <c r="N119">
        <v>20</v>
      </c>
      <c r="Q119">
        <v>46172</v>
      </c>
    </row>
    <row r="120">
      <c r="A120" t="str">
        <v>F-2026-05-295</v>
      </c>
      <c r="B120" t="str">
        <v>RPRO-260520-0190</v>
      </c>
      <c r="C120" t="str">
        <v>27/5</v>
      </c>
      <c r="D120" t="str">
        <v>Pro.sche.report 04.6</v>
      </c>
      <c r="E120" t="str">
        <v>BDB-000355</v>
      </c>
      <c r="F120" t="str">
        <v>PVN-004231</v>
      </c>
      <c r="G120" t="str">
        <v>OrthoLite HybridPlus-Recycled CASTLEROCK/18-0201TPX Hybrid Flat Sheet 0.12D 25+/-4 Asker C 1.1M 2M 4.5mm</v>
      </c>
      <c r="H120">
        <v>31</v>
      </c>
      <c r="I120">
        <v>2</v>
      </c>
      <c r="J120">
        <v>2</v>
      </c>
      <c r="K120" t="str">
        <v>ON RUNNING</v>
      </c>
      <c r="L120" t="str">
        <v>Pr.Sch.R</v>
      </c>
      <c r="M120" t="str">
        <v>MOLDED</v>
      </c>
      <c r="Q120">
        <v>46174</v>
      </c>
    </row>
    <row r="122">
      <c r="A122" t="str">
        <v>F-2026-03-189</v>
      </c>
      <c r="B122" t="str">
        <v>FPRO-260310-0026</v>
      </c>
      <c r="C122" t="str">
        <v>27/5</v>
      </c>
      <c r="D122" t="str">
        <v>Firm plan 10.3</v>
      </c>
      <c r="E122" t="str">
        <v>BDB-000097</v>
      </c>
      <c r="F122" t="str">
        <v>PVN-002478</v>
      </c>
      <c r="G122" t="str">
        <v>OrthoLite Eco LT-Hybrid SEEDPEARL/12-0703TPX Hybrid 0.11D 25+/-4 Asker C 1.1M 2M 4mm</v>
      </c>
      <c r="H122">
        <v>3500</v>
      </c>
      <c r="I122">
        <v>100</v>
      </c>
      <c r="J122">
        <v>100</v>
      </c>
      <c r="K122" t="str">
        <v>NEW BALANCE</v>
      </c>
      <c r="L122" t="str">
        <v>Forecast</v>
      </c>
      <c r="M122" t="str">
        <v>DIE CUT</v>
      </c>
      <c r="N122">
        <v>100</v>
      </c>
      <c r="Q122">
        <v>46172</v>
      </c>
    </row>
    <row r="124">
      <c r="A124" t="str">
        <v>F-2026-02-288</v>
      </c>
      <c r="B124" t="str">
        <v>FPRO-260212-0039</v>
      </c>
      <c r="C124" t="str">
        <v>27/5-28/5</v>
      </c>
      <c r="D124" t="str">
        <v>Firm plan 12.02</v>
      </c>
      <c r="E124" t="str">
        <v>BDB-000175</v>
      </c>
      <c r="F124" t="str">
        <v>PVN-002966</v>
      </c>
      <c r="G124" t="str">
        <v>OrthoLite Ultra-Hybrid-Nike SEEDPEARL/12-0703TPX Hybrid 0.085D 25+/-4 Asker C 1.1M 2M 4mm</v>
      </c>
      <c r="H124">
        <v>3500</v>
      </c>
      <c r="I124">
        <v>100</v>
      </c>
      <c r="J124">
        <v>100</v>
      </c>
      <c r="K124" t="str">
        <v>NIKE</v>
      </c>
      <c r="L124" t="str">
        <v>Forecast</v>
      </c>
      <c r="M124" t="str">
        <v>DIE CUT</v>
      </c>
      <c r="N124">
        <v>68</v>
      </c>
      <c r="O124" t="str">
        <v xml:space="preserve">W22 đổ dư 32 bun </v>
      </c>
      <c r="Q124">
        <v>46172</v>
      </c>
    </row>
    <row r="126">
      <c r="A126" t="str">
        <v>F-2026-04-227</v>
      </c>
      <c r="B126" t="str">
        <v>FPRO-260416-0012</v>
      </c>
      <c r="C126" t="str">
        <v>28/5-29/5</v>
      </c>
      <c r="D126" t="str">
        <v>Firm plan 16.4</v>
      </c>
      <c r="E126" t="str">
        <v>BDB-000113</v>
      </c>
      <c r="F126" t="str">
        <v>PVN-003414</v>
      </c>
      <c r="G126" t="str">
        <v>OrthoLite Regular-Hybrid SEEDPEARL/12-0703TPX Hybrid Flat Sheet 0.11D 25+/-4 Asker C 1.1M 2M 12mm</v>
      </c>
      <c r="H126">
        <v>2500</v>
      </c>
      <c r="I126">
        <v>218</v>
      </c>
      <c r="J126">
        <v>218</v>
      </c>
      <c r="K126" t="str">
        <v>ASICS</v>
      </c>
      <c r="L126" t="str">
        <v>Forecast</v>
      </c>
      <c r="M126" t="str">
        <v>MOLDED</v>
      </c>
      <c r="N126">
        <v>175</v>
      </c>
      <c r="O126" t="str">
        <v xml:space="preserve">W22 đổ dư 142 bun </v>
      </c>
      <c r="Q126">
        <v>46172</v>
      </c>
    </row>
    <row r="127">
      <c r="A127" t="str">
        <v>F-2026-05-334</v>
      </c>
      <c r="B127" t="str">
        <v>RPRO-260522-0249</v>
      </c>
      <c r="C127" t="str">
        <v>29/5</v>
      </c>
      <c r="D127" t="str">
        <v>Pro.sche.report 21.5</v>
      </c>
      <c r="E127" t="str">
        <v>BDB-000113</v>
      </c>
      <c r="F127" t="str">
        <v>PVN-002515</v>
      </c>
      <c r="G127" t="str">
        <v>OrthoLite Regular-Hybrid SEEDPEARL/12-0703TPX Hybrid Flat Sheet 0.11D 25+/-4 Asker C 1.1M 2M 11mm</v>
      </c>
      <c r="H127">
        <v>24</v>
      </c>
      <c r="I127">
        <v>2</v>
      </c>
      <c r="J127">
        <v>2</v>
      </c>
      <c r="K127" t="str">
        <v>ASICS</v>
      </c>
      <c r="L127" t="str">
        <v>Pr.Sch.R</v>
      </c>
      <c r="M127" t="str">
        <v>MOLDED</v>
      </c>
      <c r="N127" t="str">
        <v>220-45</v>
      </c>
      <c r="Q127">
        <v>46176</v>
      </c>
    </row>
    <row r="128">
      <c r="G128" t="str">
        <v>RELEASE ĐỢT 1</v>
      </c>
    </row>
    <row r="129">
      <c r="H129">
        <v>38125</v>
      </c>
      <c r="I129">
        <v>1471</v>
      </c>
      <c r="J129">
        <v>1471</v>
      </c>
      <c r="N129">
        <v>824</v>
      </c>
      <c r="O129">
        <v>5</v>
      </c>
    </row>
    <row r="130">
      <c r="A130" t="str">
        <v>Máy 3</v>
      </c>
      <c r="G130" t="str">
        <v>25/5-30/5</v>
      </c>
    </row>
    <row r="131">
      <c r="A131" t="str">
        <v>F-2026-05-190</v>
      </c>
      <c r="B131" t="str">
        <v>RPRO-260514-0448</v>
      </c>
      <c r="C131" t="str">
        <v>25/5</v>
      </c>
      <c r="D131" t="str">
        <v>Pro.sche.report 13.05</v>
      </c>
      <c r="E131" t="str">
        <v>BDB-000218</v>
      </c>
      <c r="F131" t="str">
        <v>PVN-003488</v>
      </c>
      <c r="G131" t="str">
        <v>OrthoLite Ultra-Nike SEEDPEARL/12-0703TPX Flat Sheet 0.085D 5-10 Asker C 1.1M 2M 4mm</v>
      </c>
      <c r="H131">
        <v>105</v>
      </c>
      <c r="I131">
        <v>3</v>
      </c>
      <c r="J131">
        <v>3</v>
      </c>
      <c r="K131" t="str">
        <v>NIKE</v>
      </c>
      <c r="L131" t="str">
        <v>Pr.Sch.R</v>
      </c>
      <c r="M131" t="str">
        <v>DIE CUT</v>
      </c>
      <c r="N131">
        <v>3</v>
      </c>
      <c r="O131" t="str">
        <v>Đơn cũ tuần 21</v>
      </c>
      <c r="P131">
        <v>3</v>
      </c>
      <c r="Q131">
        <v>46168</v>
      </c>
    </row>
    <row r="133">
      <c r="A133" t="str">
        <v>F-2026-04-427</v>
      </c>
      <c r="B133" t="str">
        <v>FPRO-260429-0040</v>
      </c>
      <c r="C133" t="str">
        <v>25/5</v>
      </c>
      <c r="D133" t="str">
        <v>Firm plan 29.04</v>
      </c>
      <c r="E133" t="str">
        <v>BDB-000164</v>
      </c>
      <c r="F133" t="str">
        <v>PVN-001618</v>
      </c>
      <c r="G133" t="str">
        <v>OrthoLite Ultra-Nike GREY/17-1501TPX 0.085D 25+/-4 Asker C 1.1M 2M 4mm</v>
      </c>
      <c r="H133">
        <v>500</v>
      </c>
      <c r="I133">
        <v>15</v>
      </c>
      <c r="J133">
        <v>15</v>
      </c>
      <c r="K133" t="str">
        <v>NIKE</v>
      </c>
      <c r="L133" t="str">
        <v>Forecast</v>
      </c>
      <c r="M133" t="str">
        <v>DIE CUT</v>
      </c>
      <c r="N133">
        <v>10</v>
      </c>
      <c r="O133" t="str">
        <v>Đơn cũ tuần 21</v>
      </c>
      <c r="P133">
        <v>10</v>
      </c>
      <c r="Q133">
        <v>46168</v>
      </c>
    </row>
    <row r="135">
      <c r="A135" t="str">
        <v>F-2026-05-290</v>
      </c>
      <c r="B135" t="str">
        <v>RPRO-260520-0185</v>
      </c>
      <c r="C135" t="str">
        <v>25/5</v>
      </c>
      <c r="D135" t="str">
        <v>Pro.sche.report 04.6</v>
      </c>
      <c r="E135" t="str">
        <v>BDB-000126</v>
      </c>
      <c r="F135" t="str">
        <v>PVN-002325</v>
      </c>
      <c r="G135" t="str">
        <v>OrthoLite Regular-Nike RED/19-1764TPX Flat Sheet 0.11D 25+/-4 Asker C 1.1M 2M 5.2mm</v>
      </c>
      <c r="H135">
        <v>26</v>
      </c>
      <c r="I135">
        <v>1</v>
      </c>
      <c r="J135">
        <v>1</v>
      </c>
      <c r="K135" t="str">
        <v>NIKE</v>
      </c>
      <c r="L135" t="str">
        <v>Pr.Sch.R</v>
      </c>
      <c r="M135" t="str">
        <v>MOLDED</v>
      </c>
      <c r="N135">
        <v>1</v>
      </c>
      <c r="Q135">
        <v>46168</v>
      </c>
    </row>
    <row r="137">
      <c r="A137" t="str">
        <v>F-2026-05-228</v>
      </c>
      <c r="B137" t="str">
        <v>RPRO-260518-0801</v>
      </c>
      <c r="C137" t="str">
        <v>25/5</v>
      </c>
      <c r="D137" t="str">
        <v>Pro.sche.report 15.6+16.6</v>
      </c>
      <c r="E137" t="str">
        <v>BDB-000255</v>
      </c>
      <c r="F137" t="str">
        <v>PVN-003730</v>
      </c>
      <c r="G137" t="str">
        <v>OrthoLite Regular GREY/17-1501TPX Flat Sheet 0.15D 45+/-4 Asker C 1.1M 1.7M 2mm</v>
      </c>
      <c r="H137">
        <v>70</v>
      </c>
      <c r="I137">
        <v>2</v>
      </c>
      <c r="J137">
        <v>2</v>
      </c>
      <c r="K137" t="str">
        <v>OBOZ</v>
      </c>
      <c r="L137" t="str">
        <v>Pr.Sch.R</v>
      </c>
      <c r="M137" t="str">
        <v>MOLDED</v>
      </c>
      <c r="N137">
        <v>2</v>
      </c>
      <c r="Q137">
        <v>46168</v>
      </c>
    </row>
    <row r="139">
      <c r="A139" t="str">
        <v>F-2026-05-328</v>
      </c>
      <c r="B139" t="str">
        <v>RPRO-260522-0243</v>
      </c>
      <c r="C139" t="str">
        <v>25/5</v>
      </c>
      <c r="D139" t="str">
        <v>Pro.sche.report 21.5</v>
      </c>
      <c r="E139" t="str">
        <v>BDB-000011</v>
      </c>
      <c r="F139" t="str">
        <v>PVN-000121</v>
      </c>
      <c r="G139" t="str">
        <v>OrthoLite Regular AIR BLUE/16-4134TPX Flat Sheet 0.13D 35+/-4 Asker C 1.1M 2M 12mm</v>
      </c>
      <c r="H139">
        <v>11</v>
      </c>
      <c r="I139">
        <v>1</v>
      </c>
      <c r="J139">
        <v>1</v>
      </c>
      <c r="K139" t="str">
        <v>ASICS</v>
      </c>
      <c r="L139" t="str">
        <v>Pr.Sch.R</v>
      </c>
      <c r="M139" t="str">
        <v>MOLDED</v>
      </c>
      <c r="N139">
        <v>5</v>
      </c>
      <c r="O139" t="str">
        <v xml:space="preserve">W22 đổ dư 4 bun </v>
      </c>
      <c r="Q139">
        <v>46169</v>
      </c>
    </row>
    <row r="140">
      <c r="A140" t="str">
        <v>F-2026-01-483-1</v>
      </c>
      <c r="B140" t="str">
        <v>FPRO-260130-0006</v>
      </c>
      <c r="C140" t="str">
        <v>25/5</v>
      </c>
      <c r="D140" t="str">
        <v>Firm plan 30.01</v>
      </c>
      <c r="E140" t="str">
        <v>BDB-000011</v>
      </c>
      <c r="F140" t="str">
        <v>PVN-000242</v>
      </c>
      <c r="G140" t="str">
        <v>OrthoLite Regular AIR BLUE/16-4134TPX Flat Sheet 0.13D 35+/-4 Asker C 1.1M 2M 2mm</v>
      </c>
      <c r="H140">
        <v>500</v>
      </c>
      <c r="I140">
        <v>8</v>
      </c>
      <c r="J140">
        <v>8</v>
      </c>
      <c r="K140" t="str">
        <v>ASICS</v>
      </c>
      <c r="L140" t="str">
        <v>Forecast</v>
      </c>
      <c r="M140" t="str">
        <v>SPLITTING</v>
      </c>
      <c r="N140" t="str">
        <v>9-4</v>
      </c>
      <c r="Q140">
        <v>46172</v>
      </c>
    </row>
    <row r="142">
      <c r="A142" t="str">
        <v>F-2026-05-278</v>
      </c>
      <c r="B142" t="str">
        <v>RPRO-260520-0173</v>
      </c>
      <c r="C142" t="str">
        <v>25/5</v>
      </c>
      <c r="D142" t="str">
        <v>MPS 04.6</v>
      </c>
      <c r="E142" t="str">
        <v>BDB-000010</v>
      </c>
      <c r="F142" t="str">
        <v>PVN-000099</v>
      </c>
      <c r="G142" t="str">
        <v>OrthoLite Regular AIR BLUE/16-4134TPX 0.11D 25+/-4 Asker C 1.1M 2M 2mm</v>
      </c>
      <c r="H142">
        <v>490</v>
      </c>
      <c r="I142">
        <v>8</v>
      </c>
      <c r="J142">
        <v>8</v>
      </c>
      <c r="L142" t="str">
        <v>MPS</v>
      </c>
      <c r="M142" t="str">
        <v>SPLITTING</v>
      </c>
      <c r="N142">
        <v>12</v>
      </c>
      <c r="Q142">
        <v>46168</v>
      </c>
    </row>
    <row r="143">
      <c r="A143" t="str">
        <v>F-2026-05-279</v>
      </c>
      <c r="B143" t="str">
        <v>RPRO-260520-0174</v>
      </c>
      <c r="C143" t="str">
        <v>25/5</v>
      </c>
      <c r="D143" t="str">
        <v>MPS 04.6</v>
      </c>
      <c r="E143" t="str">
        <v>BDB-000010</v>
      </c>
      <c r="F143" t="str">
        <v>PVN-000101</v>
      </c>
      <c r="G143" t="str">
        <v>OrthoLite Regular AIR BLUE/16-4134TPX Flat Sheet 0.11D 25+/-4 Asker C 1.1M 2M 3mm</v>
      </c>
      <c r="H143">
        <v>46</v>
      </c>
      <c r="I143">
        <v>2</v>
      </c>
      <c r="J143">
        <v>2</v>
      </c>
      <c r="L143" t="str">
        <v>MPS</v>
      </c>
      <c r="M143" t="str">
        <v>SPLITTING</v>
      </c>
      <c r="Q143">
        <v>46168</v>
      </c>
    </row>
    <row r="144">
      <c r="A144" t="str">
        <v>F-2026-05-298</v>
      </c>
      <c r="B144" t="str">
        <v>RPRO-260521-0652</v>
      </c>
      <c r="C144" t="str">
        <v>25/5</v>
      </c>
      <c r="D144" t="str">
        <v>MPS 20.05</v>
      </c>
      <c r="E144" t="str">
        <v>BDB-000010</v>
      </c>
      <c r="F144" t="str">
        <v>PVN-000102</v>
      </c>
      <c r="G144" t="str">
        <v>OrthoLite Regular AIR BLUE/16-4134TPX Flat Sheet 0.11D 25+/-4 Asker C 1.1M 2M 4mm</v>
      </c>
      <c r="H144">
        <v>70</v>
      </c>
      <c r="I144">
        <v>2</v>
      </c>
      <c r="J144">
        <v>2</v>
      </c>
      <c r="L144" t="str">
        <v>MPS</v>
      </c>
      <c r="M144" t="str">
        <v>SPLITTING</v>
      </c>
      <c r="Q144">
        <v>46175</v>
      </c>
    </row>
    <row r="146">
      <c r="A146" t="str">
        <v>F-2026-05-282</v>
      </c>
      <c r="B146" t="str">
        <v>RPRO-260520-0177</v>
      </c>
      <c r="C146" t="str">
        <v>25/5</v>
      </c>
      <c r="D146" t="str">
        <v>MPS 04.6</v>
      </c>
      <c r="E146" t="str">
        <v>BDB-000058</v>
      </c>
      <c r="F146" t="str">
        <v>PVN-001319</v>
      </c>
      <c r="G146" t="str">
        <v>OrthoLite Ultra GREEN/16-5932TPX 0.085D 25+/-4 Asker C 1.1M 2M 5mm</v>
      </c>
      <c r="H146">
        <v>112</v>
      </c>
      <c r="I146">
        <v>4</v>
      </c>
      <c r="J146">
        <v>4</v>
      </c>
      <c r="L146" t="str">
        <v>MPS</v>
      </c>
      <c r="M146" t="str">
        <v>SPLITTING</v>
      </c>
      <c r="N146">
        <v>27</v>
      </c>
      <c r="Q146">
        <v>46169</v>
      </c>
    </row>
    <row r="147">
      <c r="A147" t="str">
        <v>F-2026-05-257</v>
      </c>
      <c r="B147" t="str">
        <v>RPRO-260519-0329</v>
      </c>
      <c r="C147" t="str">
        <v>25/5</v>
      </c>
      <c r="D147" t="str">
        <v>MPS 18.05</v>
      </c>
      <c r="E147" t="str">
        <v>BDB-000058</v>
      </c>
      <c r="F147" t="str">
        <v>PVN-001277</v>
      </c>
      <c r="G147" t="str">
        <v>OrthoLite Ultra GREEN/16-5932TPX Flat Sheet 0.085D 25+/-4 Asker C 1.1M 2M 4mm</v>
      </c>
      <c r="H147">
        <v>490</v>
      </c>
      <c r="I147">
        <v>14</v>
      </c>
      <c r="J147">
        <v>14</v>
      </c>
      <c r="L147" t="str">
        <v>MPS</v>
      </c>
      <c r="M147" t="str">
        <v>SPLITTING</v>
      </c>
      <c r="Q147">
        <v>46172</v>
      </c>
    </row>
    <row r="148">
      <c r="A148" t="str">
        <v>F-2026-05-281</v>
      </c>
      <c r="B148" t="str">
        <v>RPRO-260520-0176</v>
      </c>
      <c r="C148" t="str">
        <v>25/5</v>
      </c>
      <c r="D148" t="str">
        <v>MPS 04.6</v>
      </c>
      <c r="E148" t="str">
        <v>BDB-000058</v>
      </c>
      <c r="F148" t="str">
        <v>PVN-001277</v>
      </c>
      <c r="G148" t="str">
        <v>OrthoLite Ultra GREEN/16-5932TPX Flat Sheet 0.085D 25+/-4 Asker C 1.1M 2M 4mm</v>
      </c>
      <c r="H148">
        <v>315</v>
      </c>
      <c r="I148">
        <v>9</v>
      </c>
      <c r="J148">
        <v>9</v>
      </c>
      <c r="L148" t="str">
        <v>MPS</v>
      </c>
      <c r="M148" t="str">
        <v>SPLITTING</v>
      </c>
      <c r="Q148">
        <v>46174</v>
      </c>
    </row>
    <row r="150">
      <c r="A150" t="str">
        <v>F-2026-04-409-2</v>
      </c>
      <c r="B150" t="str">
        <v>FPRO-260514-0003</v>
      </c>
      <c r="C150" t="str">
        <v>25/5</v>
      </c>
      <c r="D150" t="str">
        <v>Firm plan 29.04</v>
      </c>
      <c r="E150" t="str">
        <v>BDB-000131</v>
      </c>
      <c r="F150" t="str">
        <v>PVN-001565</v>
      </c>
      <c r="G150" t="str">
        <v>OrthoLite Regular-Nike AIR BLUE/16-4134TPX 0.11D 15+/-4 Asker C 1.1M 2M 4mm</v>
      </c>
      <c r="H150">
        <v>500</v>
      </c>
      <c r="I150">
        <v>15</v>
      </c>
      <c r="J150">
        <v>15</v>
      </c>
      <c r="K150" t="str">
        <v>NIKE</v>
      </c>
      <c r="L150" t="str">
        <v>Forecast</v>
      </c>
      <c r="M150" t="str">
        <v>DIE CUT</v>
      </c>
      <c r="N150">
        <v>44</v>
      </c>
      <c r="Q150">
        <v>46169</v>
      </c>
    </row>
    <row r="151">
      <c r="A151" t="str">
        <v>F-2026-04-410</v>
      </c>
      <c r="B151" t="str">
        <v>FPRO-260429-0023</v>
      </c>
      <c r="C151" t="str">
        <v>25/5-26/5</v>
      </c>
      <c r="D151" t="str">
        <v>Firm plan 29.04</v>
      </c>
      <c r="E151" t="str">
        <v>BDB-000131</v>
      </c>
      <c r="F151" t="str">
        <v>PVN-001565</v>
      </c>
      <c r="G151" t="str">
        <v>OrthoLite Regular-Nike AIR BLUE/16-4134TPX 0.11D 15+/-4 Asker C 1.1M 2M 4mm</v>
      </c>
      <c r="H151">
        <v>1000</v>
      </c>
      <c r="I151">
        <v>29</v>
      </c>
      <c r="J151">
        <v>29</v>
      </c>
      <c r="K151" t="str">
        <v>NIKE</v>
      </c>
      <c r="L151" t="str">
        <v>Forecast</v>
      </c>
      <c r="M151" t="str">
        <v>DIE CUT</v>
      </c>
      <c r="Q151">
        <v>46172</v>
      </c>
    </row>
    <row r="153">
      <c r="A153" t="str">
        <v>F-2026-05-280</v>
      </c>
      <c r="B153" t="str">
        <v>RPRO-260520-0175</v>
      </c>
      <c r="C153" t="str">
        <v>26/5</v>
      </c>
      <c r="D153" t="str">
        <v>MPS 04.6</v>
      </c>
      <c r="E153" t="str">
        <v>BDB-000083</v>
      </c>
      <c r="F153" t="str">
        <v>PVN-000930</v>
      </c>
      <c r="G153" t="str">
        <v>OrthoLite Eco LT 300C(ADIDAS BLUEBIRD) Flat Sheet 0.11D 25+/-4 Asker C 1.1M 2M 3mm</v>
      </c>
      <c r="H153">
        <v>138</v>
      </c>
      <c r="I153">
        <v>4</v>
      </c>
      <c r="J153">
        <v>4</v>
      </c>
      <c r="L153" t="str">
        <v>MPS</v>
      </c>
      <c r="M153" t="str">
        <v>SPLITTING</v>
      </c>
      <c r="N153">
        <v>4</v>
      </c>
      <c r="Q153">
        <v>46170</v>
      </c>
    </row>
    <row r="155">
      <c r="A155" t="str">
        <v>F-2026-05-255</v>
      </c>
      <c r="B155" t="str">
        <v>RPRO-260519-0327</v>
      </c>
      <c r="C155" t="str">
        <v>26/5</v>
      </c>
      <c r="D155" t="str">
        <v>MPS 18.05</v>
      </c>
      <c r="E155" t="str">
        <v>BDB-000057</v>
      </c>
      <c r="F155" t="str">
        <v>PVN-000925</v>
      </c>
      <c r="G155" t="str">
        <v>OrthoLite Ultra YELLOW/13-0858TPX Flat Sheet 0.085D 25+/-4 Asker C 1.1M 2M 5mm</v>
      </c>
      <c r="H155">
        <v>420</v>
      </c>
      <c r="I155">
        <v>15</v>
      </c>
      <c r="J155">
        <v>15</v>
      </c>
      <c r="L155" t="str">
        <v>MPS</v>
      </c>
      <c r="M155" t="str">
        <v>SPLITTING</v>
      </c>
      <c r="N155">
        <v>15</v>
      </c>
      <c r="Q155">
        <v>46170</v>
      </c>
    </row>
    <row r="157">
      <c r="A157" t="str">
        <v>F-2026-05-224</v>
      </c>
      <c r="B157" t="str">
        <v>RPRO-260518-0797</v>
      </c>
      <c r="C157" t="str">
        <v>26/5</v>
      </c>
      <c r="D157" t="str">
        <v>Pro.sche.report 15.6+16.6</v>
      </c>
      <c r="E157" t="str">
        <v>BDB-000067</v>
      </c>
      <c r="F157" t="str">
        <v>PVN-002129</v>
      </c>
      <c r="G157" t="str">
        <v>OrthoLite Ultra SEEDPEARL/12-0703TPX Flat Sheet 0.085D 25+/-4 Asker C 1.1M 2M 6mm</v>
      </c>
      <c r="H157">
        <v>23</v>
      </c>
      <c r="I157">
        <v>2</v>
      </c>
      <c r="J157">
        <v>2</v>
      </c>
      <c r="K157" t="str">
        <v>BABOLAT</v>
      </c>
      <c r="L157" t="str">
        <v>Pr.Sch.R</v>
      </c>
      <c r="M157" t="str">
        <v>DIE CUT</v>
      </c>
      <c r="N157">
        <v>5</v>
      </c>
      <c r="Q157">
        <v>46172</v>
      </c>
    </row>
    <row r="158">
      <c r="A158" t="str">
        <v>F-2026-05-330</v>
      </c>
      <c r="B158" t="str">
        <v>RPRO-260522-0245</v>
      </c>
      <c r="C158" t="str">
        <v>26/5</v>
      </c>
      <c r="D158" t="str">
        <v>Pro.sche.report 21.5</v>
      </c>
      <c r="E158" t="str">
        <v>BDB-000067</v>
      </c>
      <c r="F158" t="str">
        <v>PVN-002129</v>
      </c>
      <c r="G158" t="str">
        <v>OrthoLite Ultra SEEDPEARL/12-0703TPX Flat Sheet 0.085D 25+/-4 Asker C 1.1M 2M 6mm</v>
      </c>
      <c r="H158">
        <v>46</v>
      </c>
      <c r="I158">
        <v>3</v>
      </c>
      <c r="J158">
        <v>3</v>
      </c>
      <c r="K158" t="str">
        <v>BABOLAT</v>
      </c>
      <c r="L158" t="str">
        <v>Pr.Sch.R</v>
      </c>
      <c r="M158" t="str">
        <v>DIE CUT</v>
      </c>
      <c r="Q158">
        <v>46176</v>
      </c>
    </row>
    <row r="160">
      <c r="A160" t="str">
        <v>F-2026-05-268</v>
      </c>
      <c r="B160" t="str">
        <v>RPRO-260519-0340</v>
      </c>
      <c r="C160" t="str">
        <v>26/5</v>
      </c>
      <c r="D160" t="str">
        <v>Pro.sche.report 18.05</v>
      </c>
      <c r="E160" t="str">
        <v>BDB-000301</v>
      </c>
      <c r="F160" t="str">
        <v>PVN-004088</v>
      </c>
      <c r="G160" t="str">
        <v>OrthoLite Regular NEUTRAL GRAY/17-4402TPX Flat Sheet 0.13D 35+/-4 Asker C 1.1M 2M 4.5mm</v>
      </c>
      <c r="H160">
        <v>31</v>
      </c>
      <c r="I160">
        <v>2</v>
      </c>
      <c r="J160">
        <v>2</v>
      </c>
      <c r="K160" t="str">
        <v>ADIDAS</v>
      </c>
      <c r="L160" t="str">
        <v>Pr.Sch.R</v>
      </c>
      <c r="M160" t="str">
        <v>MOLDED</v>
      </c>
      <c r="N160">
        <v>2</v>
      </c>
      <c r="Q160">
        <v>46172</v>
      </c>
    </row>
    <row r="162">
      <c r="A162" t="str">
        <v>OIN-2026.05.20-01</v>
      </c>
      <c r="B162" t="str">
        <v>RPRO-260522-0001</v>
      </c>
      <c r="C162" t="str">
        <v>26/5</v>
      </c>
      <c r="D162" t="str">
        <v>OIN</v>
      </c>
      <c r="E162" t="str">
        <v>BDB-000060</v>
      </c>
      <c r="F162" t="str">
        <v>PVN-003782</v>
      </c>
      <c r="G162" t="str">
        <v>[116-446] Ultra 25+/-4 Asker C 0.085D Burnt Sienna 17-1544 Tpx 1.10M X 2.00M 47mm</v>
      </c>
      <c r="H162">
        <v>12</v>
      </c>
      <c r="I162">
        <v>4</v>
      </c>
      <c r="J162">
        <v>4</v>
      </c>
      <c r="K162" t="str">
        <v>CLARKS</v>
      </c>
      <c r="L162" t="str">
        <v>PO-7333-SO-260521-0016</v>
      </c>
      <c r="M162" t="str">
        <v>FLAT SHEET</v>
      </c>
      <c r="N162">
        <v>4</v>
      </c>
      <c r="Q162">
        <v>46174</v>
      </c>
    </row>
    <row r="164">
      <c r="A164" t="str">
        <v>F-2026-05-286</v>
      </c>
      <c r="B164" t="str">
        <v>RPRO-260520-0181</v>
      </c>
      <c r="C164" t="str">
        <v>26/5</v>
      </c>
      <c r="D164" t="str">
        <v>Pro.sche.report 04.6</v>
      </c>
      <c r="E164" t="str">
        <v>BDB-000008</v>
      </c>
      <c r="F164" t="str">
        <v>PVN-000505</v>
      </c>
      <c r="G164" t="str">
        <v>OrthoLite Regular LIME GREEN/14-0452TPX Flat Sheet 0.11D 25+/-4 Asker C 1.1M 2M 12mm</v>
      </c>
      <c r="H164">
        <v>33</v>
      </c>
      <c r="I164">
        <v>3</v>
      </c>
      <c r="J164">
        <v>3</v>
      </c>
      <c r="K164" t="str">
        <v>ASICS</v>
      </c>
      <c r="L164" t="str">
        <v>Pr.Sch.R</v>
      </c>
      <c r="M164" t="str">
        <v>MOLDED</v>
      </c>
      <c r="N164">
        <v>3</v>
      </c>
      <c r="Q164">
        <v>46174</v>
      </c>
    </row>
    <row r="166">
      <c r="A166" t="str">
        <v>F-2026-05-237</v>
      </c>
      <c r="B166" t="str">
        <v>RPRO-260518-0810</v>
      </c>
      <c r="C166" t="str">
        <v>26/5</v>
      </c>
      <c r="D166" t="str">
        <v>Pro.sche.report 15.6+16.6</v>
      </c>
      <c r="E166" t="str">
        <v>BDB-000137</v>
      </c>
      <c r="F166" t="str">
        <v>PVN-004070</v>
      </c>
      <c r="G166" t="str">
        <v>OrthoLite Regular-Nike AIR BLUE/16-4134TPX Flat Sheet 0.11D 25+/-4 Asker C 1.1M 1.47M 4.2mm</v>
      </c>
      <c r="H166">
        <v>33</v>
      </c>
      <c r="I166">
        <v>1</v>
      </c>
      <c r="J166">
        <v>1</v>
      </c>
      <c r="K166" t="str">
        <v>NIKE</v>
      </c>
      <c r="L166" t="str">
        <v>Pr.Sch.R</v>
      </c>
      <c r="M166" t="str">
        <v>MOLDED</v>
      </c>
      <c r="N166">
        <v>1</v>
      </c>
      <c r="Q166">
        <v>46172</v>
      </c>
    </row>
    <row r="168">
      <c r="A168" t="str">
        <v>F-2026-05-272</v>
      </c>
      <c r="B168" t="str">
        <v>RPRO-260519-0344</v>
      </c>
      <c r="C168" t="str">
        <v>26/5</v>
      </c>
      <c r="D168" t="str">
        <v>Pro.sche.report 18.05</v>
      </c>
      <c r="E168" t="str">
        <v>BDB-000130</v>
      </c>
      <c r="F168" t="str">
        <v>PVN-001585</v>
      </c>
      <c r="G168" t="str">
        <v>OrthoLite Regular-Nike AIR BLUE/16-4134TPX Flat Sheet 0.13D 35+/-4 Asker C 1.1M 2M 6mm</v>
      </c>
      <c r="H168">
        <v>23</v>
      </c>
      <c r="I168">
        <v>2</v>
      </c>
      <c r="J168">
        <v>2</v>
      </c>
      <c r="K168" t="str">
        <v>NIKE</v>
      </c>
      <c r="L168" t="str">
        <v>Pr.Sch.R</v>
      </c>
      <c r="M168" t="str">
        <v>MOLDED</v>
      </c>
      <c r="N168">
        <v>2</v>
      </c>
      <c r="Q168">
        <v>46172</v>
      </c>
    </row>
    <row r="170">
      <c r="A170" t="str">
        <v>F-2026-05-239</v>
      </c>
      <c r="B170" t="str">
        <v>RPRO-260518-0812</v>
      </c>
      <c r="C170" t="str">
        <v>26/5</v>
      </c>
      <c r="D170" t="str">
        <v>Pro.sche.report 15.6+16.6</v>
      </c>
      <c r="E170" t="str">
        <v>BDB-000218</v>
      </c>
      <c r="F170" t="str">
        <v>PVN-003488</v>
      </c>
      <c r="G170" t="str">
        <v>OrthoLite Ultra-Nike SEEDPEARL/12-0703TPX Flat Sheet 0.085D 5-10 Asker C 1.1M 2M 4mm</v>
      </c>
      <c r="H170">
        <v>175</v>
      </c>
      <c r="I170">
        <v>5</v>
      </c>
      <c r="J170">
        <v>5</v>
      </c>
      <c r="K170" t="str">
        <v>NIKE</v>
      </c>
      <c r="L170" t="str">
        <v>Pr.Sch.R</v>
      </c>
      <c r="M170" t="str">
        <v>DIE CUT</v>
      </c>
      <c r="N170">
        <v>5</v>
      </c>
      <c r="Q170">
        <v>46172</v>
      </c>
    </row>
    <row r="172">
      <c r="A172" t="str">
        <v>F-2026-01-393-2</v>
      </c>
      <c r="B172" t="str">
        <v>FPRO-260401-0010</v>
      </c>
      <c r="C172" t="str">
        <v>26/5</v>
      </c>
      <c r="D172" t="str">
        <v>Firm plan 28.01</v>
      </c>
      <c r="E172" t="str">
        <v>BDB-000160</v>
      </c>
      <c r="F172" t="str">
        <v>PVN-001562</v>
      </c>
      <c r="G172" t="str">
        <v>OrthoLite Ultra-Nike LIME GREEN/14-0452TPX 0.085D 25+/-4 Asker C 1.1M 2M 4mm</v>
      </c>
      <c r="H172">
        <v>500</v>
      </c>
      <c r="I172">
        <v>15</v>
      </c>
      <c r="J172">
        <v>15</v>
      </c>
      <c r="K172" t="str">
        <v>NIKE</v>
      </c>
      <c r="L172" t="str">
        <v>Forecast</v>
      </c>
      <c r="M172" t="str">
        <v>DIE CUT</v>
      </c>
      <c r="N172">
        <v>15</v>
      </c>
      <c r="Q172">
        <v>46172</v>
      </c>
    </row>
    <row r="174">
      <c r="A174" t="str">
        <v>F-2026-03-453</v>
      </c>
      <c r="B174" t="str">
        <v>FPRO-260324-0025</v>
      </c>
      <c r="C174" t="str">
        <v>26/5</v>
      </c>
      <c r="D174" t="str">
        <v>Firm plan 24.3</v>
      </c>
      <c r="E174" t="str">
        <v>BDB-000161</v>
      </c>
      <c r="F174" t="str">
        <v>PVN-001560</v>
      </c>
      <c r="G174" t="str">
        <v>OrthoLite Ultra-Nike FOSSIL/17-0909TPX 0.085D 25+/-4 Asker C 1.1M 2M 4mm</v>
      </c>
      <c r="H174">
        <v>1000</v>
      </c>
      <c r="I174">
        <v>29</v>
      </c>
      <c r="J174">
        <v>29</v>
      </c>
      <c r="K174" t="str">
        <v>NIKE</v>
      </c>
      <c r="L174" t="str">
        <v>Forecast</v>
      </c>
      <c r="M174" t="str">
        <v>DIE CUT</v>
      </c>
      <c r="N174">
        <v>29</v>
      </c>
      <c r="Q174">
        <v>46172</v>
      </c>
    </row>
    <row r="176">
      <c r="A176" t="str">
        <v>F-2026-03-432</v>
      </c>
      <c r="B176" t="str">
        <v>FPRO-260324-0003</v>
      </c>
      <c r="C176" t="str">
        <v>26/5</v>
      </c>
      <c r="D176" t="str">
        <v>Firm plan 24.3</v>
      </c>
      <c r="E176" t="str">
        <v>BDB-000162</v>
      </c>
      <c r="F176" t="str">
        <v>PVN-001566</v>
      </c>
      <c r="G176" t="str">
        <v>OrthoLite Ultra-Nike SEEDPEARL/12-0703TPX 0.085D 25+/-4 Asker C 1.1M 2M 4mm</v>
      </c>
      <c r="H176">
        <v>2000</v>
      </c>
      <c r="I176">
        <v>58</v>
      </c>
      <c r="J176">
        <v>58</v>
      </c>
      <c r="K176" t="str">
        <v>NIKE</v>
      </c>
      <c r="L176" t="str">
        <v>Forecast</v>
      </c>
      <c r="M176" t="str">
        <v>DIE CUT</v>
      </c>
      <c r="N176">
        <v>56</v>
      </c>
      <c r="O176" t="str">
        <v xml:space="preserve">W22 đổ dư 2 bun </v>
      </c>
      <c r="Q176">
        <v>46172</v>
      </c>
    </row>
    <row r="177">
      <c r="G177" t="str">
        <v>xxxxxxxxxxxxxxxxxxxxxxxxxxxxxxxxxxxx</v>
      </c>
    </row>
    <row r="178">
      <c r="A178" t="str">
        <v>F-2026-04-419</v>
      </c>
      <c r="B178" t="str">
        <v>FPRO-260429-0032</v>
      </c>
      <c r="C178" t="str">
        <v>26/5</v>
      </c>
      <c r="D178" t="str">
        <v>Firm plan 29.04</v>
      </c>
      <c r="E178" t="str">
        <v>BDB-000125</v>
      </c>
      <c r="F178" t="str">
        <v>PVN-001579</v>
      </c>
      <c r="G178" t="str">
        <v>OrthoLite Regular-Nike AIR BLUE/16-4134TPX Flat Sheet 0.11D 25+/-4 Asker C 1.1M 2M 4mm</v>
      </c>
      <c r="H178">
        <v>800</v>
      </c>
      <c r="I178">
        <v>23</v>
      </c>
      <c r="J178">
        <v>23</v>
      </c>
      <c r="K178" t="str">
        <v>NIKE</v>
      </c>
      <c r="L178" t="str">
        <v>Forecast</v>
      </c>
      <c r="M178" t="str">
        <v>DIE CUT</v>
      </c>
      <c r="N178">
        <v>44</v>
      </c>
      <c r="O178" t="str">
        <v xml:space="preserve">W22 đổ dư 40 bun </v>
      </c>
      <c r="Q178">
        <v>46172</v>
      </c>
    </row>
    <row r="179">
      <c r="A179" t="str">
        <v>F-2026-04-433</v>
      </c>
      <c r="B179" t="str">
        <v>FPRO-260429-0046</v>
      </c>
      <c r="C179" t="str">
        <v>26/5</v>
      </c>
      <c r="D179" t="str">
        <v>Firm plan 29.04</v>
      </c>
      <c r="E179" t="str">
        <v>BDB-000125</v>
      </c>
      <c r="F179" t="str">
        <v>PVN-002413</v>
      </c>
      <c r="G179" t="str">
        <v>OrthoLite Regular-Nike AIR BLUE/16-4134TPX 0.11D 25+/-4 Asker C 1.1M 2M 4.2mm</v>
      </c>
      <c r="H179">
        <v>2000</v>
      </c>
      <c r="I179">
        <v>61</v>
      </c>
      <c r="J179">
        <v>61</v>
      </c>
      <c r="K179" t="str">
        <v>NIKE</v>
      </c>
      <c r="L179" t="str">
        <v>Forecast</v>
      </c>
      <c r="M179" t="str">
        <v>DIE CUT</v>
      </c>
      <c r="N179" t="str">
        <v>84-40</v>
      </c>
      <c r="Q179">
        <v>46172</v>
      </c>
    </row>
    <row r="181">
      <c r="A181" t="str">
        <v>F-2026-04-392</v>
      </c>
      <c r="B181" t="str">
        <v>FPRO-260429-0005</v>
      </c>
      <c r="C181" t="str">
        <v>26/5</v>
      </c>
      <c r="D181" t="str">
        <v>Firm plan 29.04</v>
      </c>
      <c r="E181" t="str">
        <v>BDB-000129</v>
      </c>
      <c r="F181" t="str">
        <v>PVN-001550</v>
      </c>
      <c r="G181" t="str">
        <v>OrthoLite Regular-Nike AIR BLUE/16-4134TPX 0.11D 25+/-4 Asker C 1.1M 1.7M 2mm</v>
      </c>
      <c r="H181">
        <v>600</v>
      </c>
      <c r="I181">
        <v>9</v>
      </c>
      <c r="J181">
        <v>9</v>
      </c>
      <c r="K181" t="str">
        <v>NIKE</v>
      </c>
      <c r="L181" t="str">
        <v>Forecast</v>
      </c>
      <c r="M181" t="str">
        <v>DIE CUT</v>
      </c>
      <c r="N181">
        <v>85</v>
      </c>
      <c r="Q181">
        <v>46172</v>
      </c>
    </row>
    <row r="182">
      <c r="A182" t="str">
        <v>F-2026-05-220</v>
      </c>
      <c r="B182" t="str">
        <v>RPRO-260518-0793</v>
      </c>
      <c r="C182" t="str">
        <v>26/5-27/5</v>
      </c>
      <c r="D182" t="str">
        <v>Pro.sche.report 15.6+16.6</v>
      </c>
      <c r="E182" t="str">
        <v>BDB-000129</v>
      </c>
      <c r="F182" t="str">
        <v>PVN-001550</v>
      </c>
      <c r="G182" t="str">
        <v>OrthoLite Regular-Nike AIR BLUE/16-4134TPX Flat Sheet 0.11D 25+/-4 Asker C 1.1M 1.7M 2mm</v>
      </c>
      <c r="H182">
        <v>2100</v>
      </c>
      <c r="I182">
        <v>31</v>
      </c>
      <c r="J182">
        <v>31</v>
      </c>
      <c r="K182" t="str">
        <v>NIKE</v>
      </c>
      <c r="L182" t="str">
        <v>Pr.Sch.R</v>
      </c>
      <c r="M182" t="str">
        <v>LAMINATING</v>
      </c>
      <c r="Q182">
        <v>46172</v>
      </c>
    </row>
    <row r="183">
      <c r="A183" t="str">
        <v>F-2026-05-262</v>
      </c>
      <c r="B183" t="str">
        <v>RPRO-260519-0334</v>
      </c>
      <c r="C183" t="str">
        <v>27/5</v>
      </c>
      <c r="D183" t="str">
        <v>Pro.sche.report 18.05</v>
      </c>
      <c r="E183" t="str">
        <v>BDB-000129</v>
      </c>
      <c r="F183" t="str">
        <v>PVN-001550</v>
      </c>
      <c r="G183" t="str">
        <v>OrthoLite Regular-Nike AIR BLUE/16-4134TPX Flat Sheet 0.11D 25+/-4 Asker C 1.1M 1.7M 2mm</v>
      </c>
      <c r="H183">
        <v>140</v>
      </c>
      <c r="I183">
        <v>3</v>
      </c>
      <c r="J183">
        <v>3</v>
      </c>
      <c r="K183" t="str">
        <v>NIKE</v>
      </c>
      <c r="L183" t="str">
        <v>Pr.Sch.R</v>
      </c>
      <c r="M183" t="str">
        <v>LAMINATING</v>
      </c>
      <c r="Q183">
        <v>46172</v>
      </c>
    </row>
    <row r="184">
      <c r="A184" t="str">
        <v>F-2026-05-285</v>
      </c>
      <c r="B184" t="str">
        <v>RPRO-260520-0180</v>
      </c>
      <c r="C184" t="str">
        <v>27/5</v>
      </c>
      <c r="D184" t="str">
        <v>Pro.sche.report 04.6</v>
      </c>
      <c r="E184" t="str">
        <v>BDB-000129</v>
      </c>
      <c r="F184" t="str">
        <v>PVN-001550</v>
      </c>
      <c r="G184" t="str">
        <v>OrthoLite Regular-Nike AIR BLUE/16-4134TPX Flat Sheet 0.11D 25+/-4 Asker C 1.1M 1.7M 2mm</v>
      </c>
      <c r="H184">
        <v>70</v>
      </c>
      <c r="I184">
        <v>2</v>
      </c>
      <c r="J184">
        <v>2</v>
      </c>
      <c r="K184" t="str">
        <v>NIKE</v>
      </c>
      <c r="L184" t="str">
        <v>Pr.Sch.R</v>
      </c>
      <c r="M184" t="str">
        <v>LAMINATING</v>
      </c>
      <c r="Q184">
        <v>46174</v>
      </c>
    </row>
    <row r="185">
      <c r="A185" t="str">
        <v>F-2026-05-301</v>
      </c>
      <c r="B185" t="str">
        <v>RPRO-260521-0655</v>
      </c>
      <c r="C185" t="str">
        <v>27/5</v>
      </c>
      <c r="D185" t="str">
        <v>Pro.sche.report 20.05</v>
      </c>
      <c r="E185" t="str">
        <v>BDB-000129</v>
      </c>
      <c r="F185" t="str">
        <v>PVN-001550</v>
      </c>
      <c r="G185" t="str">
        <v>OrthoLite Regular-Nike AIR BLUE/16-4134TPX Flat Sheet 0.11D 25+/-4 Asker C 1.1M 1.7M 2mm</v>
      </c>
      <c r="H185">
        <v>2590</v>
      </c>
      <c r="I185">
        <v>38</v>
      </c>
      <c r="J185">
        <v>38</v>
      </c>
      <c r="K185" t="str">
        <v>NIKE</v>
      </c>
      <c r="L185" t="str">
        <v>Pr.Sch.R</v>
      </c>
      <c r="M185" t="str">
        <v>LAMINATING</v>
      </c>
      <c r="Q185">
        <v>46175</v>
      </c>
    </row>
    <row r="186">
      <c r="A186" t="str">
        <v>F-2026-05-327</v>
      </c>
      <c r="B186" t="str">
        <v>RPRO-260522-0242</v>
      </c>
      <c r="C186" t="str">
        <v>27/5</v>
      </c>
      <c r="D186" t="str">
        <v>Pro.sche.report 21.5</v>
      </c>
      <c r="E186" t="str">
        <v>BDB-000129</v>
      </c>
      <c r="F186" t="str">
        <v>PVN-001550</v>
      </c>
      <c r="G186" t="str">
        <v>OrthoLite Regular-Nike AIR BLUE/16-4134TPX Flat Sheet 0.11D 25+/-4 Asker C 1.1M 1.7M 2mm</v>
      </c>
      <c r="H186">
        <v>70</v>
      </c>
      <c r="I186">
        <v>2</v>
      </c>
      <c r="J186">
        <v>2</v>
      </c>
      <c r="K186" t="str">
        <v>NIKE</v>
      </c>
      <c r="L186" t="str">
        <v>Pr.Sch.R</v>
      </c>
      <c r="M186" t="str">
        <v>LAMINATING</v>
      </c>
      <c r="Q186">
        <v>46176</v>
      </c>
    </row>
    <row r="188">
      <c r="A188" t="str">
        <v>F-2026-05-127</v>
      </c>
      <c r="B188" t="str">
        <v>RPRO-260511-0347</v>
      </c>
      <c r="C188" t="str">
        <v>27/5</v>
      </c>
      <c r="D188" t="str">
        <v>Pro.sche.report 08.5+09.5</v>
      </c>
      <c r="E188" t="str">
        <v>BDB-000209</v>
      </c>
      <c r="F188" t="str">
        <v>PVN-003462</v>
      </c>
      <c r="G188" t="str">
        <v>OrthoLite HybridPlus-Recycled MINT GREEN/11-4805TPX Hybrid Flat Sheet 0.12D 25+/-4 Asker C 1.1M 2M 12mm</v>
      </c>
      <c r="H188">
        <v>231</v>
      </c>
      <c r="I188">
        <v>22</v>
      </c>
      <c r="J188">
        <v>22</v>
      </c>
      <c r="K188" t="str">
        <v>BROOKS</v>
      </c>
      <c r="L188" t="str">
        <v>Pr.Sch.R</v>
      </c>
      <c r="M188" t="str">
        <v>MOLDED</v>
      </c>
      <c r="N188">
        <v>245</v>
      </c>
      <c r="Q188">
        <v>46174</v>
      </c>
    </row>
    <row r="189">
      <c r="A189" t="str">
        <v>F-2026-05-307</v>
      </c>
      <c r="B189" t="str">
        <v>RPRO-260521-0661</v>
      </c>
      <c r="C189" t="str">
        <v>27/5</v>
      </c>
      <c r="D189" t="str">
        <v>Pro.sche.report 20.05</v>
      </c>
      <c r="E189" t="str">
        <v>BDB-000209</v>
      </c>
      <c r="F189" t="str">
        <v>PVN-003550</v>
      </c>
      <c r="G189" t="str">
        <v>OrthoLite HybridPlus-Recycled MINT GREEN/11-4805TPX Hybrid Flat Sheet 0.12D 25+/-4 Asker C 1.1M 2M 6mm</v>
      </c>
      <c r="H189">
        <v>2093</v>
      </c>
      <c r="I189">
        <v>92</v>
      </c>
      <c r="J189">
        <v>92</v>
      </c>
      <c r="K189" t="str">
        <v>ON RUNNING</v>
      </c>
      <c r="L189" t="str">
        <v>Pr.Sch.R</v>
      </c>
      <c r="M189" t="str">
        <v>MOLDED</v>
      </c>
      <c r="Q189">
        <v>46175</v>
      </c>
    </row>
    <row r="190">
      <c r="A190" t="str">
        <v>F-2026-05-310</v>
      </c>
      <c r="B190" t="str">
        <v>RPRO-260521-0664</v>
      </c>
      <c r="C190" t="str">
        <v>27/5-28/5</v>
      </c>
      <c r="D190" t="str">
        <v>Pro.sche.report 20.05</v>
      </c>
      <c r="E190" t="str">
        <v>BDB-000209</v>
      </c>
      <c r="F190" t="str">
        <v>PVN-003462</v>
      </c>
      <c r="G190" t="str">
        <v>OrthoLite HybridPlus-Recycled MINT GREEN/11-4805TPX Hybrid Flat Sheet 0.12D 25+/-4 Asker C 1.1M 2M 12mm</v>
      </c>
      <c r="H190">
        <v>1430</v>
      </c>
      <c r="I190">
        <v>131</v>
      </c>
      <c r="J190">
        <v>131</v>
      </c>
      <c r="K190" t="str">
        <v>BROOKS</v>
      </c>
      <c r="L190" t="str">
        <v>Pr.Sch.R</v>
      </c>
      <c r="M190" t="str">
        <v>MOLDED</v>
      </c>
      <c r="Q190">
        <v>46175</v>
      </c>
    </row>
    <row r="191">
      <c r="G191" t="str">
        <v>RELEASE ĐỢT 1</v>
      </c>
    </row>
    <row r="192">
      <c r="H192">
        <v>17039</v>
      </c>
      <c r="I192">
        <v>425</v>
      </c>
      <c r="J192">
        <v>425</v>
      </c>
      <c r="N192">
        <v>619</v>
      </c>
      <c r="O192">
        <v>-81</v>
      </c>
    </row>
  </sheetData>
  <autoFilter ref="A2:Q238"/>
  <pageMargins left="0.18" right="0.17" top="0.24" bottom="0.17" header="0.17" footer="0.17"/>
  <ignoredErrors>
    <ignoredError numberStoredAsText="1" sqref="A1:W864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U8509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22 - L2</v>
      </c>
    </row>
    <row r="2" xml:space="preserve">
      <c r="A2" t="str">
        <v>NO.ORDER</v>
      </c>
      <c r="B2" t="str">
        <v>Firm plan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màu red của footjoy chạy  (CHẠY 16D, 35C)-PVN-003797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25/5-30/5</v>
      </c>
    </row>
    <row r="4">
      <c r="A4" t="str">
        <v>F-2026-05-344</v>
      </c>
      <c r="B4" t="str">
        <v>RPRO-260525-0370</v>
      </c>
      <c r="C4" t="str">
        <v>29/5</v>
      </c>
      <c r="D4" t="str">
        <v>Pro.sche.report 22.05+23.05+24.05</v>
      </c>
      <c r="E4" t="str">
        <v>BDB-000076</v>
      </c>
      <c r="F4" t="str">
        <v>PVN-004091</v>
      </c>
      <c r="G4" t="str">
        <v>OrthoLite X-25 BILLIARD/16-5427TPX Flat Sheet 0.12D 20+/-4 Asker C 1.1M 2M 3.5mm</v>
      </c>
      <c r="H4">
        <v>120</v>
      </c>
      <c r="I4">
        <v>3</v>
      </c>
      <c r="J4">
        <v>3</v>
      </c>
      <c r="K4" t="str">
        <v>BROOKS</v>
      </c>
      <c r="L4" t="str">
        <v>Pr.Sch.R</v>
      </c>
      <c r="M4" t="str">
        <v>MOLDED</v>
      </c>
      <c r="N4">
        <v>36</v>
      </c>
      <c r="Q4">
        <v>46175</v>
      </c>
    </row>
    <row r="5">
      <c r="A5" t="str">
        <v>F-2026-05-355</v>
      </c>
      <c r="B5" t="str">
        <v>RPRO-260526-0388</v>
      </c>
      <c r="C5" t="str">
        <v>29/5</v>
      </c>
      <c r="D5" t="str">
        <v>Pro.sche.report 25.05</v>
      </c>
      <c r="E5" t="str">
        <v>BDB-000076</v>
      </c>
      <c r="F5" t="str">
        <v>PVN-004091</v>
      </c>
      <c r="G5" t="str">
        <v>OrthoLite X-25 BILLIARD/16-5427TPX Flat Sheet 0.12D 20+/-4 Asker C 1.1M 2M 3.5mm</v>
      </c>
      <c r="H5">
        <v>40</v>
      </c>
      <c r="I5">
        <v>1</v>
      </c>
      <c r="J5">
        <v>1</v>
      </c>
      <c r="K5" t="str">
        <v>BROOKS</v>
      </c>
      <c r="L5" t="str">
        <v>Pro. Schedule</v>
      </c>
      <c r="M5" t="str">
        <v>MOLDED</v>
      </c>
      <c r="Q5">
        <v>46176</v>
      </c>
    </row>
    <row r="6">
      <c r="A6" t="str">
        <v>F-2026-05-112</v>
      </c>
      <c r="B6" t="str">
        <v>FPRO-260506-0016</v>
      </c>
      <c r="C6" t="str">
        <v>29/5</v>
      </c>
      <c r="D6" t="str">
        <v>Firm plan 06.5</v>
      </c>
      <c r="E6" t="str">
        <v>BDB-000076</v>
      </c>
      <c r="F6" t="str">
        <v>PVN-003745</v>
      </c>
      <c r="G6" t="str">
        <v>OrthoLite X-25 BILLIARD/16-5427TPX Flat Sheet 0.12D 20+/-4 Asker C 1.1M 2M 16mm</v>
      </c>
      <c r="H6">
        <v>250</v>
      </c>
      <c r="I6">
        <v>32</v>
      </c>
      <c r="J6">
        <v>32</v>
      </c>
      <c r="K6" t="str">
        <v>FOOTJOY</v>
      </c>
      <c r="L6" t="str">
        <v>Forecast</v>
      </c>
      <c r="M6" t="str">
        <v>MOLDED</v>
      </c>
      <c r="Q6">
        <v>46176</v>
      </c>
    </row>
    <row r="8">
      <c r="A8" t="str">
        <v>F-2026-05-366</v>
      </c>
      <c r="B8" t="str">
        <v>FPRO-260526-0034</v>
      </c>
      <c r="C8" t="str">
        <v>29/5</v>
      </c>
      <c r="D8" t="str">
        <v>Firm plan 27/5</v>
      </c>
      <c r="E8" t="str">
        <v>BDB-000117</v>
      </c>
      <c r="F8" t="str">
        <v>PVN-003148</v>
      </c>
      <c r="G8" t="str">
        <v>OrthoLite X-35-Hybrid SEEDPEARL/12-0703TPX Hybrid 0.145D 25+/-4 Asker C 1.1M 2M 4.5mm</v>
      </c>
      <c r="H8">
        <v>58</v>
      </c>
      <c r="I8">
        <v>2</v>
      </c>
      <c r="J8">
        <v>2</v>
      </c>
      <c r="K8" t="str">
        <v>WILSON</v>
      </c>
      <c r="L8" t="str">
        <v>Forecast</v>
      </c>
      <c r="M8" t="str">
        <v>MOLDED</v>
      </c>
      <c r="N8">
        <v>2</v>
      </c>
      <c r="Q8">
        <v>46176</v>
      </c>
    </row>
    <row r="10">
      <c r="A10" t="str">
        <v>F-2026-05-403</v>
      </c>
      <c r="B10" t="str">
        <v>FPRO-260527-0012</v>
      </c>
      <c r="C10" t="str">
        <v>29/5</v>
      </c>
      <c r="D10" t="str">
        <v>Firm plan 27/5</v>
      </c>
      <c r="E10" t="str">
        <v>BDB-000157</v>
      </c>
      <c r="F10" t="str">
        <v>PVN-003244</v>
      </c>
      <c r="G10" t="str">
        <v>OrthoLite X-35-Hybrid-Nike SEEDPEARL/12-0703TPX Hybrid 0.145D 25+/-4 Asker C 1.1M 2M 5.2mm</v>
      </c>
      <c r="H10">
        <v>200</v>
      </c>
      <c r="I10">
        <v>8</v>
      </c>
      <c r="J10">
        <v>8</v>
      </c>
      <c r="K10" t="str">
        <v>NIKE</v>
      </c>
      <c r="L10" t="str">
        <v>Forecast</v>
      </c>
      <c r="M10" t="str">
        <v>MOLDED</v>
      </c>
      <c r="N10">
        <v>79</v>
      </c>
      <c r="Q10">
        <v>46176</v>
      </c>
    </row>
    <row r="11">
      <c r="A11" t="str">
        <v>F-2026-05-406</v>
      </c>
      <c r="B11" t="str">
        <v>FPRO-260527-0015</v>
      </c>
      <c r="C11" t="str">
        <v>29/5</v>
      </c>
      <c r="D11" t="str">
        <v>Firm plan 27/5</v>
      </c>
      <c r="E11" t="str">
        <v>BDB-000157</v>
      </c>
      <c r="F11" t="str">
        <v>PVN-003244</v>
      </c>
      <c r="G11" t="str">
        <v>OrthoLite X-35-Hybrid-Nike SEEDPEARL/12-0703TPX Hybrid 0.145D 25+/-4 Asker C 1.1M 2M 5.2mm</v>
      </c>
      <c r="H11">
        <v>240</v>
      </c>
      <c r="I11">
        <v>10</v>
      </c>
      <c r="J11">
        <v>10</v>
      </c>
      <c r="K11" t="str">
        <v>NIKE</v>
      </c>
      <c r="L11" t="str">
        <v>Forecast</v>
      </c>
      <c r="M11" t="str">
        <v>MOLDED</v>
      </c>
      <c r="Q11">
        <v>46176</v>
      </c>
    </row>
    <row r="12">
      <c r="A12" t="str">
        <v>F-2026-04-446</v>
      </c>
      <c r="B12" t="str">
        <v>FPRO-260429-0059</v>
      </c>
      <c r="C12" t="str">
        <v>29/5</v>
      </c>
      <c r="D12" t="str">
        <v>Firm plan 29.04</v>
      </c>
      <c r="E12" t="str">
        <v>BDB-000157</v>
      </c>
      <c r="F12" t="str">
        <v>PVN-003573</v>
      </c>
      <c r="G12" t="str">
        <v>OrthoLite X-35-Hybrid-Nike SEEDPEARL/12-0703TPX Hybrid 0.145D 25+/-4 Asker C 1.1M 2M 4.2mm</v>
      </c>
      <c r="H12">
        <v>2000</v>
      </c>
      <c r="I12">
        <v>61</v>
      </c>
      <c r="J12">
        <v>61</v>
      </c>
      <c r="K12" t="str">
        <v>NIKE</v>
      </c>
      <c r="L12" t="str">
        <v>Forecast</v>
      </c>
      <c r="M12" t="str">
        <v>MOLDED</v>
      </c>
      <c r="Q12">
        <v>46176</v>
      </c>
    </row>
    <row r="14">
      <c r="A14" t="str">
        <v>F-2026-04-230</v>
      </c>
      <c r="B14" t="str">
        <v>FPRO-260416-0015</v>
      </c>
      <c r="C14" t="str">
        <v>29/5-30/5</v>
      </c>
      <c r="D14" t="str">
        <v>Firm plan 16.4</v>
      </c>
      <c r="E14" t="str">
        <v>BDB-000113</v>
      </c>
      <c r="F14" t="str">
        <v>PVN-003414</v>
      </c>
      <c r="G14" t="str">
        <v>OrthoLite Regular-Hybrid SEEDPEARL/12-0703TPX Hybrid Flat Sheet 0.11D 25+/-4 Asker C 1.1M 2M 12mm</v>
      </c>
      <c r="H14">
        <v>2500</v>
      </c>
      <c r="I14">
        <v>218</v>
      </c>
      <c r="J14">
        <v>218</v>
      </c>
      <c r="K14" t="str">
        <v>ASICS</v>
      </c>
      <c r="L14" t="str">
        <v>Forecast</v>
      </c>
      <c r="M14" t="str">
        <v>MOLDED</v>
      </c>
      <c r="N14">
        <v>308</v>
      </c>
      <c r="Q14">
        <v>46176</v>
      </c>
    </row>
    <row r="15">
      <c r="A15" t="str">
        <v>F-2026-04-248</v>
      </c>
      <c r="B15" t="str">
        <v>FPRO-260416-0033</v>
      </c>
      <c r="C15" t="str">
        <v>30/5-1/6</v>
      </c>
      <c r="D15" t="str">
        <v>Firm plan 16.4</v>
      </c>
      <c r="E15" t="str">
        <v>BDB-000113</v>
      </c>
      <c r="F15" t="str">
        <v>PVN-002465</v>
      </c>
      <c r="G15" t="str">
        <v>OrthoLite Regular-Hybrid SEEDPEARL/12-0703TPX Hybrid Flat Sheet 0.11D 25+/-4 Asker C 1.1M 2M 5mm</v>
      </c>
      <c r="H15">
        <v>2500</v>
      </c>
      <c r="I15">
        <v>90</v>
      </c>
      <c r="J15">
        <v>90</v>
      </c>
      <c r="K15" t="str">
        <v>ASICS</v>
      </c>
      <c r="L15" t="str">
        <v>Forecast</v>
      </c>
      <c r="M15" t="str">
        <v>DIE CUT</v>
      </c>
      <c r="Q15">
        <v>46176</v>
      </c>
    </row>
    <row r="16">
      <c r="G16" t="str">
        <v>RELEASE ĐỢT 2</v>
      </c>
    </row>
    <row r="17">
      <c r="H17">
        <v>22115</v>
      </c>
      <c r="I17">
        <v>979</v>
      </c>
      <c r="J17">
        <v>979</v>
      </c>
      <c r="N17">
        <v>1210</v>
      </c>
      <c r="O17">
        <v>10</v>
      </c>
    </row>
    <row r="18">
      <c r="A18" t="str">
        <v>Máy 2</v>
      </c>
      <c r="G18" t="str">
        <v>25/5-30/5</v>
      </c>
    </row>
    <row r="19">
      <c r="A19" t="str">
        <v>F-2026-05-348</v>
      </c>
      <c r="B19" t="str">
        <v>RPRO-260525-0374</v>
      </c>
      <c r="C19" t="str">
        <v>29/5</v>
      </c>
      <c r="D19" t="str">
        <v>Pro.sche.report 22.05+23.05+24.05</v>
      </c>
      <c r="E19" t="str">
        <v>BDB-000149</v>
      </c>
      <c r="F19" t="str">
        <v>PVN-002773</v>
      </c>
      <c r="G19" t="str">
        <v>OrthoLite Regular-Hybrid-Nike SEEDPEARL/12-0703TPX Hybrid Flat Sheet 0.11D 25+/-4 Asker C 1.1M 2M 4mm</v>
      </c>
      <c r="H19">
        <v>245</v>
      </c>
      <c r="I19">
        <v>7</v>
      </c>
      <c r="J19">
        <v>7</v>
      </c>
      <c r="K19" t="str">
        <v>NIKE</v>
      </c>
      <c r="L19" t="str">
        <v>Pr.Sch.R</v>
      </c>
      <c r="M19" t="str">
        <v>DIE CUT</v>
      </c>
      <c r="N19">
        <v>12</v>
      </c>
      <c r="Q19">
        <v>46172</v>
      </c>
    </row>
    <row r="20">
      <c r="A20" t="str">
        <v>F-2026-05-357</v>
      </c>
      <c r="B20" t="str">
        <v>RPRO-260526-0390</v>
      </c>
      <c r="C20" t="str">
        <v>29/5</v>
      </c>
      <c r="D20" t="str">
        <v>Pro.sche.report 25.05</v>
      </c>
      <c r="E20" t="str">
        <v>BDB-000149</v>
      </c>
      <c r="F20" t="str">
        <v>PVN-002827</v>
      </c>
      <c r="G20" t="str">
        <v>OrthoLite Regular-Hybrid-Nike SEEDPEARL/12-0703TPX Hybrid Flat Sheet 0.11D 25+/-4 Asker C 1.1M 2M 5mm</v>
      </c>
      <c r="H20">
        <v>140</v>
      </c>
      <c r="I20">
        <v>5</v>
      </c>
      <c r="J20">
        <v>5</v>
      </c>
      <c r="K20" t="str">
        <v>NIKE</v>
      </c>
      <c r="L20" t="str">
        <v>Pro. Schedule</v>
      </c>
      <c r="M20" t="str">
        <v>MOLDED</v>
      </c>
      <c r="Q20">
        <v>46172</v>
      </c>
    </row>
    <row r="22">
      <c r="A22" t="str">
        <v>F-2026-03-369</v>
      </c>
      <c r="B22" t="str">
        <v>FPRO-260318-0013</v>
      </c>
      <c r="C22" t="str">
        <v>29/5</v>
      </c>
      <c r="D22" t="str">
        <v>Firm plan 18.3</v>
      </c>
      <c r="E22" t="str">
        <v>BDB-000113</v>
      </c>
      <c r="F22" t="str">
        <v>PVN-002465</v>
      </c>
      <c r="G22" t="str">
        <v>OrthoLite Regular-Hybrid SEEDPEARL/12-0703TPX Hybrid Flat Sheet 0.11D 25+/-4 Asker C 1.1M 2M 5mm</v>
      </c>
      <c r="H22">
        <v>2000</v>
      </c>
      <c r="I22">
        <v>72</v>
      </c>
      <c r="J22">
        <v>72</v>
      </c>
      <c r="K22" t="str">
        <v>ASICS</v>
      </c>
      <c r="L22" t="str">
        <v>Forecast</v>
      </c>
      <c r="M22" t="str">
        <v>DIE CUT</v>
      </c>
      <c r="N22">
        <v>141</v>
      </c>
      <c r="Q22">
        <v>46172</v>
      </c>
    </row>
    <row r="23">
      <c r="A23" t="str">
        <v>F-2026-04-223</v>
      </c>
      <c r="B23" t="str">
        <v>FPRO-260416-0008</v>
      </c>
      <c r="C23" t="str">
        <v>29/5</v>
      </c>
      <c r="D23" t="str">
        <v>Firm plan 16.4</v>
      </c>
      <c r="E23" t="str">
        <v>BDB-000113</v>
      </c>
      <c r="F23" t="str">
        <v>PVN-002501</v>
      </c>
      <c r="G23" t="str">
        <v>OrthoLite Regular-Hybrid SEEDPEARL/12-0703TPX Hybrid Flat Sheet 0.11D 25+/-4 Asker C 1.1M 2M 2mm</v>
      </c>
      <c r="H23">
        <v>1000</v>
      </c>
      <c r="I23">
        <v>15</v>
      </c>
      <c r="J23">
        <v>15</v>
      </c>
      <c r="K23" t="str">
        <v>ASICS</v>
      </c>
      <c r="L23" t="str">
        <v>Forecast</v>
      </c>
      <c r="M23" t="str">
        <v>SPLITTING</v>
      </c>
      <c r="Q23">
        <v>46174</v>
      </c>
    </row>
    <row r="24">
      <c r="A24" t="str">
        <v>F-2026-04-256</v>
      </c>
      <c r="B24" t="str">
        <v>FPRO-260416-0041</v>
      </c>
      <c r="C24" t="str">
        <v>29/5</v>
      </c>
      <c r="D24" t="str">
        <v>Firm plan 16.4</v>
      </c>
      <c r="E24" t="str">
        <v>BDB-000113</v>
      </c>
      <c r="F24" t="str">
        <v>PVN-002465</v>
      </c>
      <c r="G24" t="str">
        <v>OrthoLite Regular-Hybrid SEEDPEARL/12-0703TPX Hybrid Flat Sheet 0.11D 25+/-4 Asker C 1.1M 2M 5mm</v>
      </c>
      <c r="H24">
        <v>1500</v>
      </c>
      <c r="I24">
        <v>54</v>
      </c>
      <c r="J24">
        <v>54</v>
      </c>
      <c r="K24" t="str">
        <v>ASICS</v>
      </c>
      <c r="L24" t="str">
        <v>Forecast</v>
      </c>
      <c r="M24" t="str">
        <v>DIE CUT</v>
      </c>
      <c r="Q24">
        <v>46174</v>
      </c>
    </row>
    <row r="26">
      <c r="A26" t="str">
        <v>F-2026-04-56-1</v>
      </c>
      <c r="B26" t="str">
        <v>FPRO-260401-0004</v>
      </c>
      <c r="C26" t="str">
        <v>29/5</v>
      </c>
      <c r="D26" t="str">
        <v>Firm plan 01.04</v>
      </c>
      <c r="E26" t="str">
        <v>BDB-000123</v>
      </c>
      <c r="F26" t="str">
        <v>PVN-002539</v>
      </c>
      <c r="G26" t="str">
        <v>OrthoLite Ultra-Hybrid SEEDPEARL/12-0703TPX Hybrid Flat Sheet 0.085D 25+/-4 Asker C 1.1M 2M 5mm</v>
      </c>
      <c r="H26">
        <v>500</v>
      </c>
      <c r="I26">
        <v>18</v>
      </c>
      <c r="J26">
        <v>18</v>
      </c>
      <c r="K26" t="str">
        <v>BROOKS</v>
      </c>
      <c r="L26" t="str">
        <v>Forecast</v>
      </c>
      <c r="M26" t="str">
        <v>DIE CUT</v>
      </c>
      <c r="N26">
        <v>273</v>
      </c>
      <c r="Q26">
        <v>46172</v>
      </c>
    </row>
    <row r="27">
      <c r="A27" t="str">
        <v>F-2026-04-383</v>
      </c>
      <c r="B27" t="str">
        <v>FPRO-260428-0013</v>
      </c>
      <c r="C27" t="str">
        <v>29/5-30/5</v>
      </c>
      <c r="D27" t="str">
        <v>Firm plan 28.04</v>
      </c>
      <c r="E27" t="str">
        <v>BDB-000123</v>
      </c>
      <c r="F27" t="str">
        <v>PVN-003298</v>
      </c>
      <c r="G27" t="str">
        <v>OrthoLite Ultra-Hybrid SEEDPEARL/12-0703TPX Hybrid 0.085D 25+/-4 Asker C 1.1M 2M 4mm</v>
      </c>
      <c r="H27">
        <v>7000</v>
      </c>
      <c r="I27">
        <v>200</v>
      </c>
      <c r="J27">
        <v>200</v>
      </c>
      <c r="K27" t="str">
        <v>ADIDAS</v>
      </c>
      <c r="L27" t="str">
        <v>Forecast</v>
      </c>
      <c r="M27" t="str">
        <v>SPLITTING</v>
      </c>
      <c r="Q27">
        <v>46174</v>
      </c>
    </row>
    <row r="28">
      <c r="A28" t="str">
        <v>F-2026-04-389</v>
      </c>
      <c r="B28" t="str">
        <v>FPRO-260428-0019</v>
      </c>
      <c r="C28" t="str">
        <v>30/5</v>
      </c>
      <c r="D28" t="str">
        <v>Firm plan 28.04</v>
      </c>
      <c r="E28" t="str">
        <v>BDB-000123</v>
      </c>
      <c r="F28" t="str">
        <v>PVN-003299</v>
      </c>
      <c r="G28" t="str">
        <v>OrthoLite Ultra-Hybrid SEEDPEARL/12-0703TPX Hybrid 0.085D 25+/-4 Asker C 1.1M 2M 3mm</v>
      </c>
      <c r="H28">
        <v>2500</v>
      </c>
      <c r="I28">
        <v>55</v>
      </c>
      <c r="J28">
        <v>55</v>
      </c>
      <c r="K28" t="str">
        <v>ADIDAS</v>
      </c>
      <c r="L28" t="str">
        <v>Forecast</v>
      </c>
      <c r="M28" t="str">
        <v>SPLITTING</v>
      </c>
      <c r="Q28">
        <v>46175</v>
      </c>
    </row>
    <row r="30">
      <c r="A30" t="str">
        <v>F-2026-05-358</v>
      </c>
      <c r="B30" t="str">
        <v>FPRO-260526-0001</v>
      </c>
      <c r="C30" t="str">
        <v>30/5</v>
      </c>
      <c r="D30" t="str">
        <v>Firm plan 26/5</v>
      </c>
      <c r="E30" t="str">
        <v>BDB-000181</v>
      </c>
      <c r="F30" t="str">
        <v>PVN-003238</v>
      </c>
      <c r="G30" t="str">
        <v>OrthoLite Eco LT-Hybrid-Converse SEEDPEARL/12-0703TPX Hybrid 0.11D 25+/-4 Asker C 1.1M 2M 5mm</v>
      </c>
      <c r="H30">
        <v>187</v>
      </c>
      <c r="I30">
        <v>7</v>
      </c>
      <c r="J30">
        <v>7</v>
      </c>
      <c r="K30" t="str">
        <v>CONVERSE</v>
      </c>
      <c r="L30" t="str">
        <v>Forecast</v>
      </c>
      <c r="M30" t="str">
        <v>DIE CUT</v>
      </c>
      <c r="N30">
        <v>25</v>
      </c>
      <c r="Q30">
        <v>46177</v>
      </c>
    </row>
    <row r="31">
      <c r="A31" t="str">
        <v>F-2026-05-359</v>
      </c>
      <c r="B31" t="str">
        <v>FPRO-260526-0002</v>
      </c>
      <c r="C31" t="str">
        <v>30/5</v>
      </c>
      <c r="D31" t="str">
        <v>Firm plan 26/5</v>
      </c>
      <c r="E31" t="str">
        <v>BDB-000181</v>
      </c>
      <c r="F31" t="str">
        <v>PVN-003238</v>
      </c>
      <c r="G31" t="str">
        <v>OrthoLite Eco LT-Hybrid-Converse SEEDPEARL/12-0703TPX Hybrid 0.11D 25+/-4 Asker C 1.1M 2M 5mm</v>
      </c>
      <c r="H31">
        <v>488</v>
      </c>
      <c r="I31">
        <v>18</v>
      </c>
      <c r="J31">
        <v>18</v>
      </c>
      <c r="K31" t="str">
        <v>CONVERSE</v>
      </c>
      <c r="L31" t="str">
        <v>Forecast</v>
      </c>
      <c r="M31" t="str">
        <v>DIE CUT</v>
      </c>
      <c r="Q31">
        <v>46177</v>
      </c>
    </row>
    <row r="33">
      <c r="A33" t="str">
        <v>F-2026-05-361</v>
      </c>
      <c r="B33" t="str">
        <v>FPRO-260526-0004</v>
      </c>
      <c r="C33" t="str">
        <v>30/5-1/6</v>
      </c>
      <c r="D33" t="str">
        <v>Firm plan 26/5</v>
      </c>
      <c r="E33" t="str">
        <v>BDB-000180</v>
      </c>
      <c r="F33" t="str">
        <v>PVN-003236</v>
      </c>
      <c r="G33" t="str">
        <v>OrthoLite Eco LT-Hybrid-Converse SEEDPEARL/12-0703TPX Hybrid 0.13D 25+/-4 Asker C 1.1M 2M 5mm</v>
      </c>
      <c r="H33">
        <v>1364</v>
      </c>
      <c r="I33">
        <v>49</v>
      </c>
      <c r="J33">
        <v>49</v>
      </c>
      <c r="K33" t="str">
        <v>CONVERSE</v>
      </c>
      <c r="L33" t="str">
        <v>Forecast</v>
      </c>
      <c r="M33" t="str">
        <v>DIE CUT</v>
      </c>
      <c r="N33">
        <v>49</v>
      </c>
      <c r="Q33">
        <v>46177</v>
      </c>
    </row>
    <row r="34">
      <c r="G34" t="str">
        <v>RELEASE ĐỢT 2</v>
      </c>
    </row>
    <row r="35">
      <c r="H35">
        <v>46175</v>
      </c>
      <c r="I35">
        <v>1607</v>
      </c>
      <c r="J35">
        <v>1607</v>
      </c>
      <c r="N35">
        <v>1324</v>
      </c>
      <c r="O35">
        <v>33</v>
      </c>
    </row>
    <row r="36">
      <c r="A36" t="str">
        <v>Máy 3</v>
      </c>
      <c r="G36" t="str">
        <v>25/5-30/5</v>
      </c>
    </row>
    <row r="37">
      <c r="A37" t="str">
        <v>F-2026-04-422</v>
      </c>
      <c r="B37" t="str">
        <v>FPRO-260429-0035</v>
      </c>
      <c r="C37" t="str">
        <v>28/5</v>
      </c>
      <c r="D37" t="str">
        <v>Firm plan 29.04</v>
      </c>
      <c r="E37" t="str">
        <v>BDB-000164</v>
      </c>
      <c r="F37" t="str">
        <v>PVN-001618</v>
      </c>
      <c r="G37" t="str">
        <v>OrthoLite Ultra-Nike GREY/17-1501TPX 0.085D 25+/-4 Asker C 1.1M 2M 4mm</v>
      </c>
      <c r="H37">
        <v>500</v>
      </c>
      <c r="I37">
        <v>15</v>
      </c>
      <c r="J37">
        <v>15</v>
      </c>
      <c r="K37" t="str">
        <v>NIKE</v>
      </c>
      <c r="L37" t="str">
        <v>Forecast</v>
      </c>
      <c r="M37" t="str">
        <v>DIE CUT</v>
      </c>
      <c r="N37">
        <v>15</v>
      </c>
      <c r="Q37">
        <v>46172</v>
      </c>
    </row>
    <row r="39">
      <c r="A39" t="str">
        <v>F-2026-03-479</v>
      </c>
      <c r="B39" t="str">
        <v>FPRO-260324-0051</v>
      </c>
      <c r="C39" t="str">
        <v>28/5</v>
      </c>
      <c r="D39" t="str">
        <v>Firm plan 24.3</v>
      </c>
      <c r="E39" t="str">
        <v>BDB-000163</v>
      </c>
      <c r="F39" t="str">
        <v>PVN-001556</v>
      </c>
      <c r="G39" t="str">
        <v>OrthoLite Ultra-Nike YELLOW/13-0858TPX 0.085D 25+/-4 Asker C 1.1M 2M 4mm</v>
      </c>
      <c r="H39">
        <v>1500</v>
      </c>
      <c r="I39">
        <v>43</v>
      </c>
      <c r="J39">
        <v>43</v>
      </c>
      <c r="K39" t="str">
        <v>NIKE</v>
      </c>
      <c r="L39" t="str">
        <v>Forecast</v>
      </c>
      <c r="M39" t="str">
        <v>DIE CUT</v>
      </c>
      <c r="N39">
        <v>48</v>
      </c>
      <c r="Q39">
        <v>46172</v>
      </c>
    </row>
    <row r="40">
      <c r="A40" t="str">
        <v>F-2026-04-449</v>
      </c>
      <c r="B40" t="str">
        <v>FPRO-260429-0062</v>
      </c>
      <c r="C40" t="str">
        <v>28/5</v>
      </c>
      <c r="D40" t="str">
        <v>Firm plan 29.04</v>
      </c>
      <c r="E40" t="str">
        <v>BDB-000163</v>
      </c>
      <c r="F40" t="str">
        <v>PVN-001556</v>
      </c>
      <c r="G40" t="str">
        <v>OrthoLite Ultra-Nike YELLOW/13-0858TPX 0.085D 25+/-4 Asker C 1.1M 2M 4mm</v>
      </c>
      <c r="H40">
        <v>150</v>
      </c>
      <c r="I40">
        <v>5</v>
      </c>
      <c r="J40">
        <v>5</v>
      </c>
      <c r="K40" t="str">
        <v>NIKE</v>
      </c>
      <c r="L40" t="str">
        <v>Forecast</v>
      </c>
      <c r="M40" t="str">
        <v>DIE CUT</v>
      </c>
      <c r="Q40">
        <v>46175</v>
      </c>
    </row>
    <row r="42">
      <c r="A42" t="str">
        <v>F-2026-05-343</v>
      </c>
      <c r="B42" t="str">
        <v>RPRO-260525-0369</v>
      </c>
      <c r="C42" t="str">
        <v>28/5</v>
      </c>
      <c r="D42" t="str">
        <v>Pro.sche.report 22.05+23.05+24.05</v>
      </c>
      <c r="E42" t="str">
        <v>BDB-000011</v>
      </c>
      <c r="F42" t="str">
        <v>PVN-000121</v>
      </c>
      <c r="G42" t="str">
        <v>OrthoLite Regular AIR BLUE/16-4134TPX Flat Sheet 0.13D 35+/-4 Asker C 1.1M 2M 12mm</v>
      </c>
      <c r="H42">
        <v>22</v>
      </c>
      <c r="I42">
        <v>2</v>
      </c>
      <c r="J42">
        <v>2</v>
      </c>
      <c r="K42" t="str">
        <v>ASICS</v>
      </c>
      <c r="L42" t="str">
        <v>Pr.Sch.R</v>
      </c>
      <c r="M42" t="str">
        <v>MOLDED</v>
      </c>
      <c r="N42">
        <v>46</v>
      </c>
      <c r="Q42">
        <v>46172</v>
      </c>
    </row>
    <row r="43">
      <c r="A43" t="str">
        <v>F-2026-01-483-2</v>
      </c>
      <c r="B43" t="str">
        <v>FPRO-260521-0011</v>
      </c>
      <c r="C43" t="str">
        <v>28/5</v>
      </c>
      <c r="D43" t="str">
        <v>Firm plan 30.01</v>
      </c>
      <c r="E43" t="str">
        <v>BDB-000011</v>
      </c>
      <c r="F43" t="str">
        <v>PVN-000242</v>
      </c>
      <c r="G43" t="str">
        <v>OrthoLite Regular AIR BLUE/16-4134TPX Flat Sheet 0.13D 35+/-4 Asker C 1.1M 2M 2mm</v>
      </c>
      <c r="H43">
        <v>500</v>
      </c>
      <c r="I43">
        <v>8</v>
      </c>
      <c r="J43">
        <v>8</v>
      </c>
      <c r="K43" t="str">
        <v>ASICS</v>
      </c>
      <c r="L43" t="str">
        <v>Forecast</v>
      </c>
      <c r="M43" t="str">
        <v>SPLITTING</v>
      </c>
      <c r="Q43">
        <v>46175</v>
      </c>
    </row>
    <row r="44">
      <c r="A44" t="str">
        <v>F-2026-04-233</v>
      </c>
      <c r="B44" t="str">
        <v>FPRO-260416-0018</v>
      </c>
      <c r="C44" t="str">
        <v>28/5-29/5</v>
      </c>
      <c r="D44" t="str">
        <v>Firm plan 16.4</v>
      </c>
      <c r="E44" t="str">
        <v>BDB-000011</v>
      </c>
      <c r="F44" t="str">
        <v>PVN-000258</v>
      </c>
      <c r="G44" t="str">
        <v>OrthoLite Regular AIR BLUE/16-4134TPX Flat Sheet 0.13D 35+/-4 Asker C 1.1M 2M 2.5mm</v>
      </c>
      <c r="H44">
        <v>2000</v>
      </c>
      <c r="I44">
        <v>36</v>
      </c>
      <c r="J44">
        <v>36</v>
      </c>
      <c r="K44" t="str">
        <v>ASICS</v>
      </c>
      <c r="L44" t="str">
        <v>Forecast</v>
      </c>
      <c r="M44" t="str">
        <v>SPLITTING</v>
      </c>
      <c r="Q44">
        <v>46176</v>
      </c>
    </row>
    <row r="46">
      <c r="A46" t="str">
        <v>F-2026-04-418</v>
      </c>
      <c r="B46" t="str">
        <v>FPRO-260429-0031</v>
      </c>
      <c r="C46" t="str">
        <v>29/5</v>
      </c>
      <c r="D46" t="str">
        <v>Firm plan 29.04</v>
      </c>
      <c r="E46" t="str">
        <v>BDB-000162</v>
      </c>
      <c r="F46" t="str">
        <v>PVN-001566</v>
      </c>
      <c r="G46" t="str">
        <v>OrthoLite Ultra-Nike SEEDPEARL/12-0703TPX 0.085D 25+/-4 Asker C 1.1M 2M 4mm</v>
      </c>
      <c r="H46">
        <v>500</v>
      </c>
      <c r="I46">
        <v>15</v>
      </c>
      <c r="J46">
        <v>15</v>
      </c>
      <c r="K46" t="str">
        <v>NIKE</v>
      </c>
      <c r="L46" t="str">
        <v>Forecast</v>
      </c>
      <c r="M46" t="str">
        <v>DIE CUT</v>
      </c>
      <c r="N46">
        <v>15</v>
      </c>
      <c r="Q46">
        <v>46174</v>
      </c>
    </row>
    <row r="48">
      <c r="A48" t="str">
        <v>F-2026-04-428</v>
      </c>
      <c r="B48" t="str">
        <v>FPRO-260429-0041</v>
      </c>
      <c r="C48" t="str">
        <v>29/5</v>
      </c>
      <c r="D48" t="str">
        <v>Firm plan 29.04</v>
      </c>
      <c r="E48" t="str">
        <v>BDB-000125</v>
      </c>
      <c r="F48" t="str">
        <v>PVN-002413</v>
      </c>
      <c r="G48" t="str">
        <v>OrthoLite Regular-Nike AIR BLUE/16-4134TPX 0.11D 25+/-4 Asker C 1.1M 2M 4.2mm</v>
      </c>
      <c r="H48">
        <v>2000</v>
      </c>
      <c r="I48">
        <v>61</v>
      </c>
      <c r="J48">
        <v>61</v>
      </c>
      <c r="K48" t="str">
        <v>NIKE</v>
      </c>
      <c r="L48" t="str">
        <v>Forecast</v>
      </c>
      <c r="M48" t="str">
        <v>DIE CUT</v>
      </c>
      <c r="N48">
        <v>61</v>
      </c>
      <c r="Q48">
        <v>46175</v>
      </c>
    </row>
    <row r="50">
      <c r="A50" t="str">
        <v>F-2026-05-339</v>
      </c>
      <c r="B50" t="str">
        <v>RPRO-260525-0365</v>
      </c>
      <c r="C50" t="str">
        <v>29/5</v>
      </c>
      <c r="D50" t="str">
        <v>MPS 22.05+23.05+24.05</v>
      </c>
      <c r="E50" t="str">
        <v>BDB-000085</v>
      </c>
      <c r="F50" t="str">
        <v>PVN-001091</v>
      </c>
      <c r="G50" t="str">
        <v>OrthoLite Eco LT GREY/17-1501TPX Flat Sheet 0.11D 25+/-4 Asker C 1.1M 2M 4mm</v>
      </c>
      <c r="H50">
        <v>35</v>
      </c>
      <c r="I50">
        <v>1</v>
      </c>
      <c r="J50">
        <v>1</v>
      </c>
      <c r="L50" t="str">
        <v>MPS</v>
      </c>
      <c r="M50" t="str">
        <v>SPLITTING</v>
      </c>
      <c r="N50">
        <v>1</v>
      </c>
      <c r="Q50">
        <v>46175</v>
      </c>
    </row>
    <row r="52">
      <c r="A52" t="str">
        <v>F-2026-05-353</v>
      </c>
      <c r="B52" t="str">
        <v>RPRO-260526-0386</v>
      </c>
      <c r="C52" t="str">
        <v>29/5</v>
      </c>
      <c r="D52" t="str">
        <v>Pro.sche.report 25.05</v>
      </c>
      <c r="E52" t="str">
        <v>BDB-000058</v>
      </c>
      <c r="F52" t="str">
        <v>PVN-001319</v>
      </c>
      <c r="G52" t="str">
        <v>OrthoLite Ultra GREEN/16-5932TPX Flat Sheet 0.085D 25+/-4 Asker C 1.1M 2M 5mm</v>
      </c>
      <c r="H52">
        <v>924</v>
      </c>
      <c r="I52">
        <v>33</v>
      </c>
      <c r="J52">
        <v>33</v>
      </c>
      <c r="K52" t="str">
        <v>NEW BALANCE</v>
      </c>
      <c r="L52" t="str">
        <v>Pro. Schedule</v>
      </c>
      <c r="M52" t="str">
        <v>DIE CUT</v>
      </c>
      <c r="N52">
        <v>33</v>
      </c>
      <c r="Q52">
        <v>46175</v>
      </c>
    </row>
    <row r="54">
      <c r="A54" t="str">
        <v>F-2026-03-386</v>
      </c>
      <c r="B54" t="str">
        <v>FPRO-260318-0030</v>
      </c>
      <c r="C54" t="str">
        <v>29/5-30/5</v>
      </c>
      <c r="D54" t="str">
        <v>Firm plan 18.3</v>
      </c>
      <c r="E54" t="str">
        <v>BDB-000234</v>
      </c>
      <c r="F54" t="str">
        <v>PVN-003581</v>
      </c>
      <c r="G54" t="str">
        <v>OrthoLite X-30-Hybrid BROWN SUGAR/17-1134TPX Hybrid Flat Sheet 0.13D 25+/-4 Asker C 1.1M 2M 12mm</v>
      </c>
      <c r="H54">
        <v>1000</v>
      </c>
      <c r="I54">
        <v>87</v>
      </c>
      <c r="J54">
        <v>87</v>
      </c>
      <c r="K54" t="str">
        <v>ASICS</v>
      </c>
      <c r="L54" t="str">
        <v>Forecast</v>
      </c>
      <c r="M54" t="str">
        <v>MOLDED</v>
      </c>
      <c r="N54">
        <v>87</v>
      </c>
      <c r="Q54">
        <v>46175</v>
      </c>
    </row>
    <row r="56">
      <c r="A56" t="str">
        <v>F-2026-05-360</v>
      </c>
      <c r="B56" t="str">
        <v>FPRO-260526-0003</v>
      </c>
      <c r="C56" t="str">
        <v>30/5</v>
      </c>
      <c r="D56" t="str">
        <v>Firm plan 26/5</v>
      </c>
      <c r="E56" t="str">
        <v>BDB-000226</v>
      </c>
      <c r="F56" t="str">
        <v>PVN-003517</v>
      </c>
      <c r="G56" t="str">
        <v>OrthoLite Regular GREY/17-1501TPX Flat Sheet 0.16D 51+/-4 Asker C 1.1M 1.7M 12mm</v>
      </c>
      <c r="H56">
        <v>283</v>
      </c>
      <c r="I56">
        <v>26</v>
      </c>
      <c r="J56">
        <v>26</v>
      </c>
      <c r="K56" t="str">
        <v>CONVERSE</v>
      </c>
      <c r="L56" t="str">
        <v>Forecast</v>
      </c>
      <c r="M56" t="str">
        <v>DIE CUT</v>
      </c>
      <c r="N56">
        <v>26</v>
      </c>
      <c r="Q56">
        <v>46177</v>
      </c>
    </row>
    <row r="57">
      <c r="G57" t="str">
        <v>RELEASE ĐỢT 2</v>
      </c>
    </row>
    <row r="58">
      <c r="H58">
        <v>30207</v>
      </c>
      <c r="I58">
        <v>1002</v>
      </c>
      <c r="J58">
        <v>1002</v>
      </c>
      <c r="N58">
        <v>951</v>
      </c>
      <c r="O58">
        <v>-73</v>
      </c>
    </row>
  </sheetData>
  <autoFilter ref="A2:Q104"/>
  <pageMargins left="0" right="0" top="0" bottom="0.25" header="0" footer="0"/>
  <ignoredErrors>
    <ignoredError numberStoredAsText="1" sqref="A1:U8509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R8435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23 - L1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màu red của footjoy chạy  (CHẠY 16D, 35C)-PVN-003797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C3">
        <v>0</v>
      </c>
      <c r="G3" t="str">
        <v>1/6-6/6</v>
      </c>
    </row>
    <row r="4">
      <c r="A4" t="str">
        <v>F-2026-04-446</v>
      </c>
      <c r="B4" t="str">
        <v>FPRO-260429-0059</v>
      </c>
      <c r="C4" t="str">
        <v>1/6</v>
      </c>
      <c r="D4" t="str">
        <v>Firm plan 29.04</v>
      </c>
      <c r="E4" t="str">
        <v>BDB-000157</v>
      </c>
      <c r="F4" t="str">
        <v>PVN-003573</v>
      </c>
      <c r="G4" t="str">
        <v>OrthoLite X-35-Hybrid-Nike SEEDPEARL/12-0703TPX Hybrid 0.145D 25+/-4 Asker C 1.1M 2M 4.2mm</v>
      </c>
      <c r="H4">
        <v>2000</v>
      </c>
      <c r="I4">
        <v>61</v>
      </c>
      <c r="J4">
        <v>61</v>
      </c>
      <c r="K4" t="str">
        <v>NIKE</v>
      </c>
      <c r="L4" t="str">
        <v>Forecast</v>
      </c>
      <c r="M4" t="str">
        <v>MOLDED</v>
      </c>
      <c r="N4">
        <v>57</v>
      </c>
      <c r="O4" t="str">
        <v>đơn cũ tuần 22</v>
      </c>
      <c r="P4">
        <v>57</v>
      </c>
      <c r="Q4">
        <v>46176</v>
      </c>
    </row>
    <row r="6">
      <c r="A6" t="str">
        <v>F-2026-04-230</v>
      </c>
      <c r="B6" t="str">
        <v>FPRO-260416-0015</v>
      </c>
      <c r="C6" t="str">
        <v>1/6</v>
      </c>
      <c r="D6" t="str">
        <v>Firm plan 16.4</v>
      </c>
      <c r="E6" t="str">
        <v>BDB-000113</v>
      </c>
      <c r="F6" t="str">
        <v>PVN-003414</v>
      </c>
      <c r="G6" t="str">
        <v>OrthoLite Regular-Hybrid SEEDPEARL/12-0703TPX Hybrid Flat Sheet 0.11D 25+/-4 Asker C 1.1M 2M 12mm</v>
      </c>
      <c r="H6">
        <v>2500</v>
      </c>
      <c r="I6">
        <v>218</v>
      </c>
      <c r="J6">
        <v>218</v>
      </c>
      <c r="K6" t="str">
        <v>ASICS</v>
      </c>
      <c r="L6" t="str">
        <v>Forecast</v>
      </c>
      <c r="M6" t="str">
        <v>MOLDED</v>
      </c>
      <c r="N6">
        <v>193</v>
      </c>
      <c r="O6" t="str">
        <v>đơn cũ tuần 22</v>
      </c>
      <c r="P6">
        <v>103</v>
      </c>
      <c r="Q6">
        <v>46176</v>
      </c>
    </row>
    <row r="7">
      <c r="A7" t="str">
        <v>F-2026-04-248</v>
      </c>
      <c r="B7" t="str">
        <v>FPRO-260416-0033</v>
      </c>
      <c r="C7" t="str">
        <v>1/6-2/6</v>
      </c>
      <c r="D7" t="str">
        <v>Firm plan 16.4</v>
      </c>
      <c r="E7" t="str">
        <v>BDB-000113</v>
      </c>
      <c r="F7" t="str">
        <v>PVN-002465</v>
      </c>
      <c r="G7" t="str">
        <v>OrthoLite Regular-Hybrid SEEDPEARL/12-0703TPX Hybrid Flat Sheet 0.11D 25+/-4 Asker C 1.1M 2M 5mm</v>
      </c>
      <c r="H7">
        <v>2500</v>
      </c>
      <c r="I7">
        <v>90</v>
      </c>
      <c r="J7">
        <v>90</v>
      </c>
      <c r="K7" t="str">
        <v>ASICS</v>
      </c>
      <c r="L7" t="str">
        <v>Forecast</v>
      </c>
      <c r="M7" t="str">
        <v>DIE CUT</v>
      </c>
      <c r="O7" t="str">
        <v>đơn cũ tuần 22</v>
      </c>
      <c r="P7">
        <v>90</v>
      </c>
      <c r="Q7">
        <v>46176</v>
      </c>
    </row>
    <row r="9">
      <c r="A9" t="str">
        <v>F-2026-05-452</v>
      </c>
      <c r="B9" t="str">
        <v>RPRO-260529-0224</v>
      </c>
      <c r="C9" t="str">
        <v>2/6</v>
      </c>
      <c r="D9" t="str">
        <v>Pro.sche.report 26.05+27.05</v>
      </c>
      <c r="E9" t="str">
        <v>BDB-000273</v>
      </c>
      <c r="F9" t="str">
        <v>PVN-004138</v>
      </c>
      <c r="G9" t="str">
        <v>OrthoLite X-40-Hybrid SEEDPEARL/12-0703TPX Hybrid Flat Sheet 0.16D 25+/-4 Asker C 1.1M 2M 5.5mm</v>
      </c>
      <c r="H9">
        <v>25</v>
      </c>
      <c r="I9">
        <v>1</v>
      </c>
      <c r="J9">
        <v>1</v>
      </c>
      <c r="K9" t="str">
        <v>ON RUNNING</v>
      </c>
      <c r="L9" t="str">
        <v>Pro. Schedule</v>
      </c>
      <c r="M9" t="str">
        <v>MOLDED</v>
      </c>
      <c r="N9">
        <v>1</v>
      </c>
      <c r="P9" t="str">
        <v xml:space="preserve">gấp </v>
      </c>
      <c r="Q9">
        <v>46176</v>
      </c>
    </row>
    <row r="11">
      <c r="A11" t="str">
        <v>F-2026-05-341</v>
      </c>
      <c r="B11" t="str">
        <v>RPRO-260525-0367</v>
      </c>
      <c r="C11" t="str">
        <v>2/6</v>
      </c>
      <c r="D11" t="str">
        <v>MPS 22.05+23.05+24.05</v>
      </c>
      <c r="E11" t="str">
        <v>BDB-000077</v>
      </c>
      <c r="F11" t="str">
        <v>PVN-003478</v>
      </c>
      <c r="G11" t="str">
        <v>Ortholite X-25 SEEDPEARL/12-0703TPX Flat Sheet 0.12D 20+/-4 Asker C 1.1M 2M 4mm</v>
      </c>
      <c r="H11">
        <v>140</v>
      </c>
      <c r="I11">
        <v>4</v>
      </c>
      <c r="J11">
        <v>4</v>
      </c>
      <c r="L11" t="str">
        <v>MPS</v>
      </c>
      <c r="M11" t="str">
        <v>SPLITTING</v>
      </c>
      <c r="N11">
        <v>4</v>
      </c>
      <c r="P11" t="str">
        <v xml:space="preserve">gấp </v>
      </c>
      <c r="Q11">
        <v>46176</v>
      </c>
    </row>
    <row r="13">
      <c r="A13" t="str">
        <v>F-2026-04-241-2</v>
      </c>
      <c r="B13" t="str">
        <v>FPRO-260518-0003</v>
      </c>
      <c r="C13" t="str">
        <v>2/6</v>
      </c>
      <c r="D13" t="str">
        <v>Firm plan 16.4</v>
      </c>
      <c r="E13" t="str">
        <v>BDB-000235</v>
      </c>
      <c r="F13" t="str">
        <v>PVN-003576</v>
      </c>
      <c r="G13" t="str">
        <v>OrthoLite X-55-Hybrid FOSSIL/17-0909TPX Hybrid Flat Sheet 0.16D 25+/-4 Asker C 1.1M 1.7M 12mm</v>
      </c>
      <c r="H13">
        <v>1000</v>
      </c>
      <c r="I13">
        <v>87</v>
      </c>
      <c r="J13">
        <v>87</v>
      </c>
      <c r="K13" t="str">
        <v>ASICS</v>
      </c>
      <c r="L13" t="str">
        <v>Forecast</v>
      </c>
      <c r="M13" t="str">
        <v>MOLDED</v>
      </c>
      <c r="N13">
        <v>253</v>
      </c>
      <c r="O13" t="str">
        <v xml:space="preserve">W22 đổ dư 8 bun </v>
      </c>
      <c r="P13" t="str">
        <v xml:space="preserve">gấp </v>
      </c>
      <c r="Q13">
        <v>46176</v>
      </c>
    </row>
    <row r="14">
      <c r="A14" t="str">
        <v>F-2026-04-240</v>
      </c>
      <c r="B14" t="str">
        <v>FPRO-260416-0025</v>
      </c>
      <c r="C14" t="str">
        <v>2/6-3/6</v>
      </c>
      <c r="D14" t="str">
        <v>Firm plan 16.4</v>
      </c>
      <c r="E14" t="str">
        <v>BDB-000235</v>
      </c>
      <c r="F14" t="str">
        <v>PVN-003576</v>
      </c>
      <c r="G14" t="str">
        <v>OrthoLite X-55-Hybrid FOSSIL/17-0909TPX Hybrid Flat Sheet 0.16D 25+/-4 Asker C 1.1M 1.7M 12mm</v>
      </c>
      <c r="H14">
        <v>2000</v>
      </c>
      <c r="I14">
        <v>174</v>
      </c>
      <c r="J14">
        <v>174</v>
      </c>
      <c r="K14" t="str">
        <v>ASICS</v>
      </c>
      <c r="L14" t="str">
        <v>Forecast</v>
      </c>
      <c r="M14" t="str">
        <v>MOLDED</v>
      </c>
      <c r="N14" t="str">
        <v>261-8</v>
      </c>
      <c r="Q14">
        <v>46179</v>
      </c>
    </row>
    <row r="16">
      <c r="A16" t="str">
        <v>F-2026-05-465</v>
      </c>
      <c r="B16" t="str">
        <v>RPRO-260529-0237</v>
      </c>
      <c r="C16" t="str">
        <v>3/6</v>
      </c>
      <c r="D16" t="str">
        <v>Pro.sche.report 26.05+27.05</v>
      </c>
      <c r="E16" t="str">
        <v>BDB-000340</v>
      </c>
      <c r="F16" t="str">
        <v>PVN-004177</v>
      </c>
      <c r="G16" t="str">
        <v>OrthoLite Float SEEDPEARL/12-0703TPX Flat Sheet 0.12D 21+/-4 Asker C 1.1M 2M 5.5mm</v>
      </c>
      <c r="H16">
        <v>25</v>
      </c>
      <c r="I16">
        <v>1</v>
      </c>
      <c r="J16">
        <v>1</v>
      </c>
      <c r="K16" t="str">
        <v>ON RUNNING</v>
      </c>
      <c r="L16" t="str">
        <v>Pro. Schedule</v>
      </c>
      <c r="M16" t="str">
        <v>MOLDED</v>
      </c>
      <c r="N16">
        <v>1</v>
      </c>
      <c r="Q16">
        <v>46177</v>
      </c>
    </row>
    <row r="18">
      <c r="A18" t="str">
        <v>F-2026-05-442</v>
      </c>
      <c r="B18" t="str">
        <v>RPRO-260529-0214</v>
      </c>
      <c r="C18" t="str">
        <v>3/6</v>
      </c>
      <c r="D18" t="str">
        <v>Pro.sche.report 26.05+27.05</v>
      </c>
      <c r="E18" t="str">
        <v>BDB-000076</v>
      </c>
      <c r="F18" t="str">
        <v>PVN-003448</v>
      </c>
      <c r="G18" t="str">
        <v>OrthoLite X-25 BILLIARD/16-5427TPX Flat Sheet 0.12D 20+/-4 Asker C 1.1M 2M 6.2mm</v>
      </c>
      <c r="H18">
        <v>198</v>
      </c>
      <c r="I18">
        <v>9</v>
      </c>
      <c r="J18">
        <v>9</v>
      </c>
      <c r="K18" t="str">
        <v>ADIDAS</v>
      </c>
      <c r="L18" t="str">
        <v>Pro. Schedule</v>
      </c>
      <c r="M18" t="str">
        <v>MOLDED</v>
      </c>
      <c r="N18">
        <v>9</v>
      </c>
      <c r="Q18">
        <v>46177</v>
      </c>
    </row>
    <row r="20">
      <c r="A20" t="str">
        <v>F-2026-05-461</v>
      </c>
      <c r="B20" t="str">
        <v>RPRO-260529-0233</v>
      </c>
      <c r="C20" t="str">
        <v>3/6</v>
      </c>
      <c r="D20" t="str">
        <v>Pro.sche.report 26.05+27.05</v>
      </c>
      <c r="E20" t="str">
        <v>BDB-000052</v>
      </c>
      <c r="F20" t="str">
        <v>PVN-003603</v>
      </c>
      <c r="G20" t="str">
        <v>OrthoLite X-40 TRUE BLUE/19-4057TPX Flat Sheet 0.16D 25+/-4 Asker C 1.1M 1.47M 12mm SLT</v>
      </c>
      <c r="H20">
        <v>24</v>
      </c>
      <c r="I20">
        <v>3</v>
      </c>
      <c r="J20">
        <v>3</v>
      </c>
      <c r="K20" t="str">
        <v>ASICS</v>
      </c>
      <c r="L20" t="str">
        <v>Pro. Schedule</v>
      </c>
      <c r="M20" t="str">
        <v>MOLDED</v>
      </c>
      <c r="N20">
        <v>3</v>
      </c>
      <c r="Q20">
        <v>46179</v>
      </c>
    </row>
    <row r="22">
      <c r="A22" t="str">
        <v>F-2026-05-438</v>
      </c>
      <c r="B22" t="str">
        <v>RPRO-260528-0646</v>
      </c>
      <c r="C22" t="str">
        <v>3/6</v>
      </c>
      <c r="D22" t="str">
        <v>Pro.sche.report 26.05+27.05</v>
      </c>
      <c r="E22" t="str">
        <v>BDB-000051</v>
      </c>
      <c r="F22" t="str">
        <v>PVN-003319</v>
      </c>
      <c r="G22" t="str">
        <v>OrthoLite X-40 TRUE BLUE/19-4057TPX Flat Sheet 0.16D 25+/-4 Asker C 1.1M 1.7M 12mm</v>
      </c>
      <c r="H22">
        <v>242</v>
      </c>
      <c r="I22">
        <v>22</v>
      </c>
      <c r="J22">
        <v>22</v>
      </c>
      <c r="K22" t="str">
        <v>ASICS</v>
      </c>
      <c r="L22" t="str">
        <v>Pro. Schedule</v>
      </c>
      <c r="M22" t="str">
        <v>MOLDED</v>
      </c>
      <c r="N22">
        <v>22</v>
      </c>
      <c r="Q22">
        <v>46177</v>
      </c>
    </row>
    <row r="24">
      <c r="A24" t="str">
        <v>F-2026-05-467</v>
      </c>
      <c r="B24" t="str">
        <v>RPRO-260529-0239</v>
      </c>
      <c r="C24" t="str">
        <v>3/6</v>
      </c>
      <c r="D24" t="str">
        <v>Pro.sche.report 26.05+27.05</v>
      </c>
      <c r="E24" t="str">
        <v>BDB-000319</v>
      </c>
      <c r="F24" t="str">
        <v>PVN-004081</v>
      </c>
      <c r="G24" t="str">
        <v>OrthoLite X-40-Hybrid-Nike SEEDPEARL/12-0703TPX Hybrid Flat Sheet 0.16D 25+/-4 Asker C 1.1M 2M 6mm</v>
      </c>
      <c r="H24">
        <v>437</v>
      </c>
      <c r="I24">
        <v>20</v>
      </c>
      <c r="J24">
        <v>20</v>
      </c>
      <c r="K24" t="str">
        <v>NIKE</v>
      </c>
      <c r="L24" t="str">
        <v>Pro. Schedule</v>
      </c>
      <c r="M24" t="str">
        <v>MOLDED</v>
      </c>
      <c r="N24">
        <v>20</v>
      </c>
      <c r="Q24">
        <v>46177</v>
      </c>
    </row>
    <row r="26">
      <c r="A26" t="str">
        <v>F-2026-02-307-2</v>
      </c>
      <c r="B26" t="str">
        <v>FPRO-260401-0009</v>
      </c>
      <c r="C26" t="str">
        <v>3/6</v>
      </c>
      <c r="D26" t="str">
        <v>Firm plan 12.02</v>
      </c>
      <c r="E26" t="str">
        <v>BDB-000259</v>
      </c>
      <c r="F26" t="str">
        <v>PVN-003684</v>
      </c>
      <c r="G26" t="str">
        <v>OrthoLite Nike PP002 GLACIER GRAY/14-4102TPX Flat Sheet 0.145D 25+/-4 asker C 1.1M 2M 4.2mm</v>
      </c>
      <c r="H26">
        <v>1200</v>
      </c>
      <c r="I26">
        <v>37</v>
      </c>
      <c r="J26">
        <v>37</v>
      </c>
      <c r="K26" t="str">
        <v>NIKE</v>
      </c>
      <c r="L26" t="str">
        <v>Forecast</v>
      </c>
      <c r="M26" t="str">
        <v>MOLDED</v>
      </c>
      <c r="N26">
        <v>37</v>
      </c>
      <c r="Q26">
        <v>46177</v>
      </c>
    </row>
    <row r="28">
      <c r="A28" t="str">
        <v>F-2026-05-354</v>
      </c>
      <c r="B28" t="str">
        <v>RPRO-260526-0387</v>
      </c>
      <c r="C28" t="str">
        <v>3/6</v>
      </c>
      <c r="D28" t="str">
        <v>Pro.sche.report 25.05</v>
      </c>
      <c r="E28" t="str">
        <v>BDB-000334</v>
      </c>
      <c r="F28" t="str">
        <v>PVN-004327</v>
      </c>
      <c r="G28" t="str">
        <v>OrthoLite X-55-Hybrid FOSSIL/17-0909TPX Hybrid Flat Sheet 0.16D 25+/-4 Asker C 1.1M 2M 6mm</v>
      </c>
      <c r="H28">
        <v>46</v>
      </c>
      <c r="I28">
        <v>2</v>
      </c>
      <c r="J28">
        <v>2</v>
      </c>
      <c r="K28" t="str">
        <v>ASICS</v>
      </c>
      <c r="L28" t="str">
        <v>Pro. Schedule</v>
      </c>
      <c r="M28" t="str">
        <v>MOLDED</v>
      </c>
      <c r="N28">
        <v>2</v>
      </c>
      <c r="Q28">
        <v>46179</v>
      </c>
    </row>
    <row r="30">
      <c r="A30" t="str">
        <v>F-2026-05-455</v>
      </c>
      <c r="B30" t="str">
        <v>RPRO-260529-0227</v>
      </c>
      <c r="C30" t="str">
        <v>3/6</v>
      </c>
      <c r="D30" t="str">
        <v>Pro.sche.report 26.05+27.05</v>
      </c>
      <c r="E30" t="str">
        <v>BDB-000117</v>
      </c>
      <c r="F30" t="str">
        <v>PVN-003148</v>
      </c>
      <c r="G30" t="str">
        <v>OrthoLite X-35-Hybrid SEEDPEARL/12-0703TPX Hybrid Flat Sheet 0.145D 25+/-4 Asker C 1.1M 2M 4.5mm</v>
      </c>
      <c r="H30">
        <v>93</v>
      </c>
      <c r="I30">
        <v>4</v>
      </c>
      <c r="J30">
        <v>4</v>
      </c>
      <c r="K30" t="str">
        <v>WILSON</v>
      </c>
      <c r="L30" t="str">
        <v>Pro. Schedule</v>
      </c>
      <c r="M30" t="str">
        <v>MOLDED</v>
      </c>
      <c r="N30">
        <v>4</v>
      </c>
      <c r="Q30">
        <v>46182</v>
      </c>
    </row>
    <row r="32">
      <c r="A32" t="str">
        <v>F-2026-05-436</v>
      </c>
      <c r="B32" t="str">
        <v>RPRO-260528-0644</v>
      </c>
      <c r="C32" t="str">
        <v>3/6</v>
      </c>
      <c r="D32" t="str">
        <v>MPS 26.05+27.05</v>
      </c>
      <c r="E32" t="str">
        <v>BDB-000154</v>
      </c>
      <c r="F32" t="str">
        <v>PVN-003347</v>
      </c>
      <c r="G32" t="str">
        <v>OrthoLite X-40-Nike TRUE BLUE/19-4057TPX Flat Sheet 0.16D 35+/-4 Asker C 1.1M 1.7M 4mm</v>
      </c>
      <c r="H32">
        <v>35</v>
      </c>
      <c r="I32">
        <v>1</v>
      </c>
      <c r="J32">
        <v>1</v>
      </c>
      <c r="L32" t="str">
        <v>MPS</v>
      </c>
      <c r="M32" t="str">
        <v>SPLITTING</v>
      </c>
      <c r="N32">
        <v>1</v>
      </c>
      <c r="Q32">
        <v>46182.55691550926</v>
      </c>
    </row>
    <row r="34">
      <c r="A34" t="str">
        <v>F-2026-05-347</v>
      </c>
      <c r="B34" t="str">
        <v>RPRO-260525-0373</v>
      </c>
      <c r="C34" t="str">
        <v>3/6</v>
      </c>
      <c r="D34" t="str">
        <v>Pro.sche.report 22.05+23.05+24.05</v>
      </c>
      <c r="E34" t="str">
        <v>BDB-000336</v>
      </c>
      <c r="F34" t="str">
        <v>PVN-004168</v>
      </c>
      <c r="G34" t="str">
        <v>OrthoLite X-40-Nike SEEDPEARL/12-0703TPX Flat Sheet 0.16D 35+/-4 Asker C 1.1M 2M 4.5mm</v>
      </c>
      <c r="H34">
        <v>124</v>
      </c>
      <c r="I34">
        <v>5</v>
      </c>
      <c r="J34">
        <v>5</v>
      </c>
      <c r="K34" t="str">
        <v>NIKE</v>
      </c>
      <c r="L34" t="str">
        <v>Pr.Sch.R</v>
      </c>
      <c r="M34" t="str">
        <v>MOLDED</v>
      </c>
      <c r="N34">
        <v>5</v>
      </c>
      <c r="Q34">
        <v>46179</v>
      </c>
    </row>
    <row r="36">
      <c r="A36" t="str">
        <v>F-2026-02-374-2</v>
      </c>
      <c r="B36" t="str">
        <v>FPRO-260327-0009</v>
      </c>
      <c r="C36" t="str">
        <v>3/6</v>
      </c>
      <c r="D36" t="str">
        <v>Firm plan 27.02</v>
      </c>
      <c r="E36" t="str">
        <v>BDB-000347</v>
      </c>
      <c r="F36" t="str">
        <v>PVN-004192</v>
      </c>
      <c r="G36" t="str">
        <v>OrthoLite X-55-Hybrid SEEDPEARL/12-0703TPX Hybrid 0.16D 25+/-4 Asker C 1.1M 2M 12mm</v>
      </c>
      <c r="H36">
        <v>600</v>
      </c>
      <c r="I36">
        <v>55</v>
      </c>
      <c r="J36">
        <v>55</v>
      </c>
      <c r="K36" t="str">
        <v>BROOKS</v>
      </c>
      <c r="L36" t="str">
        <v>Forecast</v>
      </c>
      <c r="M36" t="str">
        <v>MOLDED</v>
      </c>
      <c r="N36">
        <v>55</v>
      </c>
      <c r="Q36">
        <v>46179</v>
      </c>
    </row>
    <row r="38">
      <c r="A38" t="str">
        <v>F-2026-04-429</v>
      </c>
      <c r="B38" t="str">
        <v>FPRO-260429-0042</v>
      </c>
      <c r="C38" t="str">
        <v>3/6</v>
      </c>
      <c r="D38" t="str">
        <v>Firm plan 29.04</v>
      </c>
      <c r="E38" t="str">
        <v>BDB-000125</v>
      </c>
      <c r="F38" t="str">
        <v>PVN-002413</v>
      </c>
      <c r="G38" t="str">
        <v>OrthoLite Regular-Nike AIR BLUE/16-4134TPX 0.11D 25+/-4 Asker C 1.1M 2M 4.2mm</v>
      </c>
      <c r="H38">
        <v>2000</v>
      </c>
      <c r="I38">
        <v>61</v>
      </c>
      <c r="J38">
        <v>61</v>
      </c>
      <c r="K38" t="str">
        <v>NIKE</v>
      </c>
      <c r="L38" t="str">
        <v>Forecast</v>
      </c>
      <c r="M38" t="str">
        <v>DIE CUT</v>
      </c>
      <c r="N38">
        <v>122</v>
      </c>
      <c r="O38" t="str">
        <v xml:space="preserve">W22 đổ dư 10 bun </v>
      </c>
      <c r="Q38">
        <v>46179</v>
      </c>
    </row>
    <row r="39">
      <c r="A39" t="str">
        <v>F-2026-04-430</v>
      </c>
      <c r="B39" t="str">
        <v>FPRO-260429-0043</v>
      </c>
      <c r="C39" t="str">
        <v>3/6</v>
      </c>
      <c r="D39" t="str">
        <v>Firm plan 29.04</v>
      </c>
      <c r="E39" t="str">
        <v>BDB-000125</v>
      </c>
      <c r="F39" t="str">
        <v>PVN-002413</v>
      </c>
      <c r="G39" t="str">
        <v>OrthoLite Regular-Nike AIR BLUE/16-4134TPX 0.11D 25+/-4 Asker C 1.1M 2M 4.2mm</v>
      </c>
      <c r="H39">
        <v>2000</v>
      </c>
      <c r="I39">
        <v>61</v>
      </c>
      <c r="J39">
        <v>61</v>
      </c>
      <c r="K39" t="str">
        <v>NIKE</v>
      </c>
      <c r="L39" t="str">
        <v>Forecast</v>
      </c>
      <c r="M39" t="str">
        <v>DIE CUT</v>
      </c>
      <c r="Q39">
        <v>46182</v>
      </c>
    </row>
    <row r="41">
      <c r="A41" t="str">
        <v>F-2026-05-443</v>
      </c>
      <c r="B41" t="str">
        <v>RPRO-260529-0215</v>
      </c>
      <c r="C41" t="str">
        <v>3/6</v>
      </c>
      <c r="D41" t="str">
        <v>Pro.sche.report 26.05+27.05</v>
      </c>
      <c r="E41" t="str">
        <v>BDB-000229</v>
      </c>
      <c r="F41" t="str">
        <v>PVN-003692</v>
      </c>
      <c r="G41" t="str">
        <v>OrthoLite Ultra-Hybrid SEEDPEARL/12-0703TPX Hybrid Flat Sheet 0.095D 33+/-4 Asker C 1.1M 2M 15.5mm</v>
      </c>
      <c r="H41">
        <v>160</v>
      </c>
      <c r="I41">
        <v>20</v>
      </c>
      <c r="J41">
        <v>20</v>
      </c>
      <c r="K41" t="str">
        <v>GARMONT</v>
      </c>
      <c r="L41" t="str">
        <v>Pro. Schedule</v>
      </c>
      <c r="M41" t="str">
        <v>MOLDED</v>
      </c>
      <c r="N41">
        <v>20</v>
      </c>
      <c r="Q41">
        <v>46182</v>
      </c>
    </row>
    <row r="43">
      <c r="A43" t="str">
        <v>F-2026-05-451</v>
      </c>
      <c r="B43" t="str">
        <v>RPRO-260529-0223</v>
      </c>
      <c r="C43" t="str">
        <v>3/6-4/6</v>
      </c>
      <c r="D43" t="str">
        <v>Pro.sche.report 26.05+27.05</v>
      </c>
      <c r="E43" t="str">
        <v>BDB-000373</v>
      </c>
      <c r="F43" t="str">
        <v>PVN-004315</v>
      </c>
      <c r="G43" t="str">
        <v>OrthoLite X-25-Nike BILLIARD/16-5427TPX Flat Sheet 0.12D 20+/-4 Asker C 1.1M 2M 5mm</v>
      </c>
      <c r="H43">
        <v>812</v>
      </c>
      <c r="I43">
        <v>29</v>
      </c>
      <c r="J43">
        <v>29</v>
      </c>
      <c r="K43" t="str">
        <v>NIKE</v>
      </c>
      <c r="L43" t="str">
        <v>Pro. Schedule</v>
      </c>
      <c r="M43" t="str">
        <v>DIE CUT</v>
      </c>
      <c r="N43">
        <v>29</v>
      </c>
      <c r="Q43">
        <v>46182</v>
      </c>
    </row>
    <row r="45">
      <c r="A45" t="str">
        <v>F-2026-05-459</v>
      </c>
      <c r="B45" t="str">
        <v>RPRO-260529-0231</v>
      </c>
      <c r="C45" t="str">
        <v>4/6</v>
      </c>
      <c r="D45" t="str">
        <v>Pro.sche.report 26.05+27.05</v>
      </c>
      <c r="E45" t="str">
        <v>BDB-000358</v>
      </c>
      <c r="F45" t="str">
        <v>PVN-004243</v>
      </c>
      <c r="G45" t="str">
        <v>OrthoLite X-25 FOSSIL/17-0909TPX Flat Sheet 0.12D 20+/-4 Asker C 1.1M 2M 7.5mm</v>
      </c>
      <c r="H45">
        <v>270</v>
      </c>
      <c r="I45">
        <v>16</v>
      </c>
      <c r="J45">
        <v>16</v>
      </c>
      <c r="K45" t="str">
        <v>BABOLAT</v>
      </c>
      <c r="L45" t="str">
        <v>Pro. Schedule</v>
      </c>
      <c r="M45" t="str">
        <v>MOLDED</v>
      </c>
      <c r="N45">
        <v>16</v>
      </c>
      <c r="Q45">
        <v>46182</v>
      </c>
    </row>
    <row r="46">
      <c r="G46" t="str">
        <v>RELEASE ĐỢT 1</v>
      </c>
    </row>
    <row r="47">
      <c r="H47">
        <v>19431</v>
      </c>
      <c r="I47">
        <v>1012</v>
      </c>
      <c r="J47">
        <v>1012</v>
      </c>
      <c r="N47">
        <v>845</v>
      </c>
      <c r="O47">
        <v>-55</v>
      </c>
    </row>
    <row r="48">
      <c r="A48" t="str">
        <v>Máy 2</v>
      </c>
      <c r="C48">
        <v>0</v>
      </c>
      <c r="G48" t="str">
        <v>1/6-6/6</v>
      </c>
    </row>
    <row r="49">
      <c r="A49" t="str">
        <v>F-2026-05-326</v>
      </c>
      <c r="B49" t="str">
        <v>RPRO-260522-0241</v>
      </c>
      <c r="C49" t="str">
        <v>1/6</v>
      </c>
      <c r="D49" t="str">
        <v>MPS 20.5</v>
      </c>
      <c r="E49" t="str">
        <v>BDB-000188</v>
      </c>
      <c r="F49" t="str">
        <v>PVN-003753</v>
      </c>
      <c r="G49" t="str">
        <v>OrthoLite Ultra-Hybrid SEEDPEARL/12-0703TPX Hybrid Flat Sheet 0.085D 25+/-4 Asker C 1.1M 1.47M 3mm</v>
      </c>
      <c r="H49">
        <v>43</v>
      </c>
      <c r="I49">
        <v>1</v>
      </c>
      <c r="J49">
        <v>1</v>
      </c>
      <c r="L49" t="str">
        <v>MPS</v>
      </c>
      <c r="M49" t="str">
        <v>SPLITTING</v>
      </c>
      <c r="N49">
        <v>1</v>
      </c>
      <c r="O49" t="str">
        <v>đơn cũ tuần 22</v>
      </c>
      <c r="P49">
        <v>1</v>
      </c>
      <c r="Q49">
        <v>46176</v>
      </c>
    </row>
    <row r="51">
      <c r="A51" t="str">
        <v>F-2026-05-295</v>
      </c>
      <c r="B51" t="str">
        <v>RPRO-260520-0190</v>
      </c>
      <c r="C51" t="str">
        <v>1/6</v>
      </c>
      <c r="D51" t="str">
        <v>Pro.sche.report 04.6</v>
      </c>
      <c r="E51" t="str">
        <v>BDB-000355</v>
      </c>
      <c r="F51" t="str">
        <v>PVN-004231</v>
      </c>
      <c r="G51" t="str">
        <v>OrthoLite HybridPlus-Recycled CASTLEROCK/18-0201TPX Hybrid Flat Sheet 0.12D 25+/-4 Asker C 1.1M 2M 4.5mm</v>
      </c>
      <c r="H51">
        <v>31</v>
      </c>
      <c r="I51">
        <v>2</v>
      </c>
      <c r="J51">
        <v>2</v>
      </c>
      <c r="K51" t="str">
        <v>ON RUNNING</v>
      </c>
      <c r="L51" t="str">
        <v>Pr.Sch.R</v>
      </c>
      <c r="M51" t="str">
        <v>MOLDED</v>
      </c>
      <c r="N51">
        <v>1</v>
      </c>
      <c r="O51" t="str">
        <v>đơn cũ tuần 22</v>
      </c>
      <c r="P51">
        <v>1</v>
      </c>
      <c r="Q51">
        <v>46174</v>
      </c>
    </row>
    <row r="53">
      <c r="A53" t="str">
        <v>F-2026-05-334</v>
      </c>
      <c r="B53" t="str">
        <v>RPRO-260522-0249</v>
      </c>
      <c r="C53" t="str">
        <v>1/6</v>
      </c>
      <c r="D53" t="str">
        <v>Pro.sche.report 21.5</v>
      </c>
      <c r="E53" t="str">
        <v>BDB-000113</v>
      </c>
      <c r="F53" t="str">
        <v>PVN-002515</v>
      </c>
      <c r="G53" t="str">
        <v>OrthoLite Regular-Hybrid SEEDPEARL/12-0703TPX Hybrid Flat Sheet 0.11D 25+/-4 Asker C 1.1M 2M 11mm</v>
      </c>
      <c r="H53">
        <v>24</v>
      </c>
      <c r="I53">
        <v>2</v>
      </c>
      <c r="J53">
        <v>2</v>
      </c>
      <c r="K53" t="str">
        <v>ASICS</v>
      </c>
      <c r="L53" t="str">
        <v>Pr.Sch.R</v>
      </c>
      <c r="M53" t="str">
        <v>MOLDED</v>
      </c>
      <c r="N53">
        <v>2</v>
      </c>
      <c r="O53" t="str">
        <v>đơn cũ tuần 22</v>
      </c>
      <c r="P53">
        <v>2</v>
      </c>
      <c r="Q53">
        <v>46176</v>
      </c>
    </row>
    <row r="55">
      <c r="A55" t="str">
        <v>F-2026-04-223</v>
      </c>
      <c r="B55" t="str">
        <v>FPRO-260416-0008</v>
      </c>
      <c r="C55" t="str">
        <v>1/6</v>
      </c>
      <c r="D55" t="str">
        <v>Firm plan 16.4</v>
      </c>
      <c r="E55" t="str">
        <v>BDB-000113</v>
      </c>
      <c r="F55" t="str">
        <v>PVN-002501</v>
      </c>
      <c r="G55" t="str">
        <v>OrthoLite Regular-Hybrid SEEDPEARL/12-0703TPX Hybrid Flat Sheet 0.11D 25+/-4 Asker C 1.1M 2M 2mm</v>
      </c>
      <c r="H55">
        <v>1000</v>
      </c>
      <c r="I55">
        <v>15</v>
      </c>
      <c r="J55">
        <v>15</v>
      </c>
      <c r="K55" t="str">
        <v>ASICS</v>
      </c>
      <c r="L55" t="str">
        <v>Forecast</v>
      </c>
      <c r="M55" t="str">
        <v>SPLITTING</v>
      </c>
      <c r="N55">
        <v>69</v>
      </c>
      <c r="O55" t="str">
        <v>đơn cũ tuần 22</v>
      </c>
      <c r="P55">
        <v>15</v>
      </c>
      <c r="Q55">
        <v>46174</v>
      </c>
    </row>
    <row r="56">
      <c r="A56" t="str">
        <v>F-2026-04-256</v>
      </c>
      <c r="B56" t="str">
        <v>FPRO-260416-0041</v>
      </c>
      <c r="C56" t="str">
        <v>1/6</v>
      </c>
      <c r="D56" t="str">
        <v>Firm plan 16.4</v>
      </c>
      <c r="E56" t="str">
        <v>BDB-000113</v>
      </c>
      <c r="F56" t="str">
        <v>PVN-002465</v>
      </c>
      <c r="G56" t="str">
        <v>OrthoLite Regular-Hybrid SEEDPEARL/12-0703TPX Hybrid Flat Sheet 0.11D 25+/-4 Asker C 1.1M 2M 5mm</v>
      </c>
      <c r="H56">
        <v>1500</v>
      </c>
      <c r="I56">
        <v>54</v>
      </c>
      <c r="J56">
        <v>54</v>
      </c>
      <c r="K56" t="str">
        <v>ASICS</v>
      </c>
      <c r="L56" t="str">
        <v>Forecast</v>
      </c>
      <c r="M56" t="str">
        <v>DIE CUT</v>
      </c>
      <c r="O56" t="str">
        <v>đơn cũ tuần 22</v>
      </c>
      <c r="P56">
        <v>54</v>
      </c>
      <c r="Q56">
        <v>46174</v>
      </c>
    </row>
    <row r="58">
      <c r="A58" t="str">
        <v>F-2026-05-358</v>
      </c>
      <c r="B58" t="str">
        <v>FPRO-260526-0001</v>
      </c>
      <c r="C58" t="str">
        <v>1/6</v>
      </c>
      <c r="D58" t="str">
        <v>Firm plan 26/5</v>
      </c>
      <c r="E58" t="str">
        <v>BDB-000181</v>
      </c>
      <c r="F58" t="str">
        <v>PVN-003238</v>
      </c>
      <c r="G58" t="str">
        <v>OrthoLite Eco LT-Hybrid-Converse SEEDPEARL/12-0703TPX Hybrid 0.11D 25+/-4 Asker C 1.1M 2M 5mm</v>
      </c>
      <c r="H58">
        <v>187</v>
      </c>
      <c r="I58">
        <v>7</v>
      </c>
      <c r="J58">
        <v>7</v>
      </c>
      <c r="K58" t="str">
        <v>CONVERSE</v>
      </c>
      <c r="L58" t="str">
        <v>Forecast</v>
      </c>
      <c r="M58" t="str">
        <v>DIE CUT</v>
      </c>
      <c r="N58">
        <v>22</v>
      </c>
      <c r="O58" t="str">
        <v>đơn cũ tuần 22</v>
      </c>
      <c r="P58">
        <v>4</v>
      </c>
      <c r="Q58">
        <v>46177</v>
      </c>
    </row>
    <row r="59">
      <c r="A59" t="str">
        <v>F-2026-05-359</v>
      </c>
      <c r="B59" t="str">
        <v>FPRO-260526-0002</v>
      </c>
      <c r="C59" t="str">
        <v>1/6</v>
      </c>
      <c r="D59" t="str">
        <v>Firm plan 26/5</v>
      </c>
      <c r="E59" t="str">
        <v>BDB-000181</v>
      </c>
      <c r="F59" t="str">
        <v>PVN-003238</v>
      </c>
      <c r="G59" t="str">
        <v>OrthoLite Eco LT-Hybrid-Converse SEEDPEARL/12-0703TPX Hybrid 0.11D 25+/-4 Asker C 1.1M 2M 5mm</v>
      </c>
      <c r="H59">
        <v>488</v>
      </c>
      <c r="I59">
        <v>18</v>
      </c>
      <c r="J59">
        <v>18</v>
      </c>
      <c r="K59" t="str">
        <v>CONVERSE</v>
      </c>
      <c r="L59" t="str">
        <v>Forecast</v>
      </c>
      <c r="M59" t="str">
        <v>DIE CUT</v>
      </c>
      <c r="O59" t="str">
        <v>đơn cũ tuần 22</v>
      </c>
      <c r="P59">
        <v>18</v>
      </c>
      <c r="Q59">
        <v>46177</v>
      </c>
    </row>
    <row r="61">
      <c r="A61" t="str">
        <v>F-2026-05-349</v>
      </c>
      <c r="B61" t="str">
        <v>RPRO-260525-0375</v>
      </c>
      <c r="C61" t="str">
        <v>1/6</v>
      </c>
      <c r="D61" t="str">
        <v>Pro.sche.report 22.05+23.05+24.05</v>
      </c>
      <c r="E61" t="str">
        <v>BDB-000113</v>
      </c>
      <c r="F61" t="str">
        <v>PVN-003796</v>
      </c>
      <c r="G61" t="str">
        <v>OrthoLite Regular-Hybrid SEEDPEARL/12-0703TPX Hybrid Flat Sheet 0.11D 25+/-4 Asker C 1.1M 2M 3.5mm</v>
      </c>
      <c r="H61">
        <v>40</v>
      </c>
      <c r="I61">
        <v>1</v>
      </c>
      <c r="J61">
        <v>1</v>
      </c>
      <c r="K61" t="str">
        <v>ASICS</v>
      </c>
      <c r="L61" t="str">
        <v>Pr.Sch.R</v>
      </c>
      <c r="M61" t="str">
        <v>DIE CUT</v>
      </c>
      <c r="N61">
        <v>21</v>
      </c>
      <c r="Q61">
        <v>46175</v>
      </c>
    </row>
    <row r="62">
      <c r="A62" t="str">
        <v>F-2026-05-441</v>
      </c>
      <c r="B62" t="str">
        <v>RPRO-260528-0711</v>
      </c>
      <c r="C62" t="str">
        <v>1/6</v>
      </c>
      <c r="D62" t="str">
        <v>Pro.sche.report 26.05+27.05</v>
      </c>
      <c r="E62" t="str">
        <v>BDB-000113</v>
      </c>
      <c r="F62" t="str">
        <v>PVN-003796</v>
      </c>
      <c r="G62" t="str">
        <v>OrthoLite Regular-Hybrid SEEDPEARL/12-0703TPX Hybrid Flat Sheet 0.11D 25+/-4 Asker C 1.1M 2M 3.5mm</v>
      </c>
      <c r="H62">
        <v>440</v>
      </c>
      <c r="I62">
        <v>11</v>
      </c>
      <c r="J62">
        <v>11</v>
      </c>
      <c r="K62" t="str">
        <v>ASICS</v>
      </c>
      <c r="L62" t="str">
        <v>Pro. Schedule</v>
      </c>
      <c r="M62" t="str">
        <v>DIE CUT</v>
      </c>
      <c r="Q62">
        <v>46175</v>
      </c>
    </row>
    <row r="63">
      <c r="A63" t="str">
        <v>F-2026-05-453</v>
      </c>
      <c r="B63" t="str">
        <v>RPRO-260529-0225</v>
      </c>
      <c r="C63" t="str">
        <v>1/6</v>
      </c>
      <c r="D63" t="str">
        <v>Pro.sche.report 26.05+27.05</v>
      </c>
      <c r="E63" t="str">
        <v>BDB-000113</v>
      </c>
      <c r="F63" t="str">
        <v>PVN-002699</v>
      </c>
      <c r="G63" t="str">
        <v>OrthoLite Regular-Hybrid SEEDPEARL/12-0703TPX Hybrid Flat Sheet 0.11D 25+/-4 Asker C 1.1M 2M 4.5mm</v>
      </c>
      <c r="H63">
        <v>62</v>
      </c>
      <c r="I63">
        <v>3</v>
      </c>
      <c r="J63">
        <v>3</v>
      </c>
      <c r="K63" t="str">
        <v>ASICS</v>
      </c>
      <c r="L63" t="str">
        <v>Pro. Schedule</v>
      </c>
      <c r="M63" t="str">
        <v>DIE CUT</v>
      </c>
      <c r="Q63">
        <v>46175</v>
      </c>
    </row>
    <row r="64">
      <c r="A64" t="str">
        <v>F-2026-05-458</v>
      </c>
      <c r="B64" t="str">
        <v>RPRO-260529-0230</v>
      </c>
      <c r="C64" t="str">
        <v>1/6</v>
      </c>
      <c r="D64" t="str">
        <v>Pro.sche.report 26.05+27.05</v>
      </c>
      <c r="E64" t="str">
        <v>BDB-000113</v>
      </c>
      <c r="F64" t="str">
        <v>PVN-003601</v>
      </c>
      <c r="G64" t="str">
        <v>OrthoLite Regular-Hybrid SEEDPEARL/12-0703TPX Hybrid Flat Sheet 0.11D 25+/-4 Asker C 1.1M 2M 20mm</v>
      </c>
      <c r="H64">
        <v>30</v>
      </c>
      <c r="I64">
        <v>6</v>
      </c>
      <c r="J64">
        <v>6</v>
      </c>
      <c r="K64" t="str">
        <v>ASICS</v>
      </c>
      <c r="L64" t="str">
        <v>Pro. Schedule</v>
      </c>
      <c r="M64" t="str">
        <v>MOLDED</v>
      </c>
      <c r="Q64">
        <v>46177</v>
      </c>
    </row>
    <row r="66">
      <c r="A66" t="str">
        <v>F-2026-05-448</v>
      </c>
      <c r="B66" t="str">
        <v>RPRO-260529-0220</v>
      </c>
      <c r="C66" t="str">
        <v>1/6</v>
      </c>
      <c r="D66" t="str">
        <v>Pro.sche.report 26.05+27.05</v>
      </c>
      <c r="E66" t="str">
        <v>BDB-000097</v>
      </c>
      <c r="F66" t="str">
        <v>PVN-003671</v>
      </c>
      <c r="G66" t="str">
        <v>OrthoLite Eco LT-Hybrid SEEDPEARL/12-0703TPX Hybrid Flat Sheet 0.11D 25+/-4 Asker C 1.1M 2M 13mm</v>
      </c>
      <c r="H66">
        <v>30</v>
      </c>
      <c r="I66">
        <v>3</v>
      </c>
      <c r="J66">
        <v>3</v>
      </c>
      <c r="K66" t="str">
        <v>NEW BALANCE</v>
      </c>
      <c r="L66" t="str">
        <v>Pro. Schedule</v>
      </c>
      <c r="M66" t="str">
        <v>MOLDED</v>
      </c>
      <c r="N66">
        <v>3</v>
      </c>
      <c r="Q66">
        <v>46182</v>
      </c>
    </row>
    <row r="68">
      <c r="A68" t="str">
        <v>F-2026-05-440</v>
      </c>
      <c r="B68" t="str">
        <v>RPRO-260528-0648</v>
      </c>
      <c r="C68" t="str">
        <v>1/6</v>
      </c>
      <c r="D68" t="str">
        <v>Pro.sche.report 26.05+27.05</v>
      </c>
      <c r="E68" t="str">
        <v>BDB-000181</v>
      </c>
      <c r="F68" t="str">
        <v>PVN-003238</v>
      </c>
      <c r="G68" t="str">
        <v>OrthoLite Eco LT-Hybrid-Converse SEEDPEARL/12-0703TPX Hybrid Flat Sheet 0.11D 25+/-4 Asker C 1.1M 2M 5mm</v>
      </c>
      <c r="H68">
        <v>84</v>
      </c>
      <c r="I68">
        <v>3</v>
      </c>
      <c r="J68">
        <v>3</v>
      </c>
      <c r="K68" t="str">
        <v>CONVERSE</v>
      </c>
      <c r="L68" t="str">
        <v>Pro. Schedule</v>
      </c>
      <c r="M68" t="str">
        <v>DIE CUT</v>
      </c>
      <c r="N68">
        <v>3</v>
      </c>
      <c r="Q68">
        <v>46177</v>
      </c>
    </row>
    <row r="70">
      <c r="A70" t="str">
        <v>F-2026-05-466</v>
      </c>
      <c r="B70" t="str">
        <v>RPRO-260529-0238</v>
      </c>
      <c r="C70" t="str">
        <v>1/6</v>
      </c>
      <c r="D70" t="str">
        <v>Pro.sche.report 26.05+27.05</v>
      </c>
      <c r="E70" t="str">
        <v>BDB-000355</v>
      </c>
      <c r="F70" t="str">
        <v>PVN-004231</v>
      </c>
      <c r="G70" t="str">
        <v>OrthoLite HybridPlus-Recycled CASTLEROCK/18-0201TPX Hybrid Flat Sheet 0.12D 25+/-4 Asker C 1.1M 2M 4.5mm</v>
      </c>
      <c r="H70">
        <v>31</v>
      </c>
      <c r="I70">
        <v>2</v>
      </c>
      <c r="J70">
        <v>2</v>
      </c>
      <c r="K70" t="str">
        <v>ON RUNNING</v>
      </c>
      <c r="L70" t="str">
        <v>Pro. Schedule</v>
      </c>
      <c r="M70" t="str">
        <v>MOLDED</v>
      </c>
      <c r="N70">
        <v>2</v>
      </c>
      <c r="Q70">
        <v>46177</v>
      </c>
    </row>
    <row r="72">
      <c r="A72" t="str">
        <v>F-2026-05-362</v>
      </c>
      <c r="B72" t="str">
        <v>FPRO-260526-0005</v>
      </c>
      <c r="C72" t="str">
        <v>1/6</v>
      </c>
      <c r="D72" t="str">
        <v>Firm plan 26/5</v>
      </c>
      <c r="E72" t="str">
        <v>BDB-000180</v>
      </c>
      <c r="F72" t="str">
        <v>PVN-003236</v>
      </c>
      <c r="G72" t="str">
        <v>OrthoLite Eco LT-Hybrid-Converse SEEDPEARL/12-0703TPX Hybrid 0.13D 25+/-4 Asker C 1.1M 2M 5mm</v>
      </c>
      <c r="H72">
        <v>1000</v>
      </c>
      <c r="I72">
        <v>36</v>
      </c>
      <c r="J72">
        <v>36</v>
      </c>
      <c r="K72" t="str">
        <v>CONVERSE</v>
      </c>
      <c r="L72" t="str">
        <v>Forecast</v>
      </c>
      <c r="M72" t="str">
        <v>DIE CUT</v>
      </c>
      <c r="N72">
        <v>28</v>
      </c>
      <c r="O72" t="str">
        <v xml:space="preserve">W22 đổ dư 8 bun </v>
      </c>
      <c r="Q72">
        <v>46177</v>
      </c>
    </row>
    <row r="74">
      <c r="A74" t="str">
        <v>F-2026-04-436</v>
      </c>
      <c r="B74" t="str">
        <v>FPRO-260429-0049</v>
      </c>
      <c r="C74" t="str">
        <v>1/6</v>
      </c>
      <c r="D74" t="str">
        <v>Firm plan 29.04</v>
      </c>
      <c r="E74" t="str">
        <v>BDB-000175</v>
      </c>
      <c r="F74" t="str">
        <v>PVN-002875</v>
      </c>
      <c r="G74" t="str">
        <v>OrthoLite Ultra-Hybrid-Nike SEEDPEARL/12-0703TPX Hybrid 0.085D 25+/-4 Asker C 1.1M 2M 3mm</v>
      </c>
      <c r="H74">
        <v>1000</v>
      </c>
      <c r="I74">
        <v>22</v>
      </c>
      <c r="J74">
        <v>22</v>
      </c>
      <c r="K74" t="str">
        <v>NIKE</v>
      </c>
      <c r="L74" t="str">
        <v>Forecast</v>
      </c>
      <c r="M74" t="str">
        <v>DIE CUT</v>
      </c>
      <c r="N74">
        <v>127</v>
      </c>
      <c r="Q74">
        <v>46177</v>
      </c>
    </row>
    <row r="75">
      <c r="A75" t="str">
        <v>F-2026-03-439</v>
      </c>
      <c r="B75" t="str">
        <v>FPRO-260324-0011</v>
      </c>
      <c r="C75" t="str">
        <v>1/6-2/6</v>
      </c>
      <c r="D75" t="str">
        <v>Firm plan 24.3</v>
      </c>
      <c r="E75" t="str">
        <v>BDB-000175</v>
      </c>
      <c r="F75" t="str">
        <v>PVN-002966</v>
      </c>
      <c r="G75" t="str">
        <v>OrthoLite Ultra-Hybrid-Nike SEEDPEARL/12-0703TPX Hybrid 0.085D 25+/-4 Asker C 1.1M 2M 4mm</v>
      </c>
      <c r="H75">
        <v>3650</v>
      </c>
      <c r="I75">
        <v>105</v>
      </c>
      <c r="J75">
        <v>105</v>
      </c>
      <c r="K75" t="str">
        <v>NIKE</v>
      </c>
      <c r="L75" t="str">
        <v>Forecast</v>
      </c>
      <c r="M75" t="str">
        <v>DIE CUT</v>
      </c>
      <c r="Q75">
        <v>46181</v>
      </c>
    </row>
    <row r="77">
      <c r="A77" t="str">
        <v>F-2026-05-350</v>
      </c>
      <c r="B77" t="str">
        <v>RPRO-260526-0383</v>
      </c>
      <c r="C77" t="str">
        <v>2/6</v>
      </c>
      <c r="D77" t="str">
        <v>MPS 25.05</v>
      </c>
      <c r="E77" t="str">
        <v>BDB-000123</v>
      </c>
      <c r="F77" t="str">
        <v>PVN-003300</v>
      </c>
      <c r="G77" t="str">
        <v>OrthoLite Ultra-Hybrid SEEDPEARL/12-0703TPX Hybrid Flat Sheet 0.085D 25+/-4 Asker C 1.1M 2M 2mm</v>
      </c>
      <c r="H77">
        <v>140</v>
      </c>
      <c r="I77">
        <v>3</v>
      </c>
      <c r="J77">
        <v>3</v>
      </c>
      <c r="L77" t="str">
        <v>MPS</v>
      </c>
      <c r="M77" t="str">
        <v>SPLITTING</v>
      </c>
      <c r="N77">
        <v>214</v>
      </c>
      <c r="O77" t="str">
        <v xml:space="preserve">W22 đổ dư 176 bun </v>
      </c>
      <c r="Q77">
        <v>46177</v>
      </c>
    </row>
    <row r="78">
      <c r="A78" t="str">
        <v>F-2026-04-385</v>
      </c>
      <c r="B78" t="str">
        <v>FPRO-260428-0015</v>
      </c>
      <c r="C78" t="str">
        <v>2/6-3/6</v>
      </c>
      <c r="D78" t="str">
        <v>Firm plan 28.04</v>
      </c>
      <c r="E78" t="str">
        <v>BDB-000123</v>
      </c>
      <c r="F78" t="str">
        <v>PVN-003298</v>
      </c>
      <c r="G78" t="str">
        <v>OrthoLite Ultra-Hybrid SEEDPEARL/12-0703TPX Hybrid 0.085D 25+/-4 Asker C 1.1M 2M 4mm</v>
      </c>
      <c r="H78">
        <v>7000</v>
      </c>
      <c r="I78">
        <v>200</v>
      </c>
      <c r="J78">
        <v>200</v>
      </c>
      <c r="K78" t="str">
        <v>ADIDAS</v>
      </c>
      <c r="L78" t="str">
        <v>Forecast</v>
      </c>
      <c r="M78" t="str">
        <v>SPLITTING</v>
      </c>
      <c r="N78" t="str">
        <v>390-176</v>
      </c>
      <c r="Q78">
        <v>46179</v>
      </c>
    </row>
    <row r="79">
      <c r="A79" t="str">
        <v>F-2026-05-363</v>
      </c>
      <c r="B79" t="str">
        <v>FPRO-260526-0006</v>
      </c>
      <c r="C79" t="str">
        <v>3/6</v>
      </c>
      <c r="D79" t="str">
        <v>Firm plan 26/5</v>
      </c>
      <c r="E79" t="str">
        <v>BDB-000123</v>
      </c>
      <c r="F79" t="str">
        <v>PVN-003299</v>
      </c>
      <c r="G79" t="str">
        <v>OrthoLite Ultra-Hybrid SEEDPEARL/12-0703TPX Hybrid 0.085D 25+/-4 Asker C 1.1M 2M 3mm</v>
      </c>
      <c r="H79">
        <v>7000</v>
      </c>
      <c r="I79">
        <v>153</v>
      </c>
      <c r="J79">
        <v>153</v>
      </c>
      <c r="K79" t="str">
        <v>ADIDAS</v>
      </c>
      <c r="L79" t="str">
        <v>Forecast</v>
      </c>
      <c r="M79" t="str">
        <v>SPLITTING</v>
      </c>
      <c r="Q79">
        <v>46179</v>
      </c>
    </row>
    <row r="80">
      <c r="A80" t="str">
        <v>F-2026-05-340</v>
      </c>
      <c r="B80" t="str">
        <v>RPRO-260525-0366</v>
      </c>
      <c r="C80" t="str">
        <v>3/6</v>
      </c>
      <c r="D80" t="str">
        <v>MPS 22.05+23.05+24.05</v>
      </c>
      <c r="E80" t="str">
        <v>BDB-000123</v>
      </c>
      <c r="F80" t="str">
        <v>PVN-003299</v>
      </c>
      <c r="G80" t="str">
        <v>OrthoLite Ultra-Hybrid SEEDPEARL/12-0703TPX Hybrid 0.085D 25+/-4 Asker C 1.1M 2M 3mm</v>
      </c>
      <c r="H80">
        <v>736</v>
      </c>
      <c r="I80">
        <v>17</v>
      </c>
      <c r="J80">
        <v>17</v>
      </c>
      <c r="L80" t="str">
        <v>MPS</v>
      </c>
      <c r="M80" t="str">
        <v>SPLITTING</v>
      </c>
      <c r="Q80">
        <v>46182</v>
      </c>
    </row>
    <row r="81">
      <c r="A81" t="str">
        <v>F-2026-05-435</v>
      </c>
      <c r="B81" t="str">
        <v>RPRO-260528-0643</v>
      </c>
      <c r="C81" t="str">
        <v>3/6</v>
      </c>
      <c r="D81" t="str">
        <v>MPS 26.05+27.05</v>
      </c>
      <c r="E81" t="str">
        <v>BDB-000123</v>
      </c>
      <c r="F81" t="str">
        <v>PVN-002539</v>
      </c>
      <c r="G81" t="str">
        <v>OrthoLite Ultra-Hybrid SEEDPEARL/12-0703TPX Hybrid Flat Sheet 0.085D 25+/-4 Asker C 1.1M 2M 5mm</v>
      </c>
      <c r="H81">
        <v>476</v>
      </c>
      <c r="I81">
        <v>17</v>
      </c>
      <c r="J81">
        <v>17</v>
      </c>
      <c r="L81" t="str">
        <v>MPS</v>
      </c>
      <c r="M81" t="str">
        <v>SPLITTING</v>
      </c>
      <c r="Q81">
        <v>46182.55691550926</v>
      </c>
    </row>
    <row r="83">
      <c r="A83" t="str">
        <v>F-2026-05-457</v>
      </c>
      <c r="B83" t="str">
        <v>RPRO-260529-0229</v>
      </c>
      <c r="C83" t="str">
        <v>3/6</v>
      </c>
      <c r="D83" t="str">
        <v>Pro.sche.report 26.05+27.05</v>
      </c>
      <c r="E83" t="str">
        <v>BDB-000174</v>
      </c>
      <c r="F83" t="str">
        <v>PVN-003503</v>
      </c>
      <c r="G83" t="str">
        <v>OrthoLite Ultra-Hybrid-Nike SEEDPEARL/12-0703TPX Hybrid Flat Sheet 0.085D 15+/-4 Asker C 1.1M 2M 3mm</v>
      </c>
      <c r="H83">
        <v>184</v>
      </c>
      <c r="I83">
        <v>5</v>
      </c>
      <c r="J83">
        <v>5</v>
      </c>
      <c r="K83" t="str">
        <v>NIKE</v>
      </c>
      <c r="L83" t="str">
        <v>Pro. Schedule</v>
      </c>
      <c r="M83" t="str">
        <v>DIE CUT</v>
      </c>
      <c r="N83">
        <v>0</v>
      </c>
      <c r="O83" t="str">
        <v xml:space="preserve">W22 đổ dư 8 bun </v>
      </c>
      <c r="Q83">
        <v>46179</v>
      </c>
    </row>
    <row r="85">
      <c r="A85" t="str">
        <v>F-2026-05-337</v>
      </c>
      <c r="B85" t="str">
        <v>RPRO-260525-0363</v>
      </c>
      <c r="C85" t="str">
        <v>3/6</v>
      </c>
      <c r="D85" t="str">
        <v>MPS 22.05+23.05+24.05</v>
      </c>
      <c r="E85" t="str">
        <v>BDB-000286</v>
      </c>
      <c r="F85" t="str">
        <v>PVN-003924</v>
      </c>
      <c r="G85" t="str">
        <v>OrthoLite Regular-Hybrid SEEDPEARL/12-0703TPX Hybrid Flat Sheet 0.13D 25+/-4 Asker C 1.1M 1.7M 5mm</v>
      </c>
      <c r="H85">
        <v>448</v>
      </c>
      <c r="I85">
        <v>16</v>
      </c>
      <c r="J85">
        <v>16</v>
      </c>
      <c r="L85" t="str">
        <v>MPS</v>
      </c>
      <c r="M85" t="str">
        <v>SPLITTING</v>
      </c>
      <c r="N85">
        <v>16</v>
      </c>
      <c r="Q85">
        <v>46179</v>
      </c>
    </row>
    <row r="87">
      <c r="A87" t="str">
        <v>F-2026-05-346</v>
      </c>
      <c r="B87" t="str">
        <v>RPRO-260525-0372</v>
      </c>
      <c r="C87" t="str">
        <v>3/6-4/6</v>
      </c>
      <c r="D87" t="str">
        <v>Pro.sche.report 22.05+23.05+24.05</v>
      </c>
      <c r="E87" t="str">
        <v>BDB-000209</v>
      </c>
      <c r="F87" t="str">
        <v>PVN-003462</v>
      </c>
      <c r="G87" t="str">
        <v>OrthoLite HybridPlus-Recycled MINT GREEN/11-4805TPX Hybrid Flat Sheet 0.12D 25+/-4 Asker C 1.1M 2M 12mm</v>
      </c>
      <c r="H87">
        <v>781</v>
      </c>
      <c r="I87">
        <v>72</v>
      </c>
      <c r="J87">
        <v>72</v>
      </c>
      <c r="K87" t="str">
        <v>BROOKS</v>
      </c>
      <c r="L87" t="str">
        <v>Pr.Sch.R</v>
      </c>
      <c r="M87" t="str">
        <v>MOLDED</v>
      </c>
      <c r="N87">
        <v>74</v>
      </c>
      <c r="Q87">
        <v>46179</v>
      </c>
    </row>
    <row r="88">
      <c r="A88" t="str">
        <v>F-2026-05-464</v>
      </c>
      <c r="B88" t="str">
        <v>RPRO-260529-0236</v>
      </c>
      <c r="C88" t="str">
        <v>4/6</v>
      </c>
      <c r="D88" t="str">
        <v>Pro.sche.report 26.05+27.05</v>
      </c>
      <c r="E88" t="str">
        <v>BDB-000209</v>
      </c>
      <c r="F88" t="str">
        <v>PVN-003461</v>
      </c>
      <c r="G88" t="str">
        <v>OrthoLite HybridPlus-Recycled MINT GREEN/11-4805TPX Hybrid Flat Sheet 0.12D 25+/-4 Asker C 1.1M 2M 11mm</v>
      </c>
      <c r="H88">
        <v>13</v>
      </c>
      <c r="I88">
        <v>2</v>
      </c>
      <c r="J88">
        <v>2</v>
      </c>
      <c r="K88" t="str">
        <v>AKU</v>
      </c>
      <c r="L88" t="str">
        <v>Pro. Schedule</v>
      </c>
      <c r="M88" t="str">
        <v>MOLDED</v>
      </c>
      <c r="Q88">
        <v>46181</v>
      </c>
    </row>
    <row r="90">
      <c r="A90" t="str">
        <v>F-2026-04-219</v>
      </c>
      <c r="B90" t="str">
        <v>FPRO-260416-0004</v>
      </c>
      <c r="C90" t="str">
        <v>4/6</v>
      </c>
      <c r="D90" t="str">
        <v>Firm plan 16.4</v>
      </c>
      <c r="E90" t="str">
        <v>BDB-000113</v>
      </c>
      <c r="F90" t="str">
        <v>PVN-002501</v>
      </c>
      <c r="G90" t="str">
        <v>OrthoLite Regular-Hybrid SEEDPEARL/12-0703TPX Hybrid Flat Sheet 0.11D 25+/-4 Asker C 1.1M 2M 2mm</v>
      </c>
      <c r="H90">
        <v>1000</v>
      </c>
      <c r="I90">
        <v>15</v>
      </c>
      <c r="J90">
        <v>15</v>
      </c>
      <c r="K90" t="str">
        <v>ASICS</v>
      </c>
      <c r="L90" t="str">
        <v>Forecast</v>
      </c>
      <c r="M90" t="str">
        <v>SPLITTING</v>
      </c>
      <c r="N90">
        <v>413</v>
      </c>
      <c r="Q90">
        <v>46179</v>
      </c>
    </row>
    <row r="91">
      <c r="A91" t="str">
        <v>F-2026-04-249</v>
      </c>
      <c r="B91" t="str">
        <v>FPRO-260416-0034</v>
      </c>
      <c r="C91" t="str">
        <v>4/6</v>
      </c>
      <c r="D91" t="str">
        <v>Firm plan 16.4</v>
      </c>
      <c r="E91" t="str">
        <v>BDB-000113</v>
      </c>
      <c r="F91" t="str">
        <v>PVN-002465</v>
      </c>
      <c r="G91" t="str">
        <v>OrthoLite Regular-Hybrid SEEDPEARL/12-0703TPX Hybrid Flat Sheet 0.11D 25+/-4 Asker C 1.1M 2M 5mm</v>
      </c>
      <c r="H91">
        <v>2500</v>
      </c>
      <c r="I91">
        <v>90</v>
      </c>
      <c r="J91">
        <v>90</v>
      </c>
      <c r="K91" t="str">
        <v>ASICS</v>
      </c>
      <c r="L91" t="str">
        <v>Forecast</v>
      </c>
      <c r="M91" t="str">
        <v>DIE CUT</v>
      </c>
      <c r="Q91">
        <v>46179</v>
      </c>
    </row>
    <row r="92">
      <c r="A92" t="str">
        <v>F-2026-04-231</v>
      </c>
      <c r="B92" t="str">
        <v>FPRO-260416-0016</v>
      </c>
      <c r="C92" t="str">
        <v>4/6</v>
      </c>
      <c r="D92" t="str">
        <v>Firm plan 16.4</v>
      </c>
      <c r="E92" t="str">
        <v>BDB-000113</v>
      </c>
      <c r="F92" t="str">
        <v>PVN-003414</v>
      </c>
      <c r="G92" t="str">
        <v>OrthoLite Regular-Hybrid SEEDPEARL/12-0703TPX Hybrid Flat Sheet 0.11D 25+/-4 Asker C 1.1M 2M 12mm</v>
      </c>
      <c r="H92">
        <v>2500</v>
      </c>
      <c r="I92">
        <v>218</v>
      </c>
      <c r="J92">
        <v>218</v>
      </c>
      <c r="K92" t="str">
        <v>ASICS</v>
      </c>
      <c r="L92" t="str">
        <v>Forecast</v>
      </c>
      <c r="M92" t="str">
        <v>MOLDED</v>
      </c>
      <c r="Q92">
        <v>46179</v>
      </c>
    </row>
    <row r="93">
      <c r="A93" t="str">
        <v>F-2026-04-250</v>
      </c>
      <c r="B93" t="str">
        <v>FPRO-260416-0035</v>
      </c>
      <c r="C93" t="str">
        <v>4/6-5/6</v>
      </c>
      <c r="D93" t="str">
        <v>Firm plan 16.4</v>
      </c>
      <c r="E93" t="str">
        <v>BDB-000113</v>
      </c>
      <c r="F93" t="str">
        <v>PVN-002465</v>
      </c>
      <c r="G93" t="str">
        <v>OrthoLite Regular-Hybrid SEEDPEARL/12-0703TPX Hybrid Flat Sheet 0.11D 25+/-4 Asker C 1.1M 2M 5mm</v>
      </c>
      <c r="H93">
        <v>2500</v>
      </c>
      <c r="I93">
        <v>90</v>
      </c>
      <c r="J93">
        <v>90</v>
      </c>
      <c r="K93" t="str">
        <v>ASICS</v>
      </c>
      <c r="L93" t="str">
        <v>Forecast</v>
      </c>
      <c r="M93" t="str">
        <v>DIE CUT</v>
      </c>
      <c r="Q93">
        <v>46181</v>
      </c>
    </row>
    <row r="94">
      <c r="G94" t="str">
        <v>RELEASE ĐỢT 1</v>
      </c>
    </row>
    <row r="95">
      <c r="H95">
        <v>34918</v>
      </c>
      <c r="I95">
        <v>1189</v>
      </c>
      <c r="J95">
        <v>1189</v>
      </c>
      <c r="N95">
        <v>996</v>
      </c>
      <c r="O95">
        <v>36</v>
      </c>
    </row>
    <row r="96">
      <c r="A96" t="str">
        <v>Máy 3</v>
      </c>
      <c r="C96">
        <v>0</v>
      </c>
      <c r="G96" t="str">
        <v>1/6-6/6</v>
      </c>
    </row>
    <row r="97">
      <c r="A97" t="str">
        <v>F-2026-05-286</v>
      </c>
      <c r="B97" t="str">
        <v>RPRO-260520-0181</v>
      </c>
      <c r="C97" t="str">
        <v>1/6</v>
      </c>
      <c r="D97" t="str">
        <v>Pro.sche.report 04.6</v>
      </c>
      <c r="E97" t="str">
        <v>BDB-000008</v>
      </c>
      <c r="F97" t="str">
        <v>PVN-000505</v>
      </c>
      <c r="G97" t="str">
        <v>OrthoLite Regular LIME GREEN/14-0452TPX Flat Sheet 0.11D 25+/-4 Asker C 1.1M 2M 12mm</v>
      </c>
      <c r="H97">
        <v>33</v>
      </c>
      <c r="I97">
        <v>3</v>
      </c>
      <c r="J97">
        <v>3</v>
      </c>
      <c r="K97" t="str">
        <v>ASICS</v>
      </c>
      <c r="L97" t="str">
        <v>Pr.Sch.R</v>
      </c>
      <c r="M97" t="str">
        <v>MOLDED</v>
      </c>
      <c r="N97">
        <v>3</v>
      </c>
      <c r="O97" t="str">
        <v>đơn cũ tuần 22</v>
      </c>
      <c r="P97">
        <v>3</v>
      </c>
      <c r="Q97">
        <v>46174</v>
      </c>
    </row>
    <row r="99">
      <c r="A99" t="str">
        <v>F-2026-05-301</v>
      </c>
      <c r="B99" t="str">
        <v>RPRO-260521-0655</v>
      </c>
      <c r="C99" t="str">
        <v>1/6</v>
      </c>
      <c r="D99" t="str">
        <v>Pro.sche.report 20.05</v>
      </c>
      <c r="E99" t="str">
        <v>BDB-000129</v>
      </c>
      <c r="F99" t="str">
        <v>PVN-001550</v>
      </c>
      <c r="G99" t="str">
        <v>OrthoLite Regular-Nike AIR BLUE/16-4134TPX Flat Sheet 0.11D 25+/-4 Asker C 1.1M 1.7M 2mm</v>
      </c>
      <c r="H99">
        <v>2590</v>
      </c>
      <c r="I99">
        <v>38</v>
      </c>
      <c r="J99">
        <v>38</v>
      </c>
      <c r="K99" t="str">
        <v>NIKE</v>
      </c>
      <c r="L99" t="str">
        <v>Pr.Sch.R</v>
      </c>
      <c r="M99" t="str">
        <v>LAMINATING</v>
      </c>
      <c r="N99">
        <v>15</v>
      </c>
      <c r="O99" t="str">
        <v>đơn cũ tuần 22</v>
      </c>
      <c r="P99">
        <v>13</v>
      </c>
      <c r="Q99">
        <v>46175</v>
      </c>
    </row>
    <row r="100">
      <c r="A100" t="str">
        <v>F-2026-05-327</v>
      </c>
      <c r="B100" t="str">
        <v>RPRO-260522-0242</v>
      </c>
      <c r="C100" t="str">
        <v>1/6</v>
      </c>
      <c r="D100" t="str">
        <v>Pro.sche.report 21.5</v>
      </c>
      <c r="E100" t="str">
        <v>BDB-000129</v>
      </c>
      <c r="F100" t="str">
        <v>PVN-001550</v>
      </c>
      <c r="G100" t="str">
        <v>OrthoLite Regular-Nike AIR BLUE/16-4134TPX Flat Sheet 0.11D 25+/-4 Asker C 1.1M 1.7M 2mm</v>
      </c>
      <c r="H100">
        <v>70</v>
      </c>
      <c r="I100">
        <v>2</v>
      </c>
      <c r="J100">
        <v>2</v>
      </c>
      <c r="K100" t="str">
        <v>NIKE</v>
      </c>
      <c r="L100" t="str">
        <v>Pr.Sch.R</v>
      </c>
      <c r="M100" t="str">
        <v>LAMINATING</v>
      </c>
      <c r="O100" t="str">
        <v>đơn cũ tuần 22</v>
      </c>
      <c r="P100">
        <v>2</v>
      </c>
      <c r="Q100">
        <v>46176</v>
      </c>
    </row>
    <row r="102">
      <c r="A102" t="str">
        <v>F-2026-04-233</v>
      </c>
      <c r="B102" t="str">
        <v>FPRO-260416-0018</v>
      </c>
      <c r="C102" t="str">
        <v>1/6</v>
      </c>
      <c r="D102" t="str">
        <v>Firm plan 16.4</v>
      </c>
      <c r="E102" t="str">
        <v>BDB-000011</v>
      </c>
      <c r="F102" t="str">
        <v>PVN-000258</v>
      </c>
      <c r="G102" t="str">
        <v>OrthoLite Regular AIR BLUE/16-4134TPX Flat Sheet 0.13D 35+/-4 Asker C 1.1M 2M 2.5mm</v>
      </c>
      <c r="H102">
        <v>2000</v>
      </c>
      <c r="I102">
        <v>36</v>
      </c>
      <c r="J102">
        <v>36</v>
      </c>
      <c r="K102" t="str">
        <v>ASICS</v>
      </c>
      <c r="L102" t="str">
        <v>Forecast</v>
      </c>
      <c r="M102" t="str">
        <v>SPLITTING</v>
      </c>
      <c r="N102">
        <v>33</v>
      </c>
      <c r="O102" t="str">
        <v>đơn cũ tuần 22</v>
      </c>
      <c r="P102">
        <v>33</v>
      </c>
      <c r="Q102">
        <v>46176</v>
      </c>
    </row>
    <row r="104">
      <c r="A104" t="str">
        <v>F-2026-05-353</v>
      </c>
      <c r="B104" t="str">
        <v>RPRO-260526-0386</v>
      </c>
      <c r="C104" t="str">
        <v>1/6</v>
      </c>
      <c r="D104" t="str">
        <v>Pro.sche.report 25.05</v>
      </c>
      <c r="E104" t="str">
        <v>BDB-000058</v>
      </c>
      <c r="F104" t="str">
        <v>PVN-001319</v>
      </c>
      <c r="G104" t="str">
        <v>OrthoLite Ultra GREEN/16-5932TPX Flat Sheet 0.085D 25+/-4 Asker C 1.1M 2M 5mm</v>
      </c>
      <c r="H104">
        <v>924</v>
      </c>
      <c r="I104">
        <v>33</v>
      </c>
      <c r="J104">
        <v>33</v>
      </c>
      <c r="K104" t="str">
        <v>NEW BALANCE</v>
      </c>
      <c r="L104" t="str">
        <v>Pro. Schedule</v>
      </c>
      <c r="M104" t="str">
        <v>DIE CUT</v>
      </c>
      <c r="N104">
        <v>15</v>
      </c>
      <c r="O104" t="str">
        <v>đơn cũ tuần 22</v>
      </c>
      <c r="P104">
        <v>15</v>
      </c>
      <c r="Q104">
        <v>46175</v>
      </c>
    </row>
    <row r="106">
      <c r="A106" t="str">
        <v>F-2026-03-386</v>
      </c>
      <c r="B106" t="str">
        <v>FPRO-260318-0030</v>
      </c>
      <c r="C106" t="str">
        <v>1/6</v>
      </c>
      <c r="D106" t="str">
        <v>Firm plan 18.3</v>
      </c>
      <c r="E106" t="str">
        <v>BDB-000234</v>
      </c>
      <c r="F106" t="str">
        <v>PVN-003581</v>
      </c>
      <c r="G106" t="str">
        <v>OrthoLite X-30-Hybrid BROWN SUGAR/17-1134TPX Hybrid Flat Sheet 0.13D 25+/-4 Asker C 1.1M 2M 12mm</v>
      </c>
      <c r="H106">
        <v>1000</v>
      </c>
      <c r="I106">
        <v>87</v>
      </c>
      <c r="J106">
        <v>87</v>
      </c>
      <c r="K106" t="str">
        <v>ASICS</v>
      </c>
      <c r="L106" t="str">
        <v>Forecast</v>
      </c>
      <c r="M106" t="str">
        <v>MOLDED</v>
      </c>
      <c r="N106">
        <v>3</v>
      </c>
      <c r="O106" t="str">
        <v>đơn cũ tuần 22</v>
      </c>
      <c r="P106">
        <v>3</v>
      </c>
      <c r="Q106">
        <v>46175</v>
      </c>
    </row>
    <row r="108">
      <c r="A108" t="str">
        <v>F-2026-05-360</v>
      </c>
      <c r="B108" t="str">
        <v>FPRO-260526-0003</v>
      </c>
      <c r="C108" t="str">
        <v>1/6</v>
      </c>
      <c r="D108" t="str">
        <v>Firm plan 26/5</v>
      </c>
      <c r="E108" t="str">
        <v>BDB-000226</v>
      </c>
      <c r="F108" t="str">
        <v>PVN-003517</v>
      </c>
      <c r="G108" t="str">
        <v>OrthoLite Regular GREY/17-1501TPX Flat Sheet 0.16D 51+/-4 Asker C 1.1M 1.7M 12mm</v>
      </c>
      <c r="H108">
        <v>283</v>
      </c>
      <c r="I108">
        <v>26</v>
      </c>
      <c r="J108">
        <v>26</v>
      </c>
      <c r="K108" t="str">
        <v>CONVERSE</v>
      </c>
      <c r="L108" t="str">
        <v>Forecast</v>
      </c>
      <c r="M108" t="str">
        <v>DIE CUT</v>
      </c>
      <c r="N108">
        <v>26</v>
      </c>
      <c r="O108" t="str">
        <v>đơn cũ tuần 22</v>
      </c>
      <c r="P108">
        <v>26</v>
      </c>
      <c r="Q108">
        <v>46177</v>
      </c>
    </row>
    <row r="110">
      <c r="A110" t="str">
        <v>F-2026-05-456</v>
      </c>
      <c r="B110" t="str">
        <v>RPRO-260529-0228</v>
      </c>
      <c r="C110" t="str">
        <v>1/6</v>
      </c>
      <c r="D110" t="str">
        <v>Pro.sche.report 26.05+27.05</v>
      </c>
      <c r="E110" t="str">
        <v>BDB-000158</v>
      </c>
      <c r="F110" t="str">
        <v>PVN-001554</v>
      </c>
      <c r="G110" t="str">
        <v>OrthoLite Ultra-Nike YELLOW/13-0858TPX Flat Sheet 0.085D 15+/-4 Asker C 1.1M 2M 3mm</v>
      </c>
      <c r="H110">
        <v>92</v>
      </c>
      <c r="I110">
        <v>3</v>
      </c>
      <c r="J110">
        <v>3</v>
      </c>
      <c r="K110" t="str">
        <v>NIKE</v>
      </c>
      <c r="L110" t="str">
        <v>Pro. Schedule</v>
      </c>
      <c r="M110" t="str">
        <v>DIE CUT</v>
      </c>
      <c r="N110">
        <v>3</v>
      </c>
      <c r="Q110">
        <v>46175</v>
      </c>
    </row>
    <row r="112">
      <c r="A112" t="str">
        <v>F-2026-05-439</v>
      </c>
      <c r="B112" t="str">
        <v>RPRO-260528-0647</v>
      </c>
      <c r="C112" t="str">
        <v>1/6-2/6</v>
      </c>
      <c r="D112" t="str">
        <v>Pro.sche.report 26.05+27.05</v>
      </c>
      <c r="E112" t="str">
        <v>BDB-000011</v>
      </c>
      <c r="F112" t="str">
        <v>PVN-000121</v>
      </c>
      <c r="G112" t="str">
        <v>OrthoLite Regular AIR BLUE/16-4134TPX Flat Sheet 0.13D 35+/-4 Asker C 1.1M 2M 12mm</v>
      </c>
      <c r="H112">
        <v>418</v>
      </c>
      <c r="I112">
        <v>37</v>
      </c>
      <c r="J112">
        <v>37</v>
      </c>
      <c r="K112" t="str">
        <v>ASICS</v>
      </c>
      <c r="L112" t="str">
        <v>Pro. Schedule</v>
      </c>
      <c r="M112" t="str">
        <v>MOLDED</v>
      </c>
      <c r="N112">
        <v>77</v>
      </c>
      <c r="P112" t="str">
        <v xml:space="preserve">gấp </v>
      </c>
      <c r="Q112">
        <v>46176</v>
      </c>
    </row>
    <row r="113">
      <c r="A113" t="str">
        <v>F-2026-05-432</v>
      </c>
      <c r="B113" t="str">
        <v>RPRO-260528-0640</v>
      </c>
      <c r="C113" t="str">
        <v>2/6</v>
      </c>
      <c r="D113" t="str">
        <v>MPS 26.05+27.05</v>
      </c>
      <c r="E113" t="str">
        <v>BDB-000011</v>
      </c>
      <c r="F113" t="str">
        <v>PVN-000126</v>
      </c>
      <c r="G113" t="str">
        <v>OrthoLite Regular AIR BLUE/16-4134TPX Flat Sheet 0.13D 35+/-4 Asker C 1.1M 2M 4mm</v>
      </c>
      <c r="H113">
        <v>735</v>
      </c>
      <c r="I113">
        <v>21</v>
      </c>
      <c r="J113">
        <v>21</v>
      </c>
      <c r="L113" t="str">
        <v>MPS</v>
      </c>
      <c r="M113" t="str">
        <v>SPLITTING</v>
      </c>
      <c r="Q113">
        <v>46176</v>
      </c>
    </row>
    <row r="114">
      <c r="A114" t="str">
        <v>F-2026-05-433</v>
      </c>
      <c r="B114" t="str">
        <v>RPRO-260528-0641</v>
      </c>
      <c r="C114" t="str">
        <v>2/6</v>
      </c>
      <c r="D114" t="str">
        <v>MPS 26.05+27.05</v>
      </c>
      <c r="E114" t="str">
        <v>BDB-000011</v>
      </c>
      <c r="F114" t="str">
        <v>PVN-000127</v>
      </c>
      <c r="G114" t="str">
        <v>OrthoLite Regular AIR BLUE/16-4134TPX Flat Sheet 0.13D 35+/-4 Asker C 1.1M 2M 5mm</v>
      </c>
      <c r="H114">
        <v>532</v>
      </c>
      <c r="I114">
        <v>19</v>
      </c>
      <c r="J114">
        <v>19</v>
      </c>
      <c r="L114" t="str">
        <v>MPS</v>
      </c>
      <c r="M114" t="str">
        <v>SPLITTING</v>
      </c>
      <c r="Q114">
        <v>46182.55691550926</v>
      </c>
    </row>
    <row r="116">
      <c r="A116" t="str">
        <v>F-2026-05-431</v>
      </c>
      <c r="B116" t="str">
        <v>RPRO-260528-0639</v>
      </c>
      <c r="C116" t="str">
        <v>2/6</v>
      </c>
      <c r="D116" t="str">
        <v>MPS 26.05+27.05</v>
      </c>
      <c r="E116" t="str">
        <v>BDB-000224</v>
      </c>
      <c r="F116" t="str">
        <v>PVN-004258</v>
      </c>
      <c r="G116" t="str">
        <v>OrthoLite R&amp;R CASTLEROCK/18-0201TPX Flat Sheet 0.16D 15+/-4 Asker C 1.1M 1.7M 3mm</v>
      </c>
      <c r="H116">
        <v>138</v>
      </c>
      <c r="I116">
        <v>4</v>
      </c>
      <c r="J116">
        <v>4</v>
      </c>
      <c r="L116" t="str">
        <v>MPS</v>
      </c>
      <c r="M116" t="str">
        <v>SPLITTING</v>
      </c>
      <c r="N116">
        <v>4</v>
      </c>
      <c r="Q116">
        <v>46177</v>
      </c>
    </row>
    <row r="118">
      <c r="A118" t="str">
        <v>F-2026-05-463</v>
      </c>
      <c r="B118" t="str">
        <v>RPRO-260529-0235</v>
      </c>
      <c r="C118" t="str">
        <v>2/6</v>
      </c>
      <c r="D118" t="str">
        <v>Pro.sche.report 26.05+27.05</v>
      </c>
      <c r="E118" t="str">
        <v>BDB-000004</v>
      </c>
      <c r="F118" t="str">
        <v>PVN-000060</v>
      </c>
      <c r="G118" t="str">
        <v>OrthoLite Regular GREY/17-1501TPX Flat Sheet 0.11D 25+/-4 Asker C 1.1M 2M 14mm</v>
      </c>
      <c r="H118">
        <v>10</v>
      </c>
      <c r="I118">
        <v>2</v>
      </c>
      <c r="J118">
        <v>2</v>
      </c>
      <c r="K118" t="str">
        <v>DANNER</v>
      </c>
      <c r="L118" t="str">
        <v>Pro. Schedule</v>
      </c>
      <c r="M118" t="str">
        <v>MOLDED</v>
      </c>
      <c r="N118">
        <v>4</v>
      </c>
      <c r="Q118">
        <v>46177</v>
      </c>
    </row>
    <row r="119">
      <c r="A119" t="str">
        <v>F-2026-05-449</v>
      </c>
      <c r="B119" t="str">
        <v>RPRO-260529-0221</v>
      </c>
      <c r="C119" t="str">
        <v>2/6</v>
      </c>
      <c r="D119" t="str">
        <v>Pro.sche.report 26.05+27.05</v>
      </c>
      <c r="E119" t="str">
        <v>BDB-000004</v>
      </c>
      <c r="F119" t="str">
        <v>PVN-000445</v>
      </c>
      <c r="G119" t="str">
        <v>OrthoLite Regular GREY/17-1501TPX Flat Sheet 0.11D 25+/-4 Asker C 1.1M 2M 13mm</v>
      </c>
      <c r="H119">
        <v>20</v>
      </c>
      <c r="I119">
        <v>2</v>
      </c>
      <c r="J119">
        <v>2</v>
      </c>
      <c r="K119" t="str">
        <v>DANNER</v>
      </c>
      <c r="L119" t="str">
        <v>Pro. Schedule</v>
      </c>
      <c r="M119" t="str">
        <v>MOLDED</v>
      </c>
      <c r="Q119">
        <v>46182</v>
      </c>
    </row>
    <row r="121">
      <c r="A121" t="str">
        <v>F-2026-04-423</v>
      </c>
      <c r="B121" t="str">
        <v>FPRO-260429-0036</v>
      </c>
      <c r="C121" t="str">
        <v>2/6</v>
      </c>
      <c r="D121" t="str">
        <v>Firm plan 29.04</v>
      </c>
      <c r="E121" t="str">
        <v>BDB-000164</v>
      </c>
      <c r="F121" t="str">
        <v>PVN-001618</v>
      </c>
      <c r="G121" t="str">
        <v>OrthoLite Ultra-Nike GREY/17-1501TPX 0.085D 25+/-4 Asker C 1.1M 2M 4mm</v>
      </c>
      <c r="H121">
        <v>500</v>
      </c>
      <c r="I121">
        <v>15</v>
      </c>
      <c r="J121">
        <v>15</v>
      </c>
      <c r="K121" t="str">
        <v>NIKE</v>
      </c>
      <c r="L121" t="str">
        <v>Forecast</v>
      </c>
      <c r="M121" t="str">
        <v>DIE CUT</v>
      </c>
      <c r="N121">
        <v>15</v>
      </c>
      <c r="O121" t="str">
        <v xml:space="preserve">W22 đổ dư 1 bun </v>
      </c>
      <c r="Q121">
        <v>46177</v>
      </c>
    </row>
    <row r="122">
      <c r="A122" t="str">
        <v>F-2026-05-356</v>
      </c>
      <c r="B122" t="str">
        <v>RPRO-260526-0389</v>
      </c>
      <c r="C122" t="str">
        <v>2/6</v>
      </c>
      <c r="D122" t="str">
        <v>Pro.sche.report 25.05</v>
      </c>
      <c r="E122" t="str">
        <v>BDB-000164</v>
      </c>
      <c r="F122" t="str">
        <v>PVN-001618</v>
      </c>
      <c r="G122" t="str">
        <v>OrthoLite Ultra-Nike GREY/17-1501TPX Flat Sheet 0.085D 25+/-4 Asker C 1.1M 2M 4mm</v>
      </c>
      <c r="H122">
        <v>35</v>
      </c>
      <c r="I122">
        <v>1</v>
      </c>
      <c r="J122">
        <v>1</v>
      </c>
      <c r="K122" t="str">
        <v>NIKE</v>
      </c>
      <c r="L122" t="str">
        <v>Pro. Schedule</v>
      </c>
      <c r="M122" t="str">
        <v>DIE CUT</v>
      </c>
      <c r="N122" t="str">
        <v>16-1</v>
      </c>
      <c r="Q122">
        <v>46179</v>
      </c>
    </row>
    <row r="124">
      <c r="A124" t="str">
        <v>F-2026-02-285-1-1</v>
      </c>
      <c r="B124" t="str">
        <v>FPRO-260212-0036</v>
      </c>
      <c r="C124" t="str">
        <v>2/6-3/6</v>
      </c>
      <c r="D124" t="str">
        <v>Firm plan 12.02</v>
      </c>
      <c r="E124" t="str">
        <v>BDB-000160</v>
      </c>
      <c r="F124" t="str">
        <v>PVN-001562</v>
      </c>
      <c r="G124" t="str">
        <v>OrthoLite Ultra-Nike LIME GREEN/14-0452TPX 0.085D 25+/-4 Asker C 1.1M 2M 4mm</v>
      </c>
      <c r="H124">
        <v>500</v>
      </c>
      <c r="I124">
        <v>15</v>
      </c>
      <c r="J124">
        <v>15</v>
      </c>
      <c r="K124" t="str">
        <v>NIKE</v>
      </c>
      <c r="L124" t="str">
        <v>Forecast</v>
      </c>
      <c r="M124" t="str">
        <v>DIE CUT</v>
      </c>
      <c r="N124">
        <v>44</v>
      </c>
      <c r="Q124">
        <v>46177</v>
      </c>
    </row>
    <row r="125">
      <c r="A125" t="str">
        <v>F-2026-02-285-2</v>
      </c>
      <c r="B125" t="str">
        <v>FPRO-260420-0002</v>
      </c>
      <c r="C125" t="str">
        <v>3/6</v>
      </c>
      <c r="D125" t="str">
        <v>Firm plan 12.02</v>
      </c>
      <c r="E125" t="str">
        <v>BDB-000160</v>
      </c>
      <c r="F125" t="str">
        <v>PVN-001562</v>
      </c>
      <c r="G125" t="str">
        <v>OrthoLite Ultra-Nike LIME GREEN/14-0452TPX 0.085D 25+/-4 Asker C 1.1M 2M 4mm</v>
      </c>
      <c r="H125">
        <v>1000</v>
      </c>
      <c r="I125">
        <v>29</v>
      </c>
      <c r="J125">
        <v>29</v>
      </c>
      <c r="K125" t="str">
        <v>NIKE</v>
      </c>
      <c r="L125" t="str">
        <v>Forecast</v>
      </c>
      <c r="M125" t="str">
        <v>DIE CUT</v>
      </c>
      <c r="Q125">
        <v>46179</v>
      </c>
    </row>
    <row r="127">
      <c r="A127" t="str">
        <v>F-2026-04-414</v>
      </c>
      <c r="B127" t="str">
        <v>FPRO-260429-0027</v>
      </c>
      <c r="C127" t="str">
        <v>3/6</v>
      </c>
      <c r="D127" t="str">
        <v>Firm plan 29.04</v>
      </c>
      <c r="E127" t="str">
        <v>BDB-000162</v>
      </c>
      <c r="F127" t="str">
        <v>PVN-001566</v>
      </c>
      <c r="G127" t="str">
        <v>OrthoLite Ultra-Nike SEEDPEARL/12-0703TPX 0.085D 25+/-4 Asker C 1.1M 2M 4mm</v>
      </c>
      <c r="H127">
        <v>2000</v>
      </c>
      <c r="I127">
        <v>58</v>
      </c>
      <c r="J127">
        <v>58</v>
      </c>
      <c r="K127" t="str">
        <v>NIKE</v>
      </c>
      <c r="L127" t="str">
        <v>Forecast</v>
      </c>
      <c r="M127" t="str">
        <v>DIE CUT</v>
      </c>
      <c r="N127">
        <v>58</v>
      </c>
      <c r="Q127">
        <v>46177</v>
      </c>
    </row>
    <row r="129">
      <c r="A129" t="str">
        <v>F-2026-05-352</v>
      </c>
      <c r="B129" t="str">
        <v>RPRO-260526-0385</v>
      </c>
      <c r="C129" t="str">
        <v>3/6</v>
      </c>
      <c r="D129" t="str">
        <v>Pro.sche.report 25.05</v>
      </c>
      <c r="E129" t="str">
        <v>BDB-000129</v>
      </c>
      <c r="F129" t="str">
        <v>PVN-001550</v>
      </c>
      <c r="G129" t="str">
        <v>OrthoLite Regular-Nike AIR BLUE/16-4134TPX Flat Sheet 0.11D 25+/-4 Asker C 1.1M 1.7M 2mm</v>
      </c>
      <c r="H129">
        <v>560</v>
      </c>
      <c r="I129">
        <v>9</v>
      </c>
      <c r="J129">
        <v>9</v>
      </c>
      <c r="K129" t="str">
        <v>NIKE</v>
      </c>
      <c r="L129" t="str">
        <v>Pro. Schedule</v>
      </c>
      <c r="M129" t="str">
        <v>LAMINATING</v>
      </c>
      <c r="N129">
        <v>9</v>
      </c>
      <c r="Q129">
        <v>46179</v>
      </c>
    </row>
    <row r="131">
      <c r="A131" t="str">
        <v>F-2026-05-444</v>
      </c>
      <c r="B131" t="str">
        <v>RPRO-260529-0216</v>
      </c>
      <c r="C131" t="str">
        <v>3/6</v>
      </c>
      <c r="D131" t="str">
        <v>Pro.sche.report 26.05+27.05</v>
      </c>
      <c r="E131" t="str">
        <v>BDB-000008</v>
      </c>
      <c r="F131" t="str">
        <v>PVN-000505</v>
      </c>
      <c r="G131" t="str">
        <v>OrthoLite Regular LIME GREEN/14-0452TPX Flat Sheet 0.11D 25+/-4 Asker C 1.1M 2M 12mm</v>
      </c>
      <c r="H131">
        <v>33</v>
      </c>
      <c r="I131">
        <v>3</v>
      </c>
      <c r="J131">
        <v>3</v>
      </c>
      <c r="K131" t="str">
        <v>ASICS</v>
      </c>
      <c r="L131" t="str">
        <v>Pro. Schedule</v>
      </c>
      <c r="M131" t="str">
        <v>MOLDED</v>
      </c>
      <c r="N131">
        <v>3</v>
      </c>
      <c r="Q131">
        <v>46179</v>
      </c>
    </row>
    <row r="133">
      <c r="A133" t="str">
        <v>F-2026-05-430</v>
      </c>
      <c r="B133" t="str">
        <v>RPRO-260528-0638</v>
      </c>
      <c r="C133" t="str">
        <v>3/6-4/6</v>
      </c>
      <c r="D133" t="str">
        <v>MPS 26.05+27.05</v>
      </c>
      <c r="E133" t="str">
        <v>BDB-000264</v>
      </c>
      <c r="F133" t="str">
        <v>PVN-003881</v>
      </c>
      <c r="G133" t="str">
        <v>OrthoLite Ultra YELLOW/13-0858TPX Flat Sheet 0.085D 25+/-4 Asker C 1.1M 1.47M 5mm</v>
      </c>
      <c r="H133">
        <v>112</v>
      </c>
      <c r="I133">
        <v>4</v>
      </c>
      <c r="J133">
        <v>4</v>
      </c>
      <c r="L133" t="str">
        <v>MPS</v>
      </c>
      <c r="M133" t="str">
        <v>SPLITTING</v>
      </c>
      <c r="N133">
        <v>4</v>
      </c>
      <c r="Q133">
        <v>46182.55691550926</v>
      </c>
    </row>
    <row r="135">
      <c r="A135" t="str">
        <v>F-2026-05-338</v>
      </c>
      <c r="B135" t="str">
        <v>RPRO-260525-0364</v>
      </c>
      <c r="C135" t="str">
        <v>4/6</v>
      </c>
      <c r="D135" t="str">
        <v>MPS 22.05+23.05+24.05</v>
      </c>
      <c r="E135" t="str">
        <v>BDB-000016</v>
      </c>
      <c r="F135" t="str">
        <v>PVN-000458</v>
      </c>
      <c r="G135" t="str">
        <v>OrthoLite Regular GREEN/16-5932TPX Flat Sheet 0.13D 35+/-4 Asker C 1.1M 2M 3mm</v>
      </c>
      <c r="H135">
        <v>1518</v>
      </c>
      <c r="I135">
        <v>34</v>
      </c>
      <c r="J135">
        <v>34</v>
      </c>
      <c r="L135" t="str">
        <v>MPS</v>
      </c>
      <c r="M135" t="str">
        <v>SPLITTING</v>
      </c>
      <c r="N135">
        <v>34</v>
      </c>
      <c r="Q135">
        <v>46179</v>
      </c>
    </row>
    <row r="137">
      <c r="A137" t="str">
        <v>F-2026-05-434</v>
      </c>
      <c r="B137" t="str">
        <v>RPRO-260528-0642</v>
      </c>
      <c r="C137" t="str">
        <v>4/6</v>
      </c>
      <c r="D137" t="str">
        <v>MPS 26.05+27.05</v>
      </c>
      <c r="E137" t="str">
        <v>BDB-000057</v>
      </c>
      <c r="F137" t="str">
        <v>PVN-000925</v>
      </c>
      <c r="G137" t="str">
        <v>OrthoLite Ultra YELLOW/13-0858TPX Flat Sheet 0.085D 25+/-4 Asker C 1.1M 2M 5mm</v>
      </c>
      <c r="H137">
        <v>1036</v>
      </c>
      <c r="I137">
        <v>37</v>
      </c>
      <c r="J137">
        <v>37</v>
      </c>
      <c r="L137" t="str">
        <v>MPS</v>
      </c>
      <c r="M137" t="str">
        <v>SPLITTING</v>
      </c>
      <c r="N137">
        <v>38</v>
      </c>
      <c r="Q137">
        <v>46179</v>
      </c>
    </row>
    <row r="138">
      <c r="A138" t="str">
        <v>F-2026-05-460</v>
      </c>
      <c r="B138" t="str">
        <v>RPRO-260529-0232</v>
      </c>
      <c r="C138" t="str">
        <v>4/6</v>
      </c>
      <c r="D138" t="str">
        <v>Pro.sche.report 26.05+27.05</v>
      </c>
      <c r="E138" t="str">
        <v>BDB-000057</v>
      </c>
      <c r="F138" t="str">
        <v>PVN-000825</v>
      </c>
      <c r="G138" t="str">
        <v>OrthoLite Ultra YELLOW/13-0858TPX Flat Sheet 0.085D 25+/-4 Asker C 1.1M 2M 12mm</v>
      </c>
      <c r="H138">
        <v>11</v>
      </c>
      <c r="I138">
        <v>1</v>
      </c>
      <c r="J138">
        <v>1</v>
      </c>
      <c r="K138" t="str">
        <v>ASICS</v>
      </c>
      <c r="L138" t="str">
        <v>Pro. Schedule</v>
      </c>
      <c r="M138" t="str">
        <v>MOLDED</v>
      </c>
      <c r="Q138">
        <v>46182</v>
      </c>
    </row>
    <row r="140">
      <c r="A140" t="str">
        <v>F-2026-05-454</v>
      </c>
      <c r="B140" t="str">
        <v>RPRO-260529-0226</v>
      </c>
      <c r="C140" t="str">
        <v>4/6-5/6</v>
      </c>
      <c r="D140" t="str">
        <v>Pro.sche.report 26.05+27.05</v>
      </c>
      <c r="E140" t="str">
        <v>BDB-000218</v>
      </c>
      <c r="F140" t="str">
        <v>PVN-003488</v>
      </c>
      <c r="G140" t="str">
        <v>OrthoLite Ultra-Nike SEEDPEARL/12-0703TPX Flat Sheet 0.085D 5-10 Asker C 1.1M 2M 4mm</v>
      </c>
      <c r="H140">
        <v>1505</v>
      </c>
      <c r="I140">
        <v>43</v>
      </c>
      <c r="J140">
        <v>43</v>
      </c>
      <c r="K140" t="str">
        <v>NIKE</v>
      </c>
      <c r="L140" t="str">
        <v>Pro. Schedule</v>
      </c>
      <c r="M140" t="str">
        <v>DIE CUT</v>
      </c>
      <c r="N140">
        <v>40</v>
      </c>
      <c r="O140" t="str">
        <v xml:space="preserve">W22 đổ dư 3 bun </v>
      </c>
      <c r="Q140">
        <v>46179</v>
      </c>
    </row>
    <row r="141">
      <c r="G141" t="str">
        <v>RELEASE ĐỢT 1</v>
      </c>
    </row>
    <row r="142">
      <c r="H142">
        <v>17655</v>
      </c>
      <c r="I142">
        <v>562</v>
      </c>
      <c r="J142">
        <v>562</v>
      </c>
      <c r="N142">
        <v>428</v>
      </c>
      <c r="O142">
        <v>8</v>
      </c>
    </row>
  </sheetData>
  <autoFilter ref="A2:Q216"/>
  <mergeCells count="1">
    <mergeCell ref="A1:B1"/>
  </mergeCells>
  <pageMargins left="0" right="0" top="0" bottom="0.25" header="0" footer="0"/>
  <ignoredErrors>
    <ignoredError numberStoredAsText="1" sqref="A1:R8435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V8357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23 - L2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C3">
        <v>0</v>
      </c>
      <c r="G3" t="str">
        <v>1/6-6/6</v>
      </c>
    </row>
    <row r="4">
      <c r="A4" t="str">
        <v>F-2026-06-25</v>
      </c>
      <c r="B4" t="str">
        <v>RPRO-260601-0876</v>
      </c>
      <c r="C4" t="str">
        <v>4/6</v>
      </c>
      <c r="D4" t="str">
        <v>Pro.sche.report 29.05+30.05+31.05)</v>
      </c>
      <c r="E4" t="str">
        <v>BDB-000212</v>
      </c>
      <c r="F4" t="str">
        <v>PVN-003764</v>
      </c>
      <c r="G4" t="str">
        <v>OrthoLite X-25-Hybrid SEEDPEARL/12-0703TPX Hybrid Flat Sheet 0.12D 20+/-4 Asker C 1.1M 2M 5mm</v>
      </c>
      <c r="H4">
        <v>28</v>
      </c>
      <c r="I4">
        <v>1</v>
      </c>
      <c r="J4">
        <v>1</v>
      </c>
      <c r="K4" t="str">
        <v>FOOTJOY</v>
      </c>
      <c r="L4" t="str">
        <v>Pro. Schedule</v>
      </c>
      <c r="M4" t="str">
        <v>OTHERS</v>
      </c>
      <c r="N4">
        <v>2</v>
      </c>
      <c r="O4" t="str">
        <v>TAY</v>
      </c>
      <c r="Q4">
        <v>46179</v>
      </c>
    </row>
    <row r="5">
      <c r="A5" t="str">
        <v>F-2026-06-47</v>
      </c>
      <c r="B5" t="str">
        <v>RPRO-260602-0743</v>
      </c>
      <c r="C5" t="str">
        <v>4/6</v>
      </c>
      <c r="D5" t="str">
        <v>Pro.sche.report 1.06</v>
      </c>
      <c r="E5" t="str">
        <v>BDB-000212</v>
      </c>
      <c r="F5" t="str">
        <v>PVN-003764</v>
      </c>
      <c r="G5" t="str">
        <v>OrthoLite X-25-Hybrid SEEDPEARL/12-0703TPX Hybrid Flat Sheet 0.12D 20+/-4 Asker C 1.1M 2M 5mm</v>
      </c>
      <c r="H5">
        <v>28</v>
      </c>
      <c r="I5">
        <v>1</v>
      </c>
      <c r="J5">
        <v>1</v>
      </c>
      <c r="K5" t="str">
        <v>FOOTJOY</v>
      </c>
      <c r="L5" t="str">
        <v>Pro. Schedule</v>
      </c>
      <c r="M5" t="str">
        <v>OTHERS</v>
      </c>
      <c r="Q5">
        <v>46179</v>
      </c>
    </row>
    <row r="7">
      <c r="A7" t="str">
        <v>F-2026-05-462</v>
      </c>
      <c r="B7" t="str">
        <v>RPRO-260529-0234</v>
      </c>
      <c r="C7" t="str">
        <v>5/6</v>
      </c>
      <c r="D7" t="str">
        <v>Pro.sche.report 26.05+27.05</v>
      </c>
      <c r="E7" t="str">
        <v>BDB-000346</v>
      </c>
      <c r="F7" t="str">
        <v>PVN-004188</v>
      </c>
      <c r="G7" t="str">
        <v>OrthoLite Float NEUTRAL GRAY/17-4402TPX Flat Sheet 0.12D 21+/-4 Asker C 1.1M 1.47M 5.5mm</v>
      </c>
      <c r="H7">
        <v>23</v>
      </c>
      <c r="I7">
        <v>1</v>
      </c>
      <c r="J7">
        <v>1</v>
      </c>
      <c r="K7" t="str">
        <v>PUMA</v>
      </c>
      <c r="L7" t="str">
        <v>Pro. Schedule</v>
      </c>
      <c r="M7" t="str">
        <v>MOLDED</v>
      </c>
      <c r="N7">
        <v>4</v>
      </c>
      <c r="Q7">
        <v>46182</v>
      </c>
    </row>
    <row r="8">
      <c r="A8" t="str">
        <v>F-2026-06-13</v>
      </c>
      <c r="B8" t="str">
        <v>RPRO-260601-0864</v>
      </c>
      <c r="C8" t="str">
        <v>5/6</v>
      </c>
      <c r="D8" t="str">
        <v>Pro.sche.report 29.05+30.05+31.05)</v>
      </c>
      <c r="E8" t="str">
        <v>BDB-000346</v>
      </c>
      <c r="F8" t="str">
        <v>PVN-004188</v>
      </c>
      <c r="G8" t="str">
        <v>OrthoLite Float NEUTRAL GRAY/17-4402TPX Flat Sheet 0.12D 21+/-4 Asker C 1.1M 1.47M 5.5mm</v>
      </c>
      <c r="H8">
        <v>75</v>
      </c>
      <c r="I8">
        <v>3</v>
      </c>
      <c r="J8">
        <v>3</v>
      </c>
      <c r="K8" t="str">
        <v>PUMA</v>
      </c>
      <c r="L8" t="str">
        <v>Pro. Schedule</v>
      </c>
      <c r="M8" t="str">
        <v>MOLDED</v>
      </c>
      <c r="Q8">
        <v>46182</v>
      </c>
    </row>
    <row r="10">
      <c r="A10" t="str">
        <v>F-2026-06-44</v>
      </c>
      <c r="B10" t="str">
        <v>RPRO-260602-0740</v>
      </c>
      <c r="C10" t="str">
        <v>4/6</v>
      </c>
      <c r="D10" t="str">
        <v>Pro.sche.report 1.06</v>
      </c>
      <c r="E10" t="str">
        <v>BDB-000051</v>
      </c>
      <c r="F10" t="str">
        <v>PVN-003319</v>
      </c>
      <c r="G10" t="str">
        <v>OrthoLite X-40 TRUE BLUE/19-4057TPX Flat Sheet 0.16D 25+/-4 Asker C 1.1M 1.7M 12mm</v>
      </c>
      <c r="H10">
        <v>363</v>
      </c>
      <c r="I10">
        <v>32</v>
      </c>
      <c r="J10">
        <v>32</v>
      </c>
      <c r="K10" t="str">
        <v>ASICS</v>
      </c>
      <c r="L10" t="str">
        <v>Pro. Schedule</v>
      </c>
      <c r="M10" t="str">
        <v>MOLDED</v>
      </c>
      <c r="N10">
        <v>32</v>
      </c>
      <c r="Q10">
        <v>46181</v>
      </c>
    </row>
    <row r="12">
      <c r="A12" t="str">
        <v>F-2026-05-437</v>
      </c>
      <c r="B12" t="str">
        <v>RPRO-260528-0645</v>
      </c>
      <c r="C12" t="str">
        <v>4/6-5/6</v>
      </c>
      <c r="D12" t="str">
        <v>Pro.sche.report 26.05+27.05</v>
      </c>
      <c r="E12" t="str">
        <v>BDB-000052</v>
      </c>
      <c r="F12" t="str">
        <v>PVN-003603</v>
      </c>
      <c r="G12" t="str">
        <v>OrthoLite X-40 TRUE BLUE/19-4057TPX Flat Sheet 0.16D 25+/-4 Asker C 1.1M 1.47M 12mm</v>
      </c>
      <c r="H12">
        <v>1474</v>
      </c>
      <c r="I12">
        <v>129</v>
      </c>
      <c r="J12">
        <v>129</v>
      </c>
      <c r="K12" t="str">
        <v>ASICS</v>
      </c>
      <c r="L12" t="str">
        <v>Pro. Schedule</v>
      </c>
      <c r="M12" t="str">
        <v>MOLDED</v>
      </c>
      <c r="N12">
        <v>129</v>
      </c>
      <c r="Q12">
        <v>46182</v>
      </c>
    </row>
    <row r="14">
      <c r="A14" t="str">
        <v>F-2026-06-27</v>
      </c>
      <c r="B14" t="str">
        <v>RPRO-260601-0878</v>
      </c>
      <c r="C14" t="str">
        <v>5/6</v>
      </c>
      <c r="D14" t="str">
        <v>Pro.sche.report 29.05+30.05+31.05)</v>
      </c>
      <c r="E14" t="str">
        <v>BDB-000117</v>
      </c>
      <c r="F14" t="str">
        <v>PVN-003148</v>
      </c>
      <c r="G14" t="str">
        <v>OrthoLite X-35-Hybrid SEEDPEARL/12-0703TPX Hybrid Flat Sheet 0.145D 25+/-4 Asker C 1.1M 2M 4.5mm</v>
      </c>
      <c r="H14">
        <v>93</v>
      </c>
      <c r="I14">
        <v>4</v>
      </c>
      <c r="J14">
        <v>4</v>
      </c>
      <c r="K14" t="str">
        <v>WILSON</v>
      </c>
      <c r="L14" t="str">
        <v>Pro. Schedule</v>
      </c>
      <c r="M14" t="str">
        <v>MOLDED</v>
      </c>
      <c r="N14">
        <v>4</v>
      </c>
      <c r="Q14">
        <v>46182</v>
      </c>
    </row>
    <row r="17">
      <c r="A17" t="str">
        <v>F-2026-05-474</v>
      </c>
      <c r="B17" t="str">
        <v>RPRO-260529-0354</v>
      </c>
      <c r="C17" t="str">
        <v>5/6</v>
      </c>
      <c r="D17" t="str">
        <v>Pro.sche.report 28.05</v>
      </c>
      <c r="E17" t="str">
        <v>BDB-000313</v>
      </c>
      <c r="F17" t="str">
        <v>PVN-004061</v>
      </c>
      <c r="G17" t="str">
        <v>OrthoLite X-55 RED/19-1764TPX Flat Sheet 0.16D 25+/-4 Asker C 1.1M 1.47M 18mm</v>
      </c>
      <c r="H17">
        <v>14</v>
      </c>
      <c r="I17">
        <v>3</v>
      </c>
      <c r="J17">
        <v>3</v>
      </c>
      <c r="K17" t="str">
        <v>WILSON</v>
      </c>
      <c r="L17" t="str">
        <v>Pro. Schedule</v>
      </c>
      <c r="M17" t="str">
        <v>MOLDED</v>
      </c>
      <c r="N17">
        <v>3</v>
      </c>
      <c r="Q17">
        <v>46183</v>
      </c>
    </row>
    <row r="19">
      <c r="A19" t="str">
        <v>F-2026-06-16</v>
      </c>
      <c r="B19" t="str">
        <v>RPRO-260601-0867</v>
      </c>
      <c r="C19" t="str">
        <v>5/6</v>
      </c>
      <c r="D19" t="str">
        <v>Pro.sche.report 29.05+30.05+31.05)</v>
      </c>
      <c r="E19" t="str">
        <v>BDB-000011</v>
      </c>
      <c r="F19" t="str">
        <v>PVN-000121</v>
      </c>
      <c r="G19" t="str">
        <v>OrthoLite Regular AIR BLUE/16-4134TPX Flat Sheet 0.13D 35+/-4 Asker C 1.1M 2M 12mm</v>
      </c>
      <c r="H19">
        <v>22</v>
      </c>
      <c r="I19">
        <v>2</v>
      </c>
      <c r="J19">
        <v>2</v>
      </c>
      <c r="K19" t="str">
        <v>ASICS</v>
      </c>
      <c r="L19" t="str">
        <v>Pro. Schedule</v>
      </c>
      <c r="M19" t="str">
        <v>MOLDED</v>
      </c>
      <c r="N19">
        <v>17</v>
      </c>
      <c r="Q19">
        <v>46183</v>
      </c>
    </row>
    <row r="20">
      <c r="A20" t="str">
        <v>F-2026-03-359</v>
      </c>
      <c r="B20" t="str">
        <v>FPRO-260318-0003</v>
      </c>
      <c r="C20" t="str">
        <v>5/6</v>
      </c>
      <c r="D20" t="str">
        <v>Firm plan 18.3</v>
      </c>
      <c r="E20" t="str">
        <v>BDB-000011</v>
      </c>
      <c r="F20" t="str">
        <v>PVN-000242</v>
      </c>
      <c r="G20" t="str">
        <v>OrthoLite Regular AIR BLUE/16-4134TPX Flat Sheet 0.13D 35+/-4 Asker C 1.1M 2M 2mm</v>
      </c>
      <c r="H20">
        <v>1000</v>
      </c>
      <c r="I20">
        <v>15</v>
      </c>
      <c r="J20">
        <v>15</v>
      </c>
      <c r="K20" t="str">
        <v>ASICS</v>
      </c>
      <c r="L20" t="str">
        <v>Forecast</v>
      </c>
      <c r="M20" t="str">
        <v>SPLITTING</v>
      </c>
      <c r="Q20">
        <v>46183</v>
      </c>
    </row>
    <row r="22">
      <c r="A22" t="str">
        <v>F-2026-05-473</v>
      </c>
      <c r="B22" t="str">
        <v>RPRO-260529-0353</v>
      </c>
      <c r="C22" t="str">
        <v>5/6</v>
      </c>
      <c r="D22" t="str">
        <v>Pro.sche.report 28.05</v>
      </c>
      <c r="E22" t="str">
        <v>BDB-000373</v>
      </c>
      <c r="F22" t="str">
        <v>PVN-004315</v>
      </c>
      <c r="G22" t="str">
        <v>OrthoLite X-25-Nike BILLIARD/16-5427TPX Flat Sheet 0.12D 20+/-4 Asker C 1.1M 2M 5mm</v>
      </c>
      <c r="H22">
        <v>168</v>
      </c>
      <c r="I22">
        <v>6</v>
      </c>
      <c r="J22">
        <v>6</v>
      </c>
      <c r="K22" t="str">
        <v>NIKE</v>
      </c>
      <c r="L22" t="str">
        <v>Pro. Schedule</v>
      </c>
      <c r="M22" t="str">
        <v>DIE CUT</v>
      </c>
      <c r="N22">
        <v>6</v>
      </c>
      <c r="Q22">
        <v>46183</v>
      </c>
    </row>
    <row r="24">
      <c r="A24" t="str">
        <v>F-2026-05-471</v>
      </c>
      <c r="B24" t="str">
        <v>RPRO-260529-0351</v>
      </c>
      <c r="C24" t="str">
        <v>5/6</v>
      </c>
      <c r="D24" t="str">
        <v>Pro.sche.report 28.05</v>
      </c>
      <c r="E24" t="str">
        <v>BDB-000319</v>
      </c>
      <c r="F24" t="str">
        <v>PVN-004081</v>
      </c>
      <c r="G24" t="str">
        <v>OrthoLite X-40-Hybrid-Nike SEEDPEARL/12-0703TPX Hybrid Flat Sheet 0.16D 25+/-4 Asker C 1.1M 2M 6mm</v>
      </c>
      <c r="H24">
        <v>23</v>
      </c>
      <c r="I24">
        <v>2</v>
      </c>
      <c r="J24">
        <v>2</v>
      </c>
      <c r="K24" t="str">
        <v>NIKE</v>
      </c>
      <c r="L24" t="str">
        <v>Pro. Schedule</v>
      </c>
      <c r="M24" t="str">
        <v>MOLDED</v>
      </c>
      <c r="N24">
        <v>11</v>
      </c>
      <c r="Q24">
        <v>46183</v>
      </c>
    </row>
    <row r="25">
      <c r="A25" t="str">
        <v>F-2026-05-121</v>
      </c>
      <c r="B25" t="str">
        <v>RPRO-260511-0341</v>
      </c>
      <c r="C25" t="str">
        <v>5/6</v>
      </c>
      <c r="D25" t="str">
        <v>Pro.sche.report 08.5+09.5</v>
      </c>
      <c r="E25" t="str">
        <v>BDB-000319</v>
      </c>
      <c r="F25" t="str">
        <v>PVN-004081</v>
      </c>
      <c r="G25" t="str">
        <v>OrthoLite X-40-Hybrid-Nike SEEDPEARL/12-0703TPX Hybrid Flat Sheet 0.16D 25+/-4 Asker C 1.1M 2M 6mm</v>
      </c>
      <c r="H25">
        <v>23</v>
      </c>
      <c r="I25">
        <v>2</v>
      </c>
      <c r="J25">
        <v>2</v>
      </c>
      <c r="K25" t="str">
        <v>NIKE</v>
      </c>
      <c r="L25" t="str">
        <v>Pr.Sch.R</v>
      </c>
      <c r="M25" t="str">
        <v>MOLDED</v>
      </c>
      <c r="Q25">
        <v>46183</v>
      </c>
    </row>
    <row r="26">
      <c r="A26" t="str">
        <v>F-2026-05-170</v>
      </c>
      <c r="B26" t="str">
        <v>RPRO-260513-0801</v>
      </c>
      <c r="C26" t="str">
        <v>5/6</v>
      </c>
      <c r="D26" t="str">
        <v>Pro.sche.report 12.5</v>
      </c>
      <c r="E26" t="str">
        <v>BDB-000319</v>
      </c>
      <c r="F26" t="str">
        <v>PVN-004081</v>
      </c>
      <c r="G26" t="str">
        <v>OrthoLite X-40-Hybrid-Nike SEEDPEARL/12-0703TPX Hybrid Flat Sheet 0.16D 25+/-4 Asker C 1.1M 2M 6mm</v>
      </c>
      <c r="H26">
        <v>138</v>
      </c>
      <c r="I26">
        <v>7</v>
      </c>
      <c r="J26">
        <v>7</v>
      </c>
      <c r="K26" t="str">
        <v>NIKE</v>
      </c>
      <c r="L26" t="str">
        <v>Pr.Sch.R</v>
      </c>
      <c r="M26" t="str">
        <v>MOLDED</v>
      </c>
      <c r="Q26">
        <v>46183</v>
      </c>
    </row>
    <row r="28">
      <c r="A28" t="str">
        <v>F-2026-06-26</v>
      </c>
      <c r="B28" t="str">
        <v>RPRO-260601-0877</v>
      </c>
      <c r="C28" t="str">
        <v>5/6</v>
      </c>
      <c r="D28" t="str">
        <v>Pro.sche.report 29.05+30.05+31.05)</v>
      </c>
      <c r="E28" t="str">
        <v>BDB-000113</v>
      </c>
      <c r="F28" t="str">
        <v>PVN-002699</v>
      </c>
      <c r="G28" t="str">
        <v>OrthoLite Regular-Hybrid SEEDPEARL/12-0703TPX Hybrid Flat Sheet 0.11D 25+/-4 Asker C 1.1M 2M 4.5mm</v>
      </c>
      <c r="H28">
        <v>124</v>
      </c>
      <c r="I28">
        <v>5</v>
      </c>
      <c r="J28">
        <v>5</v>
      </c>
      <c r="K28" t="str">
        <v>ASICS</v>
      </c>
      <c r="L28" t="str">
        <v>Pro. Schedule</v>
      </c>
      <c r="M28" t="str">
        <v>DIE CUT</v>
      </c>
      <c r="N28">
        <v>238</v>
      </c>
      <c r="Q28">
        <v>46182</v>
      </c>
    </row>
    <row r="29">
      <c r="A29" t="str">
        <v>F-2026-04-220</v>
      </c>
      <c r="B29" t="str">
        <v>FPRO-260416-0005</v>
      </c>
      <c r="C29" t="str">
        <v>5/6</v>
      </c>
      <c r="D29" t="str">
        <v>Firm plan 16.4</v>
      </c>
      <c r="E29" t="str">
        <v>BDB-000113</v>
      </c>
      <c r="F29" t="str">
        <v>PVN-002501</v>
      </c>
      <c r="G29" t="str">
        <v>OrthoLite Regular-Hybrid SEEDPEARL/12-0703TPX Hybrid Flat Sheet 0.11D 25+/-4 Asker C 1.1M 2M 2mm</v>
      </c>
      <c r="H29">
        <v>1000</v>
      </c>
      <c r="I29">
        <v>15</v>
      </c>
      <c r="J29">
        <v>15</v>
      </c>
      <c r="K29" t="str">
        <v>ASICS</v>
      </c>
      <c r="L29" t="str">
        <v>Forecast</v>
      </c>
      <c r="M29" t="str">
        <v>SPLITTING</v>
      </c>
      <c r="Q29">
        <v>46183</v>
      </c>
    </row>
    <row r="30">
      <c r="A30" t="str">
        <v>F-2026-04-229</v>
      </c>
      <c r="B30" t="str">
        <v>FPRO-260416-0014</v>
      </c>
      <c r="C30" t="str">
        <v>5/6-6/6</v>
      </c>
      <c r="D30" t="str">
        <v>Firm plan 16.4</v>
      </c>
      <c r="E30" t="str">
        <v>BDB-000113</v>
      </c>
      <c r="F30" t="str">
        <v>PVN-003414</v>
      </c>
      <c r="G30" t="str">
        <v>OrthoLite Regular-Hybrid SEEDPEARL/12-0703TPX Hybrid Flat Sheet 0.11D 25+/-4 Asker C 1.1M 2M 12mm</v>
      </c>
      <c r="H30">
        <v>2500</v>
      </c>
      <c r="I30">
        <v>218</v>
      </c>
      <c r="J30">
        <v>218</v>
      </c>
      <c r="K30" t="str">
        <v>ASICS</v>
      </c>
      <c r="L30" t="str">
        <v>Forecast</v>
      </c>
      <c r="M30" t="str">
        <v>MOLDED</v>
      </c>
      <c r="Q30">
        <v>46183</v>
      </c>
    </row>
    <row r="31">
      <c r="G31" t="str">
        <v>RELEASE ĐỢT 2</v>
      </c>
    </row>
    <row r="32">
      <c r="H32">
        <v>26080</v>
      </c>
      <c r="I32">
        <v>1448</v>
      </c>
      <c r="J32">
        <v>1448</v>
      </c>
      <c r="N32">
        <v>1281</v>
      </c>
      <c r="O32">
        <v>-59</v>
      </c>
    </row>
    <row r="33">
      <c r="A33" t="str">
        <v>Máy 2</v>
      </c>
      <c r="C33">
        <v>0</v>
      </c>
      <c r="G33" t="str">
        <v>1/6-6/6</v>
      </c>
    </row>
    <row r="34">
      <c r="A34" t="str">
        <v>F-2026-06-42</v>
      </c>
      <c r="B34" t="str">
        <v>RPRO-260602-0738</v>
      </c>
      <c r="C34" t="str">
        <v>5/6</v>
      </c>
      <c r="D34" t="str">
        <v>Pro.sche.report 1.06</v>
      </c>
      <c r="E34" t="str">
        <v>BDB-000123</v>
      </c>
      <c r="F34" t="str">
        <v>PVN-002884</v>
      </c>
      <c r="G34" t="str">
        <v>OrthoLite Ultra-Hybrid SEEDPEARL/12-0703TPX Hybrid Flat Sheet 0.085D 25+/-4 Asker C 1.1M 2M 10mm</v>
      </c>
      <c r="H34">
        <v>1781</v>
      </c>
      <c r="I34">
        <v>137</v>
      </c>
      <c r="J34">
        <v>137</v>
      </c>
      <c r="K34" t="str">
        <v>ADIDAS</v>
      </c>
      <c r="L34" t="str">
        <v>Pro. Schedule</v>
      </c>
      <c r="M34" t="str">
        <v>MOLDED</v>
      </c>
      <c r="N34">
        <v>351</v>
      </c>
      <c r="Q34">
        <v>46182</v>
      </c>
    </row>
    <row r="35">
      <c r="A35" t="str">
        <v>F-2026-05-249</v>
      </c>
      <c r="B35" t="str">
        <v>FPRO-260515-0001</v>
      </c>
      <c r="C35" t="str">
        <v>5/6</v>
      </c>
      <c r="D35" t="str">
        <v>Firm plan 15.05</v>
      </c>
      <c r="E35" t="str">
        <v>BDB-000123</v>
      </c>
      <c r="F35" t="str">
        <v>PVN-002973</v>
      </c>
      <c r="G35" t="str">
        <v>OrthoLite Ultra-Hybrid SEEDPEARL/12-0703TPX Hybrid 0.085D 25+/-4 Asker C 1.1M 2M 4.5mm</v>
      </c>
      <c r="H35">
        <v>408</v>
      </c>
      <c r="I35">
        <v>14</v>
      </c>
      <c r="J35">
        <v>14</v>
      </c>
      <c r="K35" t="str">
        <v>SALOMON</v>
      </c>
      <c r="L35" t="str">
        <v>Forecast</v>
      </c>
      <c r="M35" t="str">
        <v>MOLDED</v>
      </c>
      <c r="Q35">
        <v>46183</v>
      </c>
    </row>
    <row r="36">
      <c r="A36" t="str">
        <v>F-2026-04-381</v>
      </c>
      <c r="B36" t="str">
        <v>FPRO-260428-0004</v>
      </c>
      <c r="C36" t="str">
        <v>5/6-6/6</v>
      </c>
      <c r="D36" t="str">
        <v>Firm plan 28.04</v>
      </c>
      <c r="E36" t="str">
        <v>BDB-000123</v>
      </c>
      <c r="F36" t="str">
        <v>PVN-003298</v>
      </c>
      <c r="G36" t="str">
        <v>OrthoLite Ultra-Hybrid SEEDPEARL/12-0703TPX Hybrid 0.085D 25+/-4 Asker C 1.1M 2M 4mm</v>
      </c>
      <c r="H36">
        <v>7000</v>
      </c>
      <c r="I36">
        <v>200</v>
      </c>
      <c r="J36">
        <v>200</v>
      </c>
      <c r="K36" t="str">
        <v>ADIDAS</v>
      </c>
      <c r="L36" t="str">
        <v>Forecast</v>
      </c>
      <c r="M36" t="str">
        <v>SPLITTING</v>
      </c>
      <c r="Q36">
        <v>46183</v>
      </c>
    </row>
    <row r="38">
      <c r="A38" t="str">
        <v>F-2026-05-472</v>
      </c>
      <c r="B38" t="str">
        <v>RPRO-260529-0352</v>
      </c>
      <c r="C38" t="str">
        <v>6/6</v>
      </c>
      <c r="D38" t="str">
        <v>Pro.sche.report 28.05</v>
      </c>
      <c r="E38" t="str">
        <v>BDB-000229</v>
      </c>
      <c r="F38" t="str">
        <v>PVN-003692</v>
      </c>
      <c r="G38" t="str">
        <v>OrthoLite Ultra-Hybrid SEEDPEARL/12-0703TPX Hybrid Flat Sheet 0.095D 33+/-4 Asker C 1.1M 2M 15.5mm</v>
      </c>
      <c r="H38">
        <v>16</v>
      </c>
      <c r="I38">
        <v>2</v>
      </c>
      <c r="J38">
        <v>2</v>
      </c>
      <c r="K38" t="str">
        <v>GARMONT</v>
      </c>
      <c r="L38" t="str">
        <v>Pro. Schedule</v>
      </c>
      <c r="M38" t="str">
        <v>MOLDED</v>
      </c>
      <c r="N38">
        <v>2</v>
      </c>
      <c r="Q38">
        <v>46183</v>
      </c>
    </row>
    <row r="40">
      <c r="A40" t="str">
        <v>F-2026-05-468</v>
      </c>
      <c r="B40" t="str">
        <v>RPRO-260529-0348</v>
      </c>
      <c r="C40" t="str">
        <v>6/6</v>
      </c>
      <c r="D40" t="str">
        <v>MPS 28.05</v>
      </c>
      <c r="E40" t="str">
        <v>BDB-000286</v>
      </c>
      <c r="F40" t="str">
        <v>PVN-003924</v>
      </c>
      <c r="G40" t="str">
        <v>OrthoLite Regular-Hybrid SEEDPEARL/12-0703TPX Hybrid Flat Sheet 0.13D 25+/-4 Asker C 1.1M 1.7M 5mm</v>
      </c>
      <c r="H40">
        <v>812</v>
      </c>
      <c r="I40">
        <v>29</v>
      </c>
      <c r="J40">
        <v>29</v>
      </c>
      <c r="L40" t="str">
        <v>MPS</v>
      </c>
      <c r="M40" t="str">
        <v>SPLITTING</v>
      </c>
      <c r="N40">
        <v>70</v>
      </c>
      <c r="Q40">
        <v>46183.65283344907</v>
      </c>
    </row>
    <row r="41">
      <c r="A41" t="str">
        <v>F-2026-05-469</v>
      </c>
      <c r="B41" t="str">
        <v>RPRO-260529-0349</v>
      </c>
      <c r="C41" t="str">
        <v>6/6</v>
      </c>
      <c r="D41" t="str">
        <v>MPS 28.05</v>
      </c>
      <c r="E41" t="str">
        <v>BDB-000286</v>
      </c>
      <c r="F41" t="str">
        <v>PVN-003863</v>
      </c>
      <c r="G41" t="str">
        <v>OrthoLite Regular-Hybrid SEEDPEARL/12-0703TPX Hybrid Flat Sheet 0.13D 25+/-4 Asker C 1.1M 1.7M 2mm</v>
      </c>
      <c r="H41">
        <v>280</v>
      </c>
      <c r="I41">
        <v>5</v>
      </c>
      <c r="J41">
        <v>5</v>
      </c>
      <c r="L41" t="str">
        <v>MPS</v>
      </c>
      <c r="M41" t="str">
        <v>SPLITTING</v>
      </c>
      <c r="Q41">
        <v>46183.65283344907</v>
      </c>
    </row>
    <row r="42">
      <c r="A42" t="str">
        <v>F-2026-05-470</v>
      </c>
      <c r="B42" t="str">
        <v>RPRO-260529-0350</v>
      </c>
      <c r="C42" t="str">
        <v>6/6</v>
      </c>
      <c r="D42" t="str">
        <v>MPS 28.05</v>
      </c>
      <c r="E42" t="str">
        <v>BDB-000286</v>
      </c>
      <c r="F42" t="str">
        <v>PVN-003864</v>
      </c>
      <c r="G42" t="str">
        <v>OrthoLite Regular-Hybrid SEEDPEARL/12-0703TPX Hybrid Flat Sheet 0.13D 25+/-4 Asker C 1.1M 1.7M 3mm</v>
      </c>
      <c r="H42">
        <v>1610</v>
      </c>
      <c r="I42">
        <v>36</v>
      </c>
      <c r="J42">
        <v>36</v>
      </c>
      <c r="L42" t="str">
        <v>MPS</v>
      </c>
      <c r="M42" t="str">
        <v>SPLITTING</v>
      </c>
      <c r="Q42">
        <v>46183.65283344907</v>
      </c>
    </row>
    <row r="44">
      <c r="A44" t="str">
        <v>F-2026-04-438</v>
      </c>
      <c r="B44" t="str">
        <v>FPRO-260429-0051</v>
      </c>
      <c r="C44" t="str">
        <v>6/6-8/6</v>
      </c>
      <c r="D44" t="str">
        <v>Firm plan 29.04</v>
      </c>
      <c r="E44" t="str">
        <v>BDB-000175</v>
      </c>
      <c r="F44" t="str">
        <v>PVN-002875</v>
      </c>
      <c r="G44" t="str">
        <v>OrthoLite Ultra-Hybrid-Nike SEEDPEARL/12-0703TPX Hybrid 0.085D 25+/-4 Asker C 1.1M 2M 3mm</v>
      </c>
      <c r="H44">
        <v>800</v>
      </c>
      <c r="I44">
        <v>18</v>
      </c>
      <c r="J44">
        <v>18</v>
      </c>
      <c r="K44" t="str">
        <v>NIKE</v>
      </c>
      <c r="L44" t="str">
        <v>Forecast</v>
      </c>
      <c r="M44" t="str">
        <v>DIE CUT</v>
      </c>
      <c r="N44">
        <v>18</v>
      </c>
      <c r="Q44">
        <v>46183</v>
      </c>
    </row>
    <row r="45">
      <c r="G45" t="str">
        <v>RELEASE ĐỢT 2</v>
      </c>
    </row>
    <row r="46">
      <c r="H46">
        <v>47625</v>
      </c>
      <c r="I46">
        <v>1630</v>
      </c>
      <c r="J46">
        <v>1630</v>
      </c>
      <c r="N46">
        <v>1437</v>
      </c>
      <c r="O46">
        <v>7</v>
      </c>
    </row>
    <row r="47">
      <c r="A47" t="str">
        <v>Máy 3</v>
      </c>
      <c r="C47">
        <v>0</v>
      </c>
      <c r="G47" t="str">
        <v>1/6-6/6</v>
      </c>
    </row>
    <row r="48">
      <c r="A48" t="str">
        <v>F-2026-06-54</v>
      </c>
      <c r="B48" t="str">
        <v>RPRO-260602-0750</v>
      </c>
      <c r="C48" t="str">
        <v>5/6</v>
      </c>
      <c r="D48" t="str">
        <v>Pro.sche.report 1.06</v>
      </c>
      <c r="E48" t="str">
        <v>BDB-000226</v>
      </c>
      <c r="F48" t="str">
        <v>PVN-003517</v>
      </c>
      <c r="G48" t="str">
        <v>OrthoLite Regular GREY/17-1501TPX Flat Sheet 0.16D 51+/-4 Asker C 1.1M 1.7M 12mm</v>
      </c>
      <c r="H48">
        <v>22</v>
      </c>
      <c r="I48">
        <v>3</v>
      </c>
      <c r="J48">
        <v>3</v>
      </c>
      <c r="K48" t="str">
        <v>CONVERSE</v>
      </c>
      <c r="L48" t="str">
        <v>Pro. Schedule</v>
      </c>
      <c r="M48" t="str">
        <v>DIE CUT</v>
      </c>
      <c r="N48">
        <v>3</v>
      </c>
      <c r="Q48">
        <v>46179</v>
      </c>
    </row>
    <row r="50">
      <c r="A50" t="str">
        <v>OIN-2026.05.25</v>
      </c>
      <c r="B50">
        <v>0</v>
      </c>
      <c r="C50" t="str">
        <v>5/6</v>
      </c>
      <c r="D50" t="str">
        <v>OIN</v>
      </c>
      <c r="E50" t="str">
        <v>BDB-000048</v>
      </c>
      <c r="F50" t="str">
        <v>PVN-004431</v>
      </c>
      <c r="G50" t="str">
        <v>[116-18781] Regular 45+/-4 Asker C 0.15D Rockport 7417C 1.10M X 1.70M 47mm</v>
      </c>
      <c r="H50">
        <v>32</v>
      </c>
      <c r="I50">
        <v>11</v>
      </c>
      <c r="J50">
        <v>11</v>
      </c>
      <c r="K50" t="str">
        <v>Rockport</v>
      </c>
      <c r="L50" t="str">
        <v>PO-7369</v>
      </c>
      <c r="M50" t="str">
        <v>FLAT SHEET</v>
      </c>
      <c r="N50">
        <v>11</v>
      </c>
      <c r="Q50">
        <v>46179</v>
      </c>
    </row>
    <row r="52">
      <c r="A52" t="str">
        <v>F-2026-03-454</v>
      </c>
      <c r="B52" t="str">
        <v>FPRO-260324-0026</v>
      </c>
      <c r="C52" t="str">
        <v>5/6</v>
      </c>
      <c r="D52" t="str">
        <v>Firm plan 24.3</v>
      </c>
      <c r="E52" t="str">
        <v>BDB-000161</v>
      </c>
      <c r="F52" t="str">
        <v>PVN-001560</v>
      </c>
      <c r="G52" t="str">
        <v>OrthoLite Ultra-Nike FOSSIL/17-0909TPX 0.085D 25+/-4 Asker C 1.1M 2M 4mm</v>
      </c>
      <c r="H52">
        <v>1000</v>
      </c>
      <c r="I52">
        <v>29</v>
      </c>
      <c r="J52">
        <v>29</v>
      </c>
      <c r="K52" t="str">
        <v>NIKE</v>
      </c>
      <c r="L52" t="str">
        <v>Forecast</v>
      </c>
      <c r="M52" t="str">
        <v>DIE CUT</v>
      </c>
      <c r="N52">
        <v>29</v>
      </c>
      <c r="Q52">
        <v>46181</v>
      </c>
    </row>
    <row r="54">
      <c r="A54" t="str">
        <v>F-2026-03-478</v>
      </c>
      <c r="B54" t="str">
        <v>FPRO-260324-0050</v>
      </c>
      <c r="C54" t="str">
        <v>5/6-6/6</v>
      </c>
      <c r="D54" t="str">
        <v>Firm plan 24.3</v>
      </c>
      <c r="E54" t="str">
        <v>BDB-000163</v>
      </c>
      <c r="F54" t="str">
        <v>PVN-001556</v>
      </c>
      <c r="G54" t="str">
        <v>OrthoLite Ultra-Nike YELLOW/13-0858TPX 0.085D 25+/-4 Asker C 1.1M 2M 4mm</v>
      </c>
      <c r="H54">
        <v>1600</v>
      </c>
      <c r="I54">
        <v>46</v>
      </c>
      <c r="J54">
        <v>46</v>
      </c>
      <c r="K54" t="str">
        <v>NIKE</v>
      </c>
      <c r="L54" t="str">
        <v>Forecast</v>
      </c>
      <c r="M54" t="str">
        <v>DIE CUT</v>
      </c>
      <c r="N54">
        <v>46</v>
      </c>
      <c r="Q54">
        <v>46181</v>
      </c>
    </row>
    <row r="56">
      <c r="A56" t="str">
        <v>F-2026-04-391</v>
      </c>
      <c r="B56" t="str">
        <v>FPRO-260429-0004</v>
      </c>
      <c r="C56" t="str">
        <v>6/6</v>
      </c>
      <c r="D56" t="str">
        <v>Firm plan 29.04</v>
      </c>
      <c r="E56" t="str">
        <v>BDB-000129</v>
      </c>
      <c r="F56" t="str">
        <v>PVN-001550</v>
      </c>
      <c r="G56" t="str">
        <v>OrthoLite Regular-Nike AIR BLUE/16-4134TPX 0.11D 25+/-4 Asker C 1.1M 1.7M 2mm</v>
      </c>
      <c r="H56">
        <v>2000</v>
      </c>
      <c r="I56">
        <v>29</v>
      </c>
      <c r="J56">
        <v>29</v>
      </c>
      <c r="K56" t="str">
        <v>NIKE</v>
      </c>
      <c r="L56" t="str">
        <v>Forecast</v>
      </c>
      <c r="M56" t="str">
        <v>DIE CUT</v>
      </c>
      <c r="N56">
        <v>29</v>
      </c>
      <c r="Q56">
        <v>46182</v>
      </c>
    </row>
    <row r="58">
      <c r="A58" t="str">
        <v>F-2026-02-285-1-2</v>
      </c>
      <c r="B58" t="str">
        <v>FPRO-260507-0002</v>
      </c>
      <c r="C58" t="str">
        <v>6/6</v>
      </c>
      <c r="D58" t="str">
        <v>Firm plan 12.02</v>
      </c>
      <c r="E58" t="str">
        <v>BDB-000160</v>
      </c>
      <c r="F58" t="str">
        <v>PVN-001562</v>
      </c>
      <c r="G58" t="str">
        <v>OrthoLite Ultra-Nike LIME GREEN/14-0452TPX 0.085D 25+/-4 Asker C 1.1M 2M 4mm</v>
      </c>
      <c r="H58">
        <v>500</v>
      </c>
      <c r="I58">
        <v>15</v>
      </c>
      <c r="J58">
        <v>15</v>
      </c>
      <c r="K58" t="str">
        <v>NIKE</v>
      </c>
      <c r="L58" t="str">
        <v>Forecast</v>
      </c>
      <c r="M58" t="str">
        <v>DIE CUT</v>
      </c>
      <c r="N58">
        <v>15</v>
      </c>
      <c r="Q58">
        <v>46183</v>
      </c>
    </row>
    <row r="60">
      <c r="A60" t="str">
        <v>F-2026-04-424</v>
      </c>
      <c r="B60" t="str">
        <v>FPRO-260429-0037</v>
      </c>
      <c r="C60" t="str">
        <v>6/6</v>
      </c>
      <c r="D60" t="str">
        <v>Firm plan 29.04</v>
      </c>
      <c r="E60" t="str">
        <v>BDB-000164</v>
      </c>
      <c r="F60" t="str">
        <v>PVN-001618</v>
      </c>
      <c r="G60" t="str">
        <v>OrthoLite Ultra-Nike GREY/17-1501TPX 0.085D 25+/-4 Asker C 1.1M 2M 4mm</v>
      </c>
      <c r="H60">
        <v>500</v>
      </c>
      <c r="I60">
        <v>15</v>
      </c>
      <c r="J60">
        <v>15</v>
      </c>
      <c r="K60" t="str">
        <v>NIKE</v>
      </c>
      <c r="L60" t="str">
        <v>Forecast</v>
      </c>
      <c r="M60" t="str">
        <v>DIE CUT</v>
      </c>
      <c r="N60">
        <v>15</v>
      </c>
      <c r="Q60">
        <v>46183</v>
      </c>
    </row>
    <row r="62">
      <c r="A62" t="str">
        <v>F-2026-04-412</v>
      </c>
      <c r="B62" t="str">
        <v>FPRO-260429-0025</v>
      </c>
      <c r="C62" t="str">
        <v>6/6-8/6</v>
      </c>
      <c r="D62" t="str">
        <v>Firm plan 29.04</v>
      </c>
      <c r="E62" t="str">
        <v>BDB-000162</v>
      </c>
      <c r="F62" t="str">
        <v>PVN-001566</v>
      </c>
      <c r="G62" t="str">
        <v>OrthoLite Ultra-Nike SEEDPEARL/12-0703TPX 0.085D 25+/-4 Asker C 1.1M 2M 4mm</v>
      </c>
      <c r="H62">
        <v>2000</v>
      </c>
      <c r="I62">
        <v>58</v>
      </c>
      <c r="J62">
        <v>58</v>
      </c>
      <c r="K62" t="str">
        <v>NIKE</v>
      </c>
      <c r="L62" t="str">
        <v>Forecast</v>
      </c>
      <c r="M62" t="str">
        <v>DIE CUT</v>
      </c>
      <c r="N62">
        <v>58</v>
      </c>
      <c r="Q62">
        <v>46183</v>
      </c>
    </row>
    <row r="63">
      <c r="G63" t="str">
        <v>RELEASE ĐỢT 2</v>
      </c>
    </row>
    <row r="64">
      <c r="H64">
        <v>25411</v>
      </c>
      <c r="I64">
        <v>768</v>
      </c>
      <c r="J64">
        <v>774</v>
      </c>
      <c r="N64">
        <v>640</v>
      </c>
      <c r="O64">
        <v>20</v>
      </c>
    </row>
  </sheetData>
  <autoFilter ref="A2:Q138"/>
  <mergeCells count="1">
    <mergeCell ref="A1:B1"/>
  </mergeCells>
  <pageMargins left="0" right="0" top="0" bottom="0.25" header="0" footer="0"/>
  <ignoredErrors>
    <ignoredError numberStoredAsText="1" sqref="A1:V8357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W8307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list 2 - Phát sinh 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C3">
        <v>0</v>
      </c>
      <c r="G3" t="str">
        <v>1/6-6/6</v>
      </c>
    </row>
    <row r="4">
      <c r="A4" t="str">
        <v>F-2026-05-401</v>
      </c>
      <c r="B4" t="str">
        <v>FPRO-260527-0010</v>
      </c>
      <c r="C4" t="str">
        <v>4/6</v>
      </c>
      <c r="D4" t="str">
        <v>Firm plan 27/5</v>
      </c>
      <c r="E4" t="str">
        <v>BDB-000156</v>
      </c>
      <c r="F4" t="str">
        <v>PVN-003243</v>
      </c>
      <c r="G4" t="str">
        <v>OrthoLite X-35-Hybrid-Nike AMAZON/18-6024TPX Hybrid 0.145D 25+/-4 Asker C 1.1M 2M 5.2mm</v>
      </c>
      <c r="H4">
        <v>800</v>
      </c>
      <c r="I4">
        <v>31</v>
      </c>
      <c r="J4">
        <v>31</v>
      </c>
      <c r="K4" t="str">
        <v>NIKE</v>
      </c>
      <c r="L4" t="str">
        <v>Forecast</v>
      </c>
      <c r="M4" t="str">
        <v>MOLDED</v>
      </c>
      <c r="N4">
        <v>31</v>
      </c>
      <c r="Q4">
        <v>46179</v>
      </c>
    </row>
    <row r="5">
      <c r="G5" t="str">
        <v>RELEASE ĐỢT 2 - ADD</v>
      </c>
    </row>
    <row r="6">
      <c r="H6">
        <v>26880</v>
      </c>
      <c r="I6">
        <v>1479</v>
      </c>
      <c r="J6">
        <v>1479</v>
      </c>
      <c r="N6">
        <v>1312</v>
      </c>
      <c r="O6">
        <v>-14</v>
      </c>
    </row>
    <row r="7">
      <c r="A7" t="str">
        <v>Máy 3</v>
      </c>
      <c r="C7">
        <v>0</v>
      </c>
      <c r="G7" t="str">
        <v>1/6-6/6</v>
      </c>
    </row>
    <row r="8">
      <c r="A8" t="str">
        <v>F-2026-04-425</v>
      </c>
      <c r="B8" t="str">
        <v>FPRO-260429-0038</v>
      </c>
      <c r="C8" t="str">
        <v>5/6</v>
      </c>
      <c r="D8" t="str">
        <v>Firm plan 29.04</v>
      </c>
      <c r="E8" t="str">
        <v>BDB-000164</v>
      </c>
      <c r="F8" t="str">
        <v>PVN-001618</v>
      </c>
      <c r="G8" t="str">
        <v>OrthoLite Ultra-Nike GREY/17-1501TPX 0.085D 25+/-4 Asker C 1.1M 2M 4mm</v>
      </c>
      <c r="H8">
        <v>500</v>
      </c>
      <c r="I8">
        <v>15</v>
      </c>
      <c r="J8">
        <v>15</v>
      </c>
      <c r="K8" t="str">
        <v>NIKE</v>
      </c>
      <c r="L8" t="str">
        <v>Forecast</v>
      </c>
      <c r="M8" t="str">
        <v>DIE CUT</v>
      </c>
      <c r="N8">
        <v>15</v>
      </c>
      <c r="Q8">
        <v>46179</v>
      </c>
    </row>
    <row r="10">
      <c r="A10" t="str">
        <v>F-2026-04-411</v>
      </c>
      <c r="B10" t="str">
        <v>FPRO-260429-0024</v>
      </c>
      <c r="C10" t="str">
        <v>5/6</v>
      </c>
      <c r="D10" t="str">
        <v>Firm plan 29.04</v>
      </c>
      <c r="E10" t="str">
        <v>BDB-000131</v>
      </c>
      <c r="F10" t="str">
        <v>PVN-001565</v>
      </c>
      <c r="G10" t="str">
        <v>OrthoLite Regular-Nike AIR BLUE/16-4134TPX 0.11D 15+/-4 Asker C 1.1M 2M 4mm</v>
      </c>
      <c r="H10">
        <v>1000</v>
      </c>
      <c r="I10">
        <v>29</v>
      </c>
      <c r="J10">
        <v>29</v>
      </c>
      <c r="K10" t="str">
        <v>NIKE</v>
      </c>
      <c r="L10" t="str">
        <v>Forecast</v>
      </c>
      <c r="M10" t="str">
        <v>DIE CUT</v>
      </c>
      <c r="N10">
        <v>29</v>
      </c>
      <c r="Q10">
        <v>46179</v>
      </c>
    </row>
    <row r="12">
      <c r="A12" t="str">
        <v>F-2026-04-214-2</v>
      </c>
      <c r="B12" t="str">
        <v>FPRO-260514-0005</v>
      </c>
      <c r="C12" t="str">
        <v>6/6</v>
      </c>
      <c r="D12" t="str">
        <v>Firm plan 15.4</v>
      </c>
      <c r="E12" t="str">
        <v>BDB-000209</v>
      </c>
      <c r="F12" t="str">
        <v>PVN-003550</v>
      </c>
      <c r="G12" t="str">
        <v>OrthoLite HybridPlus-Recycled MINT GREEN/11-4805TPX Hybrid 0.12D 25+/-4 Asker C 1.1M 2M 6mm</v>
      </c>
      <c r="H12">
        <v>1000</v>
      </c>
      <c r="I12">
        <v>44</v>
      </c>
      <c r="J12">
        <v>44</v>
      </c>
      <c r="K12" t="str">
        <v>ON RUNNING</v>
      </c>
      <c r="L12" t="str">
        <v>Forecast</v>
      </c>
      <c r="M12" t="str">
        <v>MOLDED</v>
      </c>
      <c r="N12">
        <v>44</v>
      </c>
      <c r="Q12">
        <v>46182</v>
      </c>
    </row>
    <row r="13">
      <c r="G13" t="str">
        <v>RELEASE ĐỢT 2 - ADD</v>
      </c>
    </row>
    <row r="14">
      <c r="H14">
        <v>27911</v>
      </c>
      <c r="I14">
        <v>856</v>
      </c>
      <c r="J14">
        <v>862</v>
      </c>
      <c r="N14">
        <v>728</v>
      </c>
      <c r="O14">
        <v>-38</v>
      </c>
    </row>
  </sheetData>
  <autoFilter ref="A2:Q88"/>
  <pageMargins left="0.18" right="0.17" top="0.24" bottom="0.17" header="0.17" footer="0.17"/>
  <ignoredErrors>
    <ignoredError numberStoredAsText="1" sqref="A1:W8307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X8139"/>
  <sheetViews>
    <sheetView workbookViewId="0" rightToLeft="0"/>
  </sheetViews>
  <sheetData>
    <row r="1" xml:space="preserve">
      <c r="G1" t="str" xml:space="preserve">
        <v xml:space="preserve">Kế Hoạch Sản Xuất _x000d_
Production Planning_x000d_
List pha liệu đầu tuần 24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màu red của footjoy chạy  (CHẠY 16D, 35C)-PVN-003797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8/6-13/6</v>
      </c>
    </row>
    <row r="4">
      <c r="A4" t="str">
        <v>F-2026-06-02</v>
      </c>
      <c r="B4" t="str">
        <v>RPRO-260601-0853</v>
      </c>
      <c r="C4" t="str">
        <v>máy 1</v>
      </c>
      <c r="E4" t="str">
        <v>BDB-000348</v>
      </c>
      <c r="F4" t="str">
        <v>PVN-004195</v>
      </c>
      <c r="G4" t="str">
        <v>OrthoLite IMPERIAL SEEDPEARL/12-0703TPX Flat Sheet 0.22D 25+/-4 Asker C 1.1M 1.47M 4mm</v>
      </c>
      <c r="H4">
        <v>1680</v>
      </c>
      <c r="I4">
        <v>48</v>
      </c>
      <c r="J4">
        <v>48</v>
      </c>
      <c r="L4" t="str">
        <v>MPS</v>
      </c>
      <c r="M4" t="str">
        <v>SPLITING</v>
      </c>
      <c r="N4">
        <v>48</v>
      </c>
      <c r="Q4">
        <v>46182</v>
      </c>
      <c r="R4" t="str">
        <v>ok</v>
      </c>
    </row>
    <row r="5">
      <c r="R5" t="str">
        <v>ok</v>
      </c>
    </row>
    <row r="6">
      <c r="A6" t="str">
        <v>F-2026-04-447</v>
      </c>
      <c r="B6" t="str">
        <v>FPRO-260429-0060</v>
      </c>
      <c r="C6" t="str">
        <v>máy 1</v>
      </c>
      <c r="D6" t="str">
        <v>Firm plan 29.04</v>
      </c>
      <c r="E6" t="str">
        <v>BDB-000157</v>
      </c>
      <c r="F6" t="str">
        <v>PVN-003573</v>
      </c>
      <c r="G6" t="str">
        <v>OrthoLite X-35-Hybrid-Nike SEEDPEARL/12-0703TPX Hybrid 0.145D 25+/-4 Asker C 1.1M 2M 4.2mm</v>
      </c>
      <c r="H6">
        <v>2000</v>
      </c>
      <c r="I6">
        <v>61</v>
      </c>
      <c r="J6">
        <v>61</v>
      </c>
      <c r="K6" t="str">
        <v>NIKE</v>
      </c>
      <c r="L6" t="str">
        <v>Forecast</v>
      </c>
      <c r="M6" t="str">
        <v>MOLDED</v>
      </c>
      <c r="N6">
        <v>61</v>
      </c>
      <c r="Q6">
        <v>46182</v>
      </c>
      <c r="R6" t="str">
        <v>ok</v>
      </c>
    </row>
    <row r="7">
      <c r="R7" t="str">
        <v>ok</v>
      </c>
    </row>
    <row r="8">
      <c r="A8" t="str">
        <v>F-2026-06-11</v>
      </c>
      <c r="B8" t="str">
        <v>RPRO-260601-0862</v>
      </c>
      <c r="C8" t="str">
        <v>máy 1</v>
      </c>
      <c r="E8" t="str">
        <v>BDB-000305</v>
      </c>
      <c r="F8" t="str">
        <v>PVN-004000</v>
      </c>
      <c r="G8" t="str">
        <v>OrthoLite X-35-Nike YELLOW/13-0858TPX Flat Sheet 0.145D 25+/-4 Asker C 1.1M 2M 5.5mm</v>
      </c>
      <c r="H8">
        <v>150</v>
      </c>
      <c r="I8">
        <v>6</v>
      </c>
      <c r="J8">
        <v>6</v>
      </c>
      <c r="L8" t="str">
        <v>MPS</v>
      </c>
      <c r="M8" t="str">
        <v>SPLITING</v>
      </c>
      <c r="N8">
        <v>6</v>
      </c>
      <c r="Q8">
        <v>46186</v>
      </c>
      <c r="R8" t="str">
        <v>ok</v>
      </c>
    </row>
    <row r="9">
      <c r="R9" t="str">
        <v>ok</v>
      </c>
    </row>
    <row r="10">
      <c r="A10" t="str">
        <v>F-2026-06-40</v>
      </c>
      <c r="B10" t="str">
        <v>RPRO-260602-0736</v>
      </c>
      <c r="C10" t="str">
        <v>máy 1</v>
      </c>
      <c r="E10" t="str">
        <v>BDB-000234</v>
      </c>
      <c r="F10" t="str">
        <v>PVN-003581</v>
      </c>
      <c r="G10" t="str">
        <v>OrthoLite X-30-Hybrid BROWN SUGAR/17-1134TPX Hybrid Flat Sheet 0.13D 25+/-4 Asker C 1.1M 2M 12mm</v>
      </c>
      <c r="H10">
        <v>407</v>
      </c>
      <c r="I10">
        <v>36</v>
      </c>
      <c r="J10">
        <v>36</v>
      </c>
      <c r="K10" t="str">
        <v>ASICS</v>
      </c>
      <c r="L10" t="str">
        <v>Pro. Schedule</v>
      </c>
      <c r="M10" t="str">
        <v>MOLDED</v>
      </c>
      <c r="N10">
        <v>36</v>
      </c>
      <c r="Q10">
        <v>46184</v>
      </c>
      <c r="R10" t="str">
        <v>ok</v>
      </c>
    </row>
    <row r="11">
      <c r="G11" t="str">
        <v>xxxxxxxxxxxxxxxxxxxxxxxxxxxxxxxxx</v>
      </c>
    </row>
    <row r="12">
      <c r="G12" t="str">
        <v>RELEASE ĐỢT 1</v>
      </c>
    </row>
    <row r="13">
      <c r="H13">
        <v>10965</v>
      </c>
      <c r="I13">
        <v>443</v>
      </c>
      <c r="J13">
        <v>443</v>
      </c>
      <c r="N13">
        <v>443</v>
      </c>
      <c r="O13">
        <v>-327</v>
      </c>
    </row>
    <row r="14">
      <c r="A14" t="str">
        <v>Máy 2</v>
      </c>
      <c r="G14" t="str">
        <v>8/6-13/6</v>
      </c>
    </row>
    <row r="15">
      <c r="A15" t="str">
        <v>F-2026-06-90</v>
      </c>
      <c r="B15" t="str">
        <v>RPRO-260604-0452</v>
      </c>
      <c r="C15" t="str">
        <v>máy 2</v>
      </c>
      <c r="D15" t="str">
        <v>MPS 03.06+04.06</v>
      </c>
      <c r="E15" t="str">
        <v>BDB-000123</v>
      </c>
      <c r="F15" t="str">
        <v>PVN-003300</v>
      </c>
      <c r="G15" t="str">
        <v>OrthoLite Ultra-Hybrid SEEDPEARL/12-0703TPX Hybrid Flat Sheet 0.085D 25+/-4 Asker C 1.1M 2M 2mm</v>
      </c>
      <c r="H15">
        <v>1049</v>
      </c>
      <c r="I15">
        <v>15</v>
      </c>
      <c r="J15">
        <v>15</v>
      </c>
      <c r="L15" t="str">
        <v>MPS</v>
      </c>
      <c r="M15" t="str">
        <v>SPLITTING</v>
      </c>
      <c r="N15">
        <v>358</v>
      </c>
      <c r="Q15">
        <v>46181</v>
      </c>
    </row>
    <row r="16">
      <c r="A16" t="str">
        <v>F-2026-05-365</v>
      </c>
      <c r="B16" t="str">
        <v>FPRO-260526-0008</v>
      </c>
      <c r="C16" t="str">
        <v>máy 2</v>
      </c>
      <c r="D16" t="str">
        <v>Firm plan 26/5</v>
      </c>
      <c r="E16" t="str">
        <v>BDB-000123</v>
      </c>
      <c r="F16" t="str">
        <v>PVN-003299</v>
      </c>
      <c r="G16" t="str">
        <v>OrthoLite Ultra-Hybrid SEEDPEARL/12-0703TPX Hybrid 0.085D 25+/-4 Asker C 1.1M 2M 3mm</v>
      </c>
      <c r="H16">
        <v>6000</v>
      </c>
      <c r="I16">
        <v>131</v>
      </c>
      <c r="J16">
        <v>131</v>
      </c>
      <c r="K16" t="str">
        <v>ADIDAS</v>
      </c>
      <c r="L16" t="str">
        <v>Forecast</v>
      </c>
      <c r="M16" t="str">
        <v>SPLITTING</v>
      </c>
      <c r="Q16">
        <v>46182</v>
      </c>
    </row>
    <row r="17">
      <c r="A17" t="str">
        <v>F-2026-06-173</v>
      </c>
      <c r="B17" t="str">
        <v>RPRO-260605-0583</v>
      </c>
      <c r="C17" t="str">
        <v>máy 2</v>
      </c>
      <c r="D17" t="str">
        <v>MPS 05.06</v>
      </c>
      <c r="E17" t="str">
        <v>BDB-000123</v>
      </c>
      <c r="F17" t="str">
        <v>PVN-003300</v>
      </c>
      <c r="G17" t="str">
        <v>OrthoLite Ultra-Hybrid SEEDPEARL/12-0703TPX Hybrid Flat Sheet 0.085D 25+/-4 Asker C 1.1M 2M 2mm</v>
      </c>
      <c r="H17">
        <v>69</v>
      </c>
      <c r="I17">
        <v>1</v>
      </c>
      <c r="J17">
        <v>1</v>
      </c>
      <c r="L17" t="str">
        <v>MPS</v>
      </c>
      <c r="M17" t="str">
        <v>SPLITTING</v>
      </c>
      <c r="Q17">
        <v>46184</v>
      </c>
    </row>
    <row r="18">
      <c r="A18" t="str">
        <v>F-2026-05-314</v>
      </c>
      <c r="B18" t="str">
        <v>FPRO-260521-0001</v>
      </c>
      <c r="C18" t="str">
        <v>máy 2</v>
      </c>
      <c r="D18" t="str">
        <v>Firm plan 21.5</v>
      </c>
      <c r="E18" t="str">
        <v>BDB-000123</v>
      </c>
      <c r="F18" t="str">
        <v>PVN-002973</v>
      </c>
      <c r="G18" t="str">
        <v>OrthoLite Ultra-Hybrid SEEDPEARL/12-0703TPX Hybrid 0.085D 25+/-4 Asker C 1.1M 2M 4.5mm</v>
      </c>
      <c r="H18">
        <v>316</v>
      </c>
      <c r="I18">
        <v>11</v>
      </c>
      <c r="J18">
        <v>11</v>
      </c>
      <c r="K18" t="str">
        <v>SALOMON</v>
      </c>
      <c r="L18" t="str">
        <v>Forecast</v>
      </c>
      <c r="M18" t="str">
        <v>MOLDED</v>
      </c>
      <c r="Q18">
        <v>46184</v>
      </c>
    </row>
    <row r="19">
      <c r="A19" t="str">
        <v>F-2026-04-384</v>
      </c>
      <c r="B19" t="str">
        <v>FPRO-260428-0014</v>
      </c>
      <c r="C19" t="str">
        <v>máy 2</v>
      </c>
      <c r="D19" t="str">
        <v>Firm plan 28.04</v>
      </c>
      <c r="E19" t="str">
        <v>BDB-000123</v>
      </c>
      <c r="F19" t="str">
        <v>PVN-003298</v>
      </c>
      <c r="G19" t="str">
        <v>OrthoLite Ultra-Hybrid SEEDPEARL/12-0703TPX Hybrid 0.085D 25+/-4 Asker C 1.1M 2M 4mm</v>
      </c>
      <c r="H19">
        <v>7000</v>
      </c>
      <c r="I19">
        <v>200</v>
      </c>
      <c r="J19">
        <v>200</v>
      </c>
      <c r="K19" t="str">
        <v>ADIDAS</v>
      </c>
      <c r="L19" t="str">
        <v>Forecast</v>
      </c>
      <c r="M19" t="str">
        <v>SPLITTING</v>
      </c>
      <c r="Q19">
        <v>46184</v>
      </c>
    </row>
    <row r="20">
      <c r="G20" t="str">
        <v>xxxxxxxxxxxxxxxxxxxxxxxxxxxx</v>
      </c>
    </row>
    <row r="21">
      <c r="G21" t="str">
        <v>RELEASE ĐỢT 1</v>
      </c>
    </row>
    <row r="22">
      <c r="H22">
        <v>39728</v>
      </c>
      <c r="I22">
        <v>1036</v>
      </c>
      <c r="J22">
        <v>1036</v>
      </c>
      <c r="N22">
        <v>1036</v>
      </c>
      <c r="O22">
        <v>231</v>
      </c>
    </row>
    <row r="23">
      <c r="A23" t="str">
        <v>Máy 3</v>
      </c>
      <c r="G23" t="str">
        <v>8/6-13/6</v>
      </c>
    </row>
    <row r="24">
      <c r="A24" t="str">
        <v>F-2026-06-88</v>
      </c>
      <c r="B24" t="str">
        <v>RPRO-260604-0450</v>
      </c>
      <c r="C24" t="str">
        <v>máy 3</v>
      </c>
      <c r="D24" t="str">
        <v>MPS 03.06+04.06</v>
      </c>
      <c r="E24" t="str">
        <v>BDB-000058</v>
      </c>
      <c r="F24" t="str">
        <v>PVN-001319</v>
      </c>
      <c r="G24" t="str">
        <v>OrthoLite Ultra GREEN/16-5932TPX 0.085D 25+/-4 Asker C 1.1M 2M 5mm</v>
      </c>
      <c r="H24">
        <v>112</v>
      </c>
      <c r="I24">
        <v>4</v>
      </c>
      <c r="J24">
        <v>4</v>
      </c>
      <c r="L24" t="str">
        <v>MPS</v>
      </c>
      <c r="M24" t="str">
        <v>SPLITTING</v>
      </c>
      <c r="N24">
        <v>8</v>
      </c>
      <c r="Q24">
        <v>46181</v>
      </c>
    </row>
    <row r="25">
      <c r="A25" t="str">
        <v>F-2026-06-199</v>
      </c>
      <c r="B25" t="str">
        <v>RPRO-260605-0609</v>
      </c>
      <c r="C25" t="str">
        <v>máy 3</v>
      </c>
      <c r="D25" t="str">
        <v>Pro.sche.report 04.06</v>
      </c>
      <c r="E25" t="str">
        <v>BDB-000058</v>
      </c>
      <c r="F25" t="str">
        <v>PVN-001319</v>
      </c>
      <c r="G25" t="str">
        <v>OrthoLite Ultra GREEN/16-5932TPX Flat Sheet 0.085D 25+/-4 Asker C 1.1M 2M 5mm</v>
      </c>
      <c r="H25">
        <v>28</v>
      </c>
      <c r="I25">
        <v>1</v>
      </c>
      <c r="J25">
        <v>1</v>
      </c>
      <c r="K25" t="str">
        <v>NEW BALANCE</v>
      </c>
      <c r="L25" t="str">
        <v>Pro. Schedule</v>
      </c>
      <c r="M25" t="str">
        <v>DIE CUT</v>
      </c>
      <c r="Q25">
        <v>46181</v>
      </c>
    </row>
    <row r="26">
      <c r="A26" t="str">
        <v>F-2026-06-06</v>
      </c>
      <c r="B26" t="str">
        <v>RPRO-260601-0857</v>
      </c>
      <c r="C26" t="str">
        <v>máy 3</v>
      </c>
      <c r="E26" t="str">
        <v>BDB-000058</v>
      </c>
      <c r="F26" t="str">
        <v>PVN-001277</v>
      </c>
      <c r="G26" t="str">
        <v>OrthoLite Ultra GREEN/16-5932TPX Flat Sheet 0.085D 25+/-4 Asker C 1.1M 2M 4mm</v>
      </c>
      <c r="H26">
        <v>105</v>
      </c>
      <c r="I26">
        <v>3</v>
      </c>
      <c r="J26">
        <v>3</v>
      </c>
      <c r="L26" t="str">
        <v>MPS</v>
      </c>
      <c r="M26" t="str">
        <v>SPLITING</v>
      </c>
      <c r="Q26">
        <v>46186</v>
      </c>
    </row>
    <row r="28">
      <c r="A28" t="str">
        <v>F-2026-06-35</v>
      </c>
      <c r="B28" t="str">
        <v>RPRO-260602-0731</v>
      </c>
      <c r="C28" t="str">
        <v>máy 3</v>
      </c>
      <c r="E28" t="str">
        <v>BDB-000057</v>
      </c>
      <c r="F28" t="str">
        <v>PVN-000981</v>
      </c>
      <c r="G28" t="str">
        <v>OrthoLite Ultra YELLOW/13-0858TPX Flat Sheet 0.085D 25+/-4 Asker C 1.1M 2M 3mm</v>
      </c>
      <c r="H28">
        <v>152</v>
      </c>
      <c r="I28">
        <v>4</v>
      </c>
      <c r="J28">
        <v>4</v>
      </c>
      <c r="L28" t="str">
        <v>MPS</v>
      </c>
      <c r="M28" t="str">
        <v>SPLITTING</v>
      </c>
      <c r="N28">
        <v>28</v>
      </c>
      <c r="Q28">
        <v>46182</v>
      </c>
    </row>
    <row r="29">
      <c r="A29" t="str">
        <v>F-2026-06-136</v>
      </c>
      <c r="B29" t="str">
        <v>FPRO-260604-0017</v>
      </c>
      <c r="C29" t="str">
        <v>máy 3</v>
      </c>
      <c r="E29" t="str">
        <v>BDB-000057</v>
      </c>
      <c r="F29" t="str">
        <v>PVN-000925</v>
      </c>
      <c r="G29" t="str">
        <v>OrthoLite Ultra YELLOW/13-0858TPX Flat Sheet 0.085D 25+/-4 Asker C 1.1M 2M 5mm</v>
      </c>
      <c r="H29">
        <v>500</v>
      </c>
      <c r="I29">
        <v>18</v>
      </c>
      <c r="J29">
        <v>18</v>
      </c>
      <c r="K29" t="str">
        <v>ASICS</v>
      </c>
      <c r="L29" t="str">
        <v>Forecast</v>
      </c>
      <c r="M29" t="str">
        <v>LAMINATING</v>
      </c>
      <c r="Q29">
        <v>46184</v>
      </c>
    </row>
    <row r="30">
      <c r="A30" t="str">
        <v>F-2026-06-30</v>
      </c>
      <c r="B30" t="str">
        <v>RPRO-260601-0881</v>
      </c>
      <c r="C30" t="str">
        <v>máy 3</v>
      </c>
      <c r="E30" t="str">
        <v>BDB-000057</v>
      </c>
      <c r="F30" t="str">
        <v>PVN-000825</v>
      </c>
      <c r="G30" t="str">
        <v>OrthoLite Ultra YELLOW/13-0858TPX Flat Sheet 0.085D 25+/-4 Asker C 1.1M 2M 12mm</v>
      </c>
      <c r="H30">
        <v>66</v>
      </c>
      <c r="I30">
        <v>6</v>
      </c>
      <c r="J30">
        <v>6</v>
      </c>
      <c r="K30" t="str">
        <v>ASICS</v>
      </c>
      <c r="L30" t="str">
        <v>Pro. Schedule</v>
      </c>
      <c r="M30" t="str">
        <v>MOLDED</v>
      </c>
      <c r="Q30">
        <v>46186</v>
      </c>
    </row>
    <row r="32">
      <c r="A32" t="str">
        <v>F-2026-06-55</v>
      </c>
      <c r="B32" t="str">
        <v>RPRO-260602-0751</v>
      </c>
      <c r="C32" t="str">
        <v>máy 3</v>
      </c>
      <c r="E32" t="str">
        <v>BDB-000011</v>
      </c>
      <c r="F32" t="str">
        <v>PVN-000184</v>
      </c>
      <c r="G32" t="str">
        <v>OrthoLite Regular AIR BLUE/16-4134TPX Flat Sheet 0.13D 35+/-4 Asker C 1.1M 2M 14mm</v>
      </c>
      <c r="H32">
        <v>45</v>
      </c>
      <c r="I32">
        <v>5</v>
      </c>
      <c r="J32">
        <v>5</v>
      </c>
      <c r="K32" t="str">
        <v>ADIDAS</v>
      </c>
      <c r="L32" t="str">
        <v>Pro. Schedule</v>
      </c>
      <c r="M32" t="str">
        <v>MOLDED</v>
      </c>
      <c r="N32">
        <v>102</v>
      </c>
      <c r="Q32">
        <v>46183</v>
      </c>
      <c r="R32" t="str">
        <v>OK</v>
      </c>
    </row>
    <row r="33">
      <c r="A33" t="str">
        <v>F-2026-06-122</v>
      </c>
      <c r="B33" t="str">
        <v>FPRO-260604-0003</v>
      </c>
      <c r="C33" t="str">
        <v>máy 3</v>
      </c>
      <c r="E33" t="str">
        <v>BDB-000011</v>
      </c>
      <c r="F33" t="str">
        <v>PVN-000121</v>
      </c>
      <c r="G33" t="str">
        <v>OrthoLite Regular AIR BLUE/16-4134TPX Flat Sheet 0.13D 35+/-4 Asker C 1.1M 2M 12mm</v>
      </c>
      <c r="H33">
        <v>500</v>
      </c>
      <c r="I33">
        <v>44</v>
      </c>
      <c r="J33">
        <v>44</v>
      </c>
      <c r="K33" t="str">
        <v>ASICS</v>
      </c>
      <c r="L33" t="str">
        <v>Forecast</v>
      </c>
      <c r="M33" t="str">
        <v>MOLDED</v>
      </c>
      <c r="Q33">
        <v>46183</v>
      </c>
      <c r="R33" t="str">
        <v>OK</v>
      </c>
    </row>
    <row r="34">
      <c r="A34" t="str">
        <v>F-2026-04-234</v>
      </c>
      <c r="B34" t="str">
        <v>FPRO-260416-0019</v>
      </c>
      <c r="C34" t="str">
        <v>máy 3</v>
      </c>
      <c r="D34" t="str">
        <v>Firm plan 16.4</v>
      </c>
      <c r="E34" t="str">
        <v>BDB-000011</v>
      </c>
      <c r="F34" t="str">
        <v>PVN-000258</v>
      </c>
      <c r="G34" t="str">
        <v>OrthoLite Regular AIR BLUE/16-4134TPX Flat Sheet 0.13D 35+/-4 Asker C 1.1M 2M 2.5mm</v>
      </c>
      <c r="H34">
        <v>2000</v>
      </c>
      <c r="I34">
        <v>36</v>
      </c>
      <c r="J34">
        <v>36</v>
      </c>
      <c r="K34" t="str">
        <v>ASICS</v>
      </c>
      <c r="L34" t="str">
        <v>Forecast</v>
      </c>
      <c r="M34" t="str">
        <v>SPLITTING</v>
      </c>
      <c r="Q34">
        <v>46184</v>
      </c>
      <c r="R34" t="str">
        <v>OK</v>
      </c>
    </row>
    <row r="35">
      <c r="A35" t="str">
        <v>F-2026-06-03</v>
      </c>
      <c r="B35" t="str">
        <v>RPRO-260601-0854</v>
      </c>
      <c r="C35" t="str">
        <v>máy 3</v>
      </c>
      <c r="E35" t="str">
        <v>BDB-000011</v>
      </c>
      <c r="F35" t="str">
        <v>PVN-000126</v>
      </c>
      <c r="G35" t="str">
        <v>OrthoLite Regular AIR BLUE/16-4134TPX Flat Sheet 0.13D 35+/-4 Asker C 1.1M 2M 4mm</v>
      </c>
      <c r="H35">
        <v>490</v>
      </c>
      <c r="I35">
        <v>14</v>
      </c>
      <c r="J35">
        <v>14</v>
      </c>
      <c r="L35" t="str">
        <v>MPS</v>
      </c>
      <c r="M35" t="str">
        <v>SPLITING</v>
      </c>
      <c r="Q35">
        <v>46186</v>
      </c>
      <c r="R35" t="str">
        <v>OK</v>
      </c>
    </row>
    <row r="36">
      <c r="A36" t="str">
        <v>F-2026-06-04</v>
      </c>
      <c r="B36" t="str">
        <v>RPRO-260601-0855</v>
      </c>
      <c r="C36" t="str">
        <v>máy 3</v>
      </c>
      <c r="E36" t="str">
        <v>BDB-000011</v>
      </c>
      <c r="F36" t="str">
        <v>PVN-000127</v>
      </c>
      <c r="G36" t="str">
        <v>OrthoLite Regular AIR BLUE/16-4134TPX Flat Sheet 0.13D 35+/-4 Asker C 1.1M 2M 5mm</v>
      </c>
      <c r="H36">
        <v>84</v>
      </c>
      <c r="I36">
        <v>3</v>
      </c>
      <c r="J36">
        <v>3</v>
      </c>
      <c r="L36" t="str">
        <v>MPS</v>
      </c>
      <c r="M36" t="str">
        <v>SPLITING</v>
      </c>
      <c r="Q36">
        <v>46186</v>
      </c>
      <c r="R36" t="str">
        <v>OK</v>
      </c>
    </row>
    <row r="37">
      <c r="G37" t="str">
        <v>xxxxxxxxxxxxxxxxxxxxxxxxxxxxxxxxx</v>
      </c>
    </row>
    <row r="38">
      <c r="G38" t="str">
        <v>RELEASE ĐỢT 1</v>
      </c>
    </row>
    <row r="39">
      <c r="H39">
        <v>18502</v>
      </c>
      <c r="I39">
        <v>465</v>
      </c>
      <c r="J39">
        <v>465</v>
      </c>
      <c r="N39">
        <v>465</v>
      </c>
      <c r="O39">
        <v>115</v>
      </c>
    </row>
  </sheetData>
  <autoFilter ref="A2:Q142"/>
  <pageMargins left="0.18" right="0.17" top="0.24" bottom="0.17" header="0.17" footer="0.17"/>
  <ignoredErrors>
    <ignoredError numberStoredAsText="1" sqref="A1:X8139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S8245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24 - L1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màu red của footjoy chạy  (CHẠY 16D, 35C)-PVN-003797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G3" t="str">
        <v>8/6-13/6</v>
      </c>
    </row>
    <row r="4">
      <c r="A4" t="str">
        <v>F-2026-05-436</v>
      </c>
      <c r="B4" t="str">
        <v>RPRO-260528-0644</v>
      </c>
      <c r="C4" t="str">
        <v>8/6</v>
      </c>
      <c r="D4" t="str">
        <v>MPS 26.05+27.05</v>
      </c>
      <c r="E4" t="str">
        <v>BDB-000154</v>
      </c>
      <c r="F4" t="str">
        <v>PVN-003347</v>
      </c>
      <c r="G4" t="str">
        <v>OrthoLite X-40-Nike TRUE BLUE/19-4057TPX Flat Sheet 0.16D 35+/-4 Asker C 1.1M 1.7M 4mm</v>
      </c>
      <c r="H4">
        <v>35</v>
      </c>
      <c r="I4">
        <v>1</v>
      </c>
      <c r="J4">
        <v>1</v>
      </c>
      <c r="L4" t="str">
        <v>MPS</v>
      </c>
      <c r="M4" t="str">
        <v>SPLITTING</v>
      </c>
      <c r="N4">
        <v>1</v>
      </c>
      <c r="O4" t="str">
        <v>đơn cũ W23</v>
      </c>
      <c r="P4">
        <v>1</v>
      </c>
      <c r="Q4">
        <v>46182.55691550926</v>
      </c>
      <c r="R4" t="str">
        <v>ok</v>
      </c>
    </row>
    <row r="6">
      <c r="A6" t="str">
        <v>F-2026-02-374-2</v>
      </c>
      <c r="B6" t="str">
        <v>FPRO-260327-0009</v>
      </c>
      <c r="C6" t="str">
        <v>8/6</v>
      </c>
      <c r="D6" t="str">
        <v>Firm plan 27.02</v>
      </c>
      <c r="E6" t="str">
        <v>BDB-000347</v>
      </c>
      <c r="F6" t="str">
        <v>PVN-004192</v>
      </c>
      <c r="G6" t="str">
        <v>OrthoLite X-55-Hybrid SEEDPEARL/12-0703TPX Hybrid 0.16D 25+/-4 Asker C 1.1M 2M 12mm</v>
      </c>
      <c r="H6">
        <v>600</v>
      </c>
      <c r="I6">
        <v>55</v>
      </c>
      <c r="J6">
        <v>55</v>
      </c>
      <c r="K6" t="str">
        <v>BROOKS</v>
      </c>
      <c r="L6" t="str">
        <v>Forecast</v>
      </c>
      <c r="M6" t="str">
        <v>MOLDED</v>
      </c>
      <c r="N6">
        <v>2</v>
      </c>
      <c r="O6" t="str">
        <v>đơn cũ W23</v>
      </c>
      <c r="P6">
        <v>2</v>
      </c>
      <c r="Q6">
        <v>46179</v>
      </c>
      <c r="R6" t="str">
        <v>ok</v>
      </c>
    </row>
    <row r="8">
      <c r="A8" t="str">
        <v>F-2026-05-443</v>
      </c>
      <c r="B8" t="str">
        <v>RPRO-260529-0215</v>
      </c>
      <c r="C8" t="str">
        <v>8/6</v>
      </c>
      <c r="D8" t="str">
        <v>Pro.sche.report 26.05+27.05</v>
      </c>
      <c r="E8" t="str">
        <v>BDB-000229</v>
      </c>
      <c r="F8" t="str">
        <v>PVN-003692</v>
      </c>
      <c r="G8" t="str">
        <v>OrthoLite Ultra-Hybrid SEEDPEARL/12-0703TPX Hybrid Flat Sheet 0.095D 33+/-4 Asker C 1.1M 2M 15.5mm</v>
      </c>
      <c r="H8">
        <v>160</v>
      </c>
      <c r="I8">
        <v>20</v>
      </c>
      <c r="J8">
        <v>20</v>
      </c>
      <c r="K8" t="str">
        <v>GARMONT</v>
      </c>
      <c r="L8" t="str">
        <v>Pro. Schedule</v>
      </c>
      <c r="M8" t="str">
        <v>MOLDED</v>
      </c>
      <c r="N8">
        <v>11</v>
      </c>
      <c r="O8" t="str">
        <v>đơn cũ W23</v>
      </c>
      <c r="P8">
        <v>11</v>
      </c>
      <c r="Q8">
        <v>46182</v>
      </c>
      <c r="R8" t="str">
        <v>ok</v>
      </c>
    </row>
    <row r="10">
      <c r="A10" t="str">
        <v>F-2026-05-437</v>
      </c>
      <c r="B10" t="str">
        <v>RPRO-260528-0645</v>
      </c>
      <c r="C10" t="str">
        <v>8/6</v>
      </c>
      <c r="D10" t="str">
        <v>Pro.sche.report 26.05+27.05</v>
      </c>
      <c r="E10" t="str">
        <v>BDB-000052</v>
      </c>
      <c r="F10" t="str">
        <v>PVN-003603</v>
      </c>
      <c r="G10" t="str">
        <v>OrthoLite X-40 TRUE BLUE/19-4057TPX Flat Sheet 0.16D 25+/-4 Asker C 1.1M 1.47M 12mm</v>
      </c>
      <c r="H10">
        <v>1474</v>
      </c>
      <c r="I10">
        <v>129</v>
      </c>
      <c r="J10">
        <v>129</v>
      </c>
      <c r="K10" t="str">
        <v>ASICS</v>
      </c>
      <c r="L10" t="str">
        <v>Pro. Schedule</v>
      </c>
      <c r="M10" t="str">
        <v>MOLDED</v>
      </c>
      <c r="N10">
        <v>9</v>
      </c>
      <c r="O10" t="str">
        <v>đơn cũ W23</v>
      </c>
      <c r="P10">
        <v>9</v>
      </c>
      <c r="Q10">
        <v>46182</v>
      </c>
      <c r="R10" t="str">
        <v>ok</v>
      </c>
    </row>
    <row r="12">
      <c r="A12" t="str">
        <v>F-2026-06-27</v>
      </c>
      <c r="B12" t="str">
        <v>RPRO-260601-0878</v>
      </c>
      <c r="C12" t="str">
        <v>8/6</v>
      </c>
      <c r="D12" t="str">
        <v>Pro.sche.report 29.05+30.05+31.05)</v>
      </c>
      <c r="E12" t="str">
        <v>BDB-000117</v>
      </c>
      <c r="F12" t="str">
        <v>PVN-003148</v>
      </c>
      <c r="G12" t="str">
        <v>OrthoLite X-35-Hybrid SEEDPEARL/12-0703TPX Hybrid Flat Sheet 0.145D 25+/-4 Asker C 1.1M 2M 4.5mm</v>
      </c>
      <c r="H12">
        <v>93</v>
      </c>
      <c r="I12">
        <v>4</v>
      </c>
      <c r="J12">
        <v>4</v>
      </c>
      <c r="K12" t="str">
        <v>WILSON</v>
      </c>
      <c r="L12" t="str">
        <v>Pro. Schedule</v>
      </c>
      <c r="M12" t="str">
        <v>MOLDED</v>
      </c>
      <c r="N12">
        <v>4</v>
      </c>
      <c r="O12" t="str">
        <v>đơn cũ W23</v>
      </c>
      <c r="P12">
        <v>4</v>
      </c>
      <c r="Q12">
        <v>46182</v>
      </c>
      <c r="R12" t="str">
        <v>ok</v>
      </c>
    </row>
    <row r="14">
      <c r="A14" t="str">
        <v>F-2026-05-462</v>
      </c>
      <c r="B14" t="str">
        <v>RPRO-260529-0234</v>
      </c>
      <c r="C14" t="str">
        <v>8/6</v>
      </c>
      <c r="D14" t="str">
        <v>Pro.sche.report 26.05+27.05</v>
      </c>
      <c r="E14" t="str">
        <v>BDB-000346</v>
      </c>
      <c r="F14" t="str">
        <v>PVN-004188</v>
      </c>
      <c r="G14" t="str">
        <v>OrthoLite Float NEUTRAL GRAY/17-4402TPX Flat Sheet 0.12D 21+/-4 Asker C 1.1M 1.47M 5.5mm</v>
      </c>
      <c r="H14">
        <v>23</v>
      </c>
      <c r="I14">
        <v>1</v>
      </c>
      <c r="J14">
        <v>1</v>
      </c>
      <c r="K14" t="str">
        <v>PUMA</v>
      </c>
      <c r="L14" t="str">
        <v>Pro. Schedule</v>
      </c>
      <c r="M14" t="str">
        <v>MOLDED</v>
      </c>
      <c r="N14">
        <v>4</v>
      </c>
      <c r="O14" t="str">
        <v>đơn cũ W23</v>
      </c>
      <c r="P14">
        <v>1</v>
      </c>
      <c r="Q14">
        <v>46182</v>
      </c>
      <c r="R14" t="str">
        <v>ok</v>
      </c>
    </row>
    <row r="15">
      <c r="A15" t="str">
        <v>F-2026-06-13</v>
      </c>
      <c r="B15" t="str">
        <v>RPRO-260601-0864</v>
      </c>
      <c r="C15" t="str">
        <v>8/6</v>
      </c>
      <c r="D15" t="str">
        <v>Pro.sche.report 29.05+30.05+31.05)</v>
      </c>
      <c r="E15" t="str">
        <v>BDB-000346</v>
      </c>
      <c r="F15" t="str">
        <v>PVN-004188</v>
      </c>
      <c r="G15" t="str">
        <v>OrthoLite Float NEUTRAL GRAY/17-4402TPX Flat Sheet 0.12D 21+/-4 Asker C 1.1M 1.47M 5.5mm</v>
      </c>
      <c r="H15">
        <v>75</v>
      </c>
      <c r="I15">
        <v>3</v>
      </c>
      <c r="J15">
        <v>3</v>
      </c>
      <c r="K15" t="str">
        <v>PUMA</v>
      </c>
      <c r="L15" t="str">
        <v>Pro. Schedule</v>
      </c>
      <c r="M15" t="str">
        <v>MOLDED</v>
      </c>
      <c r="O15" t="str">
        <v>đơn cũ W23</v>
      </c>
      <c r="P15">
        <v>3</v>
      </c>
      <c r="Q15">
        <v>46182</v>
      </c>
      <c r="R15" t="str">
        <v>ok</v>
      </c>
    </row>
    <row r="17">
      <c r="A17" t="str">
        <v>F-2026-05-474</v>
      </c>
      <c r="B17" t="str">
        <v>RPRO-260529-0354</v>
      </c>
      <c r="C17" t="str">
        <v>8/6</v>
      </c>
      <c r="D17" t="str">
        <v>Pro.sche.report 28.05</v>
      </c>
      <c r="E17" t="str">
        <v>BDB-000313</v>
      </c>
      <c r="F17" t="str">
        <v>PVN-004061</v>
      </c>
      <c r="G17" t="str">
        <v>OrthoLite X-55 RED/19-1764TPX Flat Sheet 0.16D 25+/-4 Asker C 1.1M 1.47M 18mm</v>
      </c>
      <c r="H17">
        <v>14</v>
      </c>
      <c r="I17">
        <v>3</v>
      </c>
      <c r="J17">
        <v>3</v>
      </c>
      <c r="K17" t="str">
        <v>WILSON</v>
      </c>
      <c r="L17" t="str">
        <v>Pro. Schedule</v>
      </c>
      <c r="M17" t="str">
        <v>MOLDED</v>
      </c>
      <c r="N17">
        <v>3</v>
      </c>
      <c r="O17" t="str">
        <v>đơn cũ W23</v>
      </c>
      <c r="P17">
        <v>3</v>
      </c>
      <c r="Q17">
        <v>46183</v>
      </c>
      <c r="R17" t="str">
        <v>ok</v>
      </c>
    </row>
    <row r="19">
      <c r="A19" t="str">
        <v>F-2026-06-16</v>
      </c>
      <c r="B19" t="str">
        <v>RPRO-260601-0867</v>
      </c>
      <c r="C19" t="str">
        <v>8/6</v>
      </c>
      <c r="D19" t="str">
        <v>Pro.sche.report 29.05+30.05+31.05)</v>
      </c>
      <c r="E19" t="str">
        <v>BDB-000011</v>
      </c>
      <c r="F19" t="str">
        <v>PVN-000121</v>
      </c>
      <c r="G19" t="str">
        <v>OrthoLite Regular AIR BLUE/16-4134TPX Flat Sheet 0.13D 35+/-4 Asker C 1.1M 2M 12mm</v>
      </c>
      <c r="H19">
        <v>22</v>
      </c>
      <c r="I19">
        <v>2</v>
      </c>
      <c r="J19">
        <v>2</v>
      </c>
      <c r="K19" t="str">
        <v>ASICS</v>
      </c>
      <c r="L19" t="str">
        <v>Pro. Schedule</v>
      </c>
      <c r="M19" t="str">
        <v>MOLDED</v>
      </c>
      <c r="N19">
        <v>17</v>
      </c>
      <c r="O19" t="str">
        <v>đơn cũ W23</v>
      </c>
      <c r="P19">
        <v>2</v>
      </c>
      <c r="Q19">
        <v>46183</v>
      </c>
      <c r="R19" t="str">
        <v>ok</v>
      </c>
    </row>
    <row r="20">
      <c r="A20" t="str">
        <v>F-2026-03-359</v>
      </c>
      <c r="B20" t="str">
        <v>FPRO-260318-0003</v>
      </c>
      <c r="C20" t="str">
        <v>8/6</v>
      </c>
      <c r="D20" t="str">
        <v>Firm plan 18.3</v>
      </c>
      <c r="E20" t="str">
        <v>BDB-000011</v>
      </c>
      <c r="F20" t="str">
        <v>PVN-000242</v>
      </c>
      <c r="G20" t="str">
        <v>OrthoLite Regular AIR BLUE/16-4134TPX Flat Sheet 0.13D 35+/-4 Asker C 1.1M 2M 2mm</v>
      </c>
      <c r="H20">
        <v>1000</v>
      </c>
      <c r="I20">
        <v>15</v>
      </c>
      <c r="J20">
        <v>15</v>
      </c>
      <c r="K20" t="str">
        <v>ASICS</v>
      </c>
      <c r="L20" t="str">
        <v>Forecast</v>
      </c>
      <c r="M20" t="str">
        <v>SPLITTING</v>
      </c>
      <c r="O20" t="str">
        <v>đơn cũ W23</v>
      </c>
      <c r="P20">
        <v>15</v>
      </c>
      <c r="Q20">
        <v>46183</v>
      </c>
    </row>
    <row r="22">
      <c r="A22" t="str">
        <v>F-2026-04-229</v>
      </c>
      <c r="B22" t="str">
        <v>FPRO-260416-0014</v>
      </c>
      <c r="C22" t="str">
        <v>8/6-9/6</v>
      </c>
      <c r="D22" t="str">
        <v>Firm plan 16.4</v>
      </c>
      <c r="E22" t="str">
        <v>BDB-000113</v>
      </c>
      <c r="F22" t="str">
        <v>PVN-003414</v>
      </c>
      <c r="G22" t="str">
        <v>OrthoLite Regular-Hybrid SEEDPEARL/12-0703TPX Hybrid Flat Sheet 0.11D 25+/-4 Asker C 1.1M 2M 12mm</v>
      </c>
      <c r="H22">
        <v>2500</v>
      </c>
      <c r="I22">
        <v>218</v>
      </c>
      <c r="J22">
        <v>218</v>
      </c>
      <c r="K22" t="str">
        <v>ASICS</v>
      </c>
      <c r="L22" t="str">
        <v>Forecast</v>
      </c>
      <c r="M22" t="str">
        <v>MOLDED</v>
      </c>
      <c r="N22">
        <v>87</v>
      </c>
      <c r="O22" t="str">
        <v>đơn cũ W23</v>
      </c>
      <c r="P22">
        <v>87</v>
      </c>
      <c r="Q22">
        <v>46183</v>
      </c>
      <c r="R22" t="str">
        <v>ok</v>
      </c>
    </row>
    <row r="24">
      <c r="A24" t="str">
        <v>F-2026-06-02</v>
      </c>
      <c r="B24" t="str">
        <v>RPRO-260601-0853</v>
      </c>
      <c r="C24" t="str">
        <v>9/6</v>
      </c>
      <c r="E24" t="str">
        <v>BDB-000348</v>
      </c>
      <c r="F24" t="str">
        <v>PVN-004195</v>
      </c>
      <c r="G24" t="str">
        <v>OrthoLite IMPERIAL SEEDPEARL/12-0703TPX Flat Sheet 0.22D 25+/-4 Asker C 1.1M 1.47M 4mm</v>
      </c>
      <c r="H24">
        <v>1680</v>
      </c>
      <c r="I24">
        <v>48</v>
      </c>
      <c r="J24">
        <v>48</v>
      </c>
      <c r="L24" t="str">
        <v>MPS</v>
      </c>
      <c r="M24" t="str">
        <v>SPLITING</v>
      </c>
      <c r="N24">
        <v>48</v>
      </c>
      <c r="P24" t="str">
        <v xml:space="preserve">gấp </v>
      </c>
      <c r="Q24">
        <v>46183</v>
      </c>
      <c r="S24" t="str">
        <v>ok</v>
      </c>
    </row>
    <row r="26">
      <c r="A26" t="str">
        <v>F-2026-04-447</v>
      </c>
      <c r="B26" t="str">
        <v>FPRO-260429-0060</v>
      </c>
      <c r="C26" t="str">
        <v>9/6</v>
      </c>
      <c r="D26" t="str">
        <v>Firm plan 29.04</v>
      </c>
      <c r="E26" t="str">
        <v>BDB-000157</v>
      </c>
      <c r="F26" t="str">
        <v>PVN-003573</v>
      </c>
      <c r="G26" t="str">
        <v>OrthoLite X-35-Hybrid-Nike SEEDPEARL/12-0703TPX Hybrid 0.145D 25+/-4 Asker C 1.1M 2M 4.2mm</v>
      </c>
      <c r="H26">
        <v>2000</v>
      </c>
      <c r="I26">
        <v>61</v>
      </c>
      <c r="J26">
        <v>61</v>
      </c>
      <c r="K26" t="str">
        <v>NIKE</v>
      </c>
      <c r="L26" t="str">
        <v>Forecast</v>
      </c>
      <c r="M26" t="str">
        <v>MOLDED</v>
      </c>
      <c r="N26">
        <v>0</v>
      </c>
      <c r="O26" t="str">
        <v xml:space="preserve">W23 đã cho đổ 61 bun </v>
      </c>
      <c r="P26" t="str">
        <v xml:space="preserve">gấp </v>
      </c>
      <c r="Q26">
        <v>46183</v>
      </c>
      <c r="R26" t="str">
        <v>ok</v>
      </c>
    </row>
    <row r="28">
      <c r="A28" t="str">
        <v>F-2026-06-11</v>
      </c>
      <c r="B28" t="str">
        <v>RPRO-260601-0862</v>
      </c>
      <c r="C28" t="str">
        <v>9/6</v>
      </c>
      <c r="E28" t="str">
        <v>BDB-000305</v>
      </c>
      <c r="F28" t="str">
        <v>PVN-004000</v>
      </c>
      <c r="G28" t="str">
        <v>OrthoLite X-35-Nike YELLOW/13-0858TPX Flat Sheet 0.145D 25+/-4 Asker C 1.1M 2M 5.5mm</v>
      </c>
      <c r="H28">
        <v>150</v>
      </c>
      <c r="I28">
        <v>6</v>
      </c>
      <c r="J28">
        <v>6</v>
      </c>
      <c r="L28" t="str">
        <v>MPS</v>
      </c>
      <c r="M28" t="str">
        <v>SPLITING</v>
      </c>
      <c r="N28">
        <v>0</v>
      </c>
      <c r="O28" t="str">
        <v xml:space="preserve">W23 đã cho đổ 6 bun </v>
      </c>
      <c r="Q28">
        <v>46186</v>
      </c>
      <c r="R28" t="str">
        <v>ok</v>
      </c>
    </row>
    <row r="30">
      <c r="A30" t="str">
        <v>F-2026-06-40</v>
      </c>
      <c r="B30" t="str">
        <v>RPRO-260602-0736</v>
      </c>
      <c r="C30" t="str">
        <v>9/6</v>
      </c>
      <c r="E30" t="str">
        <v>BDB-000234</v>
      </c>
      <c r="F30" t="str">
        <v>PVN-003581</v>
      </c>
      <c r="G30" t="str">
        <v>OrthoLite X-30-Hybrid BROWN SUGAR/17-1134TPX Hybrid Flat Sheet 0.13D 25+/-4 Asker C 1.1M 2M 12mm</v>
      </c>
      <c r="H30">
        <v>407</v>
      </c>
      <c r="I30">
        <v>36</v>
      </c>
      <c r="J30">
        <v>36</v>
      </c>
      <c r="K30" t="str">
        <v>ASICS</v>
      </c>
      <c r="L30" t="str">
        <v>Pro. Schedule</v>
      </c>
      <c r="M30" t="str">
        <v>MOLDED</v>
      </c>
      <c r="N30">
        <v>36</v>
      </c>
      <c r="Q30">
        <v>46184</v>
      </c>
      <c r="R30" t="str">
        <v>ok</v>
      </c>
    </row>
    <row r="31">
      <c r="G31" t="str">
        <v>xxxxxxxxxxxxxxxxxxxxxxxxxxxxxxxxx</v>
      </c>
    </row>
    <row r="32">
      <c r="A32" t="str">
        <v>F-2026-06-43</v>
      </c>
      <c r="B32" t="str">
        <v>RPRO-260602-0739</v>
      </c>
      <c r="C32" t="str">
        <v>9/6</v>
      </c>
      <c r="E32" t="str">
        <v>BDB-000235</v>
      </c>
      <c r="F32" t="str">
        <v>PVN-003576</v>
      </c>
      <c r="G32" t="str">
        <v>OrthoLite X-55-Hybrid FOSSIL/17-0909TPX Hybrid Flat Sheet 0.16D 25+/-4 Asker C 1.1M 1.7M 12mm</v>
      </c>
      <c r="H32">
        <v>66</v>
      </c>
      <c r="I32">
        <v>6</v>
      </c>
      <c r="J32">
        <v>6</v>
      </c>
      <c r="K32" t="str">
        <v>ASICS</v>
      </c>
      <c r="L32" t="str">
        <v>Pro. Schedule</v>
      </c>
      <c r="M32" t="str">
        <v>MOLDED</v>
      </c>
      <c r="N32">
        <v>84</v>
      </c>
      <c r="Q32">
        <v>46184</v>
      </c>
      <c r="R32" t="str">
        <v>ok</v>
      </c>
    </row>
    <row r="33">
      <c r="A33" t="str">
        <v>F-2026-06-17</v>
      </c>
      <c r="B33" t="str">
        <v>RPRO-260601-0868</v>
      </c>
      <c r="C33" t="str">
        <v>9/6</v>
      </c>
      <c r="E33" t="str">
        <v>BDB-000235</v>
      </c>
      <c r="F33" t="str">
        <v>PVN-003576</v>
      </c>
      <c r="G33" t="str">
        <v>OrthoLite X-55-Hybrid FOSSIL/17-0909TPX Hybrid Flat Sheet 0.16D 25+/-4 Asker C 1.1M 1.7M 12mm</v>
      </c>
      <c r="H33">
        <v>891</v>
      </c>
      <c r="I33">
        <v>78</v>
      </c>
      <c r="J33">
        <v>78</v>
      </c>
      <c r="K33" t="str">
        <v>ASICS</v>
      </c>
      <c r="L33" t="str">
        <v>Pro. Schedule</v>
      </c>
      <c r="M33" t="str">
        <v>MOLDED</v>
      </c>
      <c r="Q33">
        <v>46184</v>
      </c>
    </row>
    <row r="34">
      <c r="G34" t="str">
        <v>xxxxxxxxxxxxxxxxxxxxxxxxxxxxxxxxx</v>
      </c>
    </row>
    <row r="35">
      <c r="A35" t="str">
        <v>F-2026-06-19</v>
      </c>
      <c r="B35" t="str">
        <v>RPRO-260601-0870</v>
      </c>
      <c r="C35" t="str">
        <v>9/6</v>
      </c>
      <c r="E35" t="str">
        <v>BDB-000334</v>
      </c>
      <c r="F35" t="str">
        <v>PVN-004327</v>
      </c>
      <c r="G35" t="str">
        <v>OrthoLite X-55-Hybrid FOSSIL/17-0909TPX Hybrid Flat Sheet 0.16D 25+/-4 Asker C 1.1M 2M 6mm</v>
      </c>
      <c r="H35">
        <v>23</v>
      </c>
      <c r="I35">
        <v>1</v>
      </c>
      <c r="J35">
        <v>1</v>
      </c>
      <c r="K35" t="str">
        <v>ASICS</v>
      </c>
      <c r="L35" t="str">
        <v>Pro. Schedule</v>
      </c>
      <c r="M35" t="str">
        <v>MOLDED</v>
      </c>
      <c r="N35">
        <v>4</v>
      </c>
      <c r="Q35">
        <v>46186</v>
      </c>
      <c r="R35" t="str">
        <v>ok</v>
      </c>
    </row>
    <row r="36">
      <c r="A36" t="str">
        <v>F-2026-06-121</v>
      </c>
      <c r="B36" t="str">
        <v>FPRO-260603-0011</v>
      </c>
      <c r="C36" t="str">
        <v>9/6</v>
      </c>
      <c r="E36" t="str">
        <v>BDB-000334</v>
      </c>
      <c r="F36" t="str">
        <v>PVN-004327</v>
      </c>
      <c r="G36" t="str">
        <v>OrthoLite X-55-Hybrid FOSSIL/17-0909TPX Hybrid Flat Sheet 0.16D 25+/-4 Asker C 1.1M 2M 6mm</v>
      </c>
      <c r="H36">
        <v>68</v>
      </c>
      <c r="I36">
        <v>3</v>
      </c>
      <c r="J36">
        <v>3</v>
      </c>
      <c r="K36" t="str">
        <v>ASICS</v>
      </c>
      <c r="L36" t="str">
        <v>Forecast</v>
      </c>
      <c r="M36" t="str">
        <v>MOLDED</v>
      </c>
      <c r="Q36">
        <v>46186</v>
      </c>
      <c r="R36" t="str">
        <v>ok</v>
      </c>
    </row>
    <row r="38">
      <c r="A38" t="str">
        <v>F-2026-06-12</v>
      </c>
      <c r="B38" t="str">
        <v>RPRO-260601-0863</v>
      </c>
      <c r="C38" t="str">
        <v>9/6</v>
      </c>
      <c r="E38" t="str">
        <v>BDB-000051</v>
      </c>
      <c r="F38" t="str">
        <v>PVN-002104</v>
      </c>
      <c r="G38" t="str">
        <v>OrthoLite X-40 TRUE BLUE/19-4057TPX Flat Sheet 0.16D 25+/-4 Asker C 1.1M 1.7M 5.2mm</v>
      </c>
      <c r="H38">
        <v>182</v>
      </c>
      <c r="I38">
        <v>7</v>
      </c>
      <c r="J38">
        <v>7</v>
      </c>
      <c r="K38" t="str">
        <v>NEW BALANCE</v>
      </c>
      <c r="L38" t="str">
        <v>Pro. Schedule</v>
      </c>
      <c r="M38" t="str">
        <v>MOLDED</v>
      </c>
      <c r="N38">
        <v>0</v>
      </c>
      <c r="O38" t="str">
        <v xml:space="preserve">W23 đổ dư 12 bun </v>
      </c>
      <c r="Q38">
        <v>46186</v>
      </c>
      <c r="R38" t="str">
        <v>ok</v>
      </c>
    </row>
    <row r="40">
      <c r="A40" t="str">
        <v>F-2026-06-15</v>
      </c>
      <c r="B40" t="str">
        <v>RPRO-260601-0866</v>
      </c>
      <c r="C40" t="str">
        <v>9/6</v>
      </c>
      <c r="E40" t="str">
        <v>BDB-000076</v>
      </c>
      <c r="F40" t="str">
        <v>PVN-003448</v>
      </c>
      <c r="G40" t="str">
        <v>OrthoLite X-25 BILLIARD/16-5427TPX Flat Sheet 0.12D 20+/-4 Asker C 1.1M 2M 6.2mm</v>
      </c>
      <c r="H40">
        <v>88</v>
      </c>
      <c r="I40">
        <v>4</v>
      </c>
      <c r="J40">
        <v>4</v>
      </c>
      <c r="K40" t="str">
        <v>ADIDAS</v>
      </c>
      <c r="L40" t="str">
        <v>Pro. Schedule</v>
      </c>
      <c r="M40" t="str">
        <v>MOLDED</v>
      </c>
      <c r="N40">
        <v>8</v>
      </c>
      <c r="Q40">
        <v>46186</v>
      </c>
      <c r="R40" t="str">
        <v>ok</v>
      </c>
    </row>
    <row r="41">
      <c r="A41" t="str">
        <v>F-2026-06-22</v>
      </c>
      <c r="B41" t="str">
        <v>RPRO-260601-0873</v>
      </c>
      <c r="C41" t="str">
        <v>9/6</v>
      </c>
      <c r="E41" t="str">
        <v>BDB-000076</v>
      </c>
      <c r="F41" t="str">
        <v>PVN-004091</v>
      </c>
      <c r="G41" t="str">
        <v>OrthoLite X-25 BILLIARD/16-5427TPX Flat Sheet 0.12D 20+/-4 Asker C 1.1M 2M 3.5mm</v>
      </c>
      <c r="H41">
        <v>160</v>
      </c>
      <c r="I41">
        <v>4</v>
      </c>
      <c r="J41">
        <v>4</v>
      </c>
      <c r="K41" t="str">
        <v>BROOKS</v>
      </c>
      <c r="L41" t="str">
        <v>Pro. Schedule</v>
      </c>
      <c r="M41" t="str">
        <v>MOLDED</v>
      </c>
      <c r="Q41">
        <v>46186</v>
      </c>
    </row>
    <row r="43">
      <c r="A43" t="str">
        <v>F-2026-06-14</v>
      </c>
      <c r="B43" t="str">
        <v>RPRO-260601-0865</v>
      </c>
      <c r="C43" t="str">
        <v>9/6-10/6</v>
      </c>
      <c r="E43" t="str">
        <v>BDB-000117</v>
      </c>
      <c r="F43" t="str">
        <v>PVN-003234</v>
      </c>
      <c r="G43" t="str">
        <v>OrthoLite X-35-Hybrid SEEDPEARL/12-0703TPX Hybrid Flat Sheet 0.145D 25+/-4 Asker C 1.1M 2M 5.5mm</v>
      </c>
      <c r="H43">
        <v>350</v>
      </c>
      <c r="I43">
        <v>14</v>
      </c>
      <c r="J43">
        <v>14</v>
      </c>
      <c r="K43" t="str">
        <v>PUMA</v>
      </c>
      <c r="L43" t="str">
        <v>Pro. Schedule</v>
      </c>
      <c r="M43" t="str">
        <v>MOLDED</v>
      </c>
      <c r="N43">
        <v>14</v>
      </c>
      <c r="Q43">
        <v>46186</v>
      </c>
      <c r="R43" t="str">
        <v>ok</v>
      </c>
    </row>
    <row r="45">
      <c r="A45" t="str">
        <v>F-2026-06-08</v>
      </c>
      <c r="B45" t="str">
        <v>RPRO-260601-0859</v>
      </c>
      <c r="C45" t="str">
        <v>10/6</v>
      </c>
      <c r="E45" t="str">
        <v>BDB-000056</v>
      </c>
      <c r="F45" t="str">
        <v>PVN-001983</v>
      </c>
      <c r="G45" t="str">
        <v>OrthoLite X-40 SEEDPEARL/12-0703TPX Flat Sheet 0.16D 25+/-4 Asker C 1.1M 1.7M 5mm</v>
      </c>
      <c r="H45">
        <v>4900</v>
      </c>
      <c r="I45">
        <v>175</v>
      </c>
      <c r="J45">
        <v>175</v>
      </c>
      <c r="L45" t="str">
        <v>MPS</v>
      </c>
      <c r="M45" t="str">
        <v>SPLITING</v>
      </c>
      <c r="N45">
        <v>175</v>
      </c>
      <c r="Q45">
        <v>46186</v>
      </c>
      <c r="R45" t="str">
        <v>ok</v>
      </c>
    </row>
    <row r="47">
      <c r="A47" t="str">
        <v>F-2026-05-364</v>
      </c>
      <c r="B47" t="str">
        <v>FPRO-260526-0007</v>
      </c>
      <c r="C47" t="str">
        <v>10/6-11/6</v>
      </c>
      <c r="D47" t="str">
        <v>Firm plan 26/5</v>
      </c>
      <c r="E47" t="str">
        <v>BDB-000123</v>
      </c>
      <c r="F47" t="str">
        <v>PVN-003299</v>
      </c>
      <c r="G47" t="str">
        <v>OrthoLite Ultra-Hybrid SEEDPEARL/12-0703TPX Hybrid 0.085D 25+/-4 Asker C 1.1M 2M 3mm</v>
      </c>
      <c r="H47">
        <v>7000</v>
      </c>
      <c r="I47">
        <v>153</v>
      </c>
      <c r="J47">
        <v>153</v>
      </c>
      <c r="K47" t="str">
        <v>ADIDAS</v>
      </c>
      <c r="L47" t="str">
        <v>Forecast</v>
      </c>
      <c r="M47" t="str">
        <v>SPLITTING</v>
      </c>
      <c r="N47">
        <v>299</v>
      </c>
      <c r="Q47">
        <v>46186</v>
      </c>
    </row>
    <row r="48">
      <c r="A48" t="str">
        <v>F-2026-06-104</v>
      </c>
      <c r="B48" t="str">
        <v>RPRO-260604-0466</v>
      </c>
      <c r="C48" t="str">
        <v>11/6</v>
      </c>
      <c r="D48" t="str">
        <v>Pro.sche.report 02.06+03.06</v>
      </c>
      <c r="E48" t="str">
        <v>BDB-000123</v>
      </c>
      <c r="F48" t="str">
        <v>PVN-002973</v>
      </c>
      <c r="G48" t="str">
        <v>OrthoLite Ultra-Hybrid SEEDPEARL/12-0703TPX Hybrid Flat Sheet 0.085D 25+/-4 Asker C 1.1M 2M 4.5mm</v>
      </c>
      <c r="H48">
        <v>1146</v>
      </c>
      <c r="I48">
        <v>37</v>
      </c>
      <c r="J48">
        <v>37</v>
      </c>
      <c r="K48" t="str">
        <v>SALOMON</v>
      </c>
      <c r="L48" t="str">
        <v>Pro. Schedule</v>
      </c>
      <c r="M48" t="str">
        <v>MOLDED</v>
      </c>
      <c r="Q48">
        <v>46188</v>
      </c>
    </row>
    <row r="49">
      <c r="A49" t="str">
        <v>F-2026-06-68</v>
      </c>
      <c r="B49" t="str">
        <v>FPRO-260603-0001</v>
      </c>
      <c r="C49" t="str">
        <v>11/6-12/6</v>
      </c>
      <c r="E49" t="str">
        <v>BDB-000123</v>
      </c>
      <c r="F49" t="str">
        <v>PVN-003299</v>
      </c>
      <c r="G49" t="str">
        <v>OrthoLite Ultra-Hybrid SEEDPEARL/12-0703TPX Hybrid 0.085D 25+/-4 Asker C 1.1M 2M 3mm</v>
      </c>
      <c r="H49">
        <v>5000</v>
      </c>
      <c r="I49">
        <v>109</v>
      </c>
      <c r="J49">
        <v>109</v>
      </c>
      <c r="K49" t="str">
        <v>ADIDAS</v>
      </c>
      <c r="L49" t="str">
        <v>Forecast</v>
      </c>
      <c r="M49" t="str">
        <v>SPLITTING</v>
      </c>
      <c r="Q49">
        <v>46189</v>
      </c>
    </row>
    <row r="50">
      <c r="G50" t="str">
        <v>RELEASE ĐỢT 1</v>
      </c>
    </row>
    <row r="51">
      <c r="H51">
        <v>16961</v>
      </c>
      <c r="I51">
        <v>894</v>
      </c>
      <c r="J51">
        <v>894</v>
      </c>
      <c r="N51">
        <v>806</v>
      </c>
      <c r="O51">
        <v>36</v>
      </c>
    </row>
    <row r="52">
      <c r="A52" t="str">
        <v>Máy 2</v>
      </c>
      <c r="G52" t="str">
        <v>8/6-13/6</v>
      </c>
    </row>
    <row r="53">
      <c r="A53" t="str">
        <v>F-2026-05-464</v>
      </c>
      <c r="B53" t="str">
        <v>RPRO-260529-0236</v>
      </c>
      <c r="C53" t="str">
        <v>8/6</v>
      </c>
      <c r="D53" t="str">
        <v>Pro.sche.report 26.05+27.05</v>
      </c>
      <c r="E53" t="str">
        <v>BDB-000209</v>
      </c>
      <c r="F53" t="str">
        <v>PVN-003461</v>
      </c>
      <c r="G53" t="str">
        <v>OrthoLite HybridPlus-Recycled MINT GREEN/11-4805TPX Hybrid Flat Sheet 0.12D 25+/-4 Asker C 1.1M 2M 11mm</v>
      </c>
      <c r="H53">
        <v>13</v>
      </c>
      <c r="I53">
        <v>2</v>
      </c>
      <c r="J53">
        <v>2</v>
      </c>
      <c r="K53" t="str">
        <v>AKU</v>
      </c>
      <c r="L53" t="str">
        <v>Pro. Schedule</v>
      </c>
      <c r="M53" t="str">
        <v>MOLDED</v>
      </c>
      <c r="N53">
        <v>2</v>
      </c>
      <c r="O53" t="str">
        <v>đơn cũ W23</v>
      </c>
      <c r="P53">
        <v>2</v>
      </c>
      <c r="Q53">
        <v>46181</v>
      </c>
    </row>
    <row r="55">
      <c r="A55" t="str">
        <v>F-2026-04-381</v>
      </c>
      <c r="B55" t="str">
        <v>FPRO-260428-0004</v>
      </c>
      <c r="C55" t="str">
        <v>8/6</v>
      </c>
      <c r="D55" t="str">
        <v>Firm plan 28.04</v>
      </c>
      <c r="E55" t="str">
        <v>BDB-000123</v>
      </c>
      <c r="F55" t="str">
        <v>PVN-003298</v>
      </c>
      <c r="G55" t="str">
        <v>OrthoLite Ultra-Hybrid SEEDPEARL/12-0703TPX Hybrid 0.085D 25+/-4 Asker C 1.1M 2M 4mm</v>
      </c>
      <c r="H55">
        <v>7000</v>
      </c>
      <c r="I55">
        <v>200</v>
      </c>
      <c r="J55">
        <v>200</v>
      </c>
      <c r="K55" t="str">
        <v>ADIDAS</v>
      </c>
      <c r="L55" t="str">
        <v>Forecast</v>
      </c>
      <c r="M55" t="str">
        <v>SPLITTING</v>
      </c>
      <c r="N55">
        <v>89</v>
      </c>
      <c r="O55" t="str">
        <v>đơn cũ W23</v>
      </c>
      <c r="P55">
        <v>89</v>
      </c>
      <c r="Q55">
        <v>46183</v>
      </c>
    </row>
    <row r="57">
      <c r="A57" t="str">
        <v>F-2026-05-472</v>
      </c>
      <c r="B57" t="str">
        <v>RPRO-260529-0352</v>
      </c>
      <c r="C57" t="str">
        <v>8/6</v>
      </c>
      <c r="D57" t="str">
        <v>Pro.sche.report 28.05</v>
      </c>
      <c r="E57" t="str">
        <v>BDB-000229</v>
      </c>
      <c r="F57" t="str">
        <v>PVN-003692</v>
      </c>
      <c r="G57" t="str">
        <v>OrthoLite Ultra-Hybrid SEEDPEARL/12-0703TPX Hybrid Flat Sheet 0.095D 33+/-4 Asker C 1.1M 2M 15.5mm</v>
      </c>
      <c r="H57">
        <v>16</v>
      </c>
      <c r="I57">
        <v>2</v>
      </c>
      <c r="J57">
        <v>2</v>
      </c>
      <c r="K57" t="str">
        <v>GARMONT</v>
      </c>
      <c r="L57" t="str">
        <v>Pro. Schedule</v>
      </c>
      <c r="M57" t="str">
        <v>MOLDED</v>
      </c>
      <c r="N57">
        <v>2</v>
      </c>
      <c r="O57" t="str">
        <v>đơn cũ W23</v>
      </c>
      <c r="P57">
        <v>2</v>
      </c>
      <c r="Q57">
        <v>46183</v>
      </c>
    </row>
    <row r="59">
      <c r="A59" t="str">
        <v>F-2026-06-90</v>
      </c>
      <c r="B59" t="str">
        <v>RPRO-260604-0452</v>
      </c>
      <c r="C59" t="str">
        <v>8/6</v>
      </c>
      <c r="D59" t="str">
        <v>MPS 03.06+04.06</v>
      </c>
      <c r="E59" t="str">
        <v>BDB-000123</v>
      </c>
      <c r="F59" t="str">
        <v>PVN-003300</v>
      </c>
      <c r="G59" t="str">
        <v>OrthoLite Ultra-Hybrid SEEDPEARL/12-0703TPX Hybrid Flat Sheet 0.085D 25+/-4 Asker C 1.1M 2M 2mm</v>
      </c>
      <c r="H59">
        <v>1049</v>
      </c>
      <c r="I59">
        <v>15</v>
      </c>
      <c r="J59">
        <v>15</v>
      </c>
      <c r="L59" t="str">
        <v>MPS</v>
      </c>
      <c r="M59" t="str">
        <v>SPLITTING</v>
      </c>
      <c r="N59">
        <v>358</v>
      </c>
      <c r="P59" t="str">
        <v xml:space="preserve">gấp </v>
      </c>
      <c r="Q59">
        <v>46182</v>
      </c>
    </row>
    <row r="60">
      <c r="A60" t="str">
        <v>F-2026-05-365</v>
      </c>
      <c r="B60" t="str">
        <v>FPRO-260526-0008</v>
      </c>
      <c r="C60" t="str">
        <v>8/6-9/6</v>
      </c>
      <c r="D60" t="str">
        <v>Firm plan 26/5</v>
      </c>
      <c r="E60" t="str">
        <v>BDB-000123</v>
      </c>
      <c r="F60" t="str">
        <v>PVN-003299</v>
      </c>
      <c r="G60" t="str">
        <v>OrthoLite Ultra-Hybrid SEEDPEARL/12-0703TPX Hybrid 0.085D 25+/-4 Asker C 1.1M 2M 3mm</v>
      </c>
      <c r="H60">
        <v>6000</v>
      </c>
      <c r="I60">
        <v>131</v>
      </c>
      <c r="J60">
        <v>131</v>
      </c>
      <c r="K60" t="str">
        <v>ADIDAS</v>
      </c>
      <c r="L60" t="str">
        <v>Forecast</v>
      </c>
      <c r="M60" t="str">
        <v>SPLITTING</v>
      </c>
      <c r="P60" t="str">
        <v xml:space="preserve">gấp </v>
      </c>
      <c r="Q60">
        <v>46183</v>
      </c>
    </row>
    <row r="61">
      <c r="A61" t="str">
        <v>F-2026-06-173</v>
      </c>
      <c r="B61" t="str">
        <v>RPRO-260605-0583</v>
      </c>
      <c r="C61" t="str">
        <v>9/6</v>
      </c>
      <c r="D61" t="str">
        <v>MPS 05.06</v>
      </c>
      <c r="E61" t="str">
        <v>BDB-000123</v>
      </c>
      <c r="F61" t="str">
        <v>PVN-003300</v>
      </c>
      <c r="G61" t="str">
        <v>OrthoLite Ultra-Hybrid SEEDPEARL/12-0703TPX Hybrid Flat Sheet 0.085D 25+/-4 Asker C 1.1M 2M 2mm</v>
      </c>
      <c r="H61">
        <v>69</v>
      </c>
      <c r="I61">
        <v>1</v>
      </c>
      <c r="J61">
        <v>1</v>
      </c>
      <c r="L61" t="str">
        <v>MPS</v>
      </c>
      <c r="M61" t="str">
        <v>SPLITTING</v>
      </c>
      <c r="Q61">
        <v>46184</v>
      </c>
    </row>
    <row r="62">
      <c r="A62" t="str">
        <v>F-2026-05-314</v>
      </c>
      <c r="B62" t="str">
        <v>FPRO-260521-0001</v>
      </c>
      <c r="C62" t="str">
        <v>9/6</v>
      </c>
      <c r="D62" t="str">
        <v>Firm plan 21.5</v>
      </c>
      <c r="E62" t="str">
        <v>BDB-000123</v>
      </c>
      <c r="F62" t="str">
        <v>PVN-002973</v>
      </c>
      <c r="G62" t="str">
        <v>OrthoLite Ultra-Hybrid SEEDPEARL/12-0703TPX Hybrid 0.085D 25+/-4 Asker C 1.1M 2M 4.5mm</v>
      </c>
      <c r="H62">
        <v>316</v>
      </c>
      <c r="I62">
        <v>11</v>
      </c>
      <c r="J62">
        <v>11</v>
      </c>
      <c r="K62" t="str">
        <v>SALOMON</v>
      </c>
      <c r="L62" t="str">
        <v>Forecast</v>
      </c>
      <c r="M62" t="str">
        <v>MOLDED</v>
      </c>
      <c r="Q62">
        <v>46184</v>
      </c>
    </row>
    <row r="63">
      <c r="A63" t="str">
        <v>F-2026-04-384</v>
      </c>
      <c r="B63" t="str">
        <v>FPRO-260428-0014</v>
      </c>
      <c r="C63" t="str">
        <v>9/6-10/6</v>
      </c>
      <c r="D63" t="str">
        <v>Firm plan 28.04</v>
      </c>
      <c r="E63" t="str">
        <v>BDB-000123</v>
      </c>
      <c r="F63" t="str">
        <v>PVN-003298</v>
      </c>
      <c r="G63" t="str">
        <v>OrthoLite Ultra-Hybrid SEEDPEARL/12-0703TPX Hybrid 0.085D 25+/-4 Asker C 1.1M 2M 4mm</v>
      </c>
      <c r="H63">
        <v>7000</v>
      </c>
      <c r="I63">
        <v>200</v>
      </c>
      <c r="J63">
        <v>200</v>
      </c>
      <c r="K63" t="str">
        <v>ADIDAS</v>
      </c>
      <c r="L63" t="str">
        <v>Forecast</v>
      </c>
      <c r="M63" t="str">
        <v>SPLITTING</v>
      </c>
      <c r="Q63">
        <v>46184</v>
      </c>
    </row>
    <row r="64">
      <c r="G64" t="str">
        <v>xxxxxxxxxxxxxxxxxxxxxxxxxxxx</v>
      </c>
    </row>
    <row r="65">
      <c r="A65" t="str">
        <v>F-2026-04-251</v>
      </c>
      <c r="B65" t="str">
        <v>FPRO-260416-0036</v>
      </c>
      <c r="C65" t="str">
        <v>10/6</v>
      </c>
      <c r="D65" t="str">
        <v>Firm plan 16.4</v>
      </c>
      <c r="E65" t="str">
        <v>BDB-000113</v>
      </c>
      <c r="F65" t="str">
        <v>PVN-002465</v>
      </c>
      <c r="G65" t="str">
        <v>OrthoLite Regular-Hybrid SEEDPEARL/12-0703TPX Hybrid Flat Sheet 0.11D 25+/-4 Asker C 1.1M 2M 5mm</v>
      </c>
      <c r="H65">
        <v>2500</v>
      </c>
      <c r="I65">
        <v>90</v>
      </c>
      <c r="J65">
        <v>90</v>
      </c>
      <c r="K65" t="str">
        <v>ASICS</v>
      </c>
      <c r="L65" t="str">
        <v>Forecast</v>
      </c>
      <c r="M65" t="str">
        <v>DIE CUT</v>
      </c>
      <c r="N65">
        <v>90</v>
      </c>
      <c r="Q65">
        <v>46184</v>
      </c>
    </row>
    <row r="67">
      <c r="A67" t="str">
        <v>F-2026-04-139</v>
      </c>
      <c r="B67" t="str">
        <v>FPRO-260410-0009</v>
      </c>
      <c r="C67" t="str">
        <v>10/6-11/6</v>
      </c>
      <c r="D67" t="str">
        <v>Firm plan 10.4</v>
      </c>
      <c r="E67" t="str">
        <v>BDB-000097</v>
      </c>
      <c r="F67" t="str">
        <v>PVN-002478</v>
      </c>
      <c r="G67" t="str">
        <v>OrthoLite Eco LT-Hybrid SEEDPEARL/12-0703TPX Hybrid 0.11D 25+/-4 Asker C 1.1M 2M 4mm</v>
      </c>
      <c r="H67">
        <v>3600</v>
      </c>
      <c r="I67">
        <v>103</v>
      </c>
      <c r="J67">
        <v>103</v>
      </c>
      <c r="K67" t="str">
        <v>NEW BALANCE</v>
      </c>
      <c r="L67" t="str">
        <v>Forecast</v>
      </c>
      <c r="M67" t="str">
        <v>DIE CUT</v>
      </c>
      <c r="N67">
        <v>105</v>
      </c>
      <c r="P67" t="str">
        <v xml:space="preserve">gấp </v>
      </c>
      <c r="Q67">
        <v>46185</v>
      </c>
    </row>
    <row r="68">
      <c r="A68" t="str">
        <v>F-2026-06-21</v>
      </c>
      <c r="B68" t="str">
        <v>RPRO-260601-0872</v>
      </c>
      <c r="C68" t="str">
        <v>11/6</v>
      </c>
      <c r="E68" t="str">
        <v>BDB-000097</v>
      </c>
      <c r="F68" t="str">
        <v>PVN-002473</v>
      </c>
      <c r="G68" t="str">
        <v>OrthoLite Eco LT-Hybrid SEEDPEARL/12-0703TPX Hybrid Flat Sheet 0.11D 25+/-4 Asker C 1.1M 2M 5mm</v>
      </c>
      <c r="H68">
        <v>56</v>
      </c>
      <c r="I68">
        <v>2</v>
      </c>
      <c r="J68">
        <v>2</v>
      </c>
      <c r="K68" t="str">
        <v>NEW BALANCE</v>
      </c>
      <c r="L68" t="str">
        <v>Pro. Schedule</v>
      </c>
      <c r="M68" t="str">
        <v>DIE CUT</v>
      </c>
      <c r="Q68">
        <v>46186</v>
      </c>
    </row>
    <row r="70">
      <c r="A70" t="str">
        <v>F-2026-06-31</v>
      </c>
      <c r="B70" t="str">
        <v>RPRO-260601-0882</v>
      </c>
      <c r="C70" t="str">
        <v>11/6</v>
      </c>
      <c r="E70" t="str">
        <v>BDB-000107</v>
      </c>
      <c r="F70" t="str">
        <v>PVN-003482</v>
      </c>
      <c r="G70" t="str">
        <v>OrthoLite Eco LT-Hybrid SEEDPEARL/12-0703TPX Hybrid Flat Sheet 0.11D 25+/-4 Asker C 1.1M 1.47M 4mm</v>
      </c>
      <c r="H70">
        <v>35</v>
      </c>
      <c r="I70">
        <v>1</v>
      </c>
      <c r="J70">
        <v>1</v>
      </c>
      <c r="K70" t="str">
        <v>NEW BALANCE</v>
      </c>
      <c r="L70" t="str">
        <v>Pro. Schedule</v>
      </c>
      <c r="M70" t="str">
        <v>DIE CUT</v>
      </c>
      <c r="N70">
        <v>1</v>
      </c>
      <c r="Q70">
        <v>46186</v>
      </c>
    </row>
    <row r="72">
      <c r="A72" t="str">
        <v>F-2026-05-126-1</v>
      </c>
      <c r="B72" t="str">
        <v>RPRO-260511-0346</v>
      </c>
      <c r="C72" t="str">
        <v>11/6</v>
      </c>
      <c r="D72" t="str">
        <v>Pro.sche.report 08.5+09.5</v>
      </c>
      <c r="E72" t="str">
        <v>BDB-000209</v>
      </c>
      <c r="F72" t="str">
        <v>PVN-003550</v>
      </c>
      <c r="G72" t="str">
        <v>OrthoLite HybridPlus-Recycled MINT GREEN/11-4805TPX Hybrid Flat Sheet 0.12D 25+/-4 Asker C 1.1M 2M 6mm</v>
      </c>
      <c r="H72">
        <v>1000</v>
      </c>
      <c r="I72">
        <v>44</v>
      </c>
      <c r="J72">
        <v>44</v>
      </c>
      <c r="K72" t="str">
        <v>ON RUNNING</v>
      </c>
      <c r="L72" t="str">
        <v>Pr.Sch.R</v>
      </c>
      <c r="M72" t="str">
        <v>MOLDED</v>
      </c>
      <c r="N72">
        <v>74</v>
      </c>
      <c r="Q72">
        <v>46186</v>
      </c>
    </row>
    <row r="73">
      <c r="A73" t="str">
        <v>F-2026-06-24</v>
      </c>
      <c r="B73" t="str">
        <v>RPRO-260601-0875</v>
      </c>
      <c r="C73" t="str">
        <v>11/6</v>
      </c>
      <c r="E73" t="str">
        <v>BDB-000209</v>
      </c>
      <c r="F73" t="str">
        <v>PVN-003462</v>
      </c>
      <c r="G73" t="str">
        <v>OrthoLite HybridPlus-Recycled MINT GREEN/11-4805TPX Hybrid Flat Sheet 0.12D 25+/-4 Asker C 1.1M 2M 12mm</v>
      </c>
      <c r="H73">
        <v>319</v>
      </c>
      <c r="I73">
        <v>30</v>
      </c>
      <c r="J73">
        <v>30</v>
      </c>
      <c r="K73" t="str">
        <v>BROOKS</v>
      </c>
      <c r="L73" t="str">
        <v>Pro. Schedule</v>
      </c>
      <c r="M73" t="str">
        <v>MOLDED</v>
      </c>
      <c r="Q73">
        <v>46186</v>
      </c>
    </row>
    <row r="75">
      <c r="A75" t="str">
        <v>F-2026-06-10</v>
      </c>
      <c r="B75" t="str">
        <v>RPRO-260601-0861</v>
      </c>
      <c r="C75" t="str">
        <v>11/6</v>
      </c>
      <c r="E75" t="str">
        <v>BDB-000123</v>
      </c>
      <c r="F75" t="str">
        <v>PVN-003315</v>
      </c>
      <c r="G75" t="str">
        <v>OrthoLite Ultra-Hybrid SEEDPEARL/12-0703TPX Hybrid 0.085D 25+/-4 Asker C 1.1M 2M 3.5mm</v>
      </c>
      <c r="H75">
        <v>400</v>
      </c>
      <c r="I75">
        <v>10</v>
      </c>
      <c r="J75">
        <v>10</v>
      </c>
      <c r="L75" t="str">
        <v>MPS</v>
      </c>
      <c r="M75" t="str">
        <v>SPLITING</v>
      </c>
      <c r="N75">
        <v>109</v>
      </c>
      <c r="Q75">
        <v>46186</v>
      </c>
    </row>
    <row r="76">
      <c r="A76" t="str">
        <v>F-2026-06-23</v>
      </c>
      <c r="B76" t="str">
        <v>RPRO-260601-0874</v>
      </c>
      <c r="C76" t="str">
        <v>11/6</v>
      </c>
      <c r="E76" t="str">
        <v>BDB-000123</v>
      </c>
      <c r="F76" t="str">
        <v>PVN-002539</v>
      </c>
      <c r="G76" t="str">
        <v>OrthoLite Ultra-Hybrid SEEDPEARL/12-0703TPX Hybrid Flat Sheet 0.085D 25+/-4 Asker C 1.1M 2M 5mm</v>
      </c>
      <c r="H76">
        <v>28</v>
      </c>
      <c r="I76">
        <v>1</v>
      </c>
      <c r="J76">
        <v>1</v>
      </c>
      <c r="K76" t="str">
        <v>BROOKS</v>
      </c>
      <c r="L76" t="str">
        <v>Pro. Schedule</v>
      </c>
      <c r="M76" t="str">
        <v>DIE CUT</v>
      </c>
      <c r="Q76">
        <v>46186</v>
      </c>
    </row>
    <row r="77">
      <c r="A77" t="str">
        <v>F-2026-06-09</v>
      </c>
      <c r="B77" t="str">
        <v>RPRO-260601-0860</v>
      </c>
      <c r="C77" t="str">
        <v>11/6</v>
      </c>
      <c r="E77" t="str">
        <v>BDB-000123</v>
      </c>
      <c r="F77" t="str">
        <v>PVN-002539</v>
      </c>
      <c r="G77" t="str">
        <v>OrthoLite Ultra-Hybrid SEEDPEARL/12-0703TPX Hybrid Flat Sheet 0.085D 25+/-4 Asker C 1.1M 2M 5mm</v>
      </c>
      <c r="H77">
        <v>392</v>
      </c>
      <c r="I77">
        <v>14</v>
      </c>
      <c r="J77">
        <v>14</v>
      </c>
      <c r="L77" t="str">
        <v>MPS</v>
      </c>
      <c r="M77" t="str">
        <v>SPLITING</v>
      </c>
      <c r="Q77">
        <v>46186</v>
      </c>
    </row>
    <row r="78">
      <c r="A78" t="str">
        <v>F-2026-06-38</v>
      </c>
      <c r="B78" t="str">
        <v>RPRO-260602-0734</v>
      </c>
      <c r="C78" t="str">
        <v>11/6-12/6</v>
      </c>
      <c r="E78" t="str">
        <v>BDB-000123</v>
      </c>
      <c r="F78" t="str">
        <v>PVN-003299</v>
      </c>
      <c r="G78" t="str">
        <v>OrthoLite Ultra-Hybrid SEEDPEARL/12-0703TPX Hybrid 0.085D 25+/-4 Asker C 1.1M 2M 3mm</v>
      </c>
      <c r="H78">
        <v>3818</v>
      </c>
      <c r="I78">
        <v>84</v>
      </c>
      <c r="J78">
        <v>84</v>
      </c>
      <c r="L78" t="str">
        <v>MPS</v>
      </c>
      <c r="M78" t="str">
        <v>SPLITTING</v>
      </c>
      <c r="Q78">
        <v>46186</v>
      </c>
    </row>
    <row r="79">
      <c r="G79" t="str">
        <v>RELEASE ĐỢT 1</v>
      </c>
    </row>
    <row r="80">
      <c r="H80">
        <v>33611</v>
      </c>
      <c r="I80">
        <v>941</v>
      </c>
      <c r="J80">
        <v>941</v>
      </c>
      <c r="N80">
        <v>830</v>
      </c>
      <c r="O80">
        <v>7</v>
      </c>
    </row>
    <row r="81">
      <c r="A81" t="str">
        <v>Máy 3</v>
      </c>
      <c r="G81" t="str">
        <v>8/6-13/6</v>
      </c>
    </row>
    <row r="82">
      <c r="A82" t="str">
        <v>F-2026-05-431</v>
      </c>
      <c r="B82" t="str">
        <v>RPRO-260528-0639</v>
      </c>
      <c r="C82" t="str">
        <v>8/6</v>
      </c>
      <c r="D82" t="str">
        <v>MPS 26.05+27.05</v>
      </c>
      <c r="E82" t="str">
        <v>BDB-000224</v>
      </c>
      <c r="F82" t="str">
        <v>PVN-004258</v>
      </c>
      <c r="G82" t="str">
        <v>OrthoLite R&amp;R CASTLEROCK/18-0201TPX Flat Sheet 0.16D 15+/-4 Asker C 1.1M 1.7M 3mm</v>
      </c>
      <c r="H82">
        <v>138</v>
      </c>
      <c r="I82">
        <v>4</v>
      </c>
      <c r="J82">
        <v>4</v>
      </c>
      <c r="L82" t="str">
        <v>MPS</v>
      </c>
      <c r="M82" t="str">
        <v>SPLITTING</v>
      </c>
      <c r="N82">
        <v>4</v>
      </c>
      <c r="O82" t="str">
        <v>đơn cũ W23</v>
      </c>
      <c r="P82">
        <v>4</v>
      </c>
      <c r="Q82">
        <v>46177</v>
      </c>
      <c r="R82" t="str">
        <v>OK</v>
      </c>
    </row>
    <row r="84">
      <c r="A84" t="str">
        <v>F-2026-05-454</v>
      </c>
      <c r="B84" t="str">
        <v>RPRO-260529-0226</v>
      </c>
      <c r="C84" t="str">
        <v>8/6</v>
      </c>
      <c r="D84" t="str">
        <v>Pro.sche.report 26.05+27.05</v>
      </c>
      <c r="E84" t="str">
        <v>BDB-000218</v>
      </c>
      <c r="F84" t="str">
        <v>PVN-003488</v>
      </c>
      <c r="G84" t="str">
        <v>OrthoLite Ultra-Nike SEEDPEARL/12-0703TPX Flat Sheet 0.085D 5-10 Asker C 1.1M 2M 4mm</v>
      </c>
      <c r="H84">
        <v>1505</v>
      </c>
      <c r="I84">
        <v>43</v>
      </c>
      <c r="J84">
        <v>43</v>
      </c>
      <c r="K84" t="str">
        <v>NIKE</v>
      </c>
      <c r="L84" t="str">
        <v>Pro. Schedule</v>
      </c>
      <c r="M84" t="str">
        <v>DIE CUT</v>
      </c>
      <c r="N84">
        <v>2</v>
      </c>
      <c r="O84" t="str">
        <v>đơn cũ W23</v>
      </c>
      <c r="P84">
        <v>2</v>
      </c>
      <c r="Q84">
        <v>46179</v>
      </c>
      <c r="R84" t="str">
        <v>ok</v>
      </c>
    </row>
    <row r="86">
      <c r="A86" t="str">
        <v>F-2026-06-54</v>
      </c>
      <c r="B86" t="str">
        <v>RPRO-260602-0750</v>
      </c>
      <c r="C86" t="str">
        <v>8/6</v>
      </c>
      <c r="D86" t="str">
        <v>Pro.sche.report 1.06</v>
      </c>
      <c r="E86" t="str">
        <v>BDB-000226</v>
      </c>
      <c r="F86" t="str">
        <v>PVN-003517</v>
      </c>
      <c r="G86" t="str">
        <v>OrthoLite Regular GREY/17-1501TPX Flat Sheet 0.16D 51+/-4 Asker C 1.1M 1.7M 12mm</v>
      </c>
      <c r="H86">
        <v>22</v>
      </c>
      <c r="I86">
        <v>3</v>
      </c>
      <c r="J86">
        <v>3</v>
      </c>
      <c r="K86" t="str">
        <v>CONVERSE</v>
      </c>
      <c r="L86" t="str">
        <v>Pro. Schedule</v>
      </c>
      <c r="M86" t="str">
        <v>DIE CUT</v>
      </c>
      <c r="N86">
        <v>3</v>
      </c>
      <c r="O86" t="str">
        <v>đơn cũ W23</v>
      </c>
      <c r="P86">
        <v>3</v>
      </c>
      <c r="Q86">
        <v>46179</v>
      </c>
      <c r="R86" t="str">
        <v>ok</v>
      </c>
    </row>
    <row r="88">
      <c r="A88" t="str">
        <v>OIN-2026.05.25</v>
      </c>
      <c r="B88">
        <v>0</v>
      </c>
      <c r="C88" t="str">
        <v>8/6</v>
      </c>
      <c r="D88" t="str">
        <v>OIN</v>
      </c>
      <c r="E88" t="str">
        <v>BDB-000048</v>
      </c>
      <c r="F88" t="str">
        <v>PVN-004431</v>
      </c>
      <c r="G88" t="str">
        <v>[116-18781] Regular 45+/-4 Asker C 0.15D Rockport 7417C 1.10M X 1.70M 47mm</v>
      </c>
      <c r="H88">
        <v>32</v>
      </c>
      <c r="I88">
        <v>11</v>
      </c>
      <c r="J88">
        <v>11</v>
      </c>
      <c r="K88" t="str">
        <v>Rockport</v>
      </c>
      <c r="L88" t="str">
        <v>PO-7369</v>
      </c>
      <c r="M88" t="str">
        <v>FLAT SHEET</v>
      </c>
      <c r="N88">
        <v>11</v>
      </c>
      <c r="O88" t="str">
        <v>đơn cũ W23</v>
      </c>
      <c r="P88">
        <v>11</v>
      </c>
      <c r="Q88">
        <v>46179</v>
      </c>
      <c r="R88" t="str">
        <v>ok</v>
      </c>
    </row>
    <row r="90">
      <c r="A90" t="str">
        <v>F-2026-04-411</v>
      </c>
      <c r="B90" t="str">
        <v>FPRO-260429-0024</v>
      </c>
      <c r="C90" t="str">
        <v>8/6</v>
      </c>
      <c r="D90" t="str">
        <v>Firm plan 29.04</v>
      </c>
      <c r="E90" t="str">
        <v>BDB-000131</v>
      </c>
      <c r="F90" t="str">
        <v>PVN-001565</v>
      </c>
      <c r="G90" t="str">
        <v>OrthoLite Regular-Nike AIR BLUE/16-4134TPX 0.11D 15+/-4 Asker C 1.1M 2M 4mm</v>
      </c>
      <c r="H90">
        <v>1000</v>
      </c>
      <c r="I90">
        <v>29</v>
      </c>
      <c r="J90">
        <v>29</v>
      </c>
      <c r="K90" t="str">
        <v>NIKE</v>
      </c>
      <c r="L90" t="str">
        <v>Forecast</v>
      </c>
      <c r="M90" t="str">
        <v>DIE CUT</v>
      </c>
      <c r="N90">
        <v>1</v>
      </c>
      <c r="O90" t="str">
        <v>đơn cũ W23</v>
      </c>
      <c r="P90">
        <v>1</v>
      </c>
      <c r="Q90">
        <v>46179</v>
      </c>
      <c r="R90" t="str">
        <v>ok</v>
      </c>
    </row>
    <row r="92">
      <c r="A92" t="str">
        <v>F-2026-04-391</v>
      </c>
      <c r="B92" t="str">
        <v>FPRO-260429-0004</v>
      </c>
      <c r="C92" t="str">
        <v>8/6</v>
      </c>
      <c r="D92" t="str">
        <v>Firm plan 29.04</v>
      </c>
      <c r="E92" t="str">
        <v>BDB-000129</v>
      </c>
      <c r="F92" t="str">
        <v>PVN-001550</v>
      </c>
      <c r="G92" t="str">
        <v>OrthoLite Regular-Nike AIR BLUE/16-4134TPX 0.11D 25+/-4 Asker C 1.1M 1.7M 2mm</v>
      </c>
      <c r="H92">
        <v>2000</v>
      </c>
      <c r="I92">
        <v>29</v>
      </c>
      <c r="J92">
        <v>29</v>
      </c>
      <c r="K92" t="str">
        <v>NIKE</v>
      </c>
      <c r="L92" t="str">
        <v>Forecast</v>
      </c>
      <c r="M92" t="str">
        <v>DIE CUT</v>
      </c>
      <c r="N92">
        <v>2</v>
      </c>
      <c r="O92" t="str">
        <v>đơn cũ W23</v>
      </c>
      <c r="P92">
        <v>2</v>
      </c>
      <c r="Q92">
        <v>46182</v>
      </c>
      <c r="R92" t="str">
        <v>ok</v>
      </c>
    </row>
    <row r="93">
      <c r="R93" t="str">
        <v>ok</v>
      </c>
    </row>
    <row r="94">
      <c r="A94" t="str">
        <v>F-2026-04-214-2</v>
      </c>
      <c r="B94" t="str">
        <v>FPRO-260514-0005</v>
      </c>
      <c r="C94" t="str">
        <v>8/6</v>
      </c>
      <c r="D94" t="str">
        <v>Firm plan 15.4</v>
      </c>
      <c r="E94" t="str">
        <v>BDB-000209</v>
      </c>
      <c r="F94" t="str">
        <v>PVN-003550</v>
      </c>
      <c r="G94" t="str">
        <v>OrthoLite HybridPlus-Recycled MINT GREEN/11-4805TPX Hybrid 0.12D 25+/-4 Asker C 1.1M 2M 6mm</v>
      </c>
      <c r="H94">
        <v>1000</v>
      </c>
      <c r="I94">
        <v>44</v>
      </c>
      <c r="J94">
        <v>44</v>
      </c>
      <c r="K94" t="str">
        <v>ON RUNNING</v>
      </c>
      <c r="L94" t="str">
        <v>Forecast</v>
      </c>
      <c r="M94" t="str">
        <v>MOLDED</v>
      </c>
      <c r="N94">
        <v>44</v>
      </c>
      <c r="O94" t="str">
        <v>đơn cũ W23</v>
      </c>
      <c r="P94">
        <v>44</v>
      </c>
      <c r="Q94">
        <v>46182</v>
      </c>
      <c r="R94" t="str">
        <v>ok</v>
      </c>
    </row>
    <row r="95">
      <c r="R95" t="str">
        <v>ok</v>
      </c>
    </row>
    <row r="96">
      <c r="A96" t="str">
        <v>F-2026-02-285-1-2</v>
      </c>
      <c r="B96" t="str">
        <v>FPRO-260507-0002</v>
      </c>
      <c r="C96" t="str">
        <v>8/6</v>
      </c>
      <c r="D96" t="str">
        <v>Firm plan 12.02</v>
      </c>
      <c r="E96" t="str">
        <v>BDB-000160</v>
      </c>
      <c r="F96" t="str">
        <v>PVN-001562</v>
      </c>
      <c r="G96" t="str">
        <v>OrthoLite Ultra-Nike LIME GREEN/14-0452TPX 0.085D 25+/-4 Asker C 1.1M 2M 4mm</v>
      </c>
      <c r="H96">
        <v>500</v>
      </c>
      <c r="I96">
        <v>15</v>
      </c>
      <c r="J96">
        <v>15</v>
      </c>
      <c r="K96" t="str">
        <v>NIKE</v>
      </c>
      <c r="L96" t="str">
        <v>Forecast</v>
      </c>
      <c r="M96" t="str">
        <v>DIE CUT</v>
      </c>
      <c r="N96">
        <v>15</v>
      </c>
      <c r="O96" t="str">
        <v>đơn cũ W23</v>
      </c>
      <c r="P96">
        <v>15</v>
      </c>
      <c r="Q96">
        <v>46183</v>
      </c>
      <c r="R96" t="str">
        <v>ok</v>
      </c>
    </row>
    <row r="97">
      <c r="R97" t="str">
        <v>ok</v>
      </c>
    </row>
    <row r="98">
      <c r="A98" t="str">
        <v>F-2026-04-424</v>
      </c>
      <c r="B98" t="str">
        <v>FPRO-260429-0037</v>
      </c>
      <c r="C98" t="str">
        <v>8/6-9/6</v>
      </c>
      <c r="D98" t="str">
        <v>Firm plan 29.04</v>
      </c>
      <c r="E98" t="str">
        <v>BDB-000164</v>
      </c>
      <c r="F98" t="str">
        <v>PVN-001618</v>
      </c>
      <c r="G98" t="str">
        <v>OrthoLite Ultra-Nike GREY/17-1501TPX 0.085D 25+/-4 Asker C 1.1M 2M 4mm</v>
      </c>
      <c r="H98">
        <v>500</v>
      </c>
      <c r="I98">
        <v>15</v>
      </c>
      <c r="J98">
        <v>15</v>
      </c>
      <c r="K98" t="str">
        <v>NIKE</v>
      </c>
      <c r="L98" t="str">
        <v>Forecast</v>
      </c>
      <c r="M98" t="str">
        <v>DIE CUT</v>
      </c>
      <c r="N98">
        <v>15</v>
      </c>
      <c r="O98" t="str">
        <v>đơn cũ W23</v>
      </c>
      <c r="P98">
        <v>15</v>
      </c>
      <c r="Q98">
        <v>46183</v>
      </c>
      <c r="R98" t="str">
        <v>ok</v>
      </c>
    </row>
    <row r="100">
      <c r="A100" t="str">
        <v>F-2026-06-88</v>
      </c>
      <c r="B100" t="str">
        <v>RPRO-260604-0450</v>
      </c>
      <c r="C100" t="str">
        <v>9/6</v>
      </c>
      <c r="D100" t="str">
        <v>MPS 03.06+04.06</v>
      </c>
      <c r="E100" t="str">
        <v>BDB-000058</v>
      </c>
      <c r="F100" t="str">
        <v>PVN-001319</v>
      </c>
      <c r="G100" t="str">
        <v>OrthoLite Ultra GREEN/16-5932TPX 0.085D 25+/-4 Asker C 1.1M 2M 5mm</v>
      </c>
      <c r="H100">
        <v>112</v>
      </c>
      <c r="I100">
        <v>4</v>
      </c>
      <c r="J100">
        <v>4</v>
      </c>
      <c r="L100" t="str">
        <v>MPS</v>
      </c>
      <c r="M100" t="str">
        <v>SPLITTING</v>
      </c>
      <c r="N100">
        <v>2</v>
      </c>
      <c r="O100" t="str">
        <v xml:space="preserve">W23 đổ dư 6 bun </v>
      </c>
      <c r="Q100">
        <v>46181</v>
      </c>
    </row>
    <row r="101">
      <c r="A101" t="str">
        <v>F-2026-06-199</v>
      </c>
      <c r="B101" t="str">
        <v>RPRO-260605-0609</v>
      </c>
      <c r="C101" t="str">
        <v>9/6</v>
      </c>
      <c r="D101" t="str">
        <v>Pro.sche.report 04.06</v>
      </c>
      <c r="E101" t="str">
        <v>BDB-000058</v>
      </c>
      <c r="F101" t="str">
        <v>PVN-001319</v>
      </c>
      <c r="G101" t="str">
        <v>OrthoLite Ultra GREEN/16-5932TPX Flat Sheet 0.085D 25+/-4 Asker C 1.1M 2M 5mm</v>
      </c>
      <c r="H101">
        <v>28</v>
      </c>
      <c r="I101">
        <v>1</v>
      </c>
      <c r="J101">
        <v>1</v>
      </c>
      <c r="K101" t="str">
        <v>NEW BALANCE</v>
      </c>
      <c r="L101" t="str">
        <v>Pro. Schedule</v>
      </c>
      <c r="M101" t="str">
        <v>DIE CUT</v>
      </c>
      <c r="N101" t="str">
        <v>8-6</v>
      </c>
      <c r="Q101">
        <v>46181</v>
      </c>
    </row>
    <row r="102">
      <c r="A102" t="str">
        <v>F-2026-06-06</v>
      </c>
      <c r="B102" t="str">
        <v>RPRO-260601-0857</v>
      </c>
      <c r="C102" t="str">
        <v>9/6</v>
      </c>
      <c r="E102" t="str">
        <v>BDB-000058</v>
      </c>
      <c r="F102" t="str">
        <v>PVN-001277</v>
      </c>
      <c r="G102" t="str">
        <v>OrthoLite Ultra GREEN/16-5932TPX Flat Sheet 0.085D 25+/-4 Asker C 1.1M 2M 4mm</v>
      </c>
      <c r="H102">
        <v>105</v>
      </c>
      <c r="I102">
        <v>3</v>
      </c>
      <c r="J102">
        <v>3</v>
      </c>
      <c r="L102" t="str">
        <v>MPS</v>
      </c>
      <c r="M102" t="str">
        <v>SPLITING</v>
      </c>
      <c r="Q102">
        <v>46186</v>
      </c>
    </row>
    <row r="104">
      <c r="A104" t="str">
        <v>F-2026-06-35</v>
      </c>
      <c r="B104" t="str">
        <v>RPRO-260602-0731</v>
      </c>
      <c r="C104" t="str">
        <v>9/6</v>
      </c>
      <c r="E104" t="str">
        <v>BDB-000057</v>
      </c>
      <c r="F104" t="str">
        <v>PVN-000981</v>
      </c>
      <c r="G104" t="str">
        <v>OrthoLite Ultra YELLOW/13-0858TPX Flat Sheet 0.085D 25+/-4 Asker C 1.1M 2M 3mm</v>
      </c>
      <c r="H104">
        <v>152</v>
      </c>
      <c r="I104">
        <v>4</v>
      </c>
      <c r="J104">
        <v>4</v>
      </c>
      <c r="L104" t="str">
        <v>MPS</v>
      </c>
      <c r="M104" t="str">
        <v>SPLITTING</v>
      </c>
      <c r="N104">
        <v>27</v>
      </c>
      <c r="O104" t="str">
        <v xml:space="preserve">W23 đổ dư 1 bun </v>
      </c>
      <c r="Q104">
        <v>46182</v>
      </c>
    </row>
    <row r="105">
      <c r="A105" t="str">
        <v>F-2026-06-136</v>
      </c>
      <c r="B105" t="str">
        <v>FPRO-260604-0017</v>
      </c>
      <c r="C105" t="str">
        <v>9/6</v>
      </c>
      <c r="E105" t="str">
        <v>BDB-000057</v>
      </c>
      <c r="F105" t="str">
        <v>PVN-000925</v>
      </c>
      <c r="G105" t="str">
        <v>OrthoLite Ultra YELLOW/13-0858TPX Flat Sheet 0.085D 25+/-4 Asker C 1.1M 2M 5mm</v>
      </c>
      <c r="H105">
        <v>500</v>
      </c>
      <c r="I105">
        <v>18</v>
      </c>
      <c r="J105">
        <v>18</v>
      </c>
      <c r="K105" t="str">
        <v>ASICS</v>
      </c>
      <c r="L105" t="str">
        <v>Forecast</v>
      </c>
      <c r="M105" t="str">
        <v>LAMINATING</v>
      </c>
      <c r="N105" t="str">
        <v>28-1</v>
      </c>
      <c r="Q105">
        <v>46184</v>
      </c>
    </row>
    <row r="106">
      <c r="A106" t="str">
        <v>F-2026-06-30</v>
      </c>
      <c r="B106" t="str">
        <v>RPRO-260601-0881</v>
      </c>
      <c r="C106" t="str">
        <v>9/6</v>
      </c>
      <c r="E106" t="str">
        <v>BDB-000057</v>
      </c>
      <c r="F106" t="str">
        <v>PVN-000825</v>
      </c>
      <c r="G106" t="str">
        <v>OrthoLite Ultra YELLOW/13-0858TPX Flat Sheet 0.085D 25+/-4 Asker C 1.1M 2M 12mm</v>
      </c>
      <c r="H106">
        <v>66</v>
      </c>
      <c r="I106">
        <v>6</v>
      </c>
      <c r="J106">
        <v>6</v>
      </c>
      <c r="K106" t="str">
        <v>ASICS</v>
      </c>
      <c r="L106" t="str">
        <v>Pro. Schedule</v>
      </c>
      <c r="M106" t="str">
        <v>MOLDED</v>
      </c>
      <c r="Q106">
        <v>46186</v>
      </c>
    </row>
    <row r="108">
      <c r="A108" t="str">
        <v>F-2026-06-55</v>
      </c>
      <c r="B108" t="str">
        <v>RPRO-260602-0751</v>
      </c>
      <c r="C108" t="str">
        <v>9/6</v>
      </c>
      <c r="E108" t="str">
        <v>BDB-000011</v>
      </c>
      <c r="F108" t="str">
        <v>PVN-000184</v>
      </c>
      <c r="G108" t="str">
        <v>OrthoLite Regular AIR BLUE/16-4134TPX Flat Sheet 0.13D 35+/-4 Asker C 1.1M 2M 14mm</v>
      </c>
      <c r="H108">
        <v>45</v>
      </c>
      <c r="I108">
        <v>5</v>
      </c>
      <c r="J108">
        <v>5</v>
      </c>
      <c r="K108" t="str">
        <v>ADIDAS</v>
      </c>
      <c r="L108" t="str">
        <v>Pro. Schedule</v>
      </c>
      <c r="M108" t="str">
        <v>MOLDED</v>
      </c>
      <c r="N108">
        <v>102</v>
      </c>
      <c r="Q108">
        <v>46183</v>
      </c>
    </row>
    <row r="109">
      <c r="A109" t="str">
        <v>F-2026-06-122</v>
      </c>
      <c r="B109" t="str">
        <v>FPRO-260604-0003</v>
      </c>
      <c r="C109" t="str">
        <v>9/6</v>
      </c>
      <c r="E109" t="str">
        <v>BDB-000011</v>
      </c>
      <c r="F109" t="str">
        <v>PVN-000121</v>
      </c>
      <c r="G109" t="str">
        <v>OrthoLite Regular AIR BLUE/16-4134TPX Flat Sheet 0.13D 35+/-4 Asker C 1.1M 2M 12mm</v>
      </c>
      <c r="H109">
        <v>500</v>
      </c>
      <c r="I109">
        <v>44</v>
      </c>
      <c r="J109">
        <v>44</v>
      </c>
      <c r="K109" t="str">
        <v>ASICS</v>
      </c>
      <c r="L109" t="str">
        <v>Forecast</v>
      </c>
      <c r="M109" t="str">
        <v>MOLDED</v>
      </c>
      <c r="Q109">
        <v>46183</v>
      </c>
    </row>
    <row r="110">
      <c r="A110" t="str">
        <v>F-2026-04-234</v>
      </c>
      <c r="B110" t="str">
        <v>FPRO-260416-0019</v>
      </c>
      <c r="C110" t="str">
        <v>9/6</v>
      </c>
      <c r="D110" t="str">
        <v>Firm plan 16.4</v>
      </c>
      <c r="E110" t="str">
        <v>BDB-000011</v>
      </c>
      <c r="F110" t="str">
        <v>PVN-000258</v>
      </c>
      <c r="G110" t="str">
        <v>OrthoLite Regular AIR BLUE/16-4134TPX Flat Sheet 0.13D 35+/-4 Asker C 1.1M 2M 2.5mm</v>
      </c>
      <c r="H110">
        <v>2000</v>
      </c>
      <c r="I110">
        <v>36</v>
      </c>
      <c r="J110">
        <v>36</v>
      </c>
      <c r="K110" t="str">
        <v>ASICS</v>
      </c>
      <c r="L110" t="str">
        <v>Forecast</v>
      </c>
      <c r="M110" t="str">
        <v>SPLITTING</v>
      </c>
      <c r="Q110">
        <v>46184</v>
      </c>
    </row>
    <row r="111">
      <c r="A111" t="str">
        <v>F-2026-06-03</v>
      </c>
      <c r="B111" t="str">
        <v>RPRO-260601-0854</v>
      </c>
      <c r="C111" t="str">
        <v>9/6</v>
      </c>
      <c r="E111" t="str">
        <v>BDB-000011</v>
      </c>
      <c r="F111" t="str">
        <v>PVN-000126</v>
      </c>
      <c r="G111" t="str">
        <v>OrthoLite Regular AIR BLUE/16-4134TPX Flat Sheet 0.13D 35+/-4 Asker C 1.1M 2M 4mm</v>
      </c>
      <c r="H111">
        <v>490</v>
      </c>
      <c r="I111">
        <v>14</v>
      </c>
      <c r="J111">
        <v>14</v>
      </c>
      <c r="L111" t="str">
        <v>MPS</v>
      </c>
      <c r="M111" t="str">
        <v>SPLITING</v>
      </c>
      <c r="Q111">
        <v>46186</v>
      </c>
    </row>
    <row r="112">
      <c r="A112" t="str">
        <v>F-2026-06-04</v>
      </c>
      <c r="B112" t="str">
        <v>RPRO-260601-0855</v>
      </c>
      <c r="C112" t="str">
        <v>9/6</v>
      </c>
      <c r="E112" t="str">
        <v>BDB-000011</v>
      </c>
      <c r="F112" t="str">
        <v>PVN-000127</v>
      </c>
      <c r="G112" t="str">
        <v>OrthoLite Regular AIR BLUE/16-4134TPX Flat Sheet 0.13D 35+/-4 Asker C 1.1M 2M 5mm</v>
      </c>
      <c r="H112">
        <v>84</v>
      </c>
      <c r="I112">
        <v>3</v>
      </c>
      <c r="J112">
        <v>3</v>
      </c>
      <c r="L112" t="str">
        <v>MPS</v>
      </c>
      <c r="M112" t="str">
        <v>SPLITING</v>
      </c>
      <c r="Q112">
        <v>46186</v>
      </c>
    </row>
    <row r="113">
      <c r="G113" t="str">
        <v>xxxxxxxxxxxxxxxxxxxxxxxxxxxxxxxxx</v>
      </c>
    </row>
    <row r="114">
      <c r="A114" t="str">
        <v>F-2026-06-33</v>
      </c>
      <c r="B114" t="str">
        <v>RPRO-260602-0729</v>
      </c>
      <c r="C114" t="str">
        <v>9/6</v>
      </c>
      <c r="E114" t="str">
        <v>BDB-000010</v>
      </c>
      <c r="F114" t="str">
        <v>PVN-000101</v>
      </c>
      <c r="G114" t="str">
        <v>OrthoLite Regular AIR BLUE/16-4134TPX Flat Sheet 0.11D 25+/-4 Asker C 1.1M 2M 3mm</v>
      </c>
      <c r="H114">
        <v>372</v>
      </c>
      <c r="I114">
        <v>9</v>
      </c>
      <c r="J114">
        <v>9</v>
      </c>
      <c r="L114" t="str">
        <v>MPS</v>
      </c>
      <c r="M114" t="str">
        <v>SPLITTING</v>
      </c>
      <c r="N114">
        <v>10</v>
      </c>
      <c r="Q114">
        <v>46184</v>
      </c>
    </row>
    <row r="115">
      <c r="A115" t="str">
        <v>F-2026-06-172</v>
      </c>
      <c r="B115" t="str">
        <v>RPRO-260605-0582</v>
      </c>
      <c r="C115" t="str">
        <v>9/6</v>
      </c>
      <c r="D115" t="str">
        <v>MPS 05.06</v>
      </c>
      <c r="E115" t="str">
        <v>BDB-000010</v>
      </c>
      <c r="F115" t="str">
        <v>PVN-000101</v>
      </c>
      <c r="G115" t="str">
        <v>OrthoLite Regular AIR BLUE/16-4134TPX Flat Sheet 0.11D 25+/-4 Asker C 1.1M 2M 3mm</v>
      </c>
      <c r="H115">
        <v>45</v>
      </c>
      <c r="I115">
        <v>1</v>
      </c>
      <c r="J115">
        <v>1</v>
      </c>
      <c r="L115" t="str">
        <v>MPS</v>
      </c>
      <c r="M115" t="str">
        <v>SPLITTING</v>
      </c>
      <c r="Q115">
        <v>46186</v>
      </c>
    </row>
    <row r="117">
      <c r="A117" t="str">
        <v>F-2026-05-342</v>
      </c>
      <c r="B117" t="str">
        <v>RPRO-260525-0368</v>
      </c>
      <c r="C117" t="str">
        <v>9/6-10/6</v>
      </c>
      <c r="D117" t="str">
        <v>Pro.sche.report 22.05+23.05+24.05</v>
      </c>
      <c r="E117" t="str">
        <v>BDB-000129</v>
      </c>
      <c r="F117" t="str">
        <v>PVN-001550</v>
      </c>
      <c r="G117" t="str">
        <v>OrthoLite Regular-Nike AIR BLUE/16-4134TPX Flat Sheet 0.11D 25+/-4 Asker C 1.1M 1.7M 2mm</v>
      </c>
      <c r="H117">
        <v>2660</v>
      </c>
      <c r="I117">
        <v>39</v>
      </c>
      <c r="J117">
        <v>39</v>
      </c>
      <c r="K117" t="str">
        <v>NIKE</v>
      </c>
      <c r="L117" t="str">
        <v>Pr.Sch.R</v>
      </c>
      <c r="M117" t="str">
        <v>LAMINATING</v>
      </c>
      <c r="N117">
        <v>93</v>
      </c>
      <c r="Q117">
        <v>46184</v>
      </c>
    </row>
    <row r="118">
      <c r="A118" t="str">
        <v>F-2026-05-422</v>
      </c>
      <c r="B118" t="str">
        <v>FPRO-260527-0031</v>
      </c>
      <c r="C118" t="str">
        <v>10/6</v>
      </c>
      <c r="D118" t="str">
        <v>Firm plan 27/5</v>
      </c>
      <c r="E118" t="str">
        <v>BDB-000129</v>
      </c>
      <c r="F118" t="str">
        <v>PVN-001550</v>
      </c>
      <c r="G118" t="str">
        <v>OrthoLite Regular-Nike AIR BLUE/16-4134TPX 0.11D 25+/-4 Asker C 1.1M 1.7M 2mm</v>
      </c>
      <c r="H118">
        <v>695</v>
      </c>
      <c r="I118">
        <v>10</v>
      </c>
      <c r="J118">
        <v>10</v>
      </c>
      <c r="K118" t="str">
        <v>NIKE</v>
      </c>
      <c r="L118" t="str">
        <v>Forecast</v>
      </c>
      <c r="M118" t="str">
        <v>DIE CUT</v>
      </c>
      <c r="Q118">
        <v>46186</v>
      </c>
    </row>
    <row r="119">
      <c r="A119" t="str">
        <v>F-2026-05-421</v>
      </c>
      <c r="B119" t="str">
        <v>FPRO-260527-0030</v>
      </c>
      <c r="C119" t="str">
        <v>10/6</v>
      </c>
      <c r="D119" t="str">
        <v>Firm plan 27/5</v>
      </c>
      <c r="E119" t="str">
        <v>BDB-000129</v>
      </c>
      <c r="F119" t="str">
        <v>PVN-001550</v>
      </c>
      <c r="G119" t="str">
        <v>OrthoLite Regular-Nike AIR BLUE/16-4134TPX 0.11D 25+/-4 Asker C 1.1M 1.7M 2mm</v>
      </c>
      <c r="H119">
        <v>1500</v>
      </c>
      <c r="I119">
        <v>22</v>
      </c>
      <c r="J119">
        <v>22</v>
      </c>
      <c r="K119" t="str">
        <v>NIKE</v>
      </c>
      <c r="L119" t="str">
        <v>Forecast</v>
      </c>
      <c r="M119" t="str">
        <v>DIE CUT</v>
      </c>
      <c r="Q119">
        <v>46186</v>
      </c>
    </row>
    <row r="120">
      <c r="A120" t="str">
        <v>F-2026-05-412</v>
      </c>
      <c r="B120" t="str">
        <v>FPRO-260527-0021</v>
      </c>
      <c r="C120" t="str">
        <v>10/6</v>
      </c>
      <c r="D120" t="str">
        <v>Firm plan 27/5</v>
      </c>
      <c r="E120" t="str">
        <v>BDB-000129</v>
      </c>
      <c r="F120" t="str">
        <v>PVN-001550</v>
      </c>
      <c r="G120" t="str">
        <v>OrthoLite Regular-Nike AIR BLUE/16-4134TPX 0.11D 25+/-4 Asker C 1.1M 1.7M 2mm</v>
      </c>
      <c r="H120">
        <v>1500</v>
      </c>
      <c r="I120">
        <v>22</v>
      </c>
      <c r="J120">
        <v>22</v>
      </c>
      <c r="K120" t="str">
        <v>NIKE</v>
      </c>
      <c r="L120" t="str">
        <v>Forecast</v>
      </c>
      <c r="M120" t="str">
        <v>DIE CUT</v>
      </c>
      <c r="Q120">
        <v>46189</v>
      </c>
    </row>
    <row r="122">
      <c r="A122" t="str">
        <v>F-2026-06-07</v>
      </c>
      <c r="B122" t="str">
        <v>RPRO-260601-0858</v>
      </c>
      <c r="C122" t="str">
        <v>10/6</v>
      </c>
      <c r="E122" t="str">
        <v>BDB-000125</v>
      </c>
      <c r="F122" t="str">
        <v>PVN-001662</v>
      </c>
      <c r="G122" t="str">
        <v>OrthoLite Regular-Nike AIR BLUE/16-4134TPX Flat Sheet 0.11D 25+/-4 Asker C 1.1M 2M 4.5mm</v>
      </c>
      <c r="H122">
        <v>93</v>
      </c>
      <c r="I122">
        <v>4</v>
      </c>
      <c r="J122">
        <v>4</v>
      </c>
      <c r="L122" t="str">
        <v>MPS</v>
      </c>
      <c r="M122" t="str">
        <v>SPLITING</v>
      </c>
      <c r="N122">
        <v>0</v>
      </c>
      <c r="O122" t="str">
        <v xml:space="preserve">W23 đổ dư 10 bun </v>
      </c>
      <c r="Q122">
        <v>46186</v>
      </c>
    </row>
    <row r="124">
      <c r="A124" t="str">
        <v>F-2026-04-395</v>
      </c>
      <c r="B124" t="str">
        <v>FPRO-260429-0008</v>
      </c>
      <c r="C124" t="str">
        <v>10/6</v>
      </c>
      <c r="D124" t="str">
        <v>Firm plan 29.04</v>
      </c>
      <c r="E124" t="str">
        <v>BDB-000161</v>
      </c>
      <c r="F124" t="str">
        <v>PVN-001560</v>
      </c>
      <c r="G124" t="str">
        <v>OrthoLite Ultra-Nike FOSSIL/17-0909TPX 0.085D 25+/-4 Asker C 1.1M 2M 4mm</v>
      </c>
      <c r="H124">
        <v>1000</v>
      </c>
      <c r="I124">
        <v>29</v>
      </c>
      <c r="J124">
        <v>29</v>
      </c>
      <c r="K124" t="str">
        <v>NIKE</v>
      </c>
      <c r="L124" t="str">
        <v>Forecast</v>
      </c>
      <c r="M124" t="str">
        <v>DIE CUT</v>
      </c>
      <c r="N124">
        <v>29</v>
      </c>
      <c r="Q124">
        <v>46184</v>
      </c>
    </row>
    <row r="126">
      <c r="A126" t="str">
        <v>F-2026-05-351</v>
      </c>
      <c r="B126" t="str">
        <v>RPRO-260526-0384</v>
      </c>
      <c r="C126" t="str">
        <v>10/6</v>
      </c>
      <c r="D126" t="str">
        <v>Pro.sche.report 25.05</v>
      </c>
      <c r="E126" t="str">
        <v>BDB-000131</v>
      </c>
      <c r="F126" t="str">
        <v>PVN-001565</v>
      </c>
      <c r="G126" t="str">
        <v>OrthoLite Regular-Nike AIR BLUE/16-4134TPX Flat Sheet 0.11D 15+/-4 Asker C 1.1M 2M 4mm</v>
      </c>
      <c r="H126">
        <v>1295</v>
      </c>
      <c r="I126">
        <v>37</v>
      </c>
      <c r="J126">
        <v>37</v>
      </c>
      <c r="K126" t="str">
        <v>NIKE</v>
      </c>
      <c r="L126" t="str">
        <v>Pro. Schedule</v>
      </c>
      <c r="M126" t="str">
        <v>DIE CUT</v>
      </c>
      <c r="N126">
        <v>37</v>
      </c>
      <c r="Q126">
        <v>46186</v>
      </c>
    </row>
    <row r="128">
      <c r="A128" t="str">
        <v>F-2026-06-85</v>
      </c>
      <c r="B128" t="str">
        <v>RPRO-260604-0447</v>
      </c>
      <c r="C128" t="str">
        <v>10/6</v>
      </c>
      <c r="D128" t="str">
        <v>MPS 03.06+04.06</v>
      </c>
      <c r="E128" t="str">
        <v>BDB-000016</v>
      </c>
      <c r="F128" t="str">
        <v>PVN-000458</v>
      </c>
      <c r="G128" t="str">
        <v>OrthoLite Regular GREEN/16-5932TPX Flat Sheet 0.13D 35+/-4 Asker C 1.1M 2M 3mm</v>
      </c>
      <c r="H128">
        <v>367</v>
      </c>
      <c r="I128">
        <v>8</v>
      </c>
      <c r="J128">
        <v>8</v>
      </c>
      <c r="L128" t="str">
        <v>MPS</v>
      </c>
      <c r="M128" t="str">
        <v>SPLITTING</v>
      </c>
      <c r="N128">
        <v>9</v>
      </c>
      <c r="Q128">
        <v>46186</v>
      </c>
    </row>
    <row r="129">
      <c r="A129" t="str">
        <v>F-2026-06-197</v>
      </c>
      <c r="B129" t="str">
        <v>RPRO-260605-0607</v>
      </c>
      <c r="C129" t="str">
        <v>10/6</v>
      </c>
      <c r="D129" t="str">
        <v>MPS 05.06</v>
      </c>
      <c r="E129" t="str">
        <v>BDB-000016</v>
      </c>
      <c r="F129" t="str">
        <v>PVN-000458</v>
      </c>
      <c r="G129" t="str">
        <v>OrthoLite Regular GREEN/16-5932TPX Flat Sheet 0.13D 35+/-4 Asker C 1.1M 2M 3mm</v>
      </c>
      <c r="H129">
        <v>45</v>
      </c>
      <c r="I129">
        <v>1</v>
      </c>
      <c r="J129">
        <v>1</v>
      </c>
      <c r="L129" t="str">
        <v>MPS</v>
      </c>
      <c r="M129" t="str">
        <v>SPLITTING</v>
      </c>
      <c r="Q129">
        <v>46186</v>
      </c>
    </row>
    <row r="131">
      <c r="A131" t="str">
        <v>F-2026-06-01</v>
      </c>
      <c r="B131" t="str">
        <v>RPRO-260601-0852</v>
      </c>
      <c r="C131" t="str">
        <v>10/6</v>
      </c>
      <c r="E131" t="str">
        <v>BDB-000264</v>
      </c>
      <c r="F131" t="str">
        <v>PVN-003881</v>
      </c>
      <c r="G131" t="str">
        <v>OrthoLite Ultra YELLOW/13-0858TPX Flat Sheet 0.085D 25+/-4 Asker C 1.1M 1.47M 5mm</v>
      </c>
      <c r="H131">
        <v>140</v>
      </c>
      <c r="I131">
        <v>5</v>
      </c>
      <c r="J131">
        <v>5</v>
      </c>
      <c r="L131" t="str">
        <v>MPS</v>
      </c>
      <c r="M131" t="str">
        <v>SPLITING</v>
      </c>
      <c r="N131">
        <v>5</v>
      </c>
      <c r="Q131">
        <v>46186</v>
      </c>
    </row>
    <row r="133">
      <c r="A133" t="str">
        <v>F-2026-06-29</v>
      </c>
      <c r="B133" t="str">
        <v>RPRO-260601-0880</v>
      </c>
      <c r="C133" t="str">
        <v>10/6</v>
      </c>
      <c r="E133" t="str">
        <v>BDB-000386</v>
      </c>
      <c r="F133" t="str">
        <v>PVN-004423</v>
      </c>
      <c r="G133" t="str">
        <v>OrthoLite Impressions TAWNY PORT/19-1725TPX Flat Sheet 0.15D 70-80 Asker F 1.1M 1.7M 3.5mm</v>
      </c>
      <c r="H133">
        <v>40</v>
      </c>
      <c r="I133">
        <v>1</v>
      </c>
      <c r="J133">
        <v>1</v>
      </c>
      <c r="K133" t="str">
        <v>BROOKS</v>
      </c>
      <c r="L133" t="str">
        <v>Pro. Schedule</v>
      </c>
      <c r="M133" t="str">
        <v>MOLDED</v>
      </c>
      <c r="N133">
        <v>1</v>
      </c>
      <c r="Q133">
        <v>46186</v>
      </c>
      <c r="R133" t="str">
        <v>OK</v>
      </c>
    </row>
    <row r="135">
      <c r="A135" t="str">
        <v>F-2026-05-385</v>
      </c>
      <c r="B135" t="str">
        <v>FPRO-260526-0027</v>
      </c>
      <c r="C135" t="str">
        <v>10/6</v>
      </c>
      <c r="D135" t="str">
        <v>Firm plan 27/5</v>
      </c>
      <c r="E135" t="str">
        <v>BDB-000385</v>
      </c>
      <c r="F135" t="str">
        <v>PVN-004381</v>
      </c>
      <c r="G135" t="str">
        <v>OrthoLite Impressions-Nike TAWNY PORT/19-1725TPX 0.15D 70-80 Asker F 1.1M 1.7M 3mm</v>
      </c>
      <c r="H135">
        <v>1080</v>
      </c>
      <c r="I135">
        <v>24</v>
      </c>
      <c r="J135">
        <v>24</v>
      </c>
      <c r="K135" t="str">
        <v>NIKE</v>
      </c>
      <c r="L135" t="str">
        <v>Forecast</v>
      </c>
      <c r="M135" t="str">
        <v>DIE CUT</v>
      </c>
      <c r="N135">
        <v>57</v>
      </c>
      <c r="Q135">
        <v>46186</v>
      </c>
    </row>
    <row r="136">
      <c r="A136" t="str">
        <v>F-2026-05-369</v>
      </c>
      <c r="B136" t="str">
        <v>FPRO-260526-0011</v>
      </c>
      <c r="C136" t="str">
        <v>10/6-11/6</v>
      </c>
      <c r="D136" t="str">
        <v>Firm plan 27/5</v>
      </c>
      <c r="E136" t="str">
        <v>BDB-000385</v>
      </c>
      <c r="F136" t="str">
        <v>PVN-004381</v>
      </c>
      <c r="G136" t="str">
        <v>OrthoLite Impressions-Nike TAWNY PORT/19-1725TPX 0.15D 70-80 Asker F 1.1M 1.7M 3mm</v>
      </c>
      <c r="H136">
        <v>1500</v>
      </c>
      <c r="I136">
        <v>33</v>
      </c>
      <c r="J136">
        <v>33</v>
      </c>
      <c r="K136" t="str">
        <v>NIKE</v>
      </c>
      <c r="L136" t="str">
        <v>Forecast</v>
      </c>
      <c r="M136" t="str">
        <v>DIE CUT</v>
      </c>
      <c r="Q136">
        <v>46188</v>
      </c>
    </row>
    <row r="138">
      <c r="A138" t="str">
        <v>OIN-2026.06.03-02</v>
      </c>
      <c r="B138" t="str">
        <v>RPRO-260608-0842</v>
      </c>
      <c r="C138" t="str">
        <v>11/6</v>
      </c>
      <c r="D138" t="str">
        <v>OIN</v>
      </c>
      <c r="E138" t="str">
        <v>BDB-000141</v>
      </c>
      <c r="F138" t="str">
        <v>PVN-001851</v>
      </c>
      <c r="G138" t="str">
        <v>[116-18967] Regular Nike 25+/-4 Asker C 0.11D Neutral Grey 17-4402 Tpx 1.10M X 2.00M 5mm</v>
      </c>
      <c r="H138">
        <v>20</v>
      </c>
      <c r="I138">
        <v>1</v>
      </c>
      <c r="J138">
        <v>1</v>
      </c>
      <c r="K138" t="str">
        <v>Nike</v>
      </c>
      <c r="L138" t="str">
        <v>PO-7415_Sample</v>
      </c>
      <c r="M138" t="str">
        <v>FLAT SHEET</v>
      </c>
      <c r="N138">
        <v>3</v>
      </c>
      <c r="Q138">
        <v>46188</v>
      </c>
    </row>
    <row r="139">
      <c r="A139" t="str">
        <v>OIN-2026.06.03-01</v>
      </c>
      <c r="B139" t="str">
        <v>RPRO-260608-0840</v>
      </c>
      <c r="C139" t="str">
        <v>11/6</v>
      </c>
      <c r="D139" t="str">
        <v>OIN</v>
      </c>
      <c r="E139" t="str">
        <v>BDB-000141</v>
      </c>
      <c r="F139" t="str">
        <v>PVN-004440</v>
      </c>
      <c r="G139" t="str">
        <v xml:space="preserve">[116-18969] Regular Nike 25+/-4 Asker C 0.11D Neutral Grey 17-4402 Tpx 1.10M X 2.00M 47mm </v>
      </c>
      <c r="H139">
        <v>5</v>
      </c>
      <c r="I139">
        <v>2</v>
      </c>
      <c r="J139">
        <v>2</v>
      </c>
      <c r="K139" t="str">
        <v>Nike</v>
      </c>
      <c r="L139" t="str">
        <v>PO-7415_Sample</v>
      </c>
      <c r="M139" t="str">
        <v>FLAT SHEET</v>
      </c>
      <c r="Q139">
        <v>46188</v>
      </c>
    </row>
    <row r="141">
      <c r="A141" t="str">
        <v>OIN-2026.06.05</v>
      </c>
      <c r="B141" t="str">
        <v>RPRO-260608-0844</v>
      </c>
      <c r="C141" t="str">
        <v>11/6</v>
      </c>
      <c r="D141" t="str">
        <v>OIN</v>
      </c>
      <c r="E141" t="str">
        <v>BDB-000003</v>
      </c>
      <c r="F141" t="str">
        <v>PVN-004441</v>
      </c>
      <c r="G141" t="str">
        <v>[116-19011] Regular 25+/-4 Asker C 0.11D Yellow 13-0858 Tpx 1.10M X 2.00M 47Mm</v>
      </c>
      <c r="H141">
        <v>63</v>
      </c>
      <c r="I141">
        <v>21</v>
      </c>
      <c r="J141">
        <v>21</v>
      </c>
      <c r="K141" t="str">
        <v>Justin Boots</v>
      </c>
      <c r="L141" t="str">
        <v>PO-7441</v>
      </c>
      <c r="M141" t="str">
        <v>FLAT SHEET</v>
      </c>
      <c r="N141">
        <v>21</v>
      </c>
      <c r="Q141">
        <v>46188</v>
      </c>
    </row>
    <row r="143">
      <c r="A143" t="str">
        <v>F-2026-04-416</v>
      </c>
      <c r="B143" t="str">
        <v>FPRO-260429-0029</v>
      </c>
      <c r="C143" t="str">
        <v>11/6</v>
      </c>
      <c r="D143" t="str">
        <v>Firm plan 29.04</v>
      </c>
      <c r="E143" t="str">
        <v>BDB-000162</v>
      </c>
      <c r="F143" t="str">
        <v>PVN-001566</v>
      </c>
      <c r="G143" t="str">
        <v>OrthoLite Ultra-Nike SEEDPEARL/12-0703TPX 0.085D 25+/-4 Asker C 1.1M 2M 4mm</v>
      </c>
      <c r="H143">
        <v>2000</v>
      </c>
      <c r="I143">
        <v>58</v>
      </c>
      <c r="J143">
        <v>58</v>
      </c>
      <c r="K143" t="str">
        <v>NIKE</v>
      </c>
      <c r="L143" t="str">
        <v>Forecast</v>
      </c>
      <c r="M143" t="str">
        <v>DIE CUT</v>
      </c>
      <c r="N143">
        <v>45</v>
      </c>
      <c r="O143" t="str">
        <v xml:space="preserve">W23 đổ dư 13 bun </v>
      </c>
      <c r="Q143">
        <v>46190</v>
      </c>
    </row>
    <row r="144">
      <c r="G144" t="str">
        <v>RELEASE ĐỢT 1</v>
      </c>
    </row>
    <row r="145">
      <c r="H145">
        <v>25199</v>
      </c>
      <c r="I145">
        <v>658</v>
      </c>
      <c r="J145">
        <v>658</v>
      </c>
      <c r="N145">
        <v>538</v>
      </c>
      <c r="O145">
        <v>-92</v>
      </c>
    </row>
  </sheetData>
  <autoFilter ref="A2:Q248"/>
  <mergeCells count="1">
    <mergeCell ref="A1:B1"/>
  </mergeCells>
  <pageMargins left="0" right="0" top="0" bottom="0.25" header="0" footer="0"/>
  <ignoredErrors>
    <ignoredError numberStoredAsText="1" sqref="A1:S8245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W8279"/>
  <sheetViews>
    <sheetView workbookViewId="0" rightToLeft="0"/>
  </sheetViews>
  <sheetData>
    <row r="1" xml:space="preserve">
      <c r="G1" t="str" xml:space="preserve">
        <v xml:space="preserve">Kế Hoạch Sản Xuất _x000d_
Production Planning_x000d_
Tiến độ chính thức tuần 24 - L2</v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màu red của footjoy chạy  (CHẠY 16D, 35C)-PVN-003797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</row>
    <row r="3">
      <c r="A3" t="str">
        <v>Máy 1</v>
      </c>
      <c r="C3">
        <v>0</v>
      </c>
      <c r="D3">
        <v>46179.548734375</v>
      </c>
      <c r="G3" t="str">
        <v>8/6-13/6</v>
      </c>
    </row>
    <row r="4">
      <c r="A4" t="str">
        <v>F-2026-06-79</v>
      </c>
      <c r="B4" t="str">
        <v>RPRO-260603-0449</v>
      </c>
      <c r="C4" t="str">
        <v>12/6</v>
      </c>
      <c r="E4" t="str">
        <v>BDB-000305</v>
      </c>
      <c r="F4" t="str">
        <v>PVN-004000</v>
      </c>
      <c r="G4" t="str">
        <v>OrthoLite X-35-Nike YELLOW/13-0858TPX Flat Sheet 0.145D 25+/-4 Asker C 1.1M 2M 5.5mm</v>
      </c>
      <c r="H4">
        <v>25</v>
      </c>
      <c r="I4">
        <v>1</v>
      </c>
      <c r="J4">
        <v>1</v>
      </c>
      <c r="L4" t="str">
        <v>MPS</v>
      </c>
      <c r="M4" t="str">
        <v>SPLITTING</v>
      </c>
      <c r="N4">
        <v>1</v>
      </c>
      <c r="Q4">
        <v>46188</v>
      </c>
    </row>
    <row r="6">
      <c r="A6" t="str">
        <v>F-2026-06-116</v>
      </c>
      <c r="B6" t="str">
        <v>RPRO-260604-0478</v>
      </c>
      <c r="C6" t="str">
        <v>12/6</v>
      </c>
      <c r="D6" t="str">
        <v>Pro.sche.report 02.06+03.06</v>
      </c>
      <c r="E6" t="str">
        <v>BDB-000318</v>
      </c>
      <c r="F6" t="str">
        <v>PVN-004077</v>
      </c>
      <c r="G6" t="str">
        <v>OrthoLite X-55 RED/19-1764TPX Flat Sheet 0.16D 25+/-4 Asker C 1.1M 2M 5.2mm</v>
      </c>
      <c r="H6">
        <v>26</v>
      </c>
      <c r="I6">
        <v>1</v>
      </c>
      <c r="J6">
        <v>1</v>
      </c>
      <c r="K6" t="str">
        <v>NEW BALANCE</v>
      </c>
      <c r="L6" t="str">
        <v>Pro. Schedule</v>
      </c>
      <c r="M6" t="str">
        <v>MOLDED</v>
      </c>
      <c r="N6">
        <v>1</v>
      </c>
      <c r="O6" t="str">
        <v>gấp, có hàng sớm giao sớm</v>
      </c>
      <c r="Q6">
        <v>46186</v>
      </c>
    </row>
    <row r="8">
      <c r="A8" t="str">
        <v>F-2026-06-174</v>
      </c>
      <c r="B8" t="str">
        <v>RPRO-260605-0584</v>
      </c>
      <c r="C8" t="str">
        <v>12/6</v>
      </c>
      <c r="D8" t="str">
        <v>MPS 05.06</v>
      </c>
      <c r="E8" t="str">
        <v>BDB-000051</v>
      </c>
      <c r="F8" t="str">
        <v>PVN-003328</v>
      </c>
      <c r="G8" t="str">
        <v>OrthoLite X-40 TRUE BLUE/19-4057TPX Flat Sheet 0.16D 25+/-4 Asker C 1.1M 1.7M 5mm</v>
      </c>
      <c r="H8">
        <v>28</v>
      </c>
      <c r="I8">
        <v>1</v>
      </c>
      <c r="J8">
        <v>1</v>
      </c>
      <c r="L8" t="str">
        <v>MPS</v>
      </c>
      <c r="M8" t="str">
        <v>SPLITTING</v>
      </c>
      <c r="N8">
        <v>1</v>
      </c>
      <c r="O8" t="str">
        <v>gấp, có hàng sớm giao sớm</v>
      </c>
      <c r="Q8">
        <v>46186</v>
      </c>
    </row>
    <row r="10">
      <c r="A10" t="str">
        <v>F-2026-06-60</v>
      </c>
      <c r="B10" t="str">
        <v>RPRO-260602-0756</v>
      </c>
      <c r="C10" t="str">
        <v>12/6</v>
      </c>
      <c r="E10" t="str">
        <v>BDB-000056</v>
      </c>
      <c r="F10" t="str">
        <v>PVN-001983</v>
      </c>
      <c r="G10" t="str">
        <v>OrthoLite X-40 SEEDPEARL/12-0703TPX Flat Sheet 0.16D 25+/-4 Asker C 1.1M 1.7M 5mm</v>
      </c>
      <c r="H10">
        <v>29</v>
      </c>
      <c r="I10">
        <v>2</v>
      </c>
      <c r="J10">
        <v>2</v>
      </c>
      <c r="L10" t="str">
        <v>Pro. Schedule</v>
      </c>
      <c r="N10">
        <v>2</v>
      </c>
      <c r="Q10">
        <v>46186</v>
      </c>
    </row>
    <row r="12">
      <c r="A12" t="str">
        <v>F-2026-06-230</v>
      </c>
      <c r="B12" t="str">
        <v>RPRO-260609-0166</v>
      </c>
      <c r="C12" t="str">
        <v>12/6</v>
      </c>
      <c r="E12" t="str">
        <v>BDB-000213</v>
      </c>
      <c r="F12" t="str">
        <v>PVN-003752</v>
      </c>
      <c r="G12" t="str">
        <v>OrthoLite X-25-Hybrid SEEDPEARL/12-0703TPX Hybrid Flat Sheet 0.12D 20+/-4 Asker C 1.1M 1.47M 4.5mm</v>
      </c>
      <c r="H12">
        <v>371</v>
      </c>
      <c r="I12">
        <v>12</v>
      </c>
      <c r="J12">
        <v>12</v>
      </c>
      <c r="K12" t="str">
        <v>ON RUNNING</v>
      </c>
      <c r="L12" t="str">
        <v>Pro. Schedule</v>
      </c>
      <c r="M12" t="str">
        <v>MOLDED</v>
      </c>
      <c r="N12">
        <v>12</v>
      </c>
      <c r="O12" t="str">
        <v>gấp, có hàng sớm giao sớm</v>
      </c>
      <c r="Q12">
        <v>46186</v>
      </c>
    </row>
    <row r="14">
      <c r="A14" t="str">
        <v>F-2026-06-101</v>
      </c>
      <c r="B14" t="str">
        <v>RPRO-260604-0463</v>
      </c>
      <c r="C14" t="str">
        <v>12/6</v>
      </c>
      <c r="D14" t="str">
        <v>Pro.sche.report 02.06+03.06</v>
      </c>
      <c r="E14" t="str">
        <v>BDB-000319</v>
      </c>
      <c r="F14" t="str">
        <v>PVN-004247</v>
      </c>
      <c r="G14" t="str">
        <v>OrthoLite X-40-Hybrid-Nike SEEDPEARL/12-0703TPX Hybrid Flat Sheet 0.16D 25+/-4 Asker C 1.1M 2M 4.2mm</v>
      </c>
      <c r="H14">
        <v>33</v>
      </c>
      <c r="I14">
        <v>1</v>
      </c>
      <c r="J14">
        <v>1</v>
      </c>
      <c r="K14" t="str">
        <v>NIKE</v>
      </c>
      <c r="L14" t="str">
        <v>Pro. Schedule</v>
      </c>
      <c r="M14" t="str">
        <v>MOLDED</v>
      </c>
      <c r="N14">
        <v>13</v>
      </c>
      <c r="O14" t="str">
        <v>gấp, có hàng sớm giao sớm</v>
      </c>
      <c r="Q14">
        <v>46186</v>
      </c>
    </row>
    <row r="15">
      <c r="A15" t="str">
        <v>F-2026-06-41</v>
      </c>
      <c r="B15" t="str">
        <v>RPRO-260602-0737</v>
      </c>
      <c r="C15" t="str">
        <v>12/6</v>
      </c>
      <c r="E15" t="str">
        <v>BDB-000319</v>
      </c>
      <c r="F15" t="str">
        <v>PVN-004081</v>
      </c>
      <c r="G15" t="str">
        <v>OrthoLite X-40-Hybrid-Nike SEEDPEARL/12-0703TPX Hybrid Flat Sheet 0.16D 25+/-4 Asker C 1.1M 2M 6mm</v>
      </c>
      <c r="H15">
        <v>230</v>
      </c>
      <c r="I15">
        <v>11</v>
      </c>
      <c r="J15">
        <v>11</v>
      </c>
      <c r="K15" t="str">
        <v>NIKE</v>
      </c>
      <c r="L15" t="str">
        <v>Pro. Schedule</v>
      </c>
      <c r="M15" t="str">
        <v>MOLDED</v>
      </c>
      <c r="Q15">
        <v>46186</v>
      </c>
    </row>
    <row r="16">
      <c r="A16" t="str">
        <v>F-2026-06-97</v>
      </c>
      <c r="B16" t="str">
        <v>RPRO-260604-0459</v>
      </c>
      <c r="C16" t="str">
        <v>12/6</v>
      </c>
      <c r="D16" t="str">
        <v>Pro.sche.report 02.06+03.06</v>
      </c>
      <c r="E16" t="str">
        <v>BDB-000319</v>
      </c>
      <c r="F16" t="str">
        <v>PVN-004081</v>
      </c>
      <c r="G16" t="str">
        <v>OrthoLite X-40-Hybrid-Nike SEEDPEARL/12-0703TPX Hybrid Flat Sheet 0.16D 25+/-4 Asker C 1.1M 2M 6mm</v>
      </c>
      <c r="H16">
        <v>22</v>
      </c>
      <c r="I16">
        <v>1</v>
      </c>
      <c r="J16">
        <v>1</v>
      </c>
      <c r="K16" t="str">
        <v>NIKE</v>
      </c>
      <c r="L16" t="str">
        <v>Pro. Schedule</v>
      </c>
      <c r="M16" t="str">
        <v>MOLDED</v>
      </c>
      <c r="Q16">
        <v>46189.47331273148</v>
      </c>
    </row>
    <row r="18">
      <c r="A18" t="str">
        <v>F-2026-06-119</v>
      </c>
      <c r="B18" t="str">
        <v>FPRO-260603-0009</v>
      </c>
      <c r="C18" t="str">
        <v>12/6</v>
      </c>
      <c r="E18" t="str">
        <v>BDB-000234</v>
      </c>
      <c r="F18" t="str">
        <v>PVN-003575</v>
      </c>
      <c r="G18" t="str">
        <v>OrthoLite X-30-Hybrid BROWN SUGAR/17-1134TPX Hybrid Flat Sheet 0.13D 25+/-4 Asker C 1.1M 2M 10mm</v>
      </c>
      <c r="H18">
        <v>17</v>
      </c>
      <c r="I18">
        <v>2</v>
      </c>
      <c r="J18">
        <v>2</v>
      </c>
      <c r="K18" t="str">
        <v>ASICS</v>
      </c>
      <c r="L18" t="str">
        <v>Forecast</v>
      </c>
      <c r="M18" t="str">
        <v>MOLDED</v>
      </c>
      <c r="N18">
        <v>26</v>
      </c>
      <c r="Q18">
        <v>46186</v>
      </c>
    </row>
    <row r="19">
      <c r="A19" t="str">
        <v>F-2026-06-63</v>
      </c>
      <c r="B19" t="str">
        <v>FPRO-260602-0001</v>
      </c>
      <c r="C19" t="str">
        <v>12/6</v>
      </c>
      <c r="E19" t="str">
        <v>BDB-000234</v>
      </c>
      <c r="F19" t="str">
        <v>PVN-003581</v>
      </c>
      <c r="G19" t="str">
        <v>OrthoLite X-30-Hybrid BROWN SUGAR/17-1134TPX Hybrid Flat Sheet 0.13D 25+/-4 Asker C 1.1M 2M 12mm</v>
      </c>
      <c r="H19">
        <v>240</v>
      </c>
      <c r="I19">
        <v>21</v>
      </c>
      <c r="J19">
        <v>21</v>
      </c>
      <c r="K19" t="str">
        <v>ASICS</v>
      </c>
      <c r="L19" t="str">
        <v>Forecast</v>
      </c>
      <c r="M19" t="str">
        <v>MOLDED</v>
      </c>
      <c r="Q19">
        <v>46186</v>
      </c>
    </row>
    <row r="20">
      <c r="A20" t="str">
        <v>F-2026-06-103</v>
      </c>
      <c r="B20" t="str">
        <v>RPRO-260604-0465</v>
      </c>
      <c r="C20" t="str">
        <v>12/6</v>
      </c>
      <c r="D20" t="str">
        <v>Pro.sche.report 02.06+03.06</v>
      </c>
      <c r="E20" t="str">
        <v>BDB-000234</v>
      </c>
      <c r="F20" t="str">
        <v>PVN-003581</v>
      </c>
      <c r="G20" t="str">
        <v>OrthoLite X-30-Hybrid BROWN SUGAR/17-1134TPX Hybrid Flat Sheet 0.13D 25+/-4 Asker C 1.1M 2M 12mm</v>
      </c>
      <c r="H20">
        <v>34</v>
      </c>
      <c r="I20">
        <v>3</v>
      </c>
      <c r="J20">
        <v>3</v>
      </c>
      <c r="K20" t="str">
        <v>ASICS</v>
      </c>
      <c r="L20" t="str">
        <v>Pro. Schedule</v>
      </c>
      <c r="M20" t="str">
        <v>MOLDED</v>
      </c>
      <c r="Q20">
        <v>46189.47331273148</v>
      </c>
    </row>
    <row r="22">
      <c r="A22" t="str">
        <v>F-2026-06-32</v>
      </c>
      <c r="B22" t="str">
        <v>RPRO-260602-0728</v>
      </c>
      <c r="C22" t="str">
        <v>12/6</v>
      </c>
      <c r="E22" t="str">
        <v>BDB-000348</v>
      </c>
      <c r="F22" t="str">
        <v>PVN-004195</v>
      </c>
      <c r="G22" t="str">
        <v>OrthoLite IMPERIAL SEEDPEARL/12-0703TPX Flat Sheet 0.22D 25+/-4 Asker C 1.1M 1.47M 4mm</v>
      </c>
      <c r="H22">
        <v>105</v>
      </c>
      <c r="I22">
        <v>3</v>
      </c>
      <c r="J22">
        <v>3</v>
      </c>
      <c r="L22" t="str">
        <v>MPS</v>
      </c>
      <c r="M22" t="str">
        <v>SPLITTING</v>
      </c>
      <c r="N22">
        <v>30</v>
      </c>
      <c r="Q22">
        <v>46186</v>
      </c>
    </row>
    <row r="23">
      <c r="A23" t="str">
        <v>F-2026-06-196</v>
      </c>
      <c r="B23" t="str">
        <v>RPRO-260605-0606</v>
      </c>
      <c r="C23" t="str">
        <v>12/6</v>
      </c>
      <c r="D23" t="str">
        <v>MPS 05.06</v>
      </c>
      <c r="E23" t="str">
        <v>BDB-000348</v>
      </c>
      <c r="F23" t="str">
        <v>PVN-004210</v>
      </c>
      <c r="G23" t="str">
        <v>OrthoLite IMPERIAL SEEDPEARL/12-0703TPX Flat Sheet 0.22D 25+/-4 Asker C 1.1M 1.47M 5mm</v>
      </c>
      <c r="H23">
        <v>28</v>
      </c>
      <c r="I23">
        <v>1</v>
      </c>
      <c r="J23">
        <v>1</v>
      </c>
      <c r="L23" t="str">
        <v>MPS</v>
      </c>
      <c r="M23" t="str">
        <v>SPLITTING</v>
      </c>
      <c r="Q23">
        <v>46186</v>
      </c>
    </row>
    <row r="24">
      <c r="A24" t="str">
        <v>F-2026-06-222</v>
      </c>
      <c r="B24" t="str">
        <v>RPRO-260609-0158</v>
      </c>
      <c r="C24" t="str">
        <v>12/6</v>
      </c>
      <c r="E24" t="str">
        <v>BDB-000348</v>
      </c>
      <c r="F24" t="str">
        <v>PVN-004210</v>
      </c>
      <c r="G24" t="str">
        <v>OrthoLite IMPERIAL SEEDPEARL/12-0703TPX Flat Sheet 0.22D 25+/-4 Asker C 1.1M 1.47M 5mm</v>
      </c>
      <c r="H24">
        <v>112</v>
      </c>
      <c r="I24">
        <v>4</v>
      </c>
      <c r="J24">
        <v>4</v>
      </c>
      <c r="L24" t="str">
        <v>MPS</v>
      </c>
      <c r="M24" t="str">
        <v>SPLITTING</v>
      </c>
      <c r="Q24">
        <v>46186</v>
      </c>
    </row>
    <row r="25">
      <c r="A25" t="str">
        <v>F-2026-06-80</v>
      </c>
      <c r="B25" t="str">
        <v>RPRO-260603-0450</v>
      </c>
      <c r="C25" t="str">
        <v>12/6</v>
      </c>
      <c r="E25" t="str">
        <v>BDB-000348</v>
      </c>
      <c r="F25" t="str">
        <v>PVN-004195</v>
      </c>
      <c r="G25" t="str">
        <v>OrthoLite IMPERIAL SEEDPEARL/12-0703TPX Flat Sheet 0.22D 25+/-4 Asker C 1.1M 1.47M 4mm</v>
      </c>
      <c r="H25">
        <v>175</v>
      </c>
      <c r="I25">
        <v>5</v>
      </c>
      <c r="J25">
        <v>5</v>
      </c>
      <c r="L25" t="str">
        <v>MPS</v>
      </c>
      <c r="M25" t="str">
        <v>SPLITTING</v>
      </c>
      <c r="Q25">
        <v>46188</v>
      </c>
    </row>
    <row r="26">
      <c r="A26" t="str">
        <v>F-2026-06-82</v>
      </c>
      <c r="B26" t="str">
        <v>RPRO-260604-0444</v>
      </c>
      <c r="C26" t="str">
        <v>12/6</v>
      </c>
      <c r="D26" t="str">
        <v>MPS 03.06+04.06</v>
      </c>
      <c r="E26" t="str">
        <v>BDB-000348</v>
      </c>
      <c r="F26" t="str">
        <v>PVN-004195</v>
      </c>
      <c r="G26" t="str">
        <v>OrthoLite IMPERIAL SEEDPEARL/12-0703TPX Flat Sheet 0.22D 25+/-4 Asker C 1.1M 1.47M 4mm</v>
      </c>
      <c r="H26">
        <v>525</v>
      </c>
      <c r="I26">
        <v>15</v>
      </c>
      <c r="J26">
        <v>15</v>
      </c>
      <c r="L26" t="str">
        <v>MPS</v>
      </c>
      <c r="M26" t="str">
        <v>SPLITTING</v>
      </c>
      <c r="Q26">
        <v>46189.47331273148</v>
      </c>
    </row>
    <row r="27">
      <c r="A27" t="str">
        <v>F-2026-06-171</v>
      </c>
      <c r="B27" t="str">
        <v>RPRO-260605-0581</v>
      </c>
      <c r="C27" t="str">
        <v>12/6</v>
      </c>
      <c r="D27" t="str">
        <v>MPS 05.06</v>
      </c>
      <c r="E27" t="str">
        <v>BDB-000348</v>
      </c>
      <c r="F27" t="str">
        <v>PVN-004195</v>
      </c>
      <c r="G27" t="str">
        <v>OrthoLite IMPERIAL SEEDPEARL/12-0703TPX Flat Sheet 0.22D 25+/-4 Asker C 1.1M 1.47M 4mm</v>
      </c>
      <c r="H27">
        <v>70</v>
      </c>
      <c r="I27">
        <v>2</v>
      </c>
      <c r="J27">
        <v>2</v>
      </c>
      <c r="L27" t="str">
        <v>MPS</v>
      </c>
      <c r="M27" t="str">
        <v>SPLITTING</v>
      </c>
      <c r="Q27">
        <v>46190.46129571759</v>
      </c>
    </row>
    <row r="29">
      <c r="A29" t="str">
        <v>F-2026-06-67</v>
      </c>
      <c r="B29" t="str">
        <v>FPRO-260602-0003</v>
      </c>
      <c r="C29" t="str">
        <v>12/6</v>
      </c>
      <c r="E29" t="str">
        <v>BDB-000235</v>
      </c>
      <c r="F29" t="str">
        <v>PVN-003576</v>
      </c>
      <c r="G29" t="str">
        <v>OrthoLite X-55-Hybrid FOSSIL/17-0909TPX Hybrid Flat Sheet 0.16D 25+/-4 Asker C 1.1M 1.7M 12mm</v>
      </c>
      <c r="H29">
        <v>953</v>
      </c>
      <c r="I29">
        <v>83</v>
      </c>
      <c r="J29">
        <v>83</v>
      </c>
      <c r="K29" t="str">
        <v>ASICS</v>
      </c>
      <c r="L29" t="str">
        <v>Forecast</v>
      </c>
      <c r="M29" t="str">
        <v>MOLDED</v>
      </c>
      <c r="N29">
        <v>83</v>
      </c>
      <c r="Q29">
        <v>46186</v>
      </c>
    </row>
    <row r="31">
      <c r="A31" t="str">
        <v>F-2026-04-448</v>
      </c>
      <c r="B31" t="str">
        <v>FPRO-260429-0061</v>
      </c>
      <c r="C31" t="str">
        <v>12/6-13/6</v>
      </c>
      <c r="D31" t="str">
        <v>Firm plan 29.04</v>
      </c>
      <c r="E31" t="str">
        <v>BDB-000157</v>
      </c>
      <c r="F31" t="str">
        <v>PVN-003573</v>
      </c>
      <c r="G31" t="str">
        <v>OrthoLite X-35-Hybrid-Nike SEEDPEARL/12-0703TPX Hybrid 0.145D 25+/-4 Asker C 1.1M 2M 4.2mm</v>
      </c>
      <c r="H31">
        <v>1000</v>
      </c>
      <c r="I31">
        <v>31</v>
      </c>
      <c r="J31">
        <v>31</v>
      </c>
      <c r="K31" t="str">
        <v>NIKE</v>
      </c>
      <c r="L31" t="str">
        <v>Forecast</v>
      </c>
      <c r="M31" t="str">
        <v>MOLDED</v>
      </c>
      <c r="N31">
        <v>31</v>
      </c>
      <c r="Q31">
        <v>46188</v>
      </c>
    </row>
    <row r="33">
      <c r="A33" t="str">
        <v>F-2026-06-182</v>
      </c>
      <c r="B33" t="str">
        <v>RPRO-260605-0592</v>
      </c>
      <c r="C33" t="str">
        <v>13/6</v>
      </c>
      <c r="D33" t="str">
        <v>Pro.sche.report 04.06</v>
      </c>
      <c r="E33" t="str">
        <v>BDB-000373</v>
      </c>
      <c r="F33" t="str">
        <v>PVN-004315</v>
      </c>
      <c r="G33" t="str">
        <v>OrthoLite X-25-Nike BILLIARD/16-5427TPX Flat Sheet 0.12D 20+/-4 Asker C 1.1M 2M 5mm</v>
      </c>
      <c r="H33">
        <v>1764</v>
      </c>
      <c r="I33">
        <v>63</v>
      </c>
      <c r="J33">
        <v>63</v>
      </c>
      <c r="K33" t="str">
        <v>NIKE</v>
      </c>
      <c r="L33" t="str">
        <v>Pro. Schedule</v>
      </c>
      <c r="M33" t="str">
        <v>DIE CUT</v>
      </c>
      <c r="N33">
        <v>63</v>
      </c>
      <c r="Q33">
        <v>46188</v>
      </c>
    </row>
    <row r="35">
      <c r="A35" t="str">
        <v>F-2026-06-109</v>
      </c>
      <c r="B35" t="str">
        <v>RPRO-260604-0471</v>
      </c>
      <c r="C35" t="str">
        <v>13/6</v>
      </c>
      <c r="D35" t="str">
        <v>Pro.sche.report 02.06+03.06</v>
      </c>
      <c r="E35" t="str">
        <v>BDB-000336</v>
      </c>
      <c r="F35" t="str">
        <v>PVN-004168</v>
      </c>
      <c r="G35" t="str">
        <v>OrthoLite X-40-Nike SEEDPEARL/12-0703TPX Flat Sheet 0.16D 35+/-4 Asker C 1.1M 2M 4.5mm</v>
      </c>
      <c r="H35">
        <v>150</v>
      </c>
      <c r="I35">
        <v>5</v>
      </c>
      <c r="J35">
        <v>5</v>
      </c>
      <c r="K35" t="str">
        <v>NIKE</v>
      </c>
      <c r="L35" t="str">
        <v>Pro. Schedule</v>
      </c>
      <c r="M35" t="str">
        <v>MOLDED</v>
      </c>
      <c r="N35">
        <v>5</v>
      </c>
      <c r="Q35">
        <v>46189.47331273148</v>
      </c>
    </row>
    <row r="37">
      <c r="A37" t="str">
        <v>F-2026-05-402</v>
      </c>
      <c r="B37" t="str">
        <v>FPRO-260527-0011</v>
      </c>
      <c r="C37" t="str">
        <v>13/6</v>
      </c>
      <c r="D37" t="str">
        <v>Firm plan 27/5</v>
      </c>
      <c r="E37" t="str">
        <v>BDB-000156</v>
      </c>
      <c r="F37" t="str">
        <v>PVN-003243</v>
      </c>
      <c r="G37" t="str">
        <v>OrthoLite X-35-Hybrid-Nike AMAZON/18-6024TPX Hybrid 0.145D 25+/-4 Asker C 1.1M 2M 5.2mm</v>
      </c>
      <c r="H37">
        <v>215</v>
      </c>
      <c r="I37">
        <v>9</v>
      </c>
      <c r="J37">
        <v>9</v>
      </c>
      <c r="K37" t="str">
        <v>NIKE</v>
      </c>
      <c r="L37" t="str">
        <v>Forecast</v>
      </c>
      <c r="M37" t="str">
        <v>MOLDED</v>
      </c>
      <c r="N37">
        <v>9</v>
      </c>
      <c r="Q37">
        <v>46190</v>
      </c>
    </row>
    <row r="39">
      <c r="A39" t="str">
        <v>F-2026-06-113</v>
      </c>
      <c r="B39" t="str">
        <v>RPRO-260604-0475</v>
      </c>
      <c r="C39" t="str">
        <v>13/6</v>
      </c>
      <c r="D39" t="str">
        <v>Pro.sche.report 02.06+03.06</v>
      </c>
      <c r="E39" t="str">
        <v>BDB-000054</v>
      </c>
      <c r="F39" t="str">
        <v>PVN-003895</v>
      </c>
      <c r="G39" t="str">
        <v>OrthoLite X-40 RED/19-1764TPX Flat Sheet 0.16D 25+/-4 Asker C 1.1M 1.7M 5mm</v>
      </c>
      <c r="H39">
        <v>56</v>
      </c>
      <c r="I39">
        <v>2</v>
      </c>
      <c r="J39">
        <v>2</v>
      </c>
      <c r="K39" t="str">
        <v>PAYNTR</v>
      </c>
      <c r="L39" t="str">
        <v>Pro. Schedule</v>
      </c>
      <c r="M39" t="str">
        <v>MOLDED</v>
      </c>
      <c r="N39">
        <v>2</v>
      </c>
      <c r="Q39">
        <v>46189.47331273148</v>
      </c>
    </row>
    <row r="41">
      <c r="A41" t="str">
        <v>F-2026-06-95</v>
      </c>
      <c r="B41" t="str">
        <v>RPRO-260604-0457</v>
      </c>
      <c r="C41" t="str">
        <v>13/6</v>
      </c>
      <c r="D41" t="str">
        <v>Pro.sche.report 02.06+03.06</v>
      </c>
      <c r="E41" t="str">
        <v>BDB-000117</v>
      </c>
      <c r="F41" t="str">
        <v>PVN-003234</v>
      </c>
      <c r="G41" t="str">
        <v>OrthoLite X-35-Hybrid SEEDPEARL/12-0703TPX Hybrid Flat Sheet 0.145D 25+/-4 Asker C 1.1M 2M 5.5mm</v>
      </c>
      <c r="H41">
        <v>25</v>
      </c>
      <c r="I41">
        <v>1</v>
      </c>
      <c r="J41">
        <v>1</v>
      </c>
      <c r="K41" t="str">
        <v>PUMA</v>
      </c>
      <c r="L41" t="str">
        <v>Pro. Schedule</v>
      </c>
      <c r="M41" t="str">
        <v>MOLDED</v>
      </c>
      <c r="N41">
        <v>2</v>
      </c>
      <c r="Q41">
        <v>46189.47331273148</v>
      </c>
    </row>
    <row r="42">
      <c r="A42" t="str">
        <v>F-2026-06-193</v>
      </c>
      <c r="B42" t="str">
        <v>RPRO-260605-0603</v>
      </c>
      <c r="C42" t="str">
        <v>13/6</v>
      </c>
      <c r="D42" t="str">
        <v>Pro.sche.report 04.06</v>
      </c>
      <c r="E42" t="str">
        <v>BDB-000117</v>
      </c>
      <c r="F42" t="str">
        <v>PVN-003148</v>
      </c>
      <c r="G42" t="str">
        <v>OrthoLite X-35-Hybrid SEEDPEARL/12-0703TPX Hybrid Flat Sheet 0.145D 25+/-4 Asker C 1.1M 2M 4.5mm</v>
      </c>
      <c r="H42">
        <v>30</v>
      </c>
      <c r="I42">
        <v>1</v>
      </c>
      <c r="J42">
        <v>1</v>
      </c>
      <c r="K42" t="str">
        <v>WILSON</v>
      </c>
      <c r="L42" t="str">
        <v>Pro. Schedule</v>
      </c>
      <c r="M42" t="str">
        <v>MOLDED</v>
      </c>
      <c r="Q42">
        <v>46190.46129571759</v>
      </c>
    </row>
    <row r="44">
      <c r="A44" t="str">
        <v>F-2026-06-93</v>
      </c>
      <c r="B44" t="str">
        <v>RPRO-260604-0455</v>
      </c>
      <c r="C44" t="str">
        <v>13/6</v>
      </c>
      <c r="D44" t="str">
        <v>MPS 03.06+04.06</v>
      </c>
      <c r="E44" t="str">
        <v>BDB-000077</v>
      </c>
      <c r="F44" t="str">
        <v>PVN-003478</v>
      </c>
      <c r="G44" t="str">
        <v>Ortholite X-25 SEEDPEARL/12-0703TPX Flat Sheet 0.12D 20+/-4 Asker C 1.1M 2M 4mm</v>
      </c>
      <c r="H44">
        <v>245</v>
      </c>
      <c r="I44">
        <v>7</v>
      </c>
      <c r="J44">
        <v>7</v>
      </c>
      <c r="L44" t="str">
        <v>MPS</v>
      </c>
      <c r="M44" t="str">
        <v>SPLITTING</v>
      </c>
      <c r="N44">
        <v>8</v>
      </c>
      <c r="Q44">
        <v>46189.47331273148</v>
      </c>
    </row>
    <row r="45">
      <c r="A45" t="str">
        <v>F-2026-06-203</v>
      </c>
      <c r="B45" t="str">
        <v>RPRO-260605-0613</v>
      </c>
      <c r="C45" t="str">
        <v>13/6</v>
      </c>
      <c r="D45" t="str">
        <v>Pro.sche.report 04.06</v>
      </c>
      <c r="E45" t="str">
        <v>BDB-000077</v>
      </c>
      <c r="F45" t="str">
        <v>PVN-003478</v>
      </c>
      <c r="G45" t="str">
        <v>Ortholite X-25 SEEDPEARL/12-0703TPX Flat Sheet 0.12D 20+/-4 Asker C 1.1M 2M 4mm</v>
      </c>
      <c r="H45">
        <v>35</v>
      </c>
      <c r="I45">
        <v>1</v>
      </c>
      <c r="J45">
        <v>1</v>
      </c>
      <c r="K45" t="str">
        <v>SOLEWORKS</v>
      </c>
      <c r="L45" t="str">
        <v>Pro. Schedule</v>
      </c>
      <c r="M45" t="str">
        <v>MOLDED</v>
      </c>
      <c r="Q45">
        <v>46190.46129571759</v>
      </c>
    </row>
    <row r="47">
      <c r="A47" t="str">
        <v>F-2026-06-107</v>
      </c>
      <c r="B47" t="str">
        <v>RPRO-260604-0469</v>
      </c>
      <c r="C47" t="str">
        <v>13/6</v>
      </c>
      <c r="D47" t="str">
        <v>Pro.sche.report 02.06+03.06</v>
      </c>
      <c r="E47" t="str">
        <v>BDB-000321</v>
      </c>
      <c r="F47" t="str">
        <v>PVN-004092</v>
      </c>
      <c r="G47" t="str">
        <v>OrthoLite Float BLUE ATOLL/16-4535TPX Flat Sheet 0.12D 21+/-4 Asker C 1.1M 2M 14.5mm</v>
      </c>
      <c r="H47">
        <v>144</v>
      </c>
      <c r="I47">
        <v>16</v>
      </c>
      <c r="J47">
        <v>16</v>
      </c>
      <c r="K47" t="str">
        <v>LOWA</v>
      </c>
      <c r="L47" t="str">
        <v>Pro. Schedule</v>
      </c>
      <c r="M47" t="str">
        <v>MOLDED</v>
      </c>
      <c r="N47">
        <v>20</v>
      </c>
      <c r="Q47">
        <v>46189.47331273148</v>
      </c>
    </row>
    <row r="48">
      <c r="A48" t="str">
        <v>F-2026-06-179</v>
      </c>
      <c r="B48" t="str">
        <v>RPRO-260605-0589</v>
      </c>
      <c r="C48" t="str">
        <v>13/6</v>
      </c>
      <c r="D48" t="str">
        <v>Pro.sche.report 04.06</v>
      </c>
      <c r="E48" t="str">
        <v>BDB-000321</v>
      </c>
      <c r="F48" t="str">
        <v>PVN-004092</v>
      </c>
      <c r="G48" t="str">
        <v>OrthoLite Float BLUE ATOLL/16-4535TPX Flat Sheet 0.12D 21+/-4 Asker C 1.1M 2M 14.5mm</v>
      </c>
      <c r="H48">
        <v>36</v>
      </c>
      <c r="I48">
        <v>4</v>
      </c>
      <c r="J48">
        <v>4</v>
      </c>
      <c r="K48" t="str">
        <v>LOWA</v>
      </c>
      <c r="L48" t="str">
        <v>Pro. Schedule</v>
      </c>
      <c r="M48" t="str">
        <v>MOLDED</v>
      </c>
      <c r="Q48">
        <v>46190.46129571759</v>
      </c>
    </row>
    <row r="50">
      <c r="A50" t="str">
        <v>F-2026-06-114</v>
      </c>
      <c r="B50" t="str">
        <v>RPRO-260604-0476</v>
      </c>
      <c r="C50" t="str">
        <v>13/6</v>
      </c>
      <c r="D50" t="str">
        <v>Pro.sche.report 02.06+03.06</v>
      </c>
      <c r="E50" t="str">
        <v>BDB-000324</v>
      </c>
      <c r="F50" t="str">
        <v>PVN-004110</v>
      </c>
      <c r="G50" t="str">
        <v>OrthoLite X-40 TRUE BLUE/19-4057TPX Flat Sheet 0.16D 25+/-4 Asker C 1.1M 2M 14.5mm</v>
      </c>
      <c r="H50">
        <v>54</v>
      </c>
      <c r="I50">
        <v>6</v>
      </c>
      <c r="J50">
        <v>6</v>
      </c>
      <c r="K50" t="str">
        <v>LOWA</v>
      </c>
      <c r="L50" t="str">
        <v>Pro. Schedule</v>
      </c>
      <c r="M50" t="str">
        <v>MOLDED</v>
      </c>
      <c r="N50">
        <v>19</v>
      </c>
      <c r="Q50">
        <v>46189.47331273148</v>
      </c>
    </row>
    <row r="51">
      <c r="A51" t="str">
        <v>F-2026-06-186</v>
      </c>
      <c r="B51" t="str">
        <v>RPRO-260605-0596</v>
      </c>
      <c r="C51" t="str">
        <v>13/6</v>
      </c>
      <c r="D51" t="str">
        <v>Pro.sche.report 04.06</v>
      </c>
      <c r="E51" t="str">
        <v>BDB-000324</v>
      </c>
      <c r="F51" t="str">
        <v>PVN-004110</v>
      </c>
      <c r="G51" t="str">
        <v>OrthoLite X-40 TRUE BLUE/19-4057TPX Flat Sheet 0.16D 25+/-4 Asker C 1.1M 2M 14.5mm</v>
      </c>
      <c r="H51">
        <v>117</v>
      </c>
      <c r="I51">
        <v>13</v>
      </c>
      <c r="J51">
        <v>13</v>
      </c>
      <c r="K51" t="str">
        <v>LOWA</v>
      </c>
      <c r="L51" t="str">
        <v>Pro. Schedule</v>
      </c>
      <c r="M51" t="str">
        <v>MOLDED</v>
      </c>
      <c r="Q51">
        <v>46190.46129571759</v>
      </c>
    </row>
    <row r="53">
      <c r="A53" t="str">
        <v>F-2026-06-18</v>
      </c>
      <c r="B53" t="str">
        <v>RPRO-260601-0869</v>
      </c>
      <c r="C53" t="str">
        <v>13/6</v>
      </c>
      <c r="E53" t="str">
        <v>BDB-000051</v>
      </c>
      <c r="F53" t="str">
        <v>PVN-003319</v>
      </c>
      <c r="G53" t="str">
        <v>OrthoLite X-40 TRUE BLUE/19-4057TPX Flat Sheet 0.16D 25+/-4 Asker C 1.1M 1.7M 12mm</v>
      </c>
      <c r="H53">
        <v>77</v>
      </c>
      <c r="I53">
        <v>7</v>
      </c>
      <c r="J53">
        <v>7</v>
      </c>
      <c r="K53" t="str">
        <v>ASICS</v>
      </c>
      <c r="L53" t="str">
        <v>Pro. Schedule</v>
      </c>
      <c r="M53" t="str">
        <v>MOLDED</v>
      </c>
      <c r="N53">
        <v>51</v>
      </c>
      <c r="Q53">
        <v>46190</v>
      </c>
    </row>
    <row r="54">
      <c r="A54" t="str">
        <v>F-2026-06-152</v>
      </c>
      <c r="B54" t="str">
        <v>FPRO-260604-0033</v>
      </c>
      <c r="C54" t="str">
        <v>13/6</v>
      </c>
      <c r="E54" t="str">
        <v>BDB-000051</v>
      </c>
      <c r="F54" t="str">
        <v>PVN-003319</v>
      </c>
      <c r="G54" t="str">
        <v>OrthoLite X-40 TRUE BLUE/19-4057TPX Flat Sheet 0.16D 25+/-4 Asker C 1.1M 1.7M 12mm</v>
      </c>
      <c r="H54">
        <v>500</v>
      </c>
      <c r="I54">
        <v>44</v>
      </c>
      <c r="J54">
        <v>44</v>
      </c>
      <c r="K54" t="str">
        <v>ASICS</v>
      </c>
      <c r="L54" t="str">
        <v>Forecast</v>
      </c>
      <c r="M54" t="str">
        <v>MOLDED</v>
      </c>
      <c r="Q54">
        <v>46190</v>
      </c>
    </row>
    <row r="56">
      <c r="A56" t="str">
        <v>F-2026-06-178</v>
      </c>
      <c r="B56" t="str">
        <v>RPRO-260605-0588</v>
      </c>
      <c r="C56" t="str">
        <v>13/6</v>
      </c>
      <c r="D56" t="str">
        <v>Pro.sche.report 04.06</v>
      </c>
      <c r="E56" t="str">
        <v>BDB-000309</v>
      </c>
      <c r="F56" t="str">
        <v>PVN-004033</v>
      </c>
      <c r="G56" t="str">
        <v>OrthoLite X-40-Hybrid NEUTRAL GRAY/17-4402TPX Hybrid Flat Sheet 0.16D 35+/-4 Asker C 1.1M 2M 2mm</v>
      </c>
      <c r="H56">
        <v>209</v>
      </c>
      <c r="I56">
        <v>3</v>
      </c>
      <c r="J56">
        <v>3</v>
      </c>
      <c r="K56" t="str">
        <v>REDWING</v>
      </c>
      <c r="L56" t="str">
        <v>Pro. Schedule</v>
      </c>
      <c r="M56" t="str">
        <v>MOLDED</v>
      </c>
      <c r="N56">
        <v>3</v>
      </c>
      <c r="Q56">
        <v>46190.46129571759</v>
      </c>
    </row>
    <row r="58">
      <c r="A58" t="str">
        <v>F-2026-06-175</v>
      </c>
      <c r="B58" t="str">
        <v>RPRO-260605-0585</v>
      </c>
      <c r="C58" t="str">
        <v>13/6</v>
      </c>
      <c r="D58" t="str">
        <v>Pro.sche.report 04.06</v>
      </c>
      <c r="E58" t="str">
        <v>BDB-000334</v>
      </c>
      <c r="F58" t="str">
        <v>PVN-004327</v>
      </c>
      <c r="G58" t="str">
        <v>OrthoLite X-55-Hybrid FOSSIL/17-0909TPX Hybrid Flat Sheet 0.16D 25+/-4 Asker C 1.1M 2M 6mm</v>
      </c>
      <c r="H58">
        <v>23</v>
      </c>
      <c r="I58">
        <v>1</v>
      </c>
      <c r="J58">
        <v>1</v>
      </c>
      <c r="K58" t="str">
        <v>ASICS</v>
      </c>
      <c r="L58" t="str">
        <v>Pro. Schedule</v>
      </c>
      <c r="M58" t="str">
        <v>MOLDED</v>
      </c>
      <c r="N58">
        <v>1</v>
      </c>
      <c r="Q58">
        <v>46190.46129571759</v>
      </c>
    </row>
    <row r="60">
      <c r="A60" t="str">
        <v>F-2026-06-188</v>
      </c>
      <c r="B60" t="str">
        <v>RPRO-260605-0598</v>
      </c>
      <c r="C60" t="str">
        <v>13/6</v>
      </c>
      <c r="D60" t="str">
        <v>Pro.sche.report 04.06</v>
      </c>
      <c r="E60" t="str">
        <v>BDB-000358</v>
      </c>
      <c r="F60" t="str">
        <v>PVN-004243</v>
      </c>
      <c r="G60" t="str">
        <v>OrthoLite X-25 FOSSIL/17-0909TPX Flat Sheet 0.12D 20+/-4 Asker C 1.1M 2M 7.5mm</v>
      </c>
      <c r="H60">
        <v>107</v>
      </c>
      <c r="I60">
        <v>6</v>
      </c>
      <c r="J60">
        <v>6</v>
      </c>
      <c r="K60" t="str">
        <v>BABOLAT</v>
      </c>
      <c r="L60" t="str">
        <v>Pro. Schedule</v>
      </c>
      <c r="M60" t="str">
        <v>MOLDED</v>
      </c>
      <c r="N60">
        <v>6</v>
      </c>
      <c r="Q60">
        <v>46190.46129571759</v>
      </c>
    </row>
    <row r="62">
      <c r="A62" t="str">
        <v>F-2026-06-177</v>
      </c>
      <c r="B62" t="str">
        <v>RPRO-260605-0587</v>
      </c>
      <c r="C62" t="str">
        <v>13/6</v>
      </c>
      <c r="D62" t="str">
        <v>Pro.sche.report 04.06</v>
      </c>
      <c r="E62" t="str">
        <v>BDB-000248</v>
      </c>
      <c r="F62" t="str">
        <v>PVN-003931</v>
      </c>
      <c r="G62" t="str">
        <v>OrthoLite X-40-Hybrid RED/19-1764TPX Hybrid Flat Sheet 0.16D 25+/-4 Asker C 1.1M 1.7M 6.5mm</v>
      </c>
      <c r="H62">
        <v>356</v>
      </c>
      <c r="I62">
        <v>17</v>
      </c>
      <c r="J62">
        <v>17</v>
      </c>
      <c r="K62" t="str">
        <v>REDWING</v>
      </c>
      <c r="L62" t="str">
        <v>Pro. Schedule</v>
      </c>
      <c r="M62" t="str">
        <v>MOLDED</v>
      </c>
      <c r="N62">
        <v>17</v>
      </c>
      <c r="Q62">
        <v>46190.46129571759</v>
      </c>
    </row>
    <row r="63">
      <c r="G63" t="str">
        <v>RELEASE ĐỢT 2</v>
      </c>
    </row>
    <row r="64">
      <c r="H64">
        <v>38435</v>
      </c>
      <c r="I64">
        <v>1617</v>
      </c>
      <c r="J64">
        <v>1617</v>
      </c>
      <c r="N64">
        <v>1230</v>
      </c>
      <c r="O64">
        <v>-4</v>
      </c>
    </row>
    <row r="65">
      <c r="A65" t="str">
        <v>Máy 2</v>
      </c>
      <c r="C65">
        <v>0</v>
      </c>
      <c r="D65">
        <v>46179.548734375</v>
      </c>
      <c r="G65" t="str">
        <v>8/6-13/6</v>
      </c>
    </row>
    <row r="66">
      <c r="A66" t="str">
        <v>F-2026-06-62</v>
      </c>
      <c r="B66" t="str">
        <v>RPRO-260602-0758</v>
      </c>
      <c r="C66" t="str">
        <v>12/6</v>
      </c>
      <c r="E66" t="str">
        <v>BDB-000363</v>
      </c>
      <c r="F66" t="str">
        <v>PVN-004260</v>
      </c>
      <c r="G66" t="str">
        <v>OrthoLite HybridPlus-Recycled MINT GREEN/11-4805TPX Hybrid Flat Sheet 0.12D 35+/-4 Asker C 1.1M 2M 5.5mm</v>
      </c>
      <c r="H66">
        <v>25</v>
      </c>
      <c r="I66">
        <v>1</v>
      </c>
      <c r="J66">
        <v>1</v>
      </c>
      <c r="L66" t="str">
        <v>Pro. Schedule</v>
      </c>
      <c r="N66">
        <v>2</v>
      </c>
      <c r="O66" t="str">
        <v>gấp, có hàng sớm giao sớm</v>
      </c>
      <c r="Q66">
        <v>46186</v>
      </c>
    </row>
    <row r="67">
      <c r="A67" t="str">
        <v>F-2026-06-245</v>
      </c>
      <c r="B67" t="str">
        <v>RPRO-260610-0453</v>
      </c>
      <c r="C67" t="str">
        <v>12/6</v>
      </c>
      <c r="E67" t="str">
        <v>BDB-000363</v>
      </c>
      <c r="F67" t="str">
        <v>PVN-004260</v>
      </c>
      <c r="G67" t="str">
        <v>OrthoLite HybridPlus-Recycled MINT GREEN/11-4805TPX Hybrid Flat Sheet 0.12D 35+/-4 Asker C 1.1M 2M 5.5mm</v>
      </c>
      <c r="H67">
        <v>25</v>
      </c>
      <c r="I67">
        <v>1</v>
      </c>
      <c r="J67">
        <v>1</v>
      </c>
      <c r="K67" t="str">
        <v>ON RUNNING</v>
      </c>
      <c r="L67" t="str">
        <v>Pro. Schedule</v>
      </c>
      <c r="M67" t="str">
        <v>MOLDED</v>
      </c>
      <c r="Q67">
        <v>46186</v>
      </c>
    </row>
    <row r="69">
      <c r="A69" t="str">
        <v>F-2026-06-61</v>
      </c>
      <c r="B69" t="str">
        <v>RPRO-260602-0757</v>
      </c>
      <c r="C69" t="str">
        <v>12/6</v>
      </c>
      <c r="E69" t="str">
        <v>BDB-000286</v>
      </c>
      <c r="F69" t="str">
        <v>PVN-003864</v>
      </c>
      <c r="G69" t="str">
        <v>OrthoLite Regular-Hybrid SEEDPEARL/12-0703TPX Hybrid Flat Sheet 0.13D 25+/-4 Asker C 1.1M 1.7M 3mm</v>
      </c>
      <c r="H69">
        <v>47</v>
      </c>
      <c r="I69">
        <v>2</v>
      </c>
      <c r="J69">
        <v>2</v>
      </c>
      <c r="L69" t="str">
        <v>Pro. Schedule</v>
      </c>
      <c r="N69">
        <v>4</v>
      </c>
      <c r="O69" t="str">
        <v>gấp, có hàng sớm giao sớm</v>
      </c>
      <c r="Q69">
        <v>46186</v>
      </c>
    </row>
    <row r="70">
      <c r="A70" t="str">
        <v>F-2026-06-81</v>
      </c>
      <c r="B70" t="str">
        <v>RPRO-260604-0443</v>
      </c>
      <c r="C70" t="str">
        <v>12/6</v>
      </c>
      <c r="D70" t="str">
        <v>MPS 03.06+04.06</v>
      </c>
      <c r="E70" t="str">
        <v>BDB-000286</v>
      </c>
      <c r="F70" t="str">
        <v>PVN-003924</v>
      </c>
      <c r="G70" t="str">
        <v>OrthoLite Regular-Hybrid SEEDPEARL/12-0703TPX Hybrid Flat Sheet 0.13D 25+/-4 Asker C 1.1M 1.7M 5mm</v>
      </c>
      <c r="H70">
        <v>28</v>
      </c>
      <c r="I70">
        <v>1</v>
      </c>
      <c r="J70">
        <v>1</v>
      </c>
      <c r="L70" t="str">
        <v>MPS</v>
      </c>
      <c r="M70" t="str">
        <v>SPLITTING</v>
      </c>
      <c r="Q70">
        <v>46189.47331273148</v>
      </c>
    </row>
    <row r="71">
      <c r="A71" t="str">
        <v>F-2026-06-94</v>
      </c>
      <c r="B71" t="str">
        <v>RPRO-260604-0456</v>
      </c>
      <c r="C71" t="str">
        <v>12/6</v>
      </c>
      <c r="D71" t="str">
        <v>MPS 03.06+04.06</v>
      </c>
      <c r="E71" t="str">
        <v>BDB-000286</v>
      </c>
      <c r="F71" t="str">
        <v>PVN-003913</v>
      </c>
      <c r="G71" t="str">
        <v>OrthoLite Regular-Hybrid SEEDPEARL/12-0703TPX Hybrid Flat Sheet 0.13D 25+/-4 Asker C 1.1M 1.7M 4mm</v>
      </c>
      <c r="H71">
        <v>35</v>
      </c>
      <c r="I71">
        <v>1</v>
      </c>
      <c r="J71">
        <v>1</v>
      </c>
      <c r="L71" t="str">
        <v>MPS</v>
      </c>
      <c r="M71" t="str">
        <v>SPLITTING</v>
      </c>
      <c r="Q71">
        <v>46189.47331273148</v>
      </c>
    </row>
    <row r="73">
      <c r="A73" t="str">
        <v>F-2026-06-53</v>
      </c>
      <c r="B73" t="str">
        <v>RPRO-260602-0749</v>
      </c>
      <c r="C73" t="str">
        <v>12/6</v>
      </c>
      <c r="E73" t="str">
        <v>BDB-000174</v>
      </c>
      <c r="F73" t="str">
        <v>PVN-003503</v>
      </c>
      <c r="G73" t="str">
        <v>OrthoLite Ultra-Hybrid-Nike SEEDPEARL/12-0703TPX Hybrid Flat Sheet 0.085D 15+/-4 Asker C 1.1M 2M 3mm</v>
      </c>
      <c r="H73">
        <v>184</v>
      </c>
      <c r="I73">
        <v>5</v>
      </c>
      <c r="J73">
        <v>5</v>
      </c>
      <c r="K73" t="str">
        <v>NIKE</v>
      </c>
      <c r="L73" t="str">
        <v>Pro. Schedule</v>
      </c>
      <c r="M73" t="str">
        <v>DIE CUT</v>
      </c>
      <c r="N73">
        <v>5</v>
      </c>
      <c r="Q73">
        <v>46186</v>
      </c>
    </row>
    <row r="75">
      <c r="A75" t="str">
        <v>F-2026-06-49</v>
      </c>
      <c r="B75" t="str">
        <v>RPRO-260602-0745</v>
      </c>
      <c r="C75" t="str">
        <v>12/6</v>
      </c>
      <c r="E75" t="str">
        <v>BDB-000229</v>
      </c>
      <c r="F75" t="str">
        <v>PVN-004373</v>
      </c>
      <c r="G75" t="str">
        <v>OrthoLite Ultra-Hybrid SEEDPEARL/12-0703TPX Hybrid Flat Sheet 0.095D 33+/-4 Asker C 1.1M 2M 5.2mm</v>
      </c>
      <c r="H75">
        <v>130</v>
      </c>
      <c r="I75">
        <v>5</v>
      </c>
      <c r="J75">
        <v>5</v>
      </c>
      <c r="K75" t="str">
        <v>SALOMON</v>
      </c>
      <c r="L75" t="str">
        <v>Pro. Schedule</v>
      </c>
      <c r="M75" t="str">
        <v>MOLDED</v>
      </c>
      <c r="N75">
        <v>14</v>
      </c>
      <c r="Q75">
        <v>46186</v>
      </c>
    </row>
    <row r="76">
      <c r="A76" t="str">
        <v>F-2026-06-187</v>
      </c>
      <c r="B76" t="str">
        <v>RPRO-260605-0597</v>
      </c>
      <c r="C76" t="str">
        <v>12/6</v>
      </c>
      <c r="D76" t="str">
        <v>Pro.sche.report 04.06</v>
      </c>
      <c r="E76" t="str">
        <v>BDB-000229</v>
      </c>
      <c r="F76" t="str">
        <v>PVN-003878</v>
      </c>
      <c r="G76" t="str">
        <v>OrthoLite Ultra-Hybrid SEEDPEARL/12-0703TPX Hybrid Flat Sheet 0.095D 33+/-4 Asker C 1.1M 2M 4mm</v>
      </c>
      <c r="H76">
        <v>35</v>
      </c>
      <c r="I76">
        <v>1</v>
      </c>
      <c r="J76">
        <v>1</v>
      </c>
      <c r="K76" t="str">
        <v>ON RUNNING</v>
      </c>
      <c r="L76" t="str">
        <v>Pro. Schedule</v>
      </c>
      <c r="M76" t="str">
        <v>DIE CUT</v>
      </c>
      <c r="Q76">
        <v>46186</v>
      </c>
    </row>
    <row r="77">
      <c r="A77" t="str">
        <v>F-2026-06-184</v>
      </c>
      <c r="B77" t="str">
        <v>RPRO-260605-0594</v>
      </c>
      <c r="C77" t="str">
        <v>12/6</v>
      </c>
      <c r="D77" t="str">
        <v>Pro.sche.report 04.06</v>
      </c>
      <c r="E77" t="str">
        <v>BDB-000229</v>
      </c>
      <c r="F77" t="str">
        <v>PVN-004373</v>
      </c>
      <c r="G77" t="str">
        <v>OrthoLite Ultra-Hybrid SEEDPEARL/12-0703TPX Hybrid Flat Sheet 0.095D 33+/-4 Asker C 1.1M 2M 5.2mm</v>
      </c>
      <c r="H77">
        <v>208</v>
      </c>
      <c r="I77">
        <v>8</v>
      </c>
      <c r="J77">
        <v>8</v>
      </c>
      <c r="K77" t="str">
        <v>SALOMON</v>
      </c>
      <c r="L77" t="str">
        <v>Pro. Schedule</v>
      </c>
      <c r="M77" t="str">
        <v>MOLDED</v>
      </c>
      <c r="Q77">
        <v>46190.46129571759</v>
      </c>
    </row>
    <row r="79">
      <c r="A79" t="str">
        <v>F-2026-06-57</v>
      </c>
      <c r="B79" t="str">
        <v>RPRO-260602-0753</v>
      </c>
      <c r="C79" t="str">
        <v>12/6</v>
      </c>
      <c r="E79" t="str">
        <v>BDB-000262</v>
      </c>
      <c r="F79" t="str">
        <v>PVN-004251</v>
      </c>
      <c r="G79" t="str">
        <v>OrthoLite Ultra-Hybrid SEEDPEARL/12-0703TPX Hybrid Flat Sheet 0.085D 78-90 Asker F 1.1M 2M 16mm</v>
      </c>
      <c r="H79">
        <v>160</v>
      </c>
      <c r="I79">
        <v>18</v>
      </c>
      <c r="J79">
        <v>18</v>
      </c>
      <c r="K79" t="str">
        <v>FOOTJOY</v>
      </c>
      <c r="L79" t="str">
        <v>Pro. Schedule</v>
      </c>
      <c r="M79" t="str">
        <v>MOLDED</v>
      </c>
      <c r="N79">
        <v>18</v>
      </c>
      <c r="Q79">
        <v>46186</v>
      </c>
    </row>
    <row r="81">
      <c r="A81" t="str">
        <v>F-2026-06-112</v>
      </c>
      <c r="B81" t="str">
        <v>RPRO-260604-0474</v>
      </c>
      <c r="C81" t="str">
        <v>12/6</v>
      </c>
      <c r="D81" t="str">
        <v>Pro.sche.report 02.06+03.06</v>
      </c>
      <c r="E81" t="str">
        <v>BDB-000355</v>
      </c>
      <c r="F81" t="str">
        <v>PVN-004231</v>
      </c>
      <c r="G81" t="str">
        <v>OrthoLite HybridPlus-Recycled CASTLEROCK/18-0201TPX Hybrid Flat Sheet 0.12D 25+/-4 Asker C 1.1M 2M 4.5mm</v>
      </c>
      <c r="H81">
        <v>1394</v>
      </c>
      <c r="I81">
        <v>45</v>
      </c>
      <c r="J81">
        <v>45</v>
      </c>
      <c r="K81" t="str">
        <v>ON RUNNING</v>
      </c>
      <c r="L81" t="str">
        <v>Pro. Schedule</v>
      </c>
      <c r="M81" t="str">
        <v>MOLDED</v>
      </c>
      <c r="N81">
        <v>45</v>
      </c>
      <c r="O81" t="str">
        <v>gấp, có hàng sớm giao sớm</v>
      </c>
      <c r="Q81">
        <v>46186</v>
      </c>
    </row>
    <row r="83">
      <c r="A83" t="str">
        <v>F-2026-04-56-2</v>
      </c>
      <c r="B83" t="str">
        <v>FPRO-260401-0004</v>
      </c>
      <c r="C83" t="str">
        <v>12/6</v>
      </c>
      <c r="D83" t="str">
        <v>Firm plan 01.04</v>
      </c>
      <c r="E83" t="str">
        <v>BDB-000123</v>
      </c>
      <c r="F83" t="str">
        <v>PVN-002539</v>
      </c>
      <c r="G83" t="str">
        <v>OrthoLite Ultra-Hybrid SEEDPEARL/12-0703TPX Hybrid Flat Sheet 0.085D 25+/-4 Asker C 1.1M 2M 5mm</v>
      </c>
      <c r="H83">
        <v>500</v>
      </c>
      <c r="I83">
        <v>18</v>
      </c>
      <c r="J83">
        <v>18</v>
      </c>
      <c r="K83" t="str">
        <v>BROOKS</v>
      </c>
      <c r="L83" t="str">
        <v>Forecast</v>
      </c>
      <c r="M83" t="str">
        <v>DIE CUT</v>
      </c>
      <c r="N83">
        <v>54</v>
      </c>
      <c r="Q83">
        <v>46186</v>
      </c>
    </row>
    <row r="84">
      <c r="A84" t="str">
        <v>F-2026-06-37</v>
      </c>
      <c r="B84" t="str">
        <v>RPRO-260602-0733</v>
      </c>
      <c r="C84" t="str">
        <v>12/6</v>
      </c>
      <c r="E84" t="str">
        <v>BDB-000123</v>
      </c>
      <c r="F84" t="str">
        <v>PVN-002539</v>
      </c>
      <c r="G84" t="str">
        <v>OrthoLite Ultra-Hybrid SEEDPEARL/12-0703TPX Hybrid Flat Sheet 0.085D 25+/-4 Asker C 1.1M 2M 5mm</v>
      </c>
      <c r="H84">
        <v>28</v>
      </c>
      <c r="I84">
        <v>1</v>
      </c>
      <c r="J84">
        <v>1</v>
      </c>
      <c r="L84" t="str">
        <v>MPS</v>
      </c>
      <c r="M84" t="str">
        <v>SPLITTING</v>
      </c>
      <c r="Q84">
        <v>46186</v>
      </c>
    </row>
    <row r="85">
      <c r="A85" t="str">
        <v>F-2026-06-46</v>
      </c>
      <c r="B85" t="str">
        <v>RPRO-260602-0742</v>
      </c>
      <c r="C85" t="str">
        <v>12/6</v>
      </c>
      <c r="E85" t="str">
        <v>BDB-000123</v>
      </c>
      <c r="F85" t="str">
        <v>PVN-002539</v>
      </c>
      <c r="G85" t="str">
        <v>OrthoLite Ultra-Hybrid SEEDPEARL/12-0703TPX Hybrid Flat Sheet 0.085D 25+/-4 Asker C 1.1M 2M 5mm</v>
      </c>
      <c r="H85">
        <v>28</v>
      </c>
      <c r="I85">
        <v>1</v>
      </c>
      <c r="J85">
        <v>1</v>
      </c>
      <c r="K85" t="str">
        <v>BROOKS</v>
      </c>
      <c r="L85" t="str">
        <v>Pro. Schedule</v>
      </c>
      <c r="M85" t="str">
        <v>DIE CUT</v>
      </c>
      <c r="Q85">
        <v>46186</v>
      </c>
    </row>
    <row r="86">
      <c r="A86" t="str">
        <v>F-2026-06-78</v>
      </c>
      <c r="B86" t="str">
        <v>RPRO-260603-0448</v>
      </c>
      <c r="C86" t="str">
        <v>12/6</v>
      </c>
      <c r="E86" t="str">
        <v>BDB-000123</v>
      </c>
      <c r="F86" t="str">
        <v>PVN-003315</v>
      </c>
      <c r="G86" t="str">
        <v>OrthoLite Ultra-Hybrid SEEDPEARL/12-0703TPX Hybrid 0.085D 25+/-4 Asker C 1.1M 2M 3.5mm</v>
      </c>
      <c r="H86">
        <v>40</v>
      </c>
      <c r="I86">
        <v>1</v>
      </c>
      <c r="J86">
        <v>1</v>
      </c>
      <c r="L86" t="str">
        <v>MPS</v>
      </c>
      <c r="M86" t="str">
        <v>SPLITTING</v>
      </c>
      <c r="Q86">
        <v>46188</v>
      </c>
    </row>
    <row r="87">
      <c r="A87" t="str">
        <v>F-2026-06-176</v>
      </c>
      <c r="B87" t="str">
        <v>RPRO-260605-0586</v>
      </c>
      <c r="C87" t="str">
        <v>12/6</v>
      </c>
      <c r="D87" t="str">
        <v>Pro.sche.report 04.06</v>
      </c>
      <c r="E87" t="str">
        <v>BDB-000123</v>
      </c>
      <c r="F87" t="str">
        <v>PVN-002973</v>
      </c>
      <c r="G87" t="str">
        <v>OrthoLite Ultra-Hybrid SEEDPEARL/12-0703TPX Hybrid Flat Sheet 0.085D 25+/-4 Asker C 1.1M 2M 4.5mm</v>
      </c>
      <c r="H87">
        <v>61</v>
      </c>
      <c r="I87">
        <v>2</v>
      </c>
      <c r="J87">
        <v>2</v>
      </c>
      <c r="K87" t="str">
        <v>SALOMON</v>
      </c>
      <c r="L87" t="str">
        <v>Pro. Schedule</v>
      </c>
      <c r="M87" t="str">
        <v>MOLDED</v>
      </c>
      <c r="Q87">
        <v>46188</v>
      </c>
    </row>
    <row r="88">
      <c r="A88" t="str">
        <v>F-2026-06-210</v>
      </c>
      <c r="B88" t="str">
        <v>RPRO-260608-0785</v>
      </c>
      <c r="C88" t="str">
        <v>12/6</v>
      </c>
      <c r="E88" t="str">
        <v>BDB-000123</v>
      </c>
      <c r="F88" t="str">
        <v>PVN-002973</v>
      </c>
      <c r="G88" t="str">
        <v>OrthoLite Ultra-Hybrid SEEDPEARL/12-0703TPX Hybrid Flat Sheet 0.085D 25+/-4 Asker C 1.1M 2M 4.5mm</v>
      </c>
      <c r="H88">
        <v>960</v>
      </c>
      <c r="I88">
        <v>31</v>
      </c>
      <c r="J88">
        <v>31</v>
      </c>
      <c r="K88" t="str">
        <v>SALOMON</v>
      </c>
      <c r="L88" t="str">
        <v>Pro. Schedule</v>
      </c>
      <c r="M88" t="str">
        <v>MOLDED</v>
      </c>
      <c r="Q88">
        <v>46188</v>
      </c>
    </row>
    <row r="90">
      <c r="A90" t="str">
        <v>F-2026-06-39</v>
      </c>
      <c r="B90" t="str">
        <v>RPRO-260602-0735</v>
      </c>
      <c r="C90" t="str">
        <v>12/6</v>
      </c>
      <c r="E90" t="str">
        <v>BDB-000097</v>
      </c>
      <c r="F90" t="str">
        <v>PVN-002478</v>
      </c>
      <c r="G90" t="str">
        <v>OrthoLite Eco LT-Hybrid SEEDPEARL/12-0703TPX Hybrid Flat Sheet 0.11D 25+/-4 Asker C 1.1M 2M 4mm</v>
      </c>
      <c r="H90">
        <v>2730</v>
      </c>
      <c r="I90">
        <v>78</v>
      </c>
      <c r="J90">
        <v>78</v>
      </c>
      <c r="K90" t="str">
        <v>NEW BALANCE</v>
      </c>
      <c r="L90" t="str">
        <v>Pro. Schedule</v>
      </c>
      <c r="M90" t="str">
        <v>DIE CUT</v>
      </c>
      <c r="N90">
        <v>83</v>
      </c>
      <c r="Q90">
        <v>46186</v>
      </c>
    </row>
    <row r="91">
      <c r="A91" t="str">
        <v>F-2026-06-75</v>
      </c>
      <c r="B91" t="str">
        <v>RPRO-260603-0445</v>
      </c>
      <c r="C91" t="str">
        <v>12/6</v>
      </c>
      <c r="E91" t="str">
        <v>BDB-000097</v>
      </c>
      <c r="F91" t="str">
        <v>PVN-003671</v>
      </c>
      <c r="G91" t="str">
        <v>OrthoLite Eco LT-Hybrid SEEDPEARL/12-0703TPX Hybrid 0.11D 25+/-4 Asker C 1.1M 2M 13mm</v>
      </c>
      <c r="H91">
        <v>10</v>
      </c>
      <c r="I91">
        <v>1</v>
      </c>
      <c r="J91">
        <v>1</v>
      </c>
      <c r="K91" t="str">
        <v>NEW BALANCE</v>
      </c>
      <c r="L91" t="str">
        <v>Pro. Schedule</v>
      </c>
      <c r="M91" t="str">
        <v>MOLDED</v>
      </c>
      <c r="Q91">
        <v>46188</v>
      </c>
    </row>
    <row r="92">
      <c r="A92" t="str">
        <v>F-2026-06-105</v>
      </c>
      <c r="B92" t="str">
        <v>RPRO-260604-0467</v>
      </c>
      <c r="C92" t="str">
        <v>12/6</v>
      </c>
      <c r="D92" t="str">
        <v>Pro.sche.report 02.06+03.06</v>
      </c>
      <c r="E92" t="str">
        <v>BDB-000097</v>
      </c>
      <c r="F92" t="str">
        <v>PVN-002473</v>
      </c>
      <c r="G92" t="str">
        <v>OrthoLite Eco LT-Hybrid SEEDPEARL/12-0703TPX Hybrid Flat Sheet 0.11D 25+/-4 Asker C 1.1M 2M 5mm</v>
      </c>
      <c r="H92">
        <v>28</v>
      </c>
      <c r="I92">
        <v>1</v>
      </c>
      <c r="J92">
        <v>1</v>
      </c>
      <c r="K92" t="str">
        <v>NEW BALANCE</v>
      </c>
      <c r="L92" t="str">
        <v>Pro. Schedule</v>
      </c>
      <c r="M92" t="str">
        <v>DIE CUT</v>
      </c>
      <c r="Q92">
        <v>46189.47331273148</v>
      </c>
    </row>
    <row r="93">
      <c r="A93" t="str">
        <v>F-2026-06-181</v>
      </c>
      <c r="B93" t="str">
        <v>RPRO-260605-0591</v>
      </c>
      <c r="C93" t="str">
        <v>12/6</v>
      </c>
      <c r="D93" t="str">
        <v>Pro.sche.report 04.06</v>
      </c>
      <c r="E93" t="str">
        <v>BDB-000097</v>
      </c>
      <c r="F93" t="str">
        <v>PVN-003671</v>
      </c>
      <c r="G93" t="str">
        <v>OrthoLite Eco LT-Hybrid SEEDPEARL/12-0703TPX Hybrid Flat Sheet 0.11D 25+/-4 Asker C 1.1M 2M 13mm</v>
      </c>
      <c r="H93">
        <v>30</v>
      </c>
      <c r="I93">
        <v>3</v>
      </c>
      <c r="J93">
        <v>3</v>
      </c>
      <c r="K93" t="str">
        <v>NEW BALANCE</v>
      </c>
      <c r="L93" t="str">
        <v>Pro. Schedule</v>
      </c>
      <c r="M93" t="str">
        <v>MOLDED</v>
      </c>
      <c r="Q93">
        <v>46190.46129571759</v>
      </c>
    </row>
    <row r="95">
      <c r="A95" t="str">
        <v>F-2026-06-77</v>
      </c>
      <c r="B95" t="str">
        <v>RPRO-260603-0447</v>
      </c>
      <c r="C95" t="str">
        <v>12/6</v>
      </c>
      <c r="E95" t="str">
        <v>BDB-000113</v>
      </c>
      <c r="F95" t="str">
        <v>PVN-003161</v>
      </c>
      <c r="G95" t="str">
        <v>OrthoLite Regular-Hybrid SEEDPEARL/12-0703TPX Hybrid Flat Sheet 0.11D 25+/-4 Asker C 1.1M 2M 2.5mm</v>
      </c>
      <c r="H95">
        <v>55</v>
      </c>
      <c r="I95">
        <v>1</v>
      </c>
      <c r="J95">
        <v>1</v>
      </c>
      <c r="L95" t="str">
        <v>MPS</v>
      </c>
      <c r="M95" t="str">
        <v>SPLITTING</v>
      </c>
      <c r="N95">
        <v>2</v>
      </c>
      <c r="Q95">
        <v>46188</v>
      </c>
    </row>
    <row r="96">
      <c r="A96" t="str">
        <v>F-2026-06-201</v>
      </c>
      <c r="B96" t="str">
        <v>RPRO-260605-0611</v>
      </c>
      <c r="C96" t="str">
        <v>12/6</v>
      </c>
      <c r="D96" t="str">
        <v>MPS 05.06</v>
      </c>
      <c r="E96" t="str">
        <v>BDB-000113</v>
      </c>
      <c r="F96" t="str">
        <v>PVN-003161</v>
      </c>
      <c r="G96" t="str">
        <v>OrthoLite Regular-Hybrid SEEDPEARL/12-0703TPX Hybrid 0.11D 25+/-4 Asker C 1.1M 2M 2.5mm</v>
      </c>
      <c r="H96">
        <v>55</v>
      </c>
      <c r="I96">
        <v>1</v>
      </c>
      <c r="J96">
        <v>1</v>
      </c>
      <c r="L96" t="str">
        <v>MPS</v>
      </c>
      <c r="M96" t="str">
        <v>SPLITTING</v>
      </c>
      <c r="Q96">
        <v>46190.46129571759</v>
      </c>
    </row>
    <row r="98">
      <c r="A98" t="str">
        <v>F-2026-06-89</v>
      </c>
      <c r="B98" t="str">
        <v>RPRO-260604-0451</v>
      </c>
      <c r="C98" t="str">
        <v>12/6</v>
      </c>
      <c r="D98" t="str">
        <v>MPS 03.06+04.06</v>
      </c>
      <c r="E98" t="str">
        <v>BDB-000123</v>
      </c>
      <c r="F98" t="str">
        <v>PVN-002539</v>
      </c>
      <c r="G98" t="str">
        <v>OrthoLite Ultra-Hybrid SEEDPEARL/12-0703TPX Hybrid Flat Sheet 0.085D 25+/-4 Asker C 1.1M 2M 5mm</v>
      </c>
      <c r="H98">
        <v>112</v>
      </c>
      <c r="I98">
        <v>4</v>
      </c>
      <c r="J98">
        <v>4</v>
      </c>
      <c r="L98" t="str">
        <v>MPS</v>
      </c>
      <c r="M98" t="str">
        <v>SPLITTING</v>
      </c>
      <c r="N98">
        <v>240</v>
      </c>
      <c r="Q98">
        <v>46189.47331273148</v>
      </c>
    </row>
    <row r="99">
      <c r="A99" t="str">
        <v>F-2026-06-106</v>
      </c>
      <c r="B99" t="str">
        <v>RPRO-260604-0468</v>
      </c>
      <c r="C99" t="str">
        <v>12/6</v>
      </c>
      <c r="D99" t="str">
        <v>Pro.sche.report 02.06+03.06</v>
      </c>
      <c r="E99" t="str">
        <v>BDB-000123</v>
      </c>
      <c r="F99" t="str">
        <v>PVN-002539</v>
      </c>
      <c r="G99" t="str">
        <v>OrthoLite Ultra-Hybrid SEEDPEARL/12-0703TPX Hybrid Flat Sheet 0.085D 25+/-4 Asker C 1.1M 2M 5mm</v>
      </c>
      <c r="H99">
        <v>112</v>
      </c>
      <c r="I99">
        <v>4</v>
      </c>
      <c r="J99">
        <v>4</v>
      </c>
      <c r="K99" t="str">
        <v>BROOKS</v>
      </c>
      <c r="L99" t="str">
        <v>Pro. Schedule</v>
      </c>
      <c r="M99" t="str">
        <v>DIE CUT</v>
      </c>
      <c r="Q99">
        <v>46189.47331273148</v>
      </c>
    </row>
    <row r="100">
      <c r="A100" t="str">
        <v>F-2026-06-108</v>
      </c>
      <c r="B100" t="str">
        <v>RPRO-260604-0470</v>
      </c>
      <c r="C100" t="str">
        <v>12/6</v>
      </c>
      <c r="D100" t="str">
        <v>Pro.sche.report 02.06+03.06</v>
      </c>
      <c r="E100" t="str">
        <v>BDB-000123</v>
      </c>
      <c r="F100" t="str">
        <v>PVN-003743</v>
      </c>
      <c r="G100" t="str">
        <v>OrthoLite Ultra-Hybrid SEEDPEARL/12-0703TPX Hybrid Flat Sheet 0.085D 25+/-4 Asker C 1.1M 2M 5.5mm</v>
      </c>
      <c r="H100">
        <v>75</v>
      </c>
      <c r="I100">
        <v>3</v>
      </c>
      <c r="J100">
        <v>3</v>
      </c>
      <c r="K100" t="str">
        <v>LOWA</v>
      </c>
      <c r="L100" t="str">
        <v>Pro. Schedule</v>
      </c>
      <c r="M100" t="str">
        <v>MOLDED</v>
      </c>
      <c r="Q100">
        <v>46189.47331273148</v>
      </c>
    </row>
    <row r="101">
      <c r="A101" t="str">
        <v>F-2026-06-117</v>
      </c>
      <c r="B101" t="str">
        <v>RPRO-260604-0479</v>
      </c>
      <c r="C101" t="str">
        <v>12/6-13/6</v>
      </c>
      <c r="D101" t="str">
        <v>Pro.sche.report 02.06+03.06</v>
      </c>
      <c r="E101" t="str">
        <v>BDB-000123</v>
      </c>
      <c r="F101" t="str">
        <v>PVN-003815</v>
      </c>
      <c r="G101" t="str">
        <v>OrthoLite Ultra-Hybrid SEEDPEARL/12-0703TPX Hybrid Flat Sheet 0.085D 25+/-4 Asker C 1.1M 2M 6mm</v>
      </c>
      <c r="H101">
        <v>1034</v>
      </c>
      <c r="I101">
        <v>45</v>
      </c>
      <c r="J101">
        <v>45</v>
      </c>
      <c r="K101" t="str">
        <v>FOOTJOY</v>
      </c>
      <c r="L101" t="str">
        <v>Pro. Schedule</v>
      </c>
      <c r="M101" t="str">
        <v>MOLDED</v>
      </c>
      <c r="Q101">
        <v>46189.47331273148</v>
      </c>
    </row>
    <row r="102">
      <c r="A102" t="str">
        <v>F-2026-05-316</v>
      </c>
      <c r="B102" t="str">
        <v>FPRO-260521-0003</v>
      </c>
      <c r="C102" t="str">
        <v>13/6</v>
      </c>
      <c r="D102" t="str">
        <v>Firm plan 21.5</v>
      </c>
      <c r="E102" t="str">
        <v>BDB-000123</v>
      </c>
      <c r="F102" t="str">
        <v>PVN-003298</v>
      </c>
      <c r="G102" t="str">
        <v>OrthoLite Ultra-Hybrid SEEDPEARL/12-0703TPX Hybrid 0.085D 25+/-4 Asker C 1.1M 2M 4mm</v>
      </c>
      <c r="H102">
        <v>2300</v>
      </c>
      <c r="I102">
        <v>66</v>
      </c>
      <c r="J102">
        <v>66</v>
      </c>
      <c r="K102" t="str">
        <v>SALOMON</v>
      </c>
      <c r="L102" t="str">
        <v>Forecast</v>
      </c>
      <c r="M102" t="str">
        <v>LAMINATING</v>
      </c>
      <c r="Q102">
        <v>46189</v>
      </c>
    </row>
    <row r="103">
      <c r="A103" t="str">
        <v>F-2026-06-69</v>
      </c>
      <c r="B103" t="str">
        <v>FPRO-260603-0002</v>
      </c>
      <c r="C103" t="str">
        <v>13/6</v>
      </c>
      <c r="E103" t="str">
        <v>BDB-000123</v>
      </c>
      <c r="F103" t="str">
        <v>PVN-003299</v>
      </c>
      <c r="G103" t="str">
        <v>OrthoLite Ultra-Hybrid SEEDPEARL/12-0703TPX Hybrid 0.085D 25+/-4 Asker C 1.1M 2M 3mm</v>
      </c>
      <c r="H103">
        <v>5000</v>
      </c>
      <c r="I103">
        <v>109</v>
      </c>
      <c r="J103">
        <v>109</v>
      </c>
      <c r="K103" t="str">
        <v>ADIDAS</v>
      </c>
      <c r="L103" t="str">
        <v>Forecast</v>
      </c>
      <c r="M103" t="str">
        <v>SPLITTING</v>
      </c>
      <c r="Q103">
        <v>46190</v>
      </c>
    </row>
    <row r="104">
      <c r="A104" t="str">
        <v>F-2026-06-180</v>
      </c>
      <c r="B104" t="str">
        <v>RPRO-260605-0590</v>
      </c>
      <c r="C104" t="str">
        <v>13/6</v>
      </c>
      <c r="D104" t="str">
        <v>Pro.sche.report 04.06</v>
      </c>
      <c r="E104" t="str">
        <v>BDB-000123</v>
      </c>
      <c r="F104" t="str">
        <v>PVN-003743</v>
      </c>
      <c r="G104" t="str">
        <v>OrthoLite Ultra-Hybrid SEEDPEARL/12-0703TPX Hybrid Flat Sheet 0.085D 25+/-4 Asker C 1.1M 2M 5.5mm</v>
      </c>
      <c r="H104">
        <v>200</v>
      </c>
      <c r="I104">
        <v>8</v>
      </c>
      <c r="J104">
        <v>8</v>
      </c>
      <c r="K104" t="str">
        <v>LOWA</v>
      </c>
      <c r="L104" t="str">
        <v>Pro. Schedule</v>
      </c>
      <c r="M104" t="str">
        <v>MOLDED</v>
      </c>
      <c r="Q104">
        <v>46190.46129571759</v>
      </c>
    </row>
    <row r="105">
      <c r="A105" t="str">
        <v>F-2026-06-200</v>
      </c>
      <c r="B105" t="str">
        <v>RPRO-260605-0610</v>
      </c>
      <c r="C105" t="str">
        <v>13/6</v>
      </c>
      <c r="D105" t="str">
        <v>Pro.sche.report 04.06</v>
      </c>
      <c r="E105" t="str">
        <v>BDB-000123</v>
      </c>
      <c r="F105" t="str">
        <v>PVN-002539</v>
      </c>
      <c r="G105" t="str">
        <v>OrthoLite Ultra-Hybrid SEEDPEARL/12-0703TPX Hybrid Flat Sheet 0.085D 25+/-4 Asker C 1.1M 2M 5mm</v>
      </c>
      <c r="H105">
        <v>28</v>
      </c>
      <c r="I105">
        <v>1</v>
      </c>
      <c r="J105">
        <v>1</v>
      </c>
      <c r="K105" t="str">
        <v>BROOKS</v>
      </c>
      <c r="L105" t="str">
        <v>Pro. Schedule</v>
      </c>
      <c r="M105" t="str">
        <v>DIE CUT</v>
      </c>
      <c r="Q105">
        <v>46190.46129571759</v>
      </c>
    </row>
    <row r="107">
      <c r="A107" t="str">
        <v>OIN-2026.06.06-01</v>
      </c>
      <c r="B107" t="str">
        <v>RPRO-260609-0482</v>
      </c>
      <c r="C107" t="str">
        <v>13/6</v>
      </c>
      <c r="E107" t="str">
        <v>BDB-000265</v>
      </c>
      <c r="F107" t="str">
        <v>PVN-004443</v>
      </c>
      <c r="G107" t="str">
        <v>[116-431] Ultra Hybrid 25+/-4 Asker C 0.085D Nine Iron 19-3908 Tpx 1.10M X 2.00M 47mm</v>
      </c>
      <c r="H107">
        <v>27</v>
      </c>
      <c r="I107">
        <v>9</v>
      </c>
      <c r="J107">
        <v>9</v>
      </c>
      <c r="K107" t="str">
        <v>Zara</v>
      </c>
      <c r="L107" t="str">
        <v>PO-7445</v>
      </c>
      <c r="M107" t="str">
        <v>FLAT SHEET</v>
      </c>
      <c r="N107">
        <v>9</v>
      </c>
      <c r="Q107">
        <v>46190</v>
      </c>
    </row>
    <row r="109">
      <c r="A109" t="str">
        <v>F-2026-05-320</v>
      </c>
      <c r="B109" t="str">
        <v>FPRO-260521-0007</v>
      </c>
      <c r="C109" t="str">
        <v>13/6-15/6</v>
      </c>
      <c r="D109" t="str">
        <v>Firm plan 21.5</v>
      </c>
      <c r="E109" t="str">
        <v>BDB-000188</v>
      </c>
      <c r="F109" t="str">
        <v>PVN-003479</v>
      </c>
      <c r="G109" t="str">
        <v>OrthoLite Ultra-Hybrid SEEDPEARL/12-0703TPX Hybrid Flat Sheet 0.085D 25+/-4 Asker C 1.1M 1.47M 4mm</v>
      </c>
      <c r="H109">
        <v>500</v>
      </c>
      <c r="I109">
        <v>15</v>
      </c>
      <c r="J109">
        <v>15</v>
      </c>
      <c r="K109" t="str">
        <v>SALOMON</v>
      </c>
      <c r="L109" t="str">
        <v>Forecast</v>
      </c>
      <c r="M109" t="str">
        <v>LAMINATING</v>
      </c>
      <c r="N109">
        <v>15</v>
      </c>
      <c r="Q109">
        <v>46190</v>
      </c>
    </row>
    <row r="110">
      <c r="G110" t="str">
        <v>RELEASE ĐỢT 2</v>
      </c>
    </row>
    <row r="111">
      <c r="H111">
        <v>49795</v>
      </c>
      <c r="I111">
        <v>1432</v>
      </c>
      <c r="J111">
        <v>1432</v>
      </c>
      <c r="N111">
        <v>1321</v>
      </c>
      <c r="O111">
        <v>4</v>
      </c>
    </row>
    <row r="112">
      <c r="A112" t="str">
        <v>Máy 3</v>
      </c>
      <c r="C112">
        <v>0</v>
      </c>
      <c r="D112">
        <v>46179.548734375</v>
      </c>
      <c r="G112" t="str">
        <v>8/6-13/6</v>
      </c>
    </row>
    <row r="113">
      <c r="A113" t="str">
        <v>F-2026-06-204</v>
      </c>
      <c r="B113" t="str">
        <v>RPRO-260608-0732</v>
      </c>
      <c r="C113" t="str">
        <v>11/6</v>
      </c>
      <c r="E113" t="str">
        <v>BDB-000002</v>
      </c>
      <c r="F113" t="str">
        <v>PVN-000027</v>
      </c>
      <c r="G113" t="str">
        <v>OrthoLite Regular YELLOW/13-0858TPX 0.11D 15+/-4 Asker C 1.1M 2M 3mm</v>
      </c>
      <c r="H113">
        <v>45</v>
      </c>
      <c r="I113">
        <v>1</v>
      </c>
      <c r="J113">
        <v>1</v>
      </c>
      <c r="L113" t="str">
        <v>MPS</v>
      </c>
      <c r="M113" t="str">
        <v>SPLITTING</v>
      </c>
      <c r="N113">
        <v>1</v>
      </c>
      <c r="O113" t="str">
        <v>gấp, có hàng sớm giao sớm</v>
      </c>
      <c r="Q113">
        <v>46186</v>
      </c>
    </row>
    <row r="115">
      <c r="A115" t="str">
        <v>F-2026-06-195</v>
      </c>
      <c r="B115" t="str">
        <v>RPRO-260605-0605</v>
      </c>
      <c r="C115" t="str">
        <v>11/6</v>
      </c>
      <c r="D115" t="str">
        <v>MPS 05.06</v>
      </c>
      <c r="E115" t="str">
        <v>BDB-000033</v>
      </c>
      <c r="F115" t="str">
        <v>PVN-001471</v>
      </c>
      <c r="G115" t="str">
        <v>OrthoLite Regular SEEDPEARL/12-0703TPX Flat Sheet 0.13D 35+/-4 Asker C 1.1M 2M 4mm</v>
      </c>
      <c r="H115">
        <v>35</v>
      </c>
      <c r="I115">
        <v>1</v>
      </c>
      <c r="J115">
        <v>1</v>
      </c>
      <c r="L115" t="str">
        <v>MPS</v>
      </c>
      <c r="M115" t="str">
        <v>SPLITTING</v>
      </c>
      <c r="N115">
        <v>1</v>
      </c>
      <c r="O115" t="str">
        <v>gấp, có hàng sớm giao sớm</v>
      </c>
      <c r="Q115">
        <v>46186</v>
      </c>
    </row>
    <row r="117">
      <c r="A117" t="str">
        <v>F-2026-06-192</v>
      </c>
      <c r="B117" t="str">
        <v>RPRO-260605-0602</v>
      </c>
      <c r="C117" t="str">
        <v>11/6</v>
      </c>
      <c r="D117" t="str">
        <v>MPS 05.06</v>
      </c>
      <c r="E117" t="str">
        <v>BDB-000011</v>
      </c>
      <c r="F117" t="str">
        <v>PVN-000127</v>
      </c>
      <c r="G117" t="str">
        <v>OrthoLite Regular AIR BLUE/16-4134TPX Flat Sheet 0.13D 35+/-4 Asker C 1.1M 2M 5mm</v>
      </c>
      <c r="H117">
        <v>28</v>
      </c>
      <c r="I117">
        <v>1</v>
      </c>
      <c r="J117">
        <v>1</v>
      </c>
      <c r="L117" t="str">
        <v>MPS</v>
      </c>
      <c r="M117" t="str">
        <v>SPLITTING</v>
      </c>
      <c r="N117">
        <v>3</v>
      </c>
      <c r="O117" t="str">
        <v>gấp, có hàng sớm giao sớm</v>
      </c>
      <c r="Q117">
        <v>46186</v>
      </c>
    </row>
    <row r="118">
      <c r="A118" t="str">
        <v>F-2026-06-99</v>
      </c>
      <c r="B118" t="str">
        <v>RPRO-260604-0461</v>
      </c>
      <c r="C118" t="str">
        <v>11/6</v>
      </c>
      <c r="D118" t="str">
        <v>Pro.sche.report 02.06+03.06</v>
      </c>
      <c r="E118" t="str">
        <v>BDB-000011</v>
      </c>
      <c r="F118" t="str">
        <v>PVN-000121</v>
      </c>
      <c r="G118" t="str">
        <v>OrthoLite Regular AIR BLUE/16-4134TPX Flat Sheet 0.13D 35+/-4 Asker C 1.1M 2M 12mm</v>
      </c>
      <c r="H118">
        <v>22</v>
      </c>
      <c r="I118">
        <v>2</v>
      </c>
      <c r="J118">
        <v>2</v>
      </c>
      <c r="K118" t="str">
        <v>ASICS</v>
      </c>
      <c r="L118" t="str">
        <v>Pro. Schedule</v>
      </c>
      <c r="M118" t="str">
        <v>MOLDED</v>
      </c>
      <c r="Q118">
        <v>46189.47331273148</v>
      </c>
    </row>
    <row r="120">
      <c r="A120" t="str">
        <v>F-2026-06-86</v>
      </c>
      <c r="B120" t="str">
        <v>RPRO-260604-0448</v>
      </c>
      <c r="C120" t="str">
        <v>11/6</v>
      </c>
      <c r="D120" t="str">
        <v>MPS 03.06+04.06</v>
      </c>
      <c r="E120" t="str">
        <v>BDB-000085</v>
      </c>
      <c r="F120" t="str">
        <v>PVN-001091</v>
      </c>
      <c r="G120" t="str">
        <v>OrthoLite Eco LT GREY/17-1501TPX Flat Sheet 0.11D 25+/-4 Asker C 1.1M 2M 4mm</v>
      </c>
      <c r="H120">
        <v>35</v>
      </c>
      <c r="I120">
        <v>1</v>
      </c>
      <c r="J120">
        <v>1</v>
      </c>
      <c r="L120" t="str">
        <v>MPS</v>
      </c>
      <c r="M120" t="str">
        <v>SPLITTING</v>
      </c>
      <c r="N120">
        <v>2</v>
      </c>
      <c r="O120" t="str">
        <v>gấp, có hàng sớm giao sớm</v>
      </c>
      <c r="Q120">
        <v>46186</v>
      </c>
    </row>
    <row r="121">
      <c r="A121" t="str">
        <v>F-2026-06-194</v>
      </c>
      <c r="B121" t="str">
        <v>RPRO-260605-0604</v>
      </c>
      <c r="C121" t="str">
        <v>11/6</v>
      </c>
      <c r="D121" t="str">
        <v>MPS 05.06</v>
      </c>
      <c r="E121" t="str">
        <v>BDB-000085</v>
      </c>
      <c r="F121" t="str">
        <v>PVN-001091</v>
      </c>
      <c r="G121" t="str">
        <v>OrthoLite Eco LT GREY/17-1501TPX 0.11D 25+/-4 Asker C 1.1M 2M 4mm</v>
      </c>
      <c r="H121">
        <v>35</v>
      </c>
      <c r="I121">
        <v>1</v>
      </c>
      <c r="J121">
        <v>1</v>
      </c>
      <c r="L121" t="str">
        <v>MPS</v>
      </c>
      <c r="M121" t="str">
        <v>SPLITTING</v>
      </c>
      <c r="Q121">
        <v>46190.46129571759</v>
      </c>
    </row>
    <row r="123">
      <c r="A123" t="str">
        <v>F-2026-06-115</v>
      </c>
      <c r="B123" t="str">
        <v>RPRO-260604-0477</v>
      </c>
      <c r="C123" t="str">
        <v>11/6</v>
      </c>
      <c r="D123" t="str">
        <v>Pro.sche.report 02.06+03.06</v>
      </c>
      <c r="E123" t="str">
        <v>BDB-000057</v>
      </c>
      <c r="F123" t="str">
        <v>PVN-000825</v>
      </c>
      <c r="G123" t="str">
        <v>OrthoLite Ultra YELLOW/13-0858TPX Flat Sheet 0.085D 25+/-4 Asker C 1.1M 2M 12mm</v>
      </c>
      <c r="H123">
        <v>11</v>
      </c>
      <c r="I123">
        <v>1</v>
      </c>
      <c r="J123">
        <v>1</v>
      </c>
      <c r="K123" t="str">
        <v>ASICS</v>
      </c>
      <c r="L123" t="str">
        <v>Pro. Schedule</v>
      </c>
      <c r="M123" t="str">
        <v>MOLDED</v>
      </c>
      <c r="N123">
        <v>1</v>
      </c>
      <c r="Q123">
        <v>46186</v>
      </c>
    </row>
    <row r="125">
      <c r="A125" t="str">
        <v>F-2026-06-56</v>
      </c>
      <c r="B125" t="str">
        <v>RPRO-260602-0752</v>
      </c>
      <c r="C125" t="str">
        <v>11/6</v>
      </c>
      <c r="E125" t="str">
        <v>BDB-000291</v>
      </c>
      <c r="F125" t="str">
        <v>PVN-004250</v>
      </c>
      <c r="G125" t="str">
        <v>OrthoLite Regular NEUTRAL GRAY/17-4402TPX Flat Sheet 0.15D 45+/-4 Asker C 1.1M 1.7M 9.8mm</v>
      </c>
      <c r="H125">
        <v>28</v>
      </c>
      <c r="I125">
        <v>3</v>
      </c>
      <c r="J125">
        <v>3</v>
      </c>
      <c r="K125" t="str">
        <v>FOOTJOY</v>
      </c>
      <c r="L125" t="str">
        <v>Pro. Schedule</v>
      </c>
      <c r="M125" t="str">
        <v>MOLDED</v>
      </c>
      <c r="N125">
        <v>3</v>
      </c>
      <c r="Q125">
        <v>46186</v>
      </c>
    </row>
    <row r="127">
      <c r="A127" t="str">
        <v>F-2026-06-48</v>
      </c>
      <c r="B127" t="str">
        <v>RPRO-260602-0744</v>
      </c>
      <c r="C127" t="str">
        <v>11/6</v>
      </c>
      <c r="E127" t="str">
        <v>BDB-000275</v>
      </c>
      <c r="F127" t="str">
        <v>PVN-004362</v>
      </c>
      <c r="G127" t="str">
        <v>OrthoLite Regular RED/19-1764TPX Flat Sheet 0.15D 45+/-4 Asker C 1.1M 1.7M 2mm</v>
      </c>
      <c r="H127">
        <v>70</v>
      </c>
      <c r="I127">
        <v>2</v>
      </c>
      <c r="J127">
        <v>2</v>
      </c>
      <c r="K127" t="str">
        <v>SALOMON</v>
      </c>
      <c r="L127" t="str">
        <v>Pro. Schedule</v>
      </c>
      <c r="M127" t="str">
        <v>MOLDED</v>
      </c>
      <c r="N127">
        <v>4</v>
      </c>
      <c r="Q127">
        <v>46186</v>
      </c>
    </row>
    <row r="128">
      <c r="A128" t="str">
        <v>F-2026-06-183</v>
      </c>
      <c r="B128" t="str">
        <v>RPRO-260605-0593</v>
      </c>
      <c r="C128" t="str">
        <v>11/6</v>
      </c>
      <c r="D128" t="str">
        <v>Pro.sche.report 04.06</v>
      </c>
      <c r="E128" t="str">
        <v>BDB-000275</v>
      </c>
      <c r="F128" t="str">
        <v>PVN-004362</v>
      </c>
      <c r="G128" t="str">
        <v>OrthoLite Regular RED/19-1764TPX Flat Sheet 0.15D 45+/-4 Asker C 1.1M 1.7M 2mm</v>
      </c>
      <c r="H128">
        <v>139</v>
      </c>
      <c r="I128">
        <v>2</v>
      </c>
      <c r="J128">
        <v>2</v>
      </c>
      <c r="K128" t="str">
        <v>SALOMON</v>
      </c>
      <c r="L128" t="str">
        <v>Pro. Schedule</v>
      </c>
      <c r="M128" t="str">
        <v>MOLDED</v>
      </c>
      <c r="Q128">
        <v>46190.46129571759</v>
      </c>
    </row>
    <row r="130">
      <c r="A130" t="str">
        <v>F-2026-06-52</v>
      </c>
      <c r="B130" t="str">
        <v>RPRO-260602-0748</v>
      </c>
      <c r="C130" t="str">
        <v>11/6</v>
      </c>
      <c r="E130" t="str">
        <v>BDB-000094</v>
      </c>
      <c r="F130" t="str">
        <v>PVN-004255</v>
      </c>
      <c r="G130" t="str">
        <v>OrthoLite Eco LT 300C(ADIDAS BLUEBIRD) Flat Sheet 0.11D 25+/-4 Asker C 1.1M 1.47M 12mm</v>
      </c>
      <c r="H130">
        <v>154</v>
      </c>
      <c r="I130">
        <v>15</v>
      </c>
      <c r="J130">
        <v>15</v>
      </c>
      <c r="K130" t="str">
        <v>ADIDAS</v>
      </c>
      <c r="L130" t="str">
        <v>Pro. Schedule</v>
      </c>
      <c r="M130" t="str">
        <v>MOLDED</v>
      </c>
      <c r="N130">
        <v>15</v>
      </c>
      <c r="O130" t="str">
        <v>gấp, có hàng sớm giao sớm</v>
      </c>
      <c r="Q130">
        <v>46186</v>
      </c>
    </row>
    <row r="132">
      <c r="A132" t="str">
        <v>F-2026-04-408</v>
      </c>
      <c r="B132" t="str">
        <v>FPRO-260429-0021</v>
      </c>
      <c r="C132" t="str">
        <v>11/6</v>
      </c>
      <c r="D132" t="str">
        <v>Firm plan 29.04</v>
      </c>
      <c r="E132" t="str">
        <v>BDB-000160</v>
      </c>
      <c r="F132" t="str">
        <v>PVN-001562</v>
      </c>
      <c r="G132" t="str">
        <v>OrthoLite Ultra-Nike LIME GREEN/14-0452TPX 0.085D 25+/-4 Asker C 1.1M 2M 4mm</v>
      </c>
      <c r="H132">
        <v>300</v>
      </c>
      <c r="I132">
        <v>9</v>
      </c>
      <c r="J132">
        <v>9</v>
      </c>
      <c r="K132" t="str">
        <v>NIKE</v>
      </c>
      <c r="L132" t="str">
        <v>Forecast</v>
      </c>
      <c r="M132" t="str">
        <v>DIE CUT</v>
      </c>
      <c r="N132">
        <v>9</v>
      </c>
      <c r="Q132">
        <v>46186</v>
      </c>
    </row>
    <row r="134">
      <c r="A134" t="str">
        <v>F-2026-06-59</v>
      </c>
      <c r="B134" t="str">
        <v>RPRO-260602-0755</v>
      </c>
      <c r="C134" t="str">
        <v>11/6</v>
      </c>
      <c r="E134" t="str">
        <v>BDB-000125</v>
      </c>
      <c r="F134" t="str">
        <v>PVN-001662</v>
      </c>
      <c r="G134" t="str">
        <v>OrthoLite Regular-Nike AIR BLUE/16-4134TPX Flat Sheet 0.11D 25+/-4 Asker C 1.1M 2M 4.5mm</v>
      </c>
      <c r="H134">
        <v>51</v>
      </c>
      <c r="I134">
        <v>2</v>
      </c>
      <c r="J134">
        <v>2</v>
      </c>
      <c r="K134" t="str">
        <v>NIKE</v>
      </c>
      <c r="L134" t="str">
        <v>Pro. Schedule</v>
      </c>
      <c r="M134" t="str">
        <v>MOLDED</v>
      </c>
      <c r="N134">
        <v>17</v>
      </c>
      <c r="O134" t="str">
        <v>gấp, có hàng sớm giao sớm</v>
      </c>
      <c r="Q134">
        <v>46186</v>
      </c>
    </row>
    <row r="135">
      <c r="A135" t="str">
        <v>F-2026-04-420</v>
      </c>
      <c r="B135" t="str">
        <v>FPRO-260429-0033</v>
      </c>
      <c r="C135" t="str">
        <v>11/6-12/6</v>
      </c>
      <c r="D135" t="str">
        <v>Firm plan 29.04</v>
      </c>
      <c r="E135" t="str">
        <v>BDB-000125</v>
      </c>
      <c r="F135" t="str">
        <v>PVN-001579</v>
      </c>
      <c r="G135" t="str">
        <v>OrthoLite Regular-Nike AIR BLUE/16-4134TPX Flat Sheet 0.11D 25+/-4 Asker C 1.1M 2M 4mm</v>
      </c>
      <c r="H135">
        <v>500</v>
      </c>
      <c r="I135">
        <v>15</v>
      </c>
      <c r="J135">
        <v>15</v>
      </c>
      <c r="K135" t="str">
        <v>NIKE</v>
      </c>
      <c r="L135" t="str">
        <v>Forecast</v>
      </c>
      <c r="M135" t="str">
        <v>DIE CUT</v>
      </c>
      <c r="Q135">
        <v>46190</v>
      </c>
    </row>
    <row r="137">
      <c r="A137" t="str">
        <v>F-2026-03-456</v>
      </c>
      <c r="B137" t="str">
        <v>FPRO-260324-0028</v>
      </c>
      <c r="C137" t="str">
        <v>12/6</v>
      </c>
      <c r="D137" t="str">
        <v>Firm plan 24.3</v>
      </c>
      <c r="E137" t="str">
        <v>BDB-000161</v>
      </c>
      <c r="F137" t="str">
        <v>PVN-001560</v>
      </c>
      <c r="G137" t="str">
        <v>OrthoLite Ultra-Nike FOSSIL/17-0909TPX 0.085D 25+/-4 Asker C 1.1M 2M 4mm</v>
      </c>
      <c r="H137">
        <v>1000</v>
      </c>
      <c r="I137">
        <v>29</v>
      </c>
      <c r="J137">
        <v>29</v>
      </c>
      <c r="K137" t="str">
        <v>NIKE</v>
      </c>
      <c r="L137" t="str">
        <v>Forecast</v>
      </c>
      <c r="M137" t="str">
        <v>DIE CUT</v>
      </c>
      <c r="N137">
        <v>29</v>
      </c>
      <c r="O137" t="str">
        <v>gấp, có hàng sớm giao sớm</v>
      </c>
      <c r="Q137">
        <v>46186</v>
      </c>
    </row>
    <row r="139">
      <c r="A139" t="str">
        <v>F-2026-03-480</v>
      </c>
      <c r="B139" t="str">
        <v>FPRO-260324-0052</v>
      </c>
      <c r="C139" t="str">
        <v>12/6</v>
      </c>
      <c r="D139" t="str">
        <v>Firm plan 24.3</v>
      </c>
      <c r="E139" t="str">
        <v>BDB-000163</v>
      </c>
      <c r="F139" t="str">
        <v>PVN-001556</v>
      </c>
      <c r="G139" t="str">
        <v>OrthoLite Ultra-Nike YELLOW/13-0858TPX 0.085D 25+/-4 Asker C 1.1M 2M 4mm</v>
      </c>
      <c r="H139">
        <v>1500</v>
      </c>
      <c r="I139">
        <v>43</v>
      </c>
      <c r="J139">
        <v>43</v>
      </c>
      <c r="K139" t="str">
        <v>NIKE</v>
      </c>
      <c r="L139" t="str">
        <v>Forecast</v>
      </c>
      <c r="M139" t="str">
        <v>DIE CUT</v>
      </c>
      <c r="N139">
        <v>43</v>
      </c>
      <c r="O139" t="str">
        <v>gấp, có hàng sớm giao sớm</v>
      </c>
      <c r="Q139">
        <v>46186</v>
      </c>
    </row>
    <row r="141">
      <c r="A141" t="str">
        <v>F-2026-06-92</v>
      </c>
      <c r="B141" t="str">
        <v>RPRO-260604-0454</v>
      </c>
      <c r="C141" t="str">
        <v>12/6</v>
      </c>
      <c r="D141" t="str">
        <v>MPS 03.06+04.06</v>
      </c>
      <c r="E141" t="str">
        <v>BDB-000200</v>
      </c>
      <c r="F141" t="str">
        <v>PVN-003425</v>
      </c>
      <c r="G141" t="str">
        <v>OrthoLite Ultra SEEDPEARL/12-0703TPX Flat Sheet 0.085D 78-90 Asker F 1.1M 2M 4mm</v>
      </c>
      <c r="H141">
        <v>210</v>
      </c>
      <c r="I141">
        <v>6</v>
      </c>
      <c r="J141">
        <v>6</v>
      </c>
      <c r="L141" t="str">
        <v>MPS</v>
      </c>
      <c r="M141" t="str">
        <v>SPLITTING</v>
      </c>
      <c r="N141">
        <v>27</v>
      </c>
      <c r="O141" t="str">
        <v>gấp, có hàng sớm giao sớm</v>
      </c>
      <c r="Q141">
        <v>46186</v>
      </c>
    </row>
    <row r="142">
      <c r="A142" t="str">
        <v>F-2026-06-202</v>
      </c>
      <c r="B142" t="str">
        <v>RPRO-260605-0612</v>
      </c>
      <c r="C142" t="str">
        <v>12/6</v>
      </c>
      <c r="D142" t="str">
        <v>MPS 05.06</v>
      </c>
      <c r="E142" t="str">
        <v>BDB-000200</v>
      </c>
      <c r="F142" t="str">
        <v>PVN-003418</v>
      </c>
      <c r="G142" t="str">
        <v>OrthoLite Ultra SEEDPEARL/12-0703TPX Flat Sheet 0.085D 78-90 Asker F 1.1M 2M 5mm</v>
      </c>
      <c r="H142">
        <v>56</v>
      </c>
      <c r="I142">
        <v>2</v>
      </c>
      <c r="J142">
        <v>2</v>
      </c>
      <c r="L142" t="str">
        <v>MPS</v>
      </c>
      <c r="M142" t="str">
        <v>SPLITTING</v>
      </c>
      <c r="Q142">
        <v>46186</v>
      </c>
    </row>
    <row r="143">
      <c r="A143" t="str">
        <v>F-2026-06-91</v>
      </c>
      <c r="B143" t="str">
        <v>RPRO-260604-0453</v>
      </c>
      <c r="C143" t="str">
        <v>12/6</v>
      </c>
      <c r="D143" t="str">
        <v>MPS 03.06+04.06</v>
      </c>
      <c r="E143" t="str">
        <v>BDB-000200</v>
      </c>
      <c r="F143" t="str">
        <v>PVN-003418</v>
      </c>
      <c r="G143" t="str">
        <v>OrthoLite Ultra SEEDPEARL/12-0703TPX Flat Sheet 0.085D 78-90 Asker F 1.1M 2M 5mm</v>
      </c>
      <c r="H143">
        <v>532</v>
      </c>
      <c r="I143">
        <v>19</v>
      </c>
      <c r="J143">
        <v>19</v>
      </c>
      <c r="L143" t="str">
        <v>MPS</v>
      </c>
      <c r="M143" t="str">
        <v>SPLITTING</v>
      </c>
      <c r="Q143">
        <v>46186</v>
      </c>
    </row>
    <row r="145">
      <c r="A145" t="str">
        <v>F-2026-06-120</v>
      </c>
      <c r="B145" t="str">
        <v>FPRO-260603-0010</v>
      </c>
      <c r="C145" t="str">
        <v>12/6</v>
      </c>
      <c r="E145" t="str">
        <v>BDB-000008</v>
      </c>
      <c r="F145" t="str">
        <v>PVN-000505</v>
      </c>
      <c r="G145" t="str">
        <v>OrthoLite Regular LIME GREEN/14-0452TPX Flat Sheet 0.11D 25+/-4 Asker C 1.1M 2M 12mm</v>
      </c>
      <c r="H145">
        <v>35</v>
      </c>
      <c r="I145">
        <v>4</v>
      </c>
      <c r="J145">
        <v>4</v>
      </c>
      <c r="K145" t="str">
        <v>ASICS</v>
      </c>
      <c r="L145" t="str">
        <v>Forecast</v>
      </c>
      <c r="M145" t="str">
        <v>MOLDED</v>
      </c>
      <c r="N145">
        <v>48</v>
      </c>
      <c r="Q145">
        <v>46186</v>
      </c>
    </row>
    <row r="146">
      <c r="A146" t="str">
        <v>F-2026-06-134</v>
      </c>
      <c r="B146" t="str">
        <v>FPRO-260604-0015</v>
      </c>
      <c r="C146" t="str">
        <v>12/6</v>
      </c>
      <c r="E146" t="str">
        <v>BDB-000008</v>
      </c>
      <c r="F146" t="str">
        <v>PVN-000505</v>
      </c>
      <c r="G146" t="str">
        <v>OrthoLite Regular LIME GREEN/14-0452TPX Flat Sheet 0.11D 25+/-4 Asker C 1.1M 2M 12mm</v>
      </c>
      <c r="H146">
        <v>500</v>
      </c>
      <c r="I146">
        <v>44</v>
      </c>
      <c r="J146">
        <v>44</v>
      </c>
      <c r="K146" t="str">
        <v>ASICS</v>
      </c>
      <c r="L146" t="str">
        <v>Forecast</v>
      </c>
      <c r="M146" t="str">
        <v>MOLDED</v>
      </c>
      <c r="Q146">
        <v>46186</v>
      </c>
    </row>
    <row r="148">
      <c r="A148" t="str">
        <v>F-2026-06-36</v>
      </c>
      <c r="B148" t="str">
        <v>RPRO-260602-0732</v>
      </c>
      <c r="C148" t="str">
        <v>12/6</v>
      </c>
      <c r="E148" t="str">
        <v>BDB-000058</v>
      </c>
      <c r="F148" t="str">
        <v>PVN-001277</v>
      </c>
      <c r="G148" t="str">
        <v>OrthoLite Ultra GREEN/16-5932TPX Flat Sheet 0.085D 25+/-4 Asker C 1.1M 2M 4mm</v>
      </c>
      <c r="H148">
        <v>533</v>
      </c>
      <c r="I148">
        <v>16</v>
      </c>
      <c r="J148">
        <v>16</v>
      </c>
      <c r="L148" t="str">
        <v>MPS</v>
      </c>
      <c r="M148" t="str">
        <v>SPLITTING</v>
      </c>
      <c r="N148">
        <v>57</v>
      </c>
      <c r="Q148">
        <v>46186</v>
      </c>
    </row>
    <row r="149">
      <c r="A149" t="str">
        <v>F-2026-06-87</v>
      </c>
      <c r="B149" t="str">
        <v>RPRO-260604-0449</v>
      </c>
      <c r="C149" t="str">
        <v>12/6</v>
      </c>
      <c r="D149" t="str">
        <v>MPS 03.06+04.06</v>
      </c>
      <c r="E149" t="str">
        <v>BDB-000058</v>
      </c>
      <c r="F149" t="str">
        <v>PVN-001277</v>
      </c>
      <c r="G149" t="str">
        <v>OrthoLite Ultra GREEN/16-5932TPX Flat Sheet 0.085D 25+/-4 Asker C 1.1M 2M 4mm</v>
      </c>
      <c r="H149">
        <v>1260</v>
      </c>
      <c r="I149">
        <v>36</v>
      </c>
      <c r="J149">
        <v>36</v>
      </c>
      <c r="L149" t="str">
        <v>MPS</v>
      </c>
      <c r="M149" t="str">
        <v>SPLITTING</v>
      </c>
      <c r="Q149">
        <v>46186</v>
      </c>
    </row>
    <row r="150">
      <c r="A150" t="str">
        <v>F-2026-06-218</v>
      </c>
      <c r="B150" t="str">
        <v>RPRO-260609-0154</v>
      </c>
      <c r="C150" t="str">
        <v>12/6</v>
      </c>
      <c r="E150" t="str">
        <v>BDB-000058</v>
      </c>
      <c r="F150" t="str">
        <v>PVN-001277</v>
      </c>
      <c r="G150" t="str">
        <v>OrthoLite Ultra GREEN/16-5932TPX Flat Sheet 0.085D 25+/-4 Asker C 1.1M 2M 4mm</v>
      </c>
      <c r="H150">
        <v>140</v>
      </c>
      <c r="I150">
        <v>4</v>
      </c>
      <c r="J150">
        <v>4</v>
      </c>
      <c r="L150" t="str">
        <v>MPS</v>
      </c>
      <c r="M150" t="str">
        <v>SPLITTING</v>
      </c>
      <c r="Q150">
        <v>46190</v>
      </c>
    </row>
    <row r="151">
      <c r="A151" t="str">
        <v>F-2026-06-198</v>
      </c>
      <c r="B151" t="str">
        <v>RPRO-260605-0608</v>
      </c>
      <c r="C151" t="str">
        <v>12/6</v>
      </c>
      <c r="D151" t="str">
        <v>MPS 05.06</v>
      </c>
      <c r="E151" t="str">
        <v>BDB-000058</v>
      </c>
      <c r="F151" t="str">
        <v>PVN-001277</v>
      </c>
      <c r="G151" t="str">
        <v>OrthoLite Ultra GREEN/16-5932TPX Flat Sheet 0.085D 25+/-4 Asker C 1.1M 2M 4mm</v>
      </c>
      <c r="H151">
        <v>35</v>
      </c>
      <c r="I151">
        <v>1</v>
      </c>
      <c r="J151">
        <v>1</v>
      </c>
      <c r="L151" t="str">
        <v>MPS</v>
      </c>
      <c r="M151" t="str">
        <v>SPLITTING</v>
      </c>
      <c r="Q151">
        <v>46190.46129571759</v>
      </c>
    </row>
    <row r="153">
      <c r="A153" t="str">
        <v>F-2026-06-58</v>
      </c>
      <c r="B153" t="str">
        <v>RPRO-260602-0754</v>
      </c>
      <c r="C153" t="str">
        <v>12/6</v>
      </c>
      <c r="E153" t="str">
        <v>BDB-000130</v>
      </c>
      <c r="F153" t="str">
        <v>PVN-001585</v>
      </c>
      <c r="G153" t="str">
        <v>OrthoLite Regular-Nike AIR BLUE/16-4134TPX Flat Sheet 0.13D 35+/-4 Asker C 1.1M 2M 6mm</v>
      </c>
      <c r="H153">
        <v>23</v>
      </c>
      <c r="I153">
        <v>2</v>
      </c>
      <c r="J153">
        <v>2</v>
      </c>
      <c r="K153" t="str">
        <v>NIKE</v>
      </c>
      <c r="L153" t="str">
        <v>Pro. Schedule</v>
      </c>
      <c r="M153" t="str">
        <v>MOLDED</v>
      </c>
      <c r="N153">
        <v>57</v>
      </c>
      <c r="Q153">
        <v>46186</v>
      </c>
    </row>
    <row r="154">
      <c r="A154" t="str">
        <v>F-2026-06-111</v>
      </c>
      <c r="B154" t="str">
        <v>RPRO-260604-0473</v>
      </c>
      <c r="C154" t="str">
        <v>12/6-13/6</v>
      </c>
      <c r="D154" t="str">
        <v>Pro.sche.report 02.06+03.06</v>
      </c>
      <c r="E154" t="str">
        <v>BDB-000130</v>
      </c>
      <c r="F154" t="str">
        <v>PVN-001585</v>
      </c>
      <c r="G154" t="str">
        <v>OrthoLite Regular-Nike AIR BLUE/16-4134TPX Flat Sheet 0.13D 35+/-4 Asker C 1.1M 2M 6mm</v>
      </c>
      <c r="H154">
        <v>1241</v>
      </c>
      <c r="I154">
        <v>54</v>
      </c>
      <c r="J154">
        <v>54</v>
      </c>
      <c r="K154" t="str">
        <v>NIKE</v>
      </c>
      <c r="L154" t="str">
        <v>Pro. Schedule</v>
      </c>
      <c r="M154" t="str">
        <v>MOLDED</v>
      </c>
      <c r="Q154">
        <v>46189.47331273148</v>
      </c>
    </row>
    <row r="155">
      <c r="A155" t="str">
        <v>F-2026-06-185</v>
      </c>
      <c r="B155" t="str">
        <v>RPRO-260605-0595</v>
      </c>
      <c r="C155" t="str">
        <v>13/6</v>
      </c>
      <c r="D155" t="str">
        <v>Pro.sche.report 04.06</v>
      </c>
      <c r="E155" t="str">
        <v>BDB-000130</v>
      </c>
      <c r="F155" t="str">
        <v>PVN-001585</v>
      </c>
      <c r="G155" t="str">
        <v>OrthoLite Regular-Nike AIR BLUE/16-4134TPX Flat Sheet 0.13D 35+/-4 Asker C 1.1M 2M 6mm</v>
      </c>
      <c r="H155">
        <v>22</v>
      </c>
      <c r="I155">
        <v>1</v>
      </c>
      <c r="J155">
        <v>1</v>
      </c>
      <c r="K155" t="str">
        <v>NIKE</v>
      </c>
      <c r="L155" t="str">
        <v>Pro. Schedule</v>
      </c>
      <c r="M155" t="str">
        <v>MOLDED</v>
      </c>
      <c r="Q155">
        <v>46190.46129571759</v>
      </c>
    </row>
    <row r="157">
      <c r="A157" t="str">
        <v>F-2026-05-445</v>
      </c>
      <c r="B157" t="str">
        <v>RPRO-260529-0217</v>
      </c>
      <c r="C157" t="str">
        <v>13/6</v>
      </c>
      <c r="D157" t="str">
        <v>Pro.sche.report 26.05+27.05</v>
      </c>
      <c r="E157" t="str">
        <v>BDB-000209</v>
      </c>
      <c r="F157" t="str">
        <v>PVN-003550</v>
      </c>
      <c r="G157" t="str">
        <v>OrthoLite HybridPlus-Recycled MINT GREEN/11-4805TPX Hybrid Flat Sheet 0.12D 25+/-4 Asker C 1.1M 2M 6mm</v>
      </c>
      <c r="H157">
        <v>23</v>
      </c>
      <c r="I157">
        <v>2</v>
      </c>
      <c r="J157">
        <v>2</v>
      </c>
      <c r="K157" t="str">
        <v>ON RUNNING</v>
      </c>
      <c r="L157" t="str">
        <v>Pro. Schedule</v>
      </c>
      <c r="M157" t="str">
        <v>MOLDED</v>
      </c>
      <c r="N157">
        <v>52</v>
      </c>
      <c r="Q157">
        <v>46188</v>
      </c>
    </row>
    <row r="158">
      <c r="A158" t="str">
        <v>F-2026-06-76</v>
      </c>
      <c r="B158" t="str">
        <v>RPRO-260603-0446</v>
      </c>
      <c r="C158" t="str">
        <v>13/6</v>
      </c>
      <c r="E158" t="str">
        <v>BDB-000209</v>
      </c>
      <c r="F158" t="str">
        <v>PVN-003462</v>
      </c>
      <c r="G158" t="str">
        <v>OrthoLite HybridPlus-Recycled MINT GREEN/11-4805TPX Hybrid 0.12D 25+/-4 Asker C 1.1M 2M 12mm</v>
      </c>
      <c r="H158">
        <v>65</v>
      </c>
      <c r="I158">
        <v>6</v>
      </c>
      <c r="J158">
        <v>6</v>
      </c>
      <c r="K158" t="str">
        <v>BROOKS</v>
      </c>
      <c r="L158" t="str">
        <v>Pro. Schedule</v>
      </c>
      <c r="M158" t="str">
        <v>MOLDED</v>
      </c>
      <c r="Q158">
        <v>46188</v>
      </c>
    </row>
    <row r="159">
      <c r="A159" t="str">
        <v>F-2026-05-126-3</v>
      </c>
      <c r="B159" t="str">
        <v>RPRO-260513-0953</v>
      </c>
      <c r="C159" t="str">
        <v>13/6</v>
      </c>
      <c r="D159" t="str">
        <v>Pro.sche.report 08.5+09.5</v>
      </c>
      <c r="E159" t="str">
        <v>BDB-000209</v>
      </c>
      <c r="F159" t="str">
        <v>PVN-003550</v>
      </c>
      <c r="G159" t="str">
        <v>OrthoLite HybridPlus-Recycled MINT GREEN/11-4805TPX Hybrid Flat Sheet 0.12D 25+/-4 Asker C 1.1M 2M 6mm</v>
      </c>
      <c r="H159">
        <v>369</v>
      </c>
      <c r="I159">
        <v>17</v>
      </c>
      <c r="J159">
        <v>17</v>
      </c>
      <c r="K159" t="str">
        <v>ON RUNNING</v>
      </c>
      <c r="L159" t="str">
        <v>Pr.Sch.R</v>
      </c>
      <c r="M159" t="str">
        <v>MOLDED</v>
      </c>
      <c r="Q159">
        <v>46188</v>
      </c>
    </row>
    <row r="160">
      <c r="A160" t="str">
        <v>F-2026-05-447</v>
      </c>
      <c r="B160" t="str">
        <v>RPRO-260529-0219</v>
      </c>
      <c r="C160" t="str">
        <v>13/6</v>
      </c>
      <c r="D160" t="str">
        <v>Pro.sche.report 26.05+27.05</v>
      </c>
      <c r="E160" t="str">
        <v>BDB-000209</v>
      </c>
      <c r="F160" t="str">
        <v>PVN-003462</v>
      </c>
      <c r="G160" t="str">
        <v>OrthoLite HybridPlus-Recycled MINT GREEN/11-4805TPX Hybrid Flat Sheet 0.12D 25+/-4 Asker C 1.1M 2M 12mm</v>
      </c>
      <c r="H160">
        <v>275</v>
      </c>
      <c r="I160">
        <v>26</v>
      </c>
      <c r="J160">
        <v>26</v>
      </c>
      <c r="K160" t="str">
        <v>BROOKS</v>
      </c>
      <c r="L160" t="str">
        <v>Pro. Schedule</v>
      </c>
      <c r="M160" t="str">
        <v>MOLDED</v>
      </c>
      <c r="Q160">
        <v>46190</v>
      </c>
    </row>
    <row r="161">
      <c r="A161" t="str">
        <v>F-2026-06-191</v>
      </c>
      <c r="B161" t="str">
        <v>RPRO-260605-0601</v>
      </c>
      <c r="C161" t="str">
        <v>13/6</v>
      </c>
      <c r="D161" t="str">
        <v>Pro.sche.report 04.06</v>
      </c>
      <c r="E161" t="str">
        <v>BDB-000209</v>
      </c>
      <c r="F161" t="str">
        <v>PVN-003550</v>
      </c>
      <c r="G161" t="str">
        <v>OrthoLite HybridPlus-Recycled MINT GREEN/11-4805TPX Hybrid Flat Sheet 0.12D 25+/-4 Asker C 1.1M 2M 6mm</v>
      </c>
      <c r="H161">
        <v>22</v>
      </c>
      <c r="I161">
        <v>1</v>
      </c>
      <c r="J161">
        <v>1</v>
      </c>
      <c r="K161" t="str">
        <v>ON RUNNING</v>
      </c>
      <c r="L161" t="str">
        <v>Pro. Schedule</v>
      </c>
      <c r="M161" t="str">
        <v>MOLDED</v>
      </c>
      <c r="Q161">
        <v>46190.46129571759</v>
      </c>
    </row>
    <row r="163">
      <c r="A163" t="str">
        <v>F-2026-05-370</v>
      </c>
      <c r="B163" t="str">
        <v>FPRO-260526-0012</v>
      </c>
      <c r="C163" t="str">
        <v>13/6</v>
      </c>
      <c r="E163" t="str">
        <v>BDB-000385</v>
      </c>
      <c r="F163" t="str">
        <v>PVN-004381</v>
      </c>
      <c r="G163" t="str">
        <v>OrthoLite Impressions-Nike TAWNY PORT/19-1725TPX 0.15D 70-80 Asker F 1.1M 1.7M 3mm</v>
      </c>
      <c r="H163">
        <v>1500</v>
      </c>
      <c r="I163">
        <v>33</v>
      </c>
      <c r="J163">
        <v>33</v>
      </c>
      <c r="K163" t="str">
        <v>NIKE</v>
      </c>
      <c r="L163" t="str">
        <v>Forecast</v>
      </c>
      <c r="M163" t="str">
        <v>DIE CUT</v>
      </c>
      <c r="N163">
        <v>66</v>
      </c>
      <c r="Q163">
        <v>46188</v>
      </c>
    </row>
    <row r="164">
      <c r="A164" t="str">
        <v>F-2026-05-371</v>
      </c>
      <c r="B164" t="str">
        <v>FPRO-260526-0013</v>
      </c>
      <c r="C164" t="str">
        <v>13/6</v>
      </c>
      <c r="E164" t="str">
        <v>BDB-000385</v>
      </c>
      <c r="F164" t="str">
        <v>PVN-004381</v>
      </c>
      <c r="G164" t="str">
        <v>OrthoLite Impressions-Nike TAWNY PORT/19-1725TPX 0.15D 70-80 Asker F 1.1M 1.7M 3mm</v>
      </c>
      <c r="H164">
        <v>1500</v>
      </c>
      <c r="I164">
        <v>33</v>
      </c>
      <c r="J164">
        <v>33</v>
      </c>
      <c r="K164" t="str">
        <v>NIKE</v>
      </c>
      <c r="L164" t="str">
        <v>Forecast</v>
      </c>
      <c r="M164" t="str">
        <v>DIE CUT</v>
      </c>
      <c r="Q164">
        <v>46189</v>
      </c>
    </row>
    <row r="166">
      <c r="A166" t="str">
        <v>F-2026-06-110</v>
      </c>
      <c r="B166" t="str">
        <v>RPRO-260604-0472</v>
      </c>
      <c r="C166" t="str">
        <v>13/6</v>
      </c>
      <c r="D166" t="str">
        <v>Pro.sche.report 02.06+03.06</v>
      </c>
      <c r="E166" t="str">
        <v>BDB-000218</v>
      </c>
      <c r="F166" t="str">
        <v>PVN-003488</v>
      </c>
      <c r="G166" t="str">
        <v>OrthoLite Ultra-Nike SEEDPEARL/12-0703TPX Flat Sheet 0.085D 5-10 Asker C 1.1M 2M 4mm</v>
      </c>
      <c r="H166">
        <v>35</v>
      </c>
      <c r="I166">
        <v>1</v>
      </c>
      <c r="J166">
        <v>1</v>
      </c>
      <c r="K166" t="str">
        <v>NIKE</v>
      </c>
      <c r="L166" t="str">
        <v>Pro. Schedule</v>
      </c>
      <c r="M166" t="str">
        <v>DIE CUT</v>
      </c>
      <c r="N166">
        <v>1</v>
      </c>
      <c r="Q166">
        <v>46189.47331273148</v>
      </c>
    </row>
    <row r="168">
      <c r="A168" t="str">
        <v>F-2026-06-84</v>
      </c>
      <c r="B168" t="str">
        <v>RPRO-260604-0446</v>
      </c>
      <c r="C168" t="str">
        <v>13/6</v>
      </c>
      <c r="D168" t="str">
        <v>MPS 03.06+04.06</v>
      </c>
      <c r="E168" t="str">
        <v>BDB-000010</v>
      </c>
      <c r="F168" t="str">
        <v>PVN-000102</v>
      </c>
      <c r="G168" t="str">
        <v>OrthoLite Regular AIR BLUE/16-4134TPX Flat Sheet 0.11D 25+/-4 Asker C 1.1M 2M 4mm</v>
      </c>
      <c r="H168">
        <v>35</v>
      </c>
      <c r="I168">
        <v>1</v>
      </c>
      <c r="J168">
        <v>1</v>
      </c>
      <c r="L168" t="str">
        <v>MPS</v>
      </c>
      <c r="M168" t="str">
        <v>SPLITTING</v>
      </c>
      <c r="N168">
        <v>4</v>
      </c>
      <c r="Q168">
        <v>46189.47331273148</v>
      </c>
    </row>
    <row r="169">
      <c r="A169" t="str">
        <v>F-2026-06-189</v>
      </c>
      <c r="B169" t="str">
        <v>RPRO-260605-0599</v>
      </c>
      <c r="C169" t="str">
        <v>13/6</v>
      </c>
      <c r="D169" t="str">
        <v>Pro.sche.report 04.06</v>
      </c>
      <c r="E169" t="str">
        <v>BDB-000010</v>
      </c>
      <c r="F169" t="str">
        <v>PVN-003437</v>
      </c>
      <c r="G169" t="str">
        <v>OrthoLite Regular AIR BLUE/16-4134TPX Flat Sheet 0.11D 25+/-4 Asker C 1.1M 2M 10.5mm</v>
      </c>
      <c r="H169">
        <v>36</v>
      </c>
      <c r="I169">
        <v>3</v>
      </c>
      <c r="J169">
        <v>3</v>
      </c>
      <c r="K169" t="str">
        <v>TRAVIS MATHEW</v>
      </c>
      <c r="L169" t="str">
        <v>Pro. Schedule</v>
      </c>
      <c r="M169" t="str">
        <v>MOLDED</v>
      </c>
      <c r="Q169">
        <v>46190.46129571759</v>
      </c>
    </row>
    <row r="171">
      <c r="A171" t="str">
        <v>F-2026-06-83</v>
      </c>
      <c r="B171" t="str">
        <v>RPRO-260604-0445</v>
      </c>
      <c r="C171" t="str">
        <v>13/6</v>
      </c>
      <c r="D171" t="str">
        <v>MPS 03.06+04.06</v>
      </c>
      <c r="E171" t="str">
        <v>BDB-000224</v>
      </c>
      <c r="F171" t="str">
        <v>PVN-004258</v>
      </c>
      <c r="G171" t="str">
        <v>OrthoLite R&amp;R CASTLEROCK/18-0201TPX Flat Sheet 0.16D 15+/-4 Asker C 1.1M 1.7M 3mm</v>
      </c>
      <c r="H171">
        <v>229</v>
      </c>
      <c r="I171">
        <v>5</v>
      </c>
      <c r="J171">
        <v>5</v>
      </c>
      <c r="L171" t="str">
        <v>MPS</v>
      </c>
      <c r="M171" t="str">
        <v>SPLITTING</v>
      </c>
      <c r="N171">
        <v>5</v>
      </c>
      <c r="Q171">
        <v>46189.47331273148</v>
      </c>
    </row>
    <row r="173">
      <c r="A173" t="str">
        <v>F-2026-06-190</v>
      </c>
      <c r="B173" t="str">
        <v>RPRO-260605-0600</v>
      </c>
      <c r="C173" t="str">
        <v>13/6</v>
      </c>
      <c r="D173" t="str">
        <v>Pro.sche.report 04.06</v>
      </c>
      <c r="E173" t="str">
        <v>BDB-000242</v>
      </c>
      <c r="F173" t="str">
        <v>PVN-003614</v>
      </c>
      <c r="G173" t="str">
        <v>OrthoLite Regular GREY/17-1501TPX Flat Sheet 0.11D 5-10 Asker C 1.1M 2M 3.5mm</v>
      </c>
      <c r="H173">
        <v>80</v>
      </c>
      <c r="I173">
        <v>2</v>
      </c>
      <c r="J173">
        <v>2</v>
      </c>
      <c r="K173" t="str">
        <v>TRAVIS MATHEW</v>
      </c>
      <c r="L173" t="str">
        <v>Pro. Schedule</v>
      </c>
      <c r="M173" t="str">
        <v>MOLDED</v>
      </c>
      <c r="N173">
        <v>2</v>
      </c>
      <c r="Q173">
        <v>46190.46129571759</v>
      </c>
    </row>
    <row r="175">
      <c r="A175" t="str">
        <v>OIN-2026.06.06-02</v>
      </c>
      <c r="B175" t="str">
        <v>RPRO-260609-0483</v>
      </c>
      <c r="C175" t="str">
        <v>13/6</v>
      </c>
      <c r="E175" t="str">
        <v>BDB-000078</v>
      </c>
      <c r="F175" t="str">
        <v>PVN-003912</v>
      </c>
      <c r="G175" t="str">
        <v>[116-1517] X 30 25+/-4 Asker C 0.13D Red 19-1764 Tpx 1.10M X 2.00M 47mm</v>
      </c>
      <c r="H175">
        <v>24</v>
      </c>
      <c r="I175">
        <v>8</v>
      </c>
      <c r="J175">
        <v>8</v>
      </c>
      <c r="K175" t="str">
        <v>Bata</v>
      </c>
      <c r="L175" t="str">
        <v>PO-7445</v>
      </c>
      <c r="M175" t="str">
        <v>FLAT SHEET</v>
      </c>
      <c r="N175">
        <v>8</v>
      </c>
      <c r="Q175">
        <v>46190</v>
      </c>
    </row>
    <row r="177">
      <c r="A177" t="str">
        <v>F-2026-06-98</v>
      </c>
      <c r="B177" t="str">
        <v>RPRO-260604-0460</v>
      </c>
      <c r="C177" t="str">
        <v>13/6</v>
      </c>
      <c r="D177" t="str">
        <v>Pro.sche.report 02.06+03.06</v>
      </c>
      <c r="E177" t="str">
        <v>BDB-000076</v>
      </c>
      <c r="F177" t="str">
        <v>PVN-003448</v>
      </c>
      <c r="G177" t="str">
        <v>OrthoLite X-25 BILLIARD/16-5427TPX Flat Sheet 0.12D 20+/-4 Asker C 1.1M 2M 6.2mm</v>
      </c>
      <c r="H177">
        <v>660</v>
      </c>
      <c r="I177">
        <v>30</v>
      </c>
      <c r="J177">
        <v>30</v>
      </c>
      <c r="K177" t="str">
        <v>ADIDAS</v>
      </c>
      <c r="L177" t="str">
        <v>Pro. Schedule</v>
      </c>
      <c r="M177" t="str">
        <v>MOLDED</v>
      </c>
      <c r="N177">
        <v>30</v>
      </c>
      <c r="Q177">
        <v>46189.47331273148</v>
      </c>
    </row>
    <row r="178">
      <c r="G178" t="str">
        <v>RELEASE ĐỢT 2</v>
      </c>
    </row>
    <row r="179">
      <c r="H179">
        <v>38592</v>
      </c>
      <c r="I179">
        <v>1143</v>
      </c>
      <c r="J179">
        <v>1143</v>
      </c>
      <c r="N179">
        <v>1023</v>
      </c>
      <c r="O179">
        <v>-29</v>
      </c>
    </row>
  </sheetData>
  <autoFilter ref="A2:Q282"/>
  <mergeCells count="1">
    <mergeCell ref="A1:B1"/>
  </mergeCells>
  <pageMargins left="0" right="0" top="0" bottom="0.25" header="0" footer="0"/>
  <ignoredErrors>
    <ignoredError numberStoredAsText="1" sqref="A1:W8279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W4"/>
  <sheetViews>
    <sheetView workbookViewId="0" rightToLeft="0"/>
  </sheetViews>
  <sheetData>
    <row r="1" xml:space="preserve">
      <c r="A1" t="str">
        <v/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 xml:space="preserve">
        <v xml:space="preserve">Kế Hoạch Sản Xuất _x000d_
Production Planning_x000d_
Tiến độ list 2 - Phát sinh </v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</row>
    <row r="2" xml:space="preserve">
      <c r="A2" t="str">
        <v>NO.ORDER</v>
      </c>
      <c r="B2" t="str">
        <v xml:space="preserve">Firm plan </v>
      </c>
      <c r="C2" t="str" xml:space="preserve">
        <v xml:space="preserve">NGÀY SX_x000d_
Date of Producing</v>
      </c>
      <c r="D2" t="str">
        <v>PUR.NO</v>
      </c>
      <c r="E2" t="str">
        <v>Bun Code</v>
      </c>
      <c r="F2" t="str">
        <v>PU code</v>
      </c>
      <c r="G2" t="str" xml:space="preserve">
        <v xml:space="preserve">TÊN SẢN PHẨM_x000d_
Material Name_x000d_
</v>
      </c>
      <c r="H2" t="str" xml:space="preserve">
        <v xml:space="preserve">SL _x000d_
Sheet</v>
      </c>
      <c r="I2" t="str">
        <v>SL bun cần Tách</v>
      </c>
      <c r="J2" t="str">
        <v>Sl bun cần Đổ</v>
      </c>
      <c r="K2" t="str">
        <v>Brand</v>
      </c>
      <c r="L2" t="str">
        <v>POV</v>
      </c>
      <c r="M2" t="str">
        <v>TYPE</v>
      </c>
      <c r="N2" t="str" xml:space="preserve">
        <v xml:space="preserve">SL cần đổ_x000d_
Qty need to pour_x000d_
(bun)</v>
      </c>
      <c r="O2" t="str" xml:space="preserve">
        <v xml:space="preserve">Ghi chú_x000d_
Note</v>
      </c>
      <c r="P2" t="str">
        <v>Status</v>
      </c>
      <c r="Q2" t="str">
        <v>Ngày Sản xuất hoàn thành</v>
      </c>
      <c r="R2" t="str">
        <v/>
      </c>
      <c r="S2" t="str">
        <v/>
      </c>
      <c r="T2" t="str">
        <v/>
      </c>
      <c r="U2" t="str">
        <v/>
      </c>
      <c r="V2" t="str">
        <v/>
      </c>
      <c r="W2" t="str">
        <v/>
      </c>
    </row>
    <row r="3">
      <c r="A3" t="str">
        <v>Máy 2</v>
      </c>
      <c r="B3" t="str">
        <v/>
      </c>
      <c r="C3">
        <v>0</v>
      </c>
      <c r="D3" t="str">
        <v/>
      </c>
      <c r="E3" t="str">
        <v/>
      </c>
      <c r="F3" t="str">
        <v/>
      </c>
      <c r="G3" t="str">
        <v>1/7</v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>
        <v/>
      </c>
      <c r="V3" t="str">
        <v/>
      </c>
      <c r="W3" t="str">
        <v/>
      </c>
    </row>
    <row r="4">
      <c r="A4" t="str">
        <v>F-2026-06-635-1</v>
      </c>
      <c r="B4" t="str">
        <v>RPRO-260701-0699</v>
      </c>
      <c r="C4" t="str">
        <v>1/7</v>
      </c>
      <c r="D4" t="str">
        <v/>
      </c>
      <c r="E4" t="str">
        <v>BDB-000123</v>
      </c>
      <c r="F4" t="str">
        <v>PVN-002884</v>
      </c>
      <c r="G4" t="str">
        <v>OrthoLite Ultra-Hybrid SEEDPEARL/12-0703TPX Hybrid Flat Sheet 0.085D 25+/-4 Asker C 1.1M 2M 10mm</v>
      </c>
      <c r="H4">
        <v>91</v>
      </c>
      <c r="I4">
        <v>7</v>
      </c>
      <c r="J4">
        <v>7</v>
      </c>
      <c r="K4" t="str">
        <v>ADIDAS</v>
      </c>
      <c r="L4" t="str">
        <v/>
      </c>
      <c r="M4" t="str">
        <v>MOLDED</v>
      </c>
      <c r="N4">
        <v>7</v>
      </c>
      <c r="O4" t="str">
        <v>Đơn phát sinh</v>
      </c>
      <c r="P4" t="str">
        <v/>
      </c>
      <c r="Q4" t="str">
        <v>2/Jul</v>
      </c>
      <c r="R4" t="str">
        <v/>
      </c>
      <c r="S4" t="str">
        <v/>
      </c>
      <c r="T4" t="str">
        <v/>
      </c>
      <c r="U4" t="str">
        <v/>
      </c>
      <c r="V4" t="str">
        <v/>
      </c>
      <c r="W4" t="str">
        <v/>
      </c>
    </row>
  </sheetData>
  <ignoredErrors>
    <ignoredError numberStoredAsText="1" sqref="A1:W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W16-2026</vt:lpstr>
      <vt:lpstr>W17-2026</vt:lpstr>
      <vt:lpstr>W19-2026 - L2</vt:lpstr>
      <vt:lpstr>W20-2026 - L1</vt:lpstr>
      <vt:lpstr>W20-2026 -L2</vt:lpstr>
      <vt:lpstr>W20-2026 - L2 phat sinh </vt:lpstr>
      <vt:lpstr>W21-2026 - L1</vt:lpstr>
      <vt:lpstr>W21-2026 - L2</vt:lpstr>
      <vt:lpstr>W22-2026 - L1</vt:lpstr>
      <vt:lpstr>W22-2026 - L2</vt:lpstr>
      <vt:lpstr>W23-2026 - L1</vt:lpstr>
      <vt:lpstr>W23-2026 - L2</vt:lpstr>
      <vt:lpstr>W23-2026- L2 phát sinh</vt:lpstr>
      <vt:lpstr>List pha liệu đầu tuần 24</vt:lpstr>
      <vt:lpstr> W24-2026- L1</vt:lpstr>
      <vt:lpstr> W24-2026 - L2</vt:lpstr>
      <vt:lpstr>W27-2026- L1 phát sinh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2024-03-19T01:04:00Z</dcterms:created>
  <dcterms:modified xsi:type="dcterms:W3CDTF">2026-06-11T07:45:06Z</dcterms:modified>
  <cp:lastModifiedBy>Lam Duong - Foaming</cp:lastModifiedBy>
  <cp:lastPrinted>2026-04-23T08:15:00Z</cp:lastPrinted>
  <dc:creator>Hoai Pham - OVN Foaming Staff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0x010100A7250E43EE1F6849B530143246D94486</vt:lpwstr>
  </property>
  <property fmtid="{D5CDD505-2E9C-101B-9397-08002B2CF9AE}" pid="3" name="MediaServiceImageTags">
    <vt:lpwstr/>
  </property>
  <property fmtid="{D5CDD505-2E9C-101B-9397-08002B2CF9AE}" pid="4" name="ICV">
    <vt:lpwstr>9DF110ABB9D4428F81FA2DD5B2A30FC6_12</vt:lpwstr>
  </property>
  <property fmtid="{D5CDD505-2E9C-101B-9397-08002B2CF9AE}" pid="5" name="KSOProductBuildVer">
    <vt:lpwstr>1033-12.9.0.21555</vt:lpwstr>
  </property>
</Properties>
</file>